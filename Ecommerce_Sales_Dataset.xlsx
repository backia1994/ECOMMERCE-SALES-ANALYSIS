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90641D7-7A1D-4B1B-9C1F-5849B8A58CD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ales_Fact" sheetId="4" r:id="rId1"/>
    <sheet name="Customer_Dim" sheetId="1" r:id="rId2"/>
    <sheet name="Product_Dim" sheetId="2" r:id="rId3"/>
    <sheet name="Store_Dim" sheetId="3" r:id="rId4"/>
    <sheet name="summary statistics" sheetId="17" r:id="rId5"/>
    <sheet name="Final Dashboard" sheetId="6" r:id="rId6"/>
    <sheet name="store vs region vs total amt" sheetId="8" r:id="rId7"/>
    <sheet name="category vs gender vs total" sheetId="10" r:id="rId8"/>
    <sheet name="product brand vs category vs to" sheetId="11" r:id="rId9"/>
    <sheet name="year vs category,gender vs tota" sheetId="12" r:id="rId10"/>
    <sheet name="category vs total vs dis" sheetId="13" r:id="rId11"/>
    <sheet name="forecast" sheetId="18" r:id="rId12"/>
    <sheet name="sales_dim" sheetId="14" r:id="rId13"/>
  </sheets>
  <definedNames>
    <definedName name="_xlnm._FilterDatabase" localSheetId="1" hidden="1">Customer_Dim!$A$1:$H$501</definedName>
    <definedName name="_xlnm._FilterDatabase" localSheetId="2" hidden="1">Product_Dim!$A$1:$F$101</definedName>
    <definedName name="_xlnm._FilterDatabase" localSheetId="0" hidden="1">Sales_Fact!$A$1:$T$2002</definedName>
    <definedName name="_xlnm._FilterDatabase" localSheetId="3" hidden="1">Store_Dim!$A$1:$E$21</definedName>
    <definedName name="_xlcn.WorksheetConnection_Ecommerce_Sales_Dataset_updated.xlsxcustomer1" hidden="1">customer[]</definedName>
    <definedName name="_xlcn.WorksheetConnection_Ecommerce_Sales_Dataset_updated.xlsxproduct1" hidden="1">product[]</definedName>
    <definedName name="_xlcn.WorksheetConnection_Ecommerce_Sales_Dataset_updated.xlsxsales1" hidden="1">sales[]</definedName>
    <definedName name="_xlcn.WorksheetConnection_Ecommerce_Sales_Dataset_updated.xlsxstore1" hidden="1">store[]</definedName>
    <definedName name="Slicer_Category">#N/A</definedName>
    <definedName name="Slicer_Discount">#N/A</definedName>
    <definedName name="Slicer_Gender">#N/A</definedName>
    <definedName name="Slicer_Product_Brand">#N/A</definedName>
    <definedName name="Slicer_Region1">#N/A</definedName>
    <definedName name="Slicer_Store_Type">#N/A</definedName>
    <definedName name="Slicer_Total_Amount">#N/A</definedName>
    <definedName name="Slicer_Years">#N/A</definedName>
  </definedNames>
  <calcPr calcId="191029"/>
  <pivotCaches>
    <pivotCache cacheId="0" r:id="rId14"/>
    <pivotCache cacheId="1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15" i="18" l="1"/>
  <c r="D915" i="18"/>
  <c r="C915" i="18"/>
  <c r="E914" i="18"/>
  <c r="D914" i="18"/>
  <c r="C914" i="18"/>
  <c r="E913" i="18"/>
  <c r="D913" i="18"/>
  <c r="C913" i="18"/>
  <c r="E912" i="18"/>
  <c r="D912" i="18"/>
  <c r="C912" i="18"/>
  <c r="E911" i="18"/>
  <c r="D911" i="18"/>
  <c r="C911" i="18"/>
  <c r="E910" i="18"/>
  <c r="D910" i="18"/>
  <c r="C910" i="18"/>
  <c r="E909" i="18"/>
  <c r="D909" i="18"/>
  <c r="C909" i="18"/>
  <c r="E908" i="18"/>
  <c r="D908" i="18"/>
  <c r="C908" i="18"/>
  <c r="E907" i="18"/>
  <c r="D907" i="18"/>
  <c r="C907" i="18"/>
  <c r="E906" i="18"/>
  <c r="D906" i="18"/>
  <c r="C906" i="18"/>
  <c r="E905" i="18"/>
  <c r="D905" i="18"/>
  <c r="C905" i="18"/>
  <c r="E904" i="18"/>
  <c r="D904" i="18"/>
  <c r="C904" i="18"/>
  <c r="E903" i="18"/>
  <c r="D903" i="18"/>
  <c r="C903" i="18"/>
  <c r="E902" i="18"/>
  <c r="D902" i="18"/>
  <c r="C902" i="18"/>
  <c r="E901" i="18"/>
  <c r="D901" i="18"/>
  <c r="C901" i="18"/>
  <c r="E900" i="18"/>
  <c r="D900" i="18"/>
  <c r="C900" i="18"/>
  <c r="E899" i="18"/>
  <c r="D899" i="18"/>
  <c r="C899" i="18"/>
  <c r="E898" i="18"/>
  <c r="D898" i="18"/>
  <c r="C898" i="18"/>
  <c r="E897" i="18"/>
  <c r="D897" i="18"/>
  <c r="C897" i="18"/>
  <c r="E896" i="18"/>
  <c r="D896" i="18"/>
  <c r="C896" i="18"/>
  <c r="E895" i="18"/>
  <c r="D895" i="18"/>
  <c r="C895" i="18"/>
  <c r="E894" i="18"/>
  <c r="D894" i="18"/>
  <c r="C894" i="18"/>
  <c r="E893" i="18"/>
  <c r="D893" i="18"/>
  <c r="C893" i="18"/>
  <c r="E892" i="18"/>
  <c r="D892" i="18"/>
  <c r="C892" i="18"/>
  <c r="E891" i="18"/>
  <c r="D891" i="18"/>
  <c r="C891" i="18"/>
  <c r="E890" i="18"/>
  <c r="D890" i="18"/>
  <c r="C890" i="18"/>
  <c r="E889" i="18"/>
  <c r="D889" i="18"/>
  <c r="C889" i="18"/>
  <c r="E888" i="18"/>
  <c r="D888" i="18"/>
  <c r="C888" i="18"/>
  <c r="E887" i="18"/>
  <c r="D887" i="18"/>
  <c r="C887" i="18"/>
  <c r="E886" i="18"/>
  <c r="D886" i="18"/>
  <c r="C886" i="18"/>
  <c r="E885" i="18"/>
  <c r="D885" i="18"/>
  <c r="C885" i="18"/>
  <c r="E884" i="18"/>
  <c r="D884" i="18"/>
  <c r="C884" i="18"/>
  <c r="E883" i="18"/>
  <c r="D883" i="18"/>
  <c r="C883" i="18"/>
  <c r="E882" i="18"/>
  <c r="D882" i="18"/>
  <c r="C882" i="18"/>
  <c r="E881" i="18"/>
  <c r="D881" i="18"/>
  <c r="C881" i="18"/>
  <c r="E880" i="18"/>
  <c r="D880" i="18"/>
  <c r="C880" i="18"/>
  <c r="E879" i="18"/>
  <c r="D879" i="18"/>
  <c r="C879" i="18"/>
  <c r="E878" i="18"/>
  <c r="D878" i="18"/>
  <c r="C878" i="18"/>
  <c r="E877" i="18"/>
  <c r="D877" i="18"/>
  <c r="C877" i="18"/>
  <c r="E876" i="18"/>
  <c r="D876" i="18"/>
  <c r="C876" i="18"/>
  <c r="E875" i="18"/>
  <c r="D875" i="18"/>
  <c r="C875" i="18"/>
  <c r="E874" i="18"/>
  <c r="D874" i="18"/>
  <c r="C874" i="18"/>
  <c r="E873" i="18"/>
  <c r="D873" i="18"/>
  <c r="C873" i="18"/>
  <c r="E872" i="18"/>
  <c r="D872" i="18"/>
  <c r="C872" i="18"/>
  <c r="E871" i="18"/>
  <c r="D871" i="18"/>
  <c r="C871" i="18"/>
  <c r="E870" i="18"/>
  <c r="D870" i="18"/>
  <c r="C870" i="18"/>
  <c r="E869" i="18"/>
  <c r="D869" i="18"/>
  <c r="C869" i="18"/>
  <c r="E868" i="18"/>
  <c r="D868" i="18"/>
  <c r="C868" i="18"/>
  <c r="E867" i="18"/>
  <c r="D867" i="18"/>
  <c r="C867" i="18"/>
  <c r="E866" i="18"/>
  <c r="D866" i="18"/>
  <c r="C866" i="18"/>
  <c r="E865" i="18"/>
  <c r="D865" i="18"/>
  <c r="C865" i="18"/>
  <c r="E864" i="18"/>
  <c r="D864" i="18"/>
  <c r="C864" i="18"/>
  <c r="E863" i="18"/>
  <c r="D863" i="18"/>
  <c r="C863" i="18"/>
  <c r="E862" i="18"/>
  <c r="D862" i="18"/>
  <c r="C862" i="18"/>
  <c r="E861" i="18"/>
  <c r="D861" i="18"/>
  <c r="C861" i="18"/>
  <c r="E860" i="18"/>
  <c r="D860" i="18"/>
  <c r="C860" i="18"/>
  <c r="E859" i="18"/>
  <c r="D859" i="18"/>
  <c r="C859" i="18"/>
  <c r="E858" i="18"/>
  <c r="D858" i="18"/>
  <c r="C858" i="18"/>
  <c r="E857" i="18"/>
  <c r="D857" i="18"/>
  <c r="C857" i="18"/>
  <c r="E856" i="18"/>
  <c r="D856" i="18"/>
  <c r="C856" i="18"/>
  <c r="E855" i="18"/>
  <c r="D855" i="18"/>
  <c r="C855" i="18"/>
  <c r="E854" i="18"/>
  <c r="D854" i="18"/>
  <c r="C854" i="18"/>
  <c r="E853" i="18"/>
  <c r="D853" i="18"/>
  <c r="C853" i="18"/>
  <c r="E852" i="18"/>
  <c r="D852" i="18"/>
  <c r="C852" i="18"/>
  <c r="E851" i="18"/>
  <c r="D851" i="18"/>
  <c r="C851" i="18"/>
  <c r="E850" i="18"/>
  <c r="D850" i="18"/>
  <c r="C850" i="18"/>
  <c r="E849" i="18"/>
  <c r="D849" i="18"/>
  <c r="C849" i="18"/>
  <c r="E848" i="18"/>
  <c r="D848" i="18"/>
  <c r="C848" i="18"/>
  <c r="E847" i="18"/>
  <c r="D847" i="18"/>
  <c r="C847" i="18"/>
  <c r="E846" i="18"/>
  <c r="D846" i="18"/>
  <c r="C846" i="18"/>
  <c r="E845" i="18"/>
  <c r="D845" i="18"/>
  <c r="C845" i="18"/>
  <c r="E844" i="18"/>
  <c r="D844" i="18"/>
  <c r="C844" i="18"/>
  <c r="E843" i="18"/>
  <c r="D843" i="18"/>
  <c r="C843" i="18"/>
  <c r="E842" i="18"/>
  <c r="D842" i="18"/>
  <c r="C842" i="18"/>
  <c r="E841" i="18"/>
  <c r="D841" i="18"/>
  <c r="C841" i="18"/>
  <c r="E840" i="18"/>
  <c r="D840" i="18"/>
  <c r="C840" i="18"/>
  <c r="E839" i="18"/>
  <c r="D839" i="18"/>
  <c r="C839" i="18"/>
  <c r="E838" i="18"/>
  <c r="D838" i="18"/>
  <c r="C838" i="18"/>
  <c r="E837" i="18"/>
  <c r="D837" i="18"/>
  <c r="C837" i="18"/>
  <c r="E836" i="18"/>
  <c r="D836" i="18"/>
  <c r="C836" i="18"/>
  <c r="E835" i="18"/>
  <c r="D835" i="18"/>
  <c r="C835" i="18"/>
  <c r="E834" i="18"/>
  <c r="D834" i="18"/>
  <c r="C834" i="18"/>
  <c r="E833" i="18"/>
  <c r="D833" i="18"/>
  <c r="C833" i="18"/>
  <c r="E832" i="18"/>
  <c r="D832" i="18"/>
  <c r="C832" i="18"/>
  <c r="E831" i="18"/>
  <c r="D831" i="18"/>
  <c r="C831" i="18"/>
  <c r="E830" i="18"/>
  <c r="D830" i="18"/>
  <c r="C830" i="18"/>
  <c r="E829" i="18"/>
  <c r="D829" i="18"/>
  <c r="C829" i="18"/>
  <c r="E828" i="18"/>
  <c r="D828" i="18"/>
  <c r="C828" i="18"/>
  <c r="E827" i="18"/>
  <c r="D827" i="18"/>
  <c r="C827" i="18"/>
  <c r="E826" i="18"/>
  <c r="D826" i="18"/>
  <c r="C826" i="18"/>
  <c r="E825" i="18"/>
  <c r="D825" i="18"/>
  <c r="C825" i="18"/>
  <c r="E824" i="18"/>
  <c r="D824" i="18"/>
  <c r="C824" i="18"/>
  <c r="E823" i="18"/>
  <c r="D823" i="18"/>
  <c r="C823" i="18"/>
  <c r="E822" i="18"/>
  <c r="D822" i="18"/>
  <c r="C822" i="18"/>
  <c r="E821" i="18"/>
  <c r="D821" i="18"/>
  <c r="C821" i="18"/>
  <c r="E820" i="18"/>
  <c r="D820" i="18"/>
  <c r="C820" i="18"/>
  <c r="E819" i="18"/>
  <c r="D819" i="18"/>
  <c r="C819" i="18"/>
  <c r="E818" i="18"/>
  <c r="D818" i="18"/>
  <c r="C818" i="18"/>
  <c r="E817" i="18"/>
  <c r="D817" i="18"/>
  <c r="C817" i="18"/>
  <c r="E816" i="18"/>
  <c r="D816" i="18"/>
  <c r="C816" i="18"/>
  <c r="E815" i="18"/>
  <c r="D815" i="18"/>
  <c r="C815" i="18"/>
  <c r="E814" i="18"/>
  <c r="D814" i="18"/>
  <c r="C814" i="18"/>
  <c r="E813" i="18"/>
  <c r="D813" i="18"/>
  <c r="C813" i="18"/>
  <c r="E812" i="18"/>
  <c r="D812" i="18"/>
  <c r="C812" i="18"/>
  <c r="E811" i="18"/>
  <c r="D811" i="18"/>
  <c r="C811" i="18"/>
  <c r="E810" i="18"/>
  <c r="D810" i="18"/>
  <c r="C810" i="18"/>
  <c r="E809" i="18"/>
  <c r="D809" i="18"/>
  <c r="C809" i="18"/>
  <c r="E808" i="18"/>
  <c r="D808" i="18"/>
  <c r="C808" i="18"/>
  <c r="E807" i="18"/>
  <c r="D807" i="18"/>
  <c r="C807" i="18"/>
  <c r="E806" i="18"/>
  <c r="D806" i="18"/>
  <c r="C806" i="18"/>
  <c r="E805" i="18"/>
  <c r="D805" i="18"/>
  <c r="C805" i="18"/>
  <c r="E804" i="18"/>
  <c r="D804" i="18"/>
  <c r="C804" i="18"/>
  <c r="E803" i="18"/>
  <c r="D803" i="18"/>
  <c r="C803" i="18"/>
  <c r="E802" i="18"/>
  <c r="D802" i="18"/>
  <c r="C802" i="18"/>
  <c r="E801" i="18"/>
  <c r="D801" i="18"/>
  <c r="C801" i="18"/>
  <c r="E800" i="18"/>
  <c r="D800" i="18"/>
  <c r="C800" i="18"/>
  <c r="E799" i="18"/>
  <c r="D799" i="18"/>
  <c r="C799" i="18"/>
  <c r="E798" i="18"/>
  <c r="D798" i="18"/>
  <c r="C798" i="18"/>
  <c r="E797" i="18"/>
  <c r="D797" i="18"/>
  <c r="C797" i="18"/>
  <c r="E796" i="18"/>
  <c r="D796" i="18"/>
  <c r="C796" i="18"/>
  <c r="E795" i="18"/>
  <c r="D795" i="18"/>
  <c r="C795" i="18"/>
  <c r="E794" i="18"/>
  <c r="D794" i="18"/>
  <c r="C794" i="18"/>
  <c r="E793" i="18"/>
  <c r="D793" i="18"/>
  <c r="C793" i="18"/>
  <c r="E792" i="18"/>
  <c r="D792" i="18"/>
  <c r="C792" i="18"/>
  <c r="E791" i="18"/>
  <c r="D791" i="18"/>
  <c r="C791" i="18"/>
  <c r="E790" i="18"/>
  <c r="D790" i="18"/>
  <c r="C790" i="18"/>
  <c r="E789" i="18"/>
  <c r="D789" i="18"/>
  <c r="C789" i="18"/>
  <c r="E788" i="18"/>
  <c r="D788" i="18"/>
  <c r="C788" i="18"/>
  <c r="E787" i="18"/>
  <c r="D787" i="18"/>
  <c r="C787" i="18"/>
  <c r="E786" i="18"/>
  <c r="D786" i="18"/>
  <c r="C786" i="18"/>
  <c r="E785" i="18"/>
  <c r="D785" i="18"/>
  <c r="C785" i="18"/>
  <c r="E784" i="18"/>
  <c r="D784" i="18"/>
  <c r="C784" i="18"/>
  <c r="E783" i="18"/>
  <c r="D783" i="18"/>
  <c r="C783" i="18"/>
  <c r="E782" i="18"/>
  <c r="D782" i="18"/>
  <c r="C782" i="18"/>
  <c r="E781" i="18"/>
  <c r="D781" i="18"/>
  <c r="C781" i="18"/>
  <c r="E780" i="18"/>
  <c r="D780" i="18"/>
  <c r="C780" i="18"/>
  <c r="E779" i="18"/>
  <c r="D779" i="18"/>
  <c r="C779" i="18"/>
  <c r="E778" i="18"/>
  <c r="D778" i="18"/>
  <c r="C778" i="18"/>
  <c r="E777" i="18"/>
  <c r="D777" i="18"/>
  <c r="C777" i="18"/>
  <c r="E776" i="18"/>
  <c r="D776" i="18"/>
  <c r="C776" i="18"/>
  <c r="E775" i="18"/>
  <c r="D775" i="18"/>
  <c r="C775" i="18"/>
  <c r="E774" i="18"/>
  <c r="D774" i="18"/>
  <c r="C774" i="18"/>
  <c r="E773" i="18"/>
  <c r="D773" i="18"/>
  <c r="C773" i="18"/>
  <c r="E772" i="18"/>
  <c r="D772" i="18"/>
  <c r="C772" i="18"/>
  <c r="E771" i="18"/>
  <c r="D771" i="18"/>
  <c r="C771" i="18"/>
  <c r="E770" i="18"/>
  <c r="D770" i="18"/>
  <c r="C770" i="18"/>
  <c r="E769" i="18"/>
  <c r="D769" i="18"/>
  <c r="C769" i="18"/>
  <c r="E768" i="18"/>
  <c r="D768" i="18"/>
  <c r="C768" i="18"/>
  <c r="E767" i="18"/>
  <c r="D767" i="18"/>
  <c r="C767" i="18"/>
  <c r="E766" i="18"/>
  <c r="D766" i="18"/>
  <c r="C766" i="18"/>
  <c r="E765" i="18"/>
  <c r="D765" i="18"/>
  <c r="C765" i="18"/>
  <c r="E764" i="18"/>
  <c r="D764" i="18"/>
  <c r="C764" i="18"/>
  <c r="E763" i="18"/>
  <c r="D763" i="18"/>
  <c r="C763" i="18"/>
  <c r="E762" i="18"/>
  <c r="D762" i="18"/>
  <c r="C762" i="18"/>
  <c r="E761" i="18"/>
  <c r="D761" i="18"/>
  <c r="C761" i="18"/>
  <c r="E760" i="18"/>
  <c r="D760" i="18"/>
  <c r="C760" i="18"/>
  <c r="E759" i="18"/>
  <c r="D759" i="18"/>
  <c r="C759" i="18"/>
  <c r="E758" i="18"/>
  <c r="D758" i="18"/>
  <c r="C758" i="18"/>
  <c r="E757" i="18"/>
  <c r="D757" i="18"/>
  <c r="C757" i="18"/>
  <c r="E756" i="18"/>
  <c r="D756" i="18"/>
  <c r="C756" i="18"/>
  <c r="E755" i="18"/>
  <c r="D755" i="18"/>
  <c r="C755" i="18"/>
  <c r="E754" i="18"/>
  <c r="D754" i="18"/>
  <c r="C754" i="18"/>
  <c r="E753" i="18"/>
  <c r="D753" i="18"/>
  <c r="C753" i="18"/>
  <c r="E752" i="18"/>
  <c r="D752" i="18"/>
  <c r="C752" i="18"/>
  <c r="E751" i="18"/>
  <c r="D751" i="18"/>
  <c r="C751" i="18"/>
  <c r="E750" i="18"/>
  <c r="D750" i="18"/>
  <c r="C750" i="18"/>
  <c r="E749" i="18"/>
  <c r="D749" i="18"/>
  <c r="C749" i="18"/>
  <c r="E748" i="18"/>
  <c r="D748" i="18"/>
  <c r="C748" i="18"/>
  <c r="E747" i="18"/>
  <c r="D747" i="18"/>
  <c r="C747" i="18"/>
  <c r="E746" i="18"/>
  <c r="D746" i="18"/>
  <c r="C746" i="18"/>
  <c r="E745" i="18"/>
  <c r="D745" i="18"/>
  <c r="C745" i="18"/>
  <c r="E744" i="18"/>
  <c r="D744" i="18"/>
  <c r="C744" i="18"/>
  <c r="E743" i="18"/>
  <c r="D743" i="18"/>
  <c r="C743" i="18"/>
  <c r="E742" i="18"/>
  <c r="D742" i="18"/>
  <c r="C742" i="18"/>
  <c r="E741" i="18"/>
  <c r="D741" i="18"/>
  <c r="C741" i="18"/>
  <c r="E740" i="18"/>
  <c r="D740" i="18"/>
  <c r="C740" i="18"/>
  <c r="E739" i="18"/>
  <c r="D739" i="18"/>
  <c r="C739" i="18"/>
  <c r="E738" i="18"/>
  <c r="D738" i="18"/>
  <c r="C738" i="18"/>
  <c r="E737" i="18"/>
  <c r="D737" i="18"/>
  <c r="C737" i="18"/>
  <c r="E736" i="18"/>
  <c r="D736" i="18"/>
  <c r="C736" i="18"/>
  <c r="E735" i="18"/>
  <c r="D735" i="18"/>
  <c r="C735" i="18"/>
  <c r="E734" i="18"/>
  <c r="D734" i="18"/>
  <c r="C734" i="18"/>
  <c r="E733" i="18"/>
  <c r="D733" i="18"/>
  <c r="C733" i="18"/>
  <c r="S2002" i="4"/>
  <c r="P2002" i="4"/>
  <c r="O2002" i="4"/>
  <c r="N2002" i="4"/>
  <c r="S2001" i="4"/>
  <c r="Q2001" i="4" a="1"/>
  <c r="Q2001" i="4"/>
  <c r="S2000" i="4"/>
  <c r="Q2000" i="4" a="1"/>
  <c r="Q2000" i="4"/>
  <c r="S1999" i="4"/>
  <c r="Q1999" i="4" a="1"/>
  <c r="Q1999" i="4"/>
  <c r="S1998" i="4"/>
  <c r="Q1998" i="4" a="1"/>
  <c r="Q1998" i="4"/>
  <c r="S1997" i="4"/>
  <c r="Q1997" i="4" a="1"/>
  <c r="Q1997" i="4"/>
  <c r="S1996" i="4"/>
  <c r="Q1996" i="4" a="1"/>
  <c r="Q1996" i="4"/>
  <c r="S1995" i="4"/>
  <c r="Q1995" i="4" a="1"/>
  <c r="Q1995" i="4"/>
  <c r="S1994" i="4"/>
  <c r="Q1994" i="4" a="1"/>
  <c r="Q1994" i="4"/>
  <c r="S1993" i="4"/>
  <c r="Q1993" i="4" a="1"/>
  <c r="Q1993" i="4"/>
  <c r="S1992" i="4"/>
  <c r="Q1992" i="4" a="1"/>
  <c r="Q1992" i="4"/>
  <c r="S1991" i="4"/>
  <c r="Q1991" i="4" a="1"/>
  <c r="Q1991" i="4"/>
  <c r="S1990" i="4"/>
  <c r="Q1990" i="4" a="1"/>
  <c r="Q1990" i="4"/>
  <c r="S1989" i="4"/>
  <c r="Q1989" i="4" a="1"/>
  <c r="Q1989" i="4"/>
  <c r="S1988" i="4"/>
  <c r="Q1988" i="4" a="1"/>
  <c r="Q1988" i="4"/>
  <c r="S1987" i="4"/>
  <c r="Q1987" i="4" a="1"/>
  <c r="Q1987" i="4"/>
  <c r="S1986" i="4"/>
  <c r="Q1986" i="4" a="1"/>
  <c r="Q1986" i="4"/>
  <c r="S1985" i="4"/>
  <c r="Q1985" i="4" a="1"/>
  <c r="Q1985" i="4"/>
  <c r="S1984" i="4"/>
  <c r="Q1984" i="4" a="1"/>
  <c r="Q1984" i="4"/>
  <c r="S1983" i="4"/>
  <c r="Q1983" i="4" a="1"/>
  <c r="Q1983" i="4"/>
  <c r="S1982" i="4"/>
  <c r="Q1982" i="4" a="1"/>
  <c r="Q1982" i="4"/>
  <c r="S1981" i="4"/>
  <c r="Q1981" i="4" a="1"/>
  <c r="Q1981" i="4"/>
  <c r="S1980" i="4"/>
  <c r="Q1980" i="4" a="1"/>
  <c r="Q1980" i="4"/>
  <c r="S1979" i="4"/>
  <c r="Q1979" i="4" a="1"/>
  <c r="Q1979" i="4"/>
  <c r="S1978" i="4"/>
  <c r="Q1978" i="4" a="1"/>
  <c r="Q1978" i="4"/>
  <c r="S1977" i="4"/>
  <c r="Q1977" i="4" a="1"/>
  <c r="Q1977" i="4"/>
  <c r="S1976" i="4"/>
  <c r="Q1976" i="4" a="1"/>
  <c r="Q1976" i="4"/>
  <c r="S1975" i="4"/>
  <c r="Q1975" i="4" a="1"/>
  <c r="Q1975" i="4"/>
  <c r="S1974" i="4"/>
  <c r="Q1974" i="4" a="1"/>
  <c r="Q1974" i="4"/>
  <c r="S1973" i="4"/>
  <c r="Q1973" i="4" a="1"/>
  <c r="Q1973" i="4"/>
  <c r="S1972" i="4"/>
  <c r="Q1972" i="4" a="1"/>
  <c r="Q1972" i="4"/>
  <c r="S1971" i="4"/>
  <c r="Q1971" i="4" a="1"/>
  <c r="Q1971" i="4"/>
  <c r="S1970" i="4"/>
  <c r="Q1970" i="4" a="1"/>
  <c r="Q1970" i="4"/>
  <c r="S1969" i="4"/>
  <c r="Q1969" i="4" a="1"/>
  <c r="Q1969" i="4"/>
  <c r="S1968" i="4"/>
  <c r="Q1968" i="4" a="1"/>
  <c r="Q1968" i="4"/>
  <c r="S1967" i="4"/>
  <c r="Q1967" i="4" a="1"/>
  <c r="Q1967" i="4"/>
  <c r="S1966" i="4"/>
  <c r="Q1966" i="4" a="1"/>
  <c r="Q1966" i="4"/>
  <c r="S1965" i="4"/>
  <c r="Q1965" i="4" a="1"/>
  <c r="Q1965" i="4"/>
  <c r="S1964" i="4"/>
  <c r="Q1964" i="4" a="1"/>
  <c r="Q1964" i="4"/>
  <c r="S1963" i="4"/>
  <c r="Q1963" i="4" a="1"/>
  <c r="Q1963" i="4"/>
  <c r="S1962" i="4"/>
  <c r="Q1962" i="4" a="1"/>
  <c r="Q1962" i="4"/>
  <c r="S1961" i="4"/>
  <c r="Q1961" i="4" a="1"/>
  <c r="Q1961" i="4"/>
  <c r="S1960" i="4"/>
  <c r="Q1960" i="4" a="1"/>
  <c r="Q1960" i="4"/>
  <c r="S1959" i="4"/>
  <c r="Q1959" i="4" a="1"/>
  <c r="Q1959" i="4"/>
  <c r="S1958" i="4"/>
  <c r="Q1958" i="4" a="1"/>
  <c r="Q1958" i="4"/>
  <c r="S1957" i="4"/>
  <c r="Q1957" i="4" a="1"/>
  <c r="Q1957" i="4"/>
  <c r="S1956" i="4"/>
  <c r="Q1956" i="4" a="1"/>
  <c r="Q1956" i="4"/>
  <c r="S1955" i="4"/>
  <c r="Q1955" i="4" a="1"/>
  <c r="Q1955" i="4"/>
  <c r="S1954" i="4"/>
  <c r="Q1954" i="4" a="1"/>
  <c r="Q1954" i="4"/>
  <c r="S1953" i="4"/>
  <c r="Q1953" i="4" a="1"/>
  <c r="Q1953" i="4"/>
  <c r="S1952" i="4"/>
  <c r="Q1952" i="4" a="1"/>
  <c r="Q1952" i="4"/>
  <c r="S1951" i="4"/>
  <c r="Q1951" i="4" a="1"/>
  <c r="Q1951" i="4"/>
  <c r="S1950" i="4"/>
  <c r="Q1950" i="4" a="1"/>
  <c r="Q1950" i="4"/>
  <c r="S1949" i="4"/>
  <c r="Q1949" i="4" a="1"/>
  <c r="Q1949" i="4"/>
  <c r="S1948" i="4"/>
  <c r="Q1948" i="4" a="1"/>
  <c r="Q1948" i="4"/>
  <c r="S1947" i="4"/>
  <c r="Q1947" i="4" a="1"/>
  <c r="Q1947" i="4"/>
  <c r="S1946" i="4"/>
  <c r="Q1946" i="4" a="1"/>
  <c r="Q1946" i="4"/>
  <c r="S1945" i="4"/>
  <c r="Q1945" i="4" a="1"/>
  <c r="Q1945" i="4"/>
  <c r="S1944" i="4"/>
  <c r="Q1944" i="4" a="1"/>
  <c r="Q1944" i="4"/>
  <c r="S1943" i="4"/>
  <c r="Q1943" i="4" a="1"/>
  <c r="Q1943" i="4"/>
  <c r="S1942" i="4"/>
  <c r="Q1942" i="4" a="1"/>
  <c r="Q1942" i="4"/>
  <c r="S1941" i="4"/>
  <c r="Q1941" i="4" a="1"/>
  <c r="Q1941" i="4"/>
  <c r="S1940" i="4"/>
  <c r="Q1940" i="4" a="1"/>
  <c r="Q1940" i="4"/>
  <c r="S1939" i="4"/>
  <c r="Q1939" i="4" a="1"/>
  <c r="Q1939" i="4"/>
  <c r="S1938" i="4"/>
  <c r="Q1938" i="4" a="1"/>
  <c r="Q1938" i="4"/>
  <c r="S1937" i="4"/>
  <c r="Q1937" i="4" a="1"/>
  <c r="Q1937" i="4"/>
  <c r="S1936" i="4"/>
  <c r="Q1936" i="4" a="1"/>
  <c r="Q1936" i="4"/>
  <c r="S1935" i="4"/>
  <c r="Q1935" i="4" a="1"/>
  <c r="Q1935" i="4"/>
  <c r="S1934" i="4"/>
  <c r="Q1934" i="4" a="1"/>
  <c r="Q1934" i="4"/>
  <c r="S1933" i="4"/>
  <c r="Q1933" i="4" a="1"/>
  <c r="Q1933" i="4"/>
  <c r="S1932" i="4"/>
  <c r="Q1932" i="4" a="1"/>
  <c r="Q1932" i="4"/>
  <c r="S1931" i="4"/>
  <c r="Q1931" i="4" a="1"/>
  <c r="Q1931" i="4"/>
  <c r="S1930" i="4"/>
  <c r="Q1930" i="4" a="1"/>
  <c r="Q1930" i="4"/>
  <c r="S1929" i="4"/>
  <c r="Q1929" i="4" a="1"/>
  <c r="Q1929" i="4"/>
  <c r="S1928" i="4"/>
  <c r="Q1928" i="4" a="1"/>
  <c r="Q1928" i="4"/>
  <c r="S1927" i="4"/>
  <c r="Q1927" i="4" a="1"/>
  <c r="Q1927" i="4"/>
  <c r="S1926" i="4"/>
  <c r="Q1926" i="4" a="1"/>
  <c r="Q1926" i="4"/>
  <c r="S1925" i="4"/>
  <c r="Q1925" i="4" a="1"/>
  <c r="Q1925" i="4"/>
  <c r="S1924" i="4"/>
  <c r="Q1924" i="4" a="1"/>
  <c r="Q1924" i="4"/>
  <c r="S1923" i="4"/>
  <c r="Q1923" i="4" a="1"/>
  <c r="Q1923" i="4"/>
  <c r="S1922" i="4"/>
  <c r="Q1922" i="4" a="1"/>
  <c r="Q1922" i="4"/>
  <c r="S1921" i="4"/>
  <c r="Q1921" i="4" a="1"/>
  <c r="Q1921" i="4"/>
  <c r="S1920" i="4"/>
  <c r="Q1920" i="4" a="1"/>
  <c r="Q1920" i="4"/>
  <c r="S1919" i="4"/>
  <c r="Q1919" i="4" a="1"/>
  <c r="Q1919" i="4"/>
  <c r="S1918" i="4"/>
  <c r="Q1918" i="4" a="1"/>
  <c r="Q1918" i="4"/>
  <c r="S1917" i="4"/>
  <c r="Q1917" i="4" a="1"/>
  <c r="Q1917" i="4"/>
  <c r="S1916" i="4"/>
  <c r="Q1916" i="4" a="1"/>
  <c r="Q1916" i="4"/>
  <c r="S1915" i="4"/>
  <c r="Q1915" i="4" a="1"/>
  <c r="Q1915" i="4"/>
  <c r="S1914" i="4"/>
  <c r="Q1914" i="4" a="1"/>
  <c r="Q1914" i="4"/>
  <c r="S1913" i="4"/>
  <c r="Q1913" i="4" a="1"/>
  <c r="Q1913" i="4"/>
  <c r="S1912" i="4"/>
  <c r="Q1912" i="4" a="1"/>
  <c r="Q1912" i="4"/>
  <c r="S1911" i="4"/>
  <c r="Q1911" i="4" a="1"/>
  <c r="Q1911" i="4"/>
  <c r="S1910" i="4"/>
  <c r="Q1910" i="4" a="1"/>
  <c r="Q1910" i="4"/>
  <c r="S1909" i="4"/>
  <c r="Q1909" i="4" a="1"/>
  <c r="Q1909" i="4"/>
  <c r="S1908" i="4"/>
  <c r="Q1908" i="4" a="1"/>
  <c r="Q1908" i="4"/>
  <c r="S1907" i="4"/>
  <c r="Q1907" i="4" a="1"/>
  <c r="Q1907" i="4"/>
  <c r="S1906" i="4"/>
  <c r="Q1906" i="4" a="1"/>
  <c r="Q1906" i="4"/>
  <c r="S1905" i="4"/>
  <c r="Q1905" i="4" a="1"/>
  <c r="Q1905" i="4"/>
  <c r="S1904" i="4"/>
  <c r="Q1904" i="4" a="1"/>
  <c r="Q1904" i="4"/>
  <c r="S1903" i="4"/>
  <c r="Q1903" i="4" a="1"/>
  <c r="Q1903" i="4"/>
  <c r="S1902" i="4"/>
  <c r="Q1902" i="4" a="1"/>
  <c r="Q1902" i="4"/>
  <c r="S1901" i="4"/>
  <c r="Q1901" i="4" a="1"/>
  <c r="Q1901" i="4"/>
  <c r="S1900" i="4"/>
  <c r="Q1900" i="4" a="1"/>
  <c r="Q1900" i="4"/>
  <c r="S1899" i="4"/>
  <c r="Q1899" i="4" a="1"/>
  <c r="Q1899" i="4"/>
  <c r="S1898" i="4"/>
  <c r="Q1898" i="4" a="1"/>
  <c r="Q1898" i="4"/>
  <c r="S1897" i="4"/>
  <c r="Q1897" i="4" a="1"/>
  <c r="Q1897" i="4"/>
  <c r="S1896" i="4"/>
  <c r="Q1896" i="4" a="1"/>
  <c r="Q1896" i="4"/>
  <c r="S1895" i="4"/>
  <c r="Q1895" i="4" a="1"/>
  <c r="Q1895" i="4"/>
  <c r="S1894" i="4"/>
  <c r="Q1894" i="4" a="1"/>
  <c r="Q1894" i="4"/>
  <c r="S1893" i="4"/>
  <c r="Q1893" i="4" a="1"/>
  <c r="Q1893" i="4"/>
  <c r="S1892" i="4"/>
  <c r="Q1892" i="4" a="1"/>
  <c r="Q1892" i="4"/>
  <c r="S1891" i="4"/>
  <c r="Q1891" i="4" a="1"/>
  <c r="Q1891" i="4"/>
  <c r="S1890" i="4"/>
  <c r="Q1890" i="4" a="1"/>
  <c r="Q1890" i="4"/>
  <c r="S1889" i="4"/>
  <c r="Q1889" i="4" a="1"/>
  <c r="Q1889" i="4"/>
  <c r="S1888" i="4"/>
  <c r="Q1888" i="4" a="1"/>
  <c r="Q1888" i="4"/>
  <c r="S1887" i="4"/>
  <c r="Q1887" i="4" a="1"/>
  <c r="Q1887" i="4"/>
  <c r="S1886" i="4"/>
  <c r="Q1886" i="4" a="1"/>
  <c r="Q1886" i="4"/>
  <c r="S1885" i="4"/>
  <c r="Q1885" i="4" a="1"/>
  <c r="Q1885" i="4"/>
  <c r="S1884" i="4"/>
  <c r="Q1884" i="4" a="1"/>
  <c r="Q1884" i="4"/>
  <c r="S1883" i="4"/>
  <c r="Q1883" i="4" a="1"/>
  <c r="Q1883" i="4"/>
  <c r="S1882" i="4"/>
  <c r="Q1882" i="4" a="1"/>
  <c r="Q1882" i="4"/>
  <c r="S1881" i="4"/>
  <c r="Q1881" i="4" a="1"/>
  <c r="Q1881" i="4"/>
  <c r="S1880" i="4"/>
  <c r="Q1880" i="4" a="1"/>
  <c r="Q1880" i="4"/>
  <c r="S1879" i="4"/>
  <c r="Q1879" i="4" a="1"/>
  <c r="Q1879" i="4"/>
  <c r="S1878" i="4"/>
  <c r="Q1878" i="4" a="1"/>
  <c r="Q1878" i="4"/>
  <c r="S1877" i="4"/>
  <c r="Q1877" i="4" a="1"/>
  <c r="Q1877" i="4"/>
  <c r="S1876" i="4"/>
  <c r="Q1876" i="4" a="1"/>
  <c r="Q1876" i="4"/>
  <c r="S1875" i="4"/>
  <c r="Q1875" i="4" a="1"/>
  <c r="Q1875" i="4"/>
  <c r="S1874" i="4"/>
  <c r="Q1874" i="4" a="1"/>
  <c r="Q1874" i="4"/>
  <c r="S1873" i="4"/>
  <c r="Q1873" i="4" a="1"/>
  <c r="Q1873" i="4"/>
  <c r="S1872" i="4"/>
  <c r="Q1872" i="4" a="1"/>
  <c r="Q1872" i="4"/>
  <c r="S1871" i="4"/>
  <c r="Q1871" i="4" a="1"/>
  <c r="Q1871" i="4"/>
  <c r="S1870" i="4"/>
  <c r="Q1870" i="4" a="1"/>
  <c r="Q1870" i="4"/>
  <c r="S1869" i="4"/>
  <c r="Q1869" i="4" a="1"/>
  <c r="Q1869" i="4"/>
  <c r="S1868" i="4"/>
  <c r="Q1868" i="4" a="1"/>
  <c r="Q1868" i="4"/>
  <c r="S1867" i="4"/>
  <c r="Q1867" i="4" a="1"/>
  <c r="Q1867" i="4"/>
  <c r="S1866" i="4"/>
  <c r="Q1866" i="4" a="1"/>
  <c r="Q1866" i="4"/>
  <c r="S1865" i="4"/>
  <c r="Q1865" i="4" a="1"/>
  <c r="Q1865" i="4"/>
  <c r="S1864" i="4"/>
  <c r="Q1864" i="4" a="1"/>
  <c r="Q1864" i="4"/>
  <c r="S1863" i="4"/>
  <c r="Q1863" i="4" a="1"/>
  <c r="Q1863" i="4"/>
  <c r="S1862" i="4"/>
  <c r="Q1862" i="4" a="1"/>
  <c r="Q1862" i="4"/>
  <c r="S1861" i="4"/>
  <c r="Q1861" i="4" a="1"/>
  <c r="Q1861" i="4"/>
  <c r="S1860" i="4"/>
  <c r="Q1860" i="4" a="1"/>
  <c r="Q1860" i="4"/>
  <c r="S1859" i="4"/>
  <c r="Q1859" i="4" a="1"/>
  <c r="Q1859" i="4"/>
  <c r="S1858" i="4"/>
  <c r="Q1858" i="4" a="1"/>
  <c r="Q1858" i="4"/>
  <c r="S1857" i="4"/>
  <c r="Q1857" i="4" a="1"/>
  <c r="Q1857" i="4"/>
  <c r="S1856" i="4"/>
  <c r="Q1856" i="4" a="1"/>
  <c r="Q1856" i="4"/>
  <c r="S1855" i="4"/>
  <c r="Q1855" i="4" a="1"/>
  <c r="Q1855" i="4"/>
  <c r="S1854" i="4"/>
  <c r="Q1854" i="4" a="1"/>
  <c r="Q1854" i="4"/>
  <c r="S1853" i="4"/>
  <c r="Q1853" i="4" a="1"/>
  <c r="Q1853" i="4"/>
  <c r="S1852" i="4"/>
  <c r="Q1852" i="4" a="1"/>
  <c r="Q1852" i="4"/>
  <c r="S1851" i="4"/>
  <c r="Q1851" i="4" a="1"/>
  <c r="Q1851" i="4"/>
  <c r="S1850" i="4"/>
  <c r="Q1850" i="4" a="1"/>
  <c r="Q1850" i="4"/>
  <c r="S1849" i="4"/>
  <c r="Q1849" i="4" a="1"/>
  <c r="Q1849" i="4"/>
  <c r="S1848" i="4"/>
  <c r="Q1848" i="4" a="1"/>
  <c r="Q1848" i="4"/>
  <c r="S1847" i="4"/>
  <c r="Q1847" i="4" a="1"/>
  <c r="Q1847" i="4"/>
  <c r="S1846" i="4"/>
  <c r="Q1846" i="4" a="1"/>
  <c r="Q1846" i="4"/>
  <c r="S1845" i="4"/>
  <c r="Q1845" i="4" a="1"/>
  <c r="Q1845" i="4"/>
  <c r="S1844" i="4"/>
  <c r="Q1844" i="4" a="1"/>
  <c r="Q1844" i="4"/>
  <c r="S1843" i="4"/>
  <c r="Q1843" i="4" a="1"/>
  <c r="Q1843" i="4"/>
  <c r="S1842" i="4"/>
  <c r="Q1842" i="4" a="1"/>
  <c r="Q1842" i="4"/>
  <c r="S1841" i="4"/>
  <c r="Q1841" i="4" a="1"/>
  <c r="Q1841" i="4"/>
  <c r="S1840" i="4"/>
  <c r="Q1840" i="4" a="1"/>
  <c r="Q1840" i="4"/>
  <c r="S1839" i="4"/>
  <c r="Q1839" i="4" a="1"/>
  <c r="Q1839" i="4"/>
  <c r="S1838" i="4"/>
  <c r="Q1838" i="4" a="1"/>
  <c r="Q1838" i="4"/>
  <c r="S1837" i="4"/>
  <c r="Q1837" i="4" a="1"/>
  <c r="Q1837" i="4"/>
  <c r="S1836" i="4"/>
  <c r="Q1836" i="4" a="1"/>
  <c r="Q1836" i="4"/>
  <c r="S1835" i="4"/>
  <c r="Q1835" i="4" a="1"/>
  <c r="Q1835" i="4"/>
  <c r="S1834" i="4"/>
  <c r="Q1834" i="4" a="1"/>
  <c r="Q1834" i="4"/>
  <c r="S1833" i="4"/>
  <c r="Q1833" i="4" a="1"/>
  <c r="Q1833" i="4"/>
  <c r="S1832" i="4"/>
  <c r="Q1832" i="4" a="1"/>
  <c r="Q1832" i="4"/>
  <c r="S1831" i="4"/>
  <c r="Q1831" i="4" a="1"/>
  <c r="Q1831" i="4"/>
  <c r="S1830" i="4"/>
  <c r="Q1830" i="4" a="1"/>
  <c r="Q1830" i="4"/>
  <c r="S1829" i="4"/>
  <c r="Q1829" i="4" a="1"/>
  <c r="Q1829" i="4"/>
  <c r="S1828" i="4"/>
  <c r="Q1828" i="4" a="1"/>
  <c r="Q1828" i="4"/>
  <c r="S1827" i="4"/>
  <c r="Q1827" i="4" a="1"/>
  <c r="Q1827" i="4"/>
  <c r="S1826" i="4"/>
  <c r="Q1826" i="4" a="1"/>
  <c r="Q1826" i="4"/>
  <c r="S1825" i="4"/>
  <c r="Q1825" i="4" a="1"/>
  <c r="Q1825" i="4"/>
  <c r="S1824" i="4"/>
  <c r="Q1824" i="4" a="1"/>
  <c r="Q1824" i="4"/>
  <c r="S1823" i="4"/>
  <c r="Q1823" i="4" a="1"/>
  <c r="Q1823" i="4"/>
  <c r="S1822" i="4"/>
  <c r="Q1822" i="4" a="1"/>
  <c r="Q1822" i="4"/>
  <c r="S1821" i="4"/>
  <c r="Q1821" i="4" a="1"/>
  <c r="Q1821" i="4"/>
  <c r="S1820" i="4"/>
  <c r="Q1820" i="4" a="1"/>
  <c r="Q1820" i="4"/>
  <c r="S1819" i="4"/>
  <c r="Q1819" i="4" a="1"/>
  <c r="Q1819" i="4"/>
  <c r="S1818" i="4"/>
  <c r="Q1818" i="4" a="1"/>
  <c r="Q1818" i="4"/>
  <c r="S1817" i="4"/>
  <c r="Q1817" i="4" a="1"/>
  <c r="Q1817" i="4"/>
  <c r="S1816" i="4"/>
  <c r="Q1816" i="4" a="1"/>
  <c r="Q1816" i="4"/>
  <c r="S1815" i="4"/>
  <c r="Q1815" i="4" a="1"/>
  <c r="Q1815" i="4"/>
  <c r="S1814" i="4"/>
  <c r="Q1814" i="4" a="1"/>
  <c r="Q1814" i="4"/>
  <c r="S1813" i="4"/>
  <c r="Q1813" i="4" a="1"/>
  <c r="Q1813" i="4"/>
  <c r="S1812" i="4"/>
  <c r="Q1812" i="4" a="1"/>
  <c r="Q1812" i="4"/>
  <c r="S1811" i="4"/>
  <c r="Q1811" i="4" a="1"/>
  <c r="Q1811" i="4"/>
  <c r="S1810" i="4"/>
  <c r="Q1810" i="4" a="1"/>
  <c r="Q1810" i="4"/>
  <c r="S1809" i="4"/>
  <c r="Q1809" i="4" a="1"/>
  <c r="Q1809" i="4"/>
  <c r="S1808" i="4"/>
  <c r="Q1808" i="4" a="1"/>
  <c r="Q1808" i="4"/>
  <c r="S1807" i="4"/>
  <c r="Q1807" i="4" a="1"/>
  <c r="Q1807" i="4"/>
  <c r="S1806" i="4"/>
  <c r="Q1806" i="4" a="1"/>
  <c r="Q1806" i="4"/>
  <c r="S1805" i="4"/>
  <c r="Q1805" i="4" a="1"/>
  <c r="Q1805" i="4"/>
  <c r="S1804" i="4"/>
  <c r="Q1804" i="4" a="1"/>
  <c r="Q1804" i="4"/>
  <c r="S1803" i="4"/>
  <c r="Q1803" i="4" a="1"/>
  <c r="Q1803" i="4"/>
  <c r="S1802" i="4"/>
  <c r="Q1802" i="4" a="1"/>
  <c r="Q1802" i="4"/>
  <c r="S1801" i="4"/>
  <c r="Q1801" i="4" a="1"/>
  <c r="Q1801" i="4"/>
  <c r="S1800" i="4"/>
  <c r="Q1800" i="4" a="1"/>
  <c r="Q1800" i="4"/>
  <c r="S1799" i="4"/>
  <c r="Q1799" i="4" a="1"/>
  <c r="Q1799" i="4"/>
  <c r="S1798" i="4"/>
  <c r="Q1798" i="4" a="1"/>
  <c r="Q1798" i="4"/>
  <c r="S1797" i="4"/>
  <c r="Q1797" i="4" a="1"/>
  <c r="Q1797" i="4"/>
  <c r="S1796" i="4"/>
  <c r="Q1796" i="4" a="1"/>
  <c r="Q1796" i="4"/>
  <c r="S1795" i="4"/>
  <c r="Q1795" i="4" a="1"/>
  <c r="Q1795" i="4"/>
  <c r="S1794" i="4"/>
  <c r="Q1794" i="4" a="1"/>
  <c r="Q1794" i="4"/>
  <c r="S1793" i="4"/>
  <c r="Q1793" i="4" a="1"/>
  <c r="Q1793" i="4"/>
  <c r="S1792" i="4"/>
  <c r="Q1792" i="4" a="1"/>
  <c r="Q1792" i="4"/>
  <c r="S1791" i="4"/>
  <c r="Q1791" i="4" a="1"/>
  <c r="Q1791" i="4"/>
  <c r="S1790" i="4"/>
  <c r="Q1790" i="4" a="1"/>
  <c r="Q1790" i="4"/>
  <c r="S1789" i="4"/>
  <c r="Q1789" i="4" a="1"/>
  <c r="Q1789" i="4"/>
  <c r="S1788" i="4"/>
  <c r="Q1788" i="4" a="1"/>
  <c r="Q1788" i="4"/>
  <c r="S1787" i="4"/>
  <c r="Q1787" i="4" a="1"/>
  <c r="Q1787" i="4"/>
  <c r="S1786" i="4"/>
  <c r="Q1786" i="4" a="1"/>
  <c r="Q1786" i="4"/>
  <c r="S1785" i="4"/>
  <c r="Q1785" i="4" a="1"/>
  <c r="Q1785" i="4"/>
  <c r="S1784" i="4"/>
  <c r="Q1784" i="4" a="1"/>
  <c r="Q1784" i="4"/>
  <c r="S1783" i="4"/>
  <c r="Q1783" i="4" a="1"/>
  <c r="Q1783" i="4"/>
  <c r="S1782" i="4"/>
  <c r="Q1782" i="4" a="1"/>
  <c r="Q1782" i="4"/>
  <c r="S1781" i="4"/>
  <c r="Q1781" i="4" a="1"/>
  <c r="Q1781" i="4"/>
  <c r="S1780" i="4"/>
  <c r="Q1780" i="4" a="1"/>
  <c r="Q1780" i="4"/>
  <c r="S1779" i="4"/>
  <c r="Q1779" i="4" a="1"/>
  <c r="Q1779" i="4"/>
  <c r="S1778" i="4"/>
  <c r="Q1778" i="4" a="1"/>
  <c r="Q1778" i="4"/>
  <c r="S1777" i="4"/>
  <c r="Q1777" i="4" a="1"/>
  <c r="Q1777" i="4"/>
  <c r="S1776" i="4"/>
  <c r="Q1776" i="4" a="1"/>
  <c r="Q1776" i="4"/>
  <c r="S1775" i="4"/>
  <c r="Q1775" i="4" a="1"/>
  <c r="Q1775" i="4"/>
  <c r="S1774" i="4"/>
  <c r="Q1774" i="4" a="1"/>
  <c r="Q1774" i="4"/>
  <c r="S1773" i="4"/>
  <c r="Q1773" i="4" a="1"/>
  <c r="Q1773" i="4"/>
  <c r="S1772" i="4"/>
  <c r="Q1772" i="4" a="1"/>
  <c r="Q1772" i="4"/>
  <c r="S1771" i="4"/>
  <c r="Q1771" i="4" a="1"/>
  <c r="Q1771" i="4"/>
  <c r="S1770" i="4"/>
  <c r="Q1770" i="4" a="1"/>
  <c r="Q1770" i="4"/>
  <c r="S1769" i="4"/>
  <c r="Q1769" i="4" a="1"/>
  <c r="Q1769" i="4"/>
  <c r="S1768" i="4"/>
  <c r="Q1768" i="4" a="1"/>
  <c r="Q1768" i="4"/>
  <c r="S1767" i="4"/>
  <c r="Q1767" i="4" a="1"/>
  <c r="Q1767" i="4"/>
  <c r="S1766" i="4"/>
  <c r="Q1766" i="4" a="1"/>
  <c r="Q1766" i="4"/>
  <c r="S1765" i="4"/>
  <c r="Q1765" i="4" a="1"/>
  <c r="Q1765" i="4"/>
  <c r="S1764" i="4"/>
  <c r="Q1764" i="4" a="1"/>
  <c r="Q1764" i="4"/>
  <c r="S1763" i="4"/>
  <c r="Q1763" i="4" a="1"/>
  <c r="Q1763" i="4"/>
  <c r="S1762" i="4"/>
  <c r="Q1762" i="4" a="1"/>
  <c r="Q1762" i="4"/>
  <c r="S1761" i="4"/>
  <c r="Q1761" i="4" a="1"/>
  <c r="Q1761" i="4"/>
  <c r="S1760" i="4"/>
  <c r="Q1760" i="4" a="1"/>
  <c r="Q1760" i="4"/>
  <c r="S1759" i="4"/>
  <c r="Q1759" i="4" a="1"/>
  <c r="Q1759" i="4"/>
  <c r="S1758" i="4"/>
  <c r="Q1758" i="4" a="1"/>
  <c r="Q1758" i="4"/>
  <c r="S1757" i="4"/>
  <c r="Q1757" i="4" a="1"/>
  <c r="Q1757" i="4"/>
  <c r="S1756" i="4"/>
  <c r="Q1756" i="4" a="1"/>
  <c r="Q1756" i="4"/>
  <c r="S1755" i="4"/>
  <c r="Q1755" i="4" a="1"/>
  <c r="Q1755" i="4"/>
  <c r="S1754" i="4"/>
  <c r="Q1754" i="4" a="1"/>
  <c r="Q1754" i="4"/>
  <c r="S1753" i="4"/>
  <c r="Q1753" i="4" a="1"/>
  <c r="Q1753" i="4"/>
  <c r="S1752" i="4"/>
  <c r="Q1752" i="4" a="1"/>
  <c r="Q1752" i="4"/>
  <c r="S1751" i="4"/>
  <c r="Q1751" i="4" a="1"/>
  <c r="Q1751" i="4"/>
  <c r="S1750" i="4"/>
  <c r="Q1750" i="4" a="1"/>
  <c r="Q1750" i="4"/>
  <c r="S1749" i="4"/>
  <c r="Q1749" i="4" a="1"/>
  <c r="Q1749" i="4"/>
  <c r="S1748" i="4"/>
  <c r="Q1748" i="4" a="1"/>
  <c r="Q1748" i="4"/>
  <c r="S1747" i="4"/>
  <c r="Q1747" i="4" a="1"/>
  <c r="Q1747" i="4"/>
  <c r="S1746" i="4"/>
  <c r="Q1746" i="4" a="1"/>
  <c r="Q1746" i="4"/>
  <c r="S1745" i="4"/>
  <c r="Q1745" i="4" a="1"/>
  <c r="Q1745" i="4"/>
  <c r="S1744" i="4"/>
  <c r="Q1744" i="4" a="1"/>
  <c r="Q1744" i="4"/>
  <c r="S1743" i="4"/>
  <c r="Q1743" i="4" a="1"/>
  <c r="Q1743" i="4"/>
  <c r="S1742" i="4"/>
  <c r="Q1742" i="4" a="1"/>
  <c r="Q1742" i="4"/>
  <c r="S1741" i="4"/>
  <c r="Q1741" i="4" a="1"/>
  <c r="Q1741" i="4"/>
  <c r="S1740" i="4"/>
  <c r="Q1740" i="4" a="1"/>
  <c r="Q1740" i="4"/>
  <c r="S1739" i="4"/>
  <c r="Q1739" i="4" a="1"/>
  <c r="Q1739" i="4"/>
  <c r="S1738" i="4"/>
  <c r="Q1738" i="4" a="1"/>
  <c r="Q1738" i="4"/>
  <c r="S1737" i="4"/>
  <c r="Q1737" i="4" a="1"/>
  <c r="Q1737" i="4"/>
  <c r="S1736" i="4"/>
  <c r="Q1736" i="4" a="1"/>
  <c r="Q1736" i="4"/>
  <c r="S1735" i="4"/>
  <c r="Q1735" i="4" a="1"/>
  <c r="Q1735" i="4"/>
  <c r="S1734" i="4"/>
  <c r="Q1734" i="4" a="1"/>
  <c r="Q1734" i="4"/>
  <c r="S1733" i="4"/>
  <c r="Q1733" i="4" a="1"/>
  <c r="Q1733" i="4"/>
  <c r="S1732" i="4"/>
  <c r="Q1732" i="4" a="1"/>
  <c r="Q1732" i="4"/>
  <c r="S1731" i="4"/>
  <c r="Q1731" i="4" a="1"/>
  <c r="Q1731" i="4"/>
  <c r="S1730" i="4"/>
  <c r="Q1730" i="4" a="1"/>
  <c r="Q1730" i="4"/>
  <c r="S1729" i="4"/>
  <c r="Q1729" i="4" a="1"/>
  <c r="Q1729" i="4"/>
  <c r="S1728" i="4"/>
  <c r="Q1728" i="4" a="1"/>
  <c r="Q1728" i="4"/>
  <c r="S1727" i="4"/>
  <c r="Q1727" i="4" a="1"/>
  <c r="Q1727" i="4"/>
  <c r="S1726" i="4"/>
  <c r="Q1726" i="4" a="1"/>
  <c r="Q1726" i="4"/>
  <c r="S1725" i="4"/>
  <c r="Q1725" i="4" a="1"/>
  <c r="Q1725" i="4"/>
  <c r="S1724" i="4"/>
  <c r="Q1724" i="4" a="1"/>
  <c r="Q1724" i="4"/>
  <c r="S1723" i="4"/>
  <c r="Q1723" i="4" a="1"/>
  <c r="Q1723" i="4"/>
  <c r="S1722" i="4"/>
  <c r="Q1722" i="4" a="1"/>
  <c r="Q1722" i="4"/>
  <c r="S1721" i="4"/>
  <c r="Q1721" i="4" a="1"/>
  <c r="Q1721" i="4"/>
  <c r="S1720" i="4"/>
  <c r="Q1720" i="4" a="1"/>
  <c r="Q1720" i="4"/>
  <c r="S1719" i="4"/>
  <c r="Q1719" i="4" a="1"/>
  <c r="Q1719" i="4"/>
  <c r="S1718" i="4"/>
  <c r="Q1718" i="4" a="1"/>
  <c r="Q1718" i="4"/>
  <c r="S1717" i="4"/>
  <c r="Q1717" i="4" a="1"/>
  <c r="Q1717" i="4"/>
  <c r="S1716" i="4"/>
  <c r="Q1716" i="4" a="1"/>
  <c r="Q1716" i="4"/>
  <c r="S1715" i="4"/>
  <c r="Q1715" i="4" a="1"/>
  <c r="Q1715" i="4"/>
  <c r="S1714" i="4"/>
  <c r="Q1714" i="4" a="1"/>
  <c r="Q1714" i="4"/>
  <c r="S1713" i="4"/>
  <c r="Q1713" i="4" a="1"/>
  <c r="Q1713" i="4"/>
  <c r="S1712" i="4"/>
  <c r="Q1712" i="4" a="1"/>
  <c r="Q1712" i="4"/>
  <c r="S1711" i="4"/>
  <c r="Q1711" i="4" a="1"/>
  <c r="Q1711" i="4"/>
  <c r="S1710" i="4"/>
  <c r="Q1710" i="4" a="1"/>
  <c r="Q1710" i="4"/>
  <c r="S1709" i="4"/>
  <c r="Q1709" i="4" a="1"/>
  <c r="Q1709" i="4"/>
  <c r="S1708" i="4"/>
  <c r="Q1708" i="4" a="1"/>
  <c r="Q1708" i="4"/>
  <c r="S1707" i="4"/>
  <c r="Q1707" i="4" a="1"/>
  <c r="Q1707" i="4"/>
  <c r="S1706" i="4"/>
  <c r="Q1706" i="4" a="1"/>
  <c r="Q1706" i="4"/>
  <c r="S1705" i="4"/>
  <c r="Q1705" i="4" a="1"/>
  <c r="Q1705" i="4"/>
  <c r="S1704" i="4"/>
  <c r="Q1704" i="4" a="1"/>
  <c r="Q1704" i="4"/>
  <c r="S1703" i="4"/>
  <c r="Q1703" i="4" a="1"/>
  <c r="Q1703" i="4"/>
  <c r="S1702" i="4"/>
  <c r="Q1702" i="4" a="1"/>
  <c r="Q1702" i="4"/>
  <c r="S1701" i="4"/>
  <c r="Q1701" i="4" a="1"/>
  <c r="Q1701" i="4"/>
  <c r="S1700" i="4"/>
  <c r="Q1700" i="4" a="1"/>
  <c r="Q1700" i="4"/>
  <c r="S1699" i="4"/>
  <c r="Q1699" i="4" a="1"/>
  <c r="Q1699" i="4"/>
  <c r="S1698" i="4"/>
  <c r="Q1698" i="4" a="1"/>
  <c r="Q1698" i="4"/>
  <c r="S1697" i="4"/>
  <c r="Q1697" i="4" a="1"/>
  <c r="Q1697" i="4"/>
  <c r="S1696" i="4"/>
  <c r="Q1696" i="4" a="1"/>
  <c r="Q1696" i="4"/>
  <c r="S1695" i="4"/>
  <c r="Q1695" i="4" a="1"/>
  <c r="Q1695" i="4"/>
  <c r="S1694" i="4"/>
  <c r="Q1694" i="4" a="1"/>
  <c r="Q1694" i="4"/>
  <c r="S1693" i="4"/>
  <c r="Q1693" i="4" a="1"/>
  <c r="Q1693" i="4"/>
  <c r="S1692" i="4"/>
  <c r="Q1692" i="4" a="1"/>
  <c r="Q1692" i="4"/>
  <c r="S1691" i="4"/>
  <c r="Q1691" i="4" a="1"/>
  <c r="Q1691" i="4"/>
  <c r="S1690" i="4"/>
  <c r="Q1690" i="4" a="1"/>
  <c r="Q1690" i="4"/>
  <c r="S1689" i="4"/>
  <c r="Q1689" i="4" a="1"/>
  <c r="Q1689" i="4"/>
  <c r="S1688" i="4"/>
  <c r="Q1688" i="4" a="1"/>
  <c r="Q1688" i="4"/>
  <c r="S1687" i="4"/>
  <c r="Q1687" i="4" a="1"/>
  <c r="Q1687" i="4"/>
  <c r="S1686" i="4"/>
  <c r="Q1686" i="4" a="1"/>
  <c r="Q1686" i="4"/>
  <c r="S1685" i="4"/>
  <c r="Q1685" i="4" a="1"/>
  <c r="Q1685" i="4"/>
  <c r="S1684" i="4"/>
  <c r="Q1684" i="4" a="1"/>
  <c r="Q1684" i="4"/>
  <c r="S1683" i="4"/>
  <c r="Q1683" i="4" a="1"/>
  <c r="Q1683" i="4"/>
  <c r="S1682" i="4"/>
  <c r="Q1682" i="4" a="1"/>
  <c r="Q1682" i="4"/>
  <c r="S1681" i="4"/>
  <c r="Q1681" i="4" a="1"/>
  <c r="Q1681" i="4"/>
  <c r="S1680" i="4"/>
  <c r="Q1680" i="4" a="1"/>
  <c r="Q1680" i="4"/>
  <c r="S1679" i="4"/>
  <c r="Q1679" i="4" a="1"/>
  <c r="Q1679" i="4"/>
  <c r="S1678" i="4"/>
  <c r="Q1678" i="4" a="1"/>
  <c r="Q1678" i="4"/>
  <c r="S1677" i="4"/>
  <c r="Q1677" i="4" a="1"/>
  <c r="Q1677" i="4"/>
  <c r="S1676" i="4"/>
  <c r="Q1676" i="4" a="1"/>
  <c r="Q1676" i="4"/>
  <c r="S1675" i="4"/>
  <c r="Q1675" i="4" a="1"/>
  <c r="Q1675" i="4"/>
  <c r="S1674" i="4"/>
  <c r="Q1674" i="4" a="1"/>
  <c r="Q1674" i="4"/>
  <c r="S1673" i="4"/>
  <c r="Q1673" i="4" a="1"/>
  <c r="Q1673" i="4"/>
  <c r="S1672" i="4"/>
  <c r="Q1672" i="4" a="1"/>
  <c r="Q1672" i="4"/>
  <c r="S1671" i="4"/>
  <c r="Q1671" i="4" a="1"/>
  <c r="Q1671" i="4"/>
  <c r="S1670" i="4"/>
  <c r="Q1670" i="4" a="1"/>
  <c r="Q1670" i="4"/>
  <c r="S1669" i="4"/>
  <c r="Q1669" i="4" a="1"/>
  <c r="Q1669" i="4"/>
  <c r="S1668" i="4"/>
  <c r="Q1668" i="4" a="1"/>
  <c r="Q1668" i="4"/>
  <c r="S1667" i="4"/>
  <c r="Q1667" i="4" a="1"/>
  <c r="Q1667" i="4"/>
  <c r="S1666" i="4"/>
  <c r="Q1666" i="4" a="1"/>
  <c r="Q1666" i="4"/>
  <c r="S1665" i="4"/>
  <c r="Q1665" i="4" a="1"/>
  <c r="Q1665" i="4"/>
  <c r="S1664" i="4"/>
  <c r="Q1664" i="4" a="1"/>
  <c r="Q1664" i="4"/>
  <c r="S1663" i="4"/>
  <c r="Q1663" i="4" a="1"/>
  <c r="Q1663" i="4"/>
  <c r="S1662" i="4"/>
  <c r="Q1662" i="4" a="1"/>
  <c r="Q1662" i="4"/>
  <c r="S1661" i="4"/>
  <c r="Q1661" i="4" a="1"/>
  <c r="Q1661" i="4"/>
  <c r="S1660" i="4"/>
  <c r="Q1660" i="4" a="1"/>
  <c r="Q1660" i="4"/>
  <c r="S1659" i="4"/>
  <c r="Q1659" i="4" a="1"/>
  <c r="Q1659" i="4"/>
  <c r="S1658" i="4"/>
  <c r="Q1658" i="4" a="1"/>
  <c r="Q1658" i="4"/>
  <c r="S1657" i="4"/>
  <c r="Q1657" i="4" a="1"/>
  <c r="Q1657" i="4"/>
  <c r="S1656" i="4"/>
  <c r="Q1656" i="4" a="1"/>
  <c r="Q1656" i="4"/>
  <c r="S1655" i="4"/>
  <c r="Q1655" i="4" a="1"/>
  <c r="Q1655" i="4"/>
  <c r="S1654" i="4"/>
  <c r="Q1654" i="4" a="1"/>
  <c r="Q1654" i="4"/>
  <c r="S1653" i="4"/>
  <c r="Q1653" i="4" a="1"/>
  <c r="Q1653" i="4"/>
  <c r="S1652" i="4"/>
  <c r="Q1652" i="4" a="1"/>
  <c r="Q1652" i="4"/>
  <c r="S1651" i="4"/>
  <c r="Q1651" i="4" a="1"/>
  <c r="Q1651" i="4"/>
  <c r="S1650" i="4"/>
  <c r="Q1650" i="4" a="1"/>
  <c r="Q1650" i="4"/>
  <c r="S1649" i="4"/>
  <c r="Q1649" i="4" a="1"/>
  <c r="Q1649" i="4"/>
  <c r="S1648" i="4"/>
  <c r="Q1648" i="4" a="1"/>
  <c r="Q1648" i="4"/>
  <c r="S1647" i="4"/>
  <c r="Q1647" i="4" a="1"/>
  <c r="Q1647" i="4"/>
  <c r="S1646" i="4"/>
  <c r="Q1646" i="4" a="1"/>
  <c r="Q1646" i="4"/>
  <c r="S1645" i="4"/>
  <c r="Q1645" i="4" a="1"/>
  <c r="Q1645" i="4"/>
  <c r="S1644" i="4"/>
  <c r="Q1644" i="4" a="1"/>
  <c r="Q1644" i="4"/>
  <c r="S1643" i="4"/>
  <c r="Q1643" i="4" a="1"/>
  <c r="Q1643" i="4"/>
  <c r="S1642" i="4"/>
  <c r="Q1642" i="4" a="1"/>
  <c r="Q1642" i="4"/>
  <c r="S1641" i="4"/>
  <c r="Q1641" i="4" a="1"/>
  <c r="Q1641" i="4"/>
  <c r="S1640" i="4"/>
  <c r="Q1640" i="4" a="1"/>
  <c r="Q1640" i="4"/>
  <c r="S1639" i="4"/>
  <c r="Q1639" i="4" a="1"/>
  <c r="Q1639" i="4"/>
  <c r="S1638" i="4"/>
  <c r="Q1638" i="4" a="1"/>
  <c r="Q1638" i="4"/>
  <c r="S1637" i="4"/>
  <c r="Q1637" i="4" a="1"/>
  <c r="Q1637" i="4"/>
  <c r="S1636" i="4"/>
  <c r="Q1636" i="4" a="1"/>
  <c r="Q1636" i="4"/>
  <c r="S1635" i="4"/>
  <c r="Q1635" i="4" a="1"/>
  <c r="Q1635" i="4"/>
  <c r="S1634" i="4"/>
  <c r="Q1634" i="4" a="1"/>
  <c r="Q1634" i="4"/>
  <c r="S1633" i="4"/>
  <c r="Q1633" i="4" a="1"/>
  <c r="Q1633" i="4"/>
  <c r="S1632" i="4"/>
  <c r="Q1632" i="4" a="1"/>
  <c r="Q1632" i="4"/>
  <c r="S1631" i="4"/>
  <c r="Q1631" i="4" a="1"/>
  <c r="Q1631" i="4"/>
  <c r="S1630" i="4"/>
  <c r="Q1630" i="4" a="1"/>
  <c r="Q1630" i="4"/>
  <c r="S1629" i="4"/>
  <c r="Q1629" i="4" a="1"/>
  <c r="Q1629" i="4"/>
  <c r="S1628" i="4"/>
  <c r="Q1628" i="4" a="1"/>
  <c r="Q1628" i="4"/>
  <c r="S1627" i="4"/>
  <c r="Q1627" i="4" a="1"/>
  <c r="Q1627" i="4"/>
  <c r="S1626" i="4"/>
  <c r="Q1626" i="4" a="1"/>
  <c r="Q1626" i="4"/>
  <c r="S1625" i="4"/>
  <c r="Q1625" i="4" a="1"/>
  <c r="Q1625" i="4"/>
  <c r="S1624" i="4"/>
  <c r="Q1624" i="4" a="1"/>
  <c r="Q1624" i="4"/>
  <c r="S1623" i="4"/>
  <c r="Q1623" i="4" a="1"/>
  <c r="Q1623" i="4"/>
  <c r="S1622" i="4"/>
  <c r="Q1622" i="4" a="1"/>
  <c r="Q1622" i="4"/>
  <c r="S1621" i="4"/>
  <c r="Q1621" i="4" a="1"/>
  <c r="Q1621" i="4"/>
  <c r="S1620" i="4"/>
  <c r="Q1620" i="4" a="1"/>
  <c r="Q1620" i="4"/>
  <c r="S1619" i="4"/>
  <c r="Q1619" i="4" a="1"/>
  <c r="Q1619" i="4"/>
  <c r="S1618" i="4"/>
  <c r="Q1618" i="4" a="1"/>
  <c r="Q1618" i="4"/>
  <c r="S1617" i="4"/>
  <c r="Q1617" i="4" a="1"/>
  <c r="Q1617" i="4"/>
  <c r="S1616" i="4"/>
  <c r="Q1616" i="4" a="1"/>
  <c r="Q1616" i="4"/>
  <c r="S1615" i="4"/>
  <c r="Q1615" i="4" a="1"/>
  <c r="Q1615" i="4"/>
  <c r="S1614" i="4"/>
  <c r="Q1614" i="4" a="1"/>
  <c r="Q1614" i="4"/>
  <c r="S1613" i="4"/>
  <c r="Q1613" i="4" a="1"/>
  <c r="Q1613" i="4"/>
  <c r="S1612" i="4"/>
  <c r="Q1612" i="4" a="1"/>
  <c r="Q1612" i="4"/>
  <c r="S1611" i="4"/>
  <c r="Q1611" i="4" a="1"/>
  <c r="Q1611" i="4"/>
  <c r="S1610" i="4"/>
  <c r="Q1610" i="4" a="1"/>
  <c r="Q1610" i="4"/>
  <c r="S1609" i="4"/>
  <c r="Q1609" i="4" a="1"/>
  <c r="Q1609" i="4"/>
  <c r="S1608" i="4"/>
  <c r="Q1608" i="4" a="1"/>
  <c r="Q1608" i="4"/>
  <c r="S1607" i="4"/>
  <c r="Q1607" i="4" a="1"/>
  <c r="Q1607" i="4"/>
  <c r="S1606" i="4"/>
  <c r="Q1606" i="4" a="1"/>
  <c r="Q1606" i="4"/>
  <c r="S1605" i="4"/>
  <c r="Q1605" i="4" a="1"/>
  <c r="Q1605" i="4"/>
  <c r="S1604" i="4"/>
  <c r="Q1604" i="4" a="1"/>
  <c r="Q1604" i="4"/>
  <c r="S1603" i="4"/>
  <c r="Q1603" i="4" a="1"/>
  <c r="Q1603" i="4"/>
  <c r="S1602" i="4"/>
  <c r="Q1602" i="4" a="1"/>
  <c r="Q1602" i="4"/>
  <c r="S1601" i="4"/>
  <c r="Q1601" i="4" a="1"/>
  <c r="Q1601" i="4"/>
  <c r="S1600" i="4"/>
  <c r="Q1600" i="4" a="1"/>
  <c r="Q1600" i="4"/>
  <c r="S1599" i="4"/>
  <c r="Q1599" i="4" a="1"/>
  <c r="Q1599" i="4"/>
  <c r="S1598" i="4"/>
  <c r="Q1598" i="4" a="1"/>
  <c r="Q1598" i="4"/>
  <c r="S1597" i="4"/>
  <c r="Q1597" i="4" a="1"/>
  <c r="Q1597" i="4"/>
  <c r="S1596" i="4"/>
  <c r="Q1596" i="4" a="1"/>
  <c r="Q1596" i="4"/>
  <c r="S1595" i="4"/>
  <c r="Q1595" i="4" a="1"/>
  <c r="Q1595" i="4"/>
  <c r="S1594" i="4"/>
  <c r="Q1594" i="4" a="1"/>
  <c r="Q1594" i="4"/>
  <c r="S1593" i="4"/>
  <c r="Q1593" i="4" a="1"/>
  <c r="Q1593" i="4"/>
  <c r="S1592" i="4"/>
  <c r="Q1592" i="4" a="1"/>
  <c r="Q1592" i="4"/>
  <c r="S1591" i="4"/>
  <c r="Q1591" i="4" a="1"/>
  <c r="Q1591" i="4"/>
  <c r="S1590" i="4"/>
  <c r="Q1590" i="4" a="1"/>
  <c r="Q1590" i="4"/>
  <c r="S1589" i="4"/>
  <c r="Q1589" i="4" a="1"/>
  <c r="Q1589" i="4"/>
  <c r="S1588" i="4"/>
  <c r="Q1588" i="4" a="1"/>
  <c r="Q1588" i="4"/>
  <c r="S1587" i="4"/>
  <c r="Q1587" i="4" a="1"/>
  <c r="Q1587" i="4"/>
  <c r="S1586" i="4"/>
  <c r="Q1586" i="4" a="1"/>
  <c r="Q1586" i="4"/>
  <c r="S1585" i="4"/>
  <c r="Q1585" i="4" a="1"/>
  <c r="Q1585" i="4"/>
  <c r="S1584" i="4"/>
  <c r="Q1584" i="4" a="1"/>
  <c r="Q1584" i="4"/>
  <c r="S1583" i="4"/>
  <c r="Q1583" i="4" a="1"/>
  <c r="Q1583" i="4"/>
  <c r="S1582" i="4"/>
  <c r="Q1582" i="4" a="1"/>
  <c r="Q1582" i="4"/>
  <c r="S1581" i="4"/>
  <c r="Q1581" i="4" a="1"/>
  <c r="Q1581" i="4"/>
  <c r="S1580" i="4"/>
  <c r="Q1580" i="4" a="1"/>
  <c r="Q1580" i="4"/>
  <c r="S1579" i="4"/>
  <c r="Q1579" i="4" a="1"/>
  <c r="Q1579" i="4"/>
  <c r="S1578" i="4"/>
  <c r="Q1578" i="4" a="1"/>
  <c r="Q1578" i="4"/>
  <c r="S1577" i="4"/>
  <c r="Q1577" i="4" a="1"/>
  <c r="Q1577" i="4"/>
  <c r="S1576" i="4"/>
  <c r="Q1576" i="4" a="1"/>
  <c r="Q1576" i="4"/>
  <c r="S1575" i="4"/>
  <c r="Q1575" i="4" a="1"/>
  <c r="Q1575" i="4"/>
  <c r="S1574" i="4"/>
  <c r="Q1574" i="4" a="1"/>
  <c r="Q1574" i="4"/>
  <c r="S1573" i="4"/>
  <c r="Q1573" i="4" a="1"/>
  <c r="Q1573" i="4"/>
  <c r="S1572" i="4"/>
  <c r="Q1572" i="4" a="1"/>
  <c r="Q1572" i="4"/>
  <c r="S1571" i="4"/>
  <c r="Q1571" i="4" a="1"/>
  <c r="Q1571" i="4"/>
  <c r="S1570" i="4"/>
  <c r="Q1570" i="4" a="1"/>
  <c r="Q1570" i="4"/>
  <c r="S1569" i="4"/>
  <c r="Q1569" i="4" a="1"/>
  <c r="Q1569" i="4"/>
  <c r="S1568" i="4"/>
  <c r="Q1568" i="4" a="1"/>
  <c r="Q1568" i="4"/>
  <c r="S1567" i="4"/>
  <c r="Q1567" i="4" a="1"/>
  <c r="Q1567" i="4"/>
  <c r="S1566" i="4"/>
  <c r="Q1566" i="4" a="1"/>
  <c r="Q1566" i="4"/>
  <c r="S1565" i="4"/>
  <c r="Q1565" i="4" a="1"/>
  <c r="Q1565" i="4"/>
  <c r="S1564" i="4"/>
  <c r="Q1564" i="4" a="1"/>
  <c r="Q1564" i="4"/>
  <c r="S1563" i="4"/>
  <c r="Q1563" i="4" a="1"/>
  <c r="Q1563" i="4"/>
  <c r="S1562" i="4"/>
  <c r="Q1562" i="4" a="1"/>
  <c r="Q1562" i="4"/>
  <c r="S1561" i="4"/>
  <c r="Q1561" i="4" a="1"/>
  <c r="Q1561" i="4"/>
  <c r="S1560" i="4"/>
  <c r="Q1560" i="4" a="1"/>
  <c r="Q1560" i="4"/>
  <c r="S1559" i="4"/>
  <c r="Q1559" i="4" a="1"/>
  <c r="Q1559" i="4"/>
  <c r="S1558" i="4"/>
  <c r="Q1558" i="4" a="1"/>
  <c r="Q1558" i="4"/>
  <c r="S1557" i="4"/>
  <c r="Q1557" i="4" a="1"/>
  <c r="Q1557" i="4"/>
  <c r="S1556" i="4"/>
  <c r="Q1556" i="4" a="1"/>
  <c r="Q1556" i="4"/>
  <c r="S1555" i="4"/>
  <c r="Q1555" i="4" a="1"/>
  <c r="Q1555" i="4"/>
  <c r="S1554" i="4"/>
  <c r="Q1554" i="4" a="1"/>
  <c r="Q1554" i="4"/>
  <c r="S1553" i="4"/>
  <c r="Q1553" i="4" a="1"/>
  <c r="Q1553" i="4"/>
  <c r="S1552" i="4"/>
  <c r="Q1552" i="4" a="1"/>
  <c r="Q1552" i="4"/>
  <c r="S1551" i="4"/>
  <c r="Q1551" i="4" a="1"/>
  <c r="Q1551" i="4"/>
  <c r="S1550" i="4"/>
  <c r="Q1550" i="4" a="1"/>
  <c r="Q1550" i="4"/>
  <c r="S1549" i="4"/>
  <c r="Q1549" i="4" a="1"/>
  <c r="Q1549" i="4"/>
  <c r="S1548" i="4"/>
  <c r="Q1548" i="4" a="1"/>
  <c r="Q1548" i="4"/>
  <c r="S1547" i="4"/>
  <c r="Q1547" i="4" a="1"/>
  <c r="Q1547" i="4"/>
  <c r="S1546" i="4"/>
  <c r="Q1546" i="4" a="1"/>
  <c r="Q1546" i="4"/>
  <c r="S1545" i="4"/>
  <c r="Q1545" i="4" a="1"/>
  <c r="Q1545" i="4"/>
  <c r="S1544" i="4"/>
  <c r="Q1544" i="4" a="1"/>
  <c r="Q1544" i="4"/>
  <c r="S1543" i="4"/>
  <c r="Q1543" i="4" a="1"/>
  <c r="Q1543" i="4"/>
  <c r="S1542" i="4"/>
  <c r="Q1542" i="4" a="1"/>
  <c r="Q1542" i="4"/>
  <c r="S1541" i="4"/>
  <c r="Q1541" i="4" a="1"/>
  <c r="Q1541" i="4"/>
  <c r="S1540" i="4"/>
  <c r="Q1540" i="4" a="1"/>
  <c r="Q1540" i="4"/>
  <c r="S1539" i="4"/>
  <c r="Q1539" i="4" a="1"/>
  <c r="Q1539" i="4"/>
  <c r="S1538" i="4"/>
  <c r="Q1538" i="4" a="1"/>
  <c r="Q1538" i="4"/>
  <c r="S1537" i="4"/>
  <c r="Q1537" i="4" a="1"/>
  <c r="Q1537" i="4"/>
  <c r="S1536" i="4"/>
  <c r="Q1536" i="4" a="1"/>
  <c r="Q1536" i="4"/>
  <c r="S1535" i="4"/>
  <c r="Q1535" i="4" a="1"/>
  <c r="Q1535" i="4"/>
  <c r="S1534" i="4"/>
  <c r="Q1534" i="4" a="1"/>
  <c r="Q1534" i="4"/>
  <c r="S1533" i="4"/>
  <c r="Q1533" i="4" a="1"/>
  <c r="Q1533" i="4"/>
  <c r="S1532" i="4"/>
  <c r="Q1532" i="4" a="1"/>
  <c r="Q1532" i="4"/>
  <c r="S1531" i="4"/>
  <c r="Q1531" i="4" a="1"/>
  <c r="Q1531" i="4"/>
  <c r="S1530" i="4"/>
  <c r="Q1530" i="4" a="1"/>
  <c r="Q1530" i="4"/>
  <c r="S1529" i="4"/>
  <c r="Q1529" i="4" a="1"/>
  <c r="Q1529" i="4"/>
  <c r="S1528" i="4"/>
  <c r="Q1528" i="4" a="1"/>
  <c r="Q1528" i="4"/>
  <c r="S1527" i="4"/>
  <c r="Q1527" i="4" a="1"/>
  <c r="Q1527" i="4"/>
  <c r="S1526" i="4"/>
  <c r="Q1526" i="4" a="1"/>
  <c r="Q1526" i="4"/>
  <c r="S1525" i="4"/>
  <c r="Q1525" i="4" a="1"/>
  <c r="Q1525" i="4"/>
  <c r="S1524" i="4"/>
  <c r="Q1524" i="4" a="1"/>
  <c r="Q1524" i="4"/>
  <c r="S1523" i="4"/>
  <c r="Q1523" i="4" a="1"/>
  <c r="Q1523" i="4"/>
  <c r="S1522" i="4"/>
  <c r="Q1522" i="4" a="1"/>
  <c r="Q1522" i="4"/>
  <c r="S1521" i="4"/>
  <c r="Q1521" i="4" a="1"/>
  <c r="Q1521" i="4"/>
  <c r="S1520" i="4"/>
  <c r="Q1520" i="4" a="1"/>
  <c r="Q1520" i="4"/>
  <c r="S1519" i="4"/>
  <c r="Q1519" i="4" a="1"/>
  <c r="Q1519" i="4"/>
  <c r="S1518" i="4"/>
  <c r="Q1518" i="4" a="1"/>
  <c r="Q1518" i="4"/>
  <c r="S1517" i="4"/>
  <c r="Q1517" i="4" a="1"/>
  <c r="Q1517" i="4"/>
  <c r="S1516" i="4"/>
  <c r="Q1516" i="4" a="1"/>
  <c r="Q1516" i="4"/>
  <c r="S1515" i="4"/>
  <c r="Q1515" i="4" a="1"/>
  <c r="Q1515" i="4"/>
  <c r="S1514" i="4"/>
  <c r="Q1514" i="4" a="1"/>
  <c r="Q1514" i="4"/>
  <c r="S1513" i="4"/>
  <c r="Q1513" i="4" a="1"/>
  <c r="Q1513" i="4"/>
  <c r="S1512" i="4"/>
  <c r="Q1512" i="4" a="1"/>
  <c r="Q1512" i="4"/>
  <c r="S1511" i="4"/>
  <c r="Q1511" i="4" a="1"/>
  <c r="Q1511" i="4"/>
  <c r="S1510" i="4"/>
  <c r="Q1510" i="4" a="1"/>
  <c r="Q1510" i="4"/>
  <c r="S1509" i="4"/>
  <c r="Q1509" i="4" a="1"/>
  <c r="Q1509" i="4"/>
  <c r="S1508" i="4"/>
  <c r="Q1508" i="4" a="1"/>
  <c r="Q1508" i="4"/>
  <c r="S1507" i="4"/>
  <c r="Q1507" i="4" a="1"/>
  <c r="Q1507" i="4"/>
  <c r="S1506" i="4"/>
  <c r="Q1506" i="4" a="1"/>
  <c r="Q1506" i="4"/>
  <c r="S1505" i="4"/>
  <c r="Q1505" i="4" a="1"/>
  <c r="Q1505" i="4"/>
  <c r="S1504" i="4"/>
  <c r="Q1504" i="4" a="1"/>
  <c r="Q1504" i="4"/>
  <c r="S1503" i="4"/>
  <c r="Q1503" i="4" a="1"/>
  <c r="Q1503" i="4"/>
  <c r="S1502" i="4"/>
  <c r="Q1502" i="4" a="1"/>
  <c r="Q1502" i="4"/>
  <c r="S1501" i="4"/>
  <c r="Q1501" i="4" a="1"/>
  <c r="Q1501" i="4"/>
  <c r="S1500" i="4"/>
  <c r="Q1500" i="4" a="1"/>
  <c r="Q1500" i="4"/>
  <c r="S1499" i="4"/>
  <c r="Q1499" i="4" a="1"/>
  <c r="Q1499" i="4"/>
  <c r="S1498" i="4"/>
  <c r="Q1498" i="4" a="1"/>
  <c r="Q1498" i="4"/>
  <c r="S1497" i="4"/>
  <c r="Q1497" i="4" a="1"/>
  <c r="Q1497" i="4"/>
  <c r="S1496" i="4"/>
  <c r="Q1496" i="4" a="1"/>
  <c r="Q1496" i="4"/>
  <c r="S1495" i="4"/>
  <c r="Q1495" i="4" a="1"/>
  <c r="Q1495" i="4"/>
  <c r="S1494" i="4"/>
  <c r="Q1494" i="4" a="1"/>
  <c r="Q1494" i="4"/>
  <c r="S1493" i="4"/>
  <c r="Q1493" i="4" a="1"/>
  <c r="Q1493" i="4"/>
  <c r="S1492" i="4"/>
  <c r="Q1492" i="4" a="1"/>
  <c r="Q1492" i="4"/>
  <c r="S1491" i="4"/>
  <c r="Q1491" i="4" a="1"/>
  <c r="Q1491" i="4"/>
  <c r="S1490" i="4"/>
  <c r="Q1490" i="4" a="1"/>
  <c r="Q1490" i="4"/>
  <c r="S1489" i="4"/>
  <c r="Q1489" i="4" a="1"/>
  <c r="Q1489" i="4"/>
  <c r="S1488" i="4"/>
  <c r="Q1488" i="4" a="1"/>
  <c r="Q1488" i="4"/>
  <c r="S1487" i="4"/>
  <c r="Q1487" i="4" a="1"/>
  <c r="Q1487" i="4"/>
  <c r="S1486" i="4"/>
  <c r="Q1486" i="4" a="1"/>
  <c r="Q1486" i="4"/>
  <c r="S1485" i="4"/>
  <c r="Q1485" i="4" a="1"/>
  <c r="Q1485" i="4"/>
  <c r="S1484" i="4"/>
  <c r="Q1484" i="4" a="1"/>
  <c r="Q1484" i="4"/>
  <c r="S1483" i="4"/>
  <c r="Q1483" i="4" a="1"/>
  <c r="Q1483" i="4"/>
  <c r="S1482" i="4"/>
  <c r="Q1482" i="4" a="1"/>
  <c r="Q1482" i="4"/>
  <c r="S1481" i="4"/>
  <c r="Q1481" i="4" a="1"/>
  <c r="Q1481" i="4"/>
  <c r="S1480" i="4"/>
  <c r="Q1480" i="4" a="1"/>
  <c r="Q1480" i="4"/>
  <c r="S1479" i="4"/>
  <c r="Q1479" i="4" a="1"/>
  <c r="Q1479" i="4"/>
  <c r="S1478" i="4"/>
  <c r="Q1478" i="4" a="1"/>
  <c r="Q1478" i="4"/>
  <c r="S1477" i="4"/>
  <c r="Q1477" i="4" a="1"/>
  <c r="Q1477" i="4"/>
  <c r="S1476" i="4"/>
  <c r="Q1476" i="4" a="1"/>
  <c r="Q1476" i="4"/>
  <c r="S1475" i="4"/>
  <c r="Q1475" i="4" a="1"/>
  <c r="Q1475" i="4"/>
  <c r="S1474" i="4"/>
  <c r="Q1474" i="4" a="1"/>
  <c r="Q1474" i="4"/>
  <c r="S1473" i="4"/>
  <c r="Q1473" i="4" a="1"/>
  <c r="Q1473" i="4"/>
  <c r="S1472" i="4"/>
  <c r="Q1472" i="4" a="1"/>
  <c r="Q1472" i="4"/>
  <c r="S1471" i="4"/>
  <c r="Q1471" i="4" a="1"/>
  <c r="Q1471" i="4"/>
  <c r="S1470" i="4"/>
  <c r="Q1470" i="4" a="1"/>
  <c r="Q1470" i="4"/>
  <c r="S1469" i="4"/>
  <c r="Q1469" i="4" a="1"/>
  <c r="Q1469" i="4"/>
  <c r="S1468" i="4"/>
  <c r="Q1468" i="4" a="1"/>
  <c r="Q1468" i="4"/>
  <c r="S1467" i="4"/>
  <c r="Q1467" i="4" a="1"/>
  <c r="Q1467" i="4"/>
  <c r="S1466" i="4"/>
  <c r="Q1466" i="4" a="1"/>
  <c r="Q1466" i="4"/>
  <c r="S1465" i="4"/>
  <c r="Q1465" i="4" a="1"/>
  <c r="Q1465" i="4"/>
  <c r="S1464" i="4"/>
  <c r="Q1464" i="4" a="1"/>
  <c r="Q1464" i="4"/>
  <c r="S1463" i="4"/>
  <c r="Q1463" i="4" a="1"/>
  <c r="Q1463" i="4"/>
  <c r="S1462" i="4"/>
  <c r="Q1462" i="4" a="1"/>
  <c r="Q1462" i="4"/>
  <c r="S1461" i="4"/>
  <c r="Q1461" i="4" a="1"/>
  <c r="Q1461" i="4"/>
  <c r="S1460" i="4"/>
  <c r="Q1460" i="4" a="1"/>
  <c r="Q1460" i="4"/>
  <c r="S1459" i="4"/>
  <c r="Q1459" i="4" a="1"/>
  <c r="Q1459" i="4"/>
  <c r="S1458" i="4"/>
  <c r="Q1458" i="4" a="1"/>
  <c r="Q1458" i="4"/>
  <c r="S1457" i="4"/>
  <c r="Q1457" i="4" a="1"/>
  <c r="Q1457" i="4"/>
  <c r="S1456" i="4"/>
  <c r="Q1456" i="4" a="1"/>
  <c r="Q1456" i="4"/>
  <c r="S1455" i="4"/>
  <c r="Q1455" i="4" a="1"/>
  <c r="Q1455" i="4"/>
  <c r="S1454" i="4"/>
  <c r="Q1454" i="4" a="1"/>
  <c r="Q1454" i="4"/>
  <c r="S1453" i="4"/>
  <c r="Q1453" i="4" a="1"/>
  <c r="Q1453" i="4"/>
  <c r="S1452" i="4"/>
  <c r="Q1452" i="4" a="1"/>
  <c r="Q1452" i="4"/>
  <c r="S1451" i="4"/>
  <c r="Q1451" i="4" a="1"/>
  <c r="Q1451" i="4"/>
  <c r="S1450" i="4"/>
  <c r="Q1450" i="4" a="1"/>
  <c r="Q1450" i="4"/>
  <c r="S1449" i="4"/>
  <c r="Q1449" i="4" a="1"/>
  <c r="Q1449" i="4"/>
  <c r="S1448" i="4"/>
  <c r="Q1448" i="4" a="1"/>
  <c r="Q1448" i="4"/>
  <c r="S1447" i="4"/>
  <c r="Q1447" i="4" a="1"/>
  <c r="Q1447" i="4"/>
  <c r="S1446" i="4"/>
  <c r="Q1446" i="4" a="1"/>
  <c r="Q1446" i="4"/>
  <c r="S1445" i="4"/>
  <c r="Q1445" i="4" a="1"/>
  <c r="Q1445" i="4"/>
  <c r="S1444" i="4"/>
  <c r="Q1444" i="4" a="1"/>
  <c r="Q1444" i="4"/>
  <c r="S1443" i="4"/>
  <c r="Q1443" i="4" a="1"/>
  <c r="Q1443" i="4"/>
  <c r="S1442" i="4"/>
  <c r="Q1442" i="4" a="1"/>
  <c r="Q1442" i="4"/>
  <c r="S1441" i="4"/>
  <c r="Q1441" i="4" a="1"/>
  <c r="Q1441" i="4"/>
  <c r="S1440" i="4"/>
  <c r="Q1440" i="4" a="1"/>
  <c r="Q1440" i="4"/>
  <c r="S1439" i="4"/>
  <c r="Q1439" i="4" a="1"/>
  <c r="Q1439" i="4"/>
  <c r="S1438" i="4"/>
  <c r="Q1438" i="4" a="1"/>
  <c r="Q1438" i="4"/>
  <c r="S1437" i="4"/>
  <c r="Q1437" i="4" a="1"/>
  <c r="Q1437" i="4"/>
  <c r="S1436" i="4"/>
  <c r="Q1436" i="4" a="1"/>
  <c r="Q1436" i="4"/>
  <c r="S1435" i="4"/>
  <c r="Q1435" i="4" a="1"/>
  <c r="Q1435" i="4"/>
  <c r="S1434" i="4"/>
  <c r="Q1434" i="4" a="1"/>
  <c r="Q1434" i="4"/>
  <c r="S1433" i="4"/>
  <c r="Q1433" i="4" a="1"/>
  <c r="Q1433" i="4"/>
  <c r="S1432" i="4"/>
  <c r="Q1432" i="4" a="1"/>
  <c r="Q1432" i="4"/>
  <c r="S1431" i="4"/>
  <c r="Q1431" i="4" a="1"/>
  <c r="Q1431" i="4"/>
  <c r="S1430" i="4"/>
  <c r="Q1430" i="4" a="1"/>
  <c r="Q1430" i="4"/>
  <c r="S1429" i="4"/>
  <c r="Q1429" i="4" a="1"/>
  <c r="Q1429" i="4"/>
  <c r="S1428" i="4"/>
  <c r="Q1428" i="4" a="1"/>
  <c r="Q1428" i="4"/>
  <c r="S1427" i="4"/>
  <c r="Q1427" i="4" a="1"/>
  <c r="Q1427" i="4"/>
  <c r="S1426" i="4"/>
  <c r="Q1426" i="4" a="1"/>
  <c r="Q1426" i="4"/>
  <c r="S1425" i="4"/>
  <c r="Q1425" i="4" a="1"/>
  <c r="Q1425" i="4"/>
  <c r="S1424" i="4"/>
  <c r="Q1424" i="4" a="1"/>
  <c r="Q1424" i="4"/>
  <c r="S1423" i="4"/>
  <c r="Q1423" i="4" a="1"/>
  <c r="Q1423" i="4"/>
  <c r="S1422" i="4"/>
  <c r="Q1422" i="4" a="1"/>
  <c r="Q1422" i="4"/>
  <c r="S1421" i="4"/>
  <c r="Q1421" i="4" a="1"/>
  <c r="Q1421" i="4"/>
  <c r="S1420" i="4"/>
  <c r="Q1420" i="4" a="1"/>
  <c r="Q1420" i="4"/>
  <c r="S1419" i="4"/>
  <c r="Q1419" i="4" a="1"/>
  <c r="Q1419" i="4"/>
  <c r="S1418" i="4"/>
  <c r="Q1418" i="4" a="1"/>
  <c r="Q1418" i="4"/>
  <c r="S1417" i="4"/>
  <c r="Q1417" i="4" a="1"/>
  <c r="Q1417" i="4"/>
  <c r="S1416" i="4"/>
  <c r="Q1416" i="4" a="1"/>
  <c r="Q1416" i="4"/>
  <c r="S1415" i="4"/>
  <c r="Q1415" i="4" a="1"/>
  <c r="Q1415" i="4"/>
  <c r="S1414" i="4"/>
  <c r="Q1414" i="4" a="1"/>
  <c r="Q1414" i="4"/>
  <c r="S1413" i="4"/>
  <c r="Q1413" i="4" a="1"/>
  <c r="Q1413" i="4"/>
  <c r="S1412" i="4"/>
  <c r="Q1412" i="4" a="1"/>
  <c r="Q1412" i="4"/>
  <c r="S1411" i="4"/>
  <c r="Q1411" i="4" a="1"/>
  <c r="Q1411" i="4"/>
  <c r="S1410" i="4"/>
  <c r="Q1410" i="4" a="1"/>
  <c r="Q1410" i="4"/>
  <c r="S1409" i="4"/>
  <c r="Q1409" i="4" a="1"/>
  <c r="Q1409" i="4"/>
  <c r="S1408" i="4"/>
  <c r="Q1408" i="4" a="1"/>
  <c r="Q1408" i="4"/>
  <c r="S1407" i="4"/>
  <c r="Q1407" i="4" a="1"/>
  <c r="Q1407" i="4"/>
  <c r="S1406" i="4"/>
  <c r="Q1406" i="4" a="1"/>
  <c r="Q1406" i="4"/>
  <c r="S1405" i="4"/>
  <c r="Q1405" i="4" a="1"/>
  <c r="Q1405" i="4"/>
  <c r="S1404" i="4"/>
  <c r="Q1404" i="4" a="1"/>
  <c r="Q1404" i="4"/>
  <c r="S1403" i="4"/>
  <c r="Q1403" i="4" a="1"/>
  <c r="Q1403" i="4"/>
  <c r="S1402" i="4"/>
  <c r="Q1402" i="4" a="1"/>
  <c r="Q1402" i="4"/>
  <c r="S1401" i="4"/>
  <c r="Q1401" i="4" a="1"/>
  <c r="Q1401" i="4"/>
  <c r="S1400" i="4"/>
  <c r="Q1400" i="4" a="1"/>
  <c r="Q1400" i="4"/>
  <c r="S1399" i="4"/>
  <c r="Q1399" i="4" a="1"/>
  <c r="Q1399" i="4"/>
  <c r="S1398" i="4"/>
  <c r="Q1398" i="4" a="1"/>
  <c r="Q1398" i="4"/>
  <c r="S1397" i="4"/>
  <c r="Q1397" i="4" a="1"/>
  <c r="Q1397" i="4"/>
  <c r="S1396" i="4"/>
  <c r="Q1396" i="4" a="1"/>
  <c r="Q1396" i="4"/>
  <c r="S1395" i="4"/>
  <c r="Q1395" i="4" a="1"/>
  <c r="Q1395" i="4"/>
  <c r="S1394" i="4"/>
  <c r="Q1394" i="4" a="1"/>
  <c r="Q1394" i="4"/>
  <c r="S1393" i="4"/>
  <c r="Q1393" i="4" a="1"/>
  <c r="Q1393" i="4"/>
  <c r="S1392" i="4"/>
  <c r="Q1392" i="4" a="1"/>
  <c r="Q1392" i="4"/>
  <c r="S1391" i="4"/>
  <c r="Q1391" i="4" a="1"/>
  <c r="Q1391" i="4"/>
  <c r="S1390" i="4"/>
  <c r="Q1390" i="4" a="1"/>
  <c r="Q1390" i="4"/>
  <c r="S1389" i="4"/>
  <c r="Q1389" i="4" a="1"/>
  <c r="Q1389" i="4"/>
  <c r="S1388" i="4"/>
  <c r="Q1388" i="4" a="1"/>
  <c r="Q1388" i="4"/>
  <c r="S1387" i="4"/>
  <c r="Q1387" i="4" a="1"/>
  <c r="Q1387" i="4"/>
  <c r="S1386" i="4"/>
  <c r="Q1386" i="4" a="1"/>
  <c r="Q1386" i="4"/>
  <c r="S1385" i="4"/>
  <c r="Q1385" i="4" a="1"/>
  <c r="Q1385" i="4"/>
  <c r="S1384" i="4"/>
  <c r="Q1384" i="4" a="1"/>
  <c r="Q1384" i="4"/>
  <c r="S1383" i="4"/>
  <c r="Q1383" i="4" a="1"/>
  <c r="Q1383" i="4"/>
  <c r="S1382" i="4"/>
  <c r="Q1382" i="4" a="1"/>
  <c r="Q1382" i="4"/>
  <c r="S1381" i="4"/>
  <c r="Q1381" i="4" a="1"/>
  <c r="Q1381" i="4"/>
  <c r="S1380" i="4"/>
  <c r="Q1380" i="4" a="1"/>
  <c r="Q1380" i="4"/>
  <c r="S1379" i="4"/>
  <c r="Q1379" i="4" a="1"/>
  <c r="Q1379" i="4"/>
  <c r="S1378" i="4"/>
  <c r="Q1378" i="4" a="1"/>
  <c r="Q1378" i="4"/>
  <c r="S1377" i="4"/>
  <c r="Q1377" i="4" a="1"/>
  <c r="Q1377" i="4"/>
  <c r="S1376" i="4"/>
  <c r="Q1376" i="4" a="1"/>
  <c r="Q1376" i="4"/>
  <c r="S1375" i="4"/>
  <c r="Q1375" i="4" a="1"/>
  <c r="Q1375" i="4"/>
  <c r="S1374" i="4"/>
  <c r="Q1374" i="4" a="1"/>
  <c r="Q1374" i="4"/>
  <c r="S1373" i="4"/>
  <c r="Q1373" i="4" a="1"/>
  <c r="Q1373" i="4"/>
  <c r="S1372" i="4"/>
  <c r="Q1372" i="4" a="1"/>
  <c r="Q1372" i="4"/>
  <c r="S1371" i="4"/>
  <c r="Q1371" i="4" a="1"/>
  <c r="Q1371" i="4"/>
  <c r="S1370" i="4"/>
  <c r="Q1370" i="4" a="1"/>
  <c r="Q1370" i="4"/>
  <c r="S1369" i="4"/>
  <c r="Q1369" i="4" a="1"/>
  <c r="Q1369" i="4"/>
  <c r="S1368" i="4"/>
  <c r="Q1368" i="4" a="1"/>
  <c r="Q1368" i="4"/>
  <c r="S1367" i="4"/>
  <c r="Q1367" i="4" a="1"/>
  <c r="Q1367" i="4"/>
  <c r="S1366" i="4"/>
  <c r="Q1366" i="4" a="1"/>
  <c r="Q1366" i="4"/>
  <c r="S1365" i="4"/>
  <c r="Q1365" i="4" a="1"/>
  <c r="Q1365" i="4"/>
  <c r="S1364" i="4"/>
  <c r="Q1364" i="4" a="1"/>
  <c r="Q1364" i="4"/>
  <c r="S1363" i="4"/>
  <c r="Q1363" i="4" a="1"/>
  <c r="Q1363" i="4"/>
  <c r="S1362" i="4"/>
  <c r="Q1362" i="4" a="1"/>
  <c r="Q1362" i="4"/>
  <c r="S1361" i="4"/>
  <c r="Q1361" i="4" a="1"/>
  <c r="Q1361" i="4"/>
  <c r="S1360" i="4"/>
  <c r="Q1360" i="4" a="1"/>
  <c r="Q1360" i="4"/>
  <c r="S1359" i="4"/>
  <c r="Q1359" i="4" a="1"/>
  <c r="Q1359" i="4"/>
  <c r="S1358" i="4"/>
  <c r="Q1358" i="4" a="1"/>
  <c r="Q1358" i="4"/>
  <c r="S1357" i="4"/>
  <c r="Q1357" i="4" a="1"/>
  <c r="Q1357" i="4"/>
  <c r="S1356" i="4"/>
  <c r="Q1356" i="4" a="1"/>
  <c r="Q1356" i="4"/>
  <c r="S1355" i="4"/>
  <c r="Q1355" i="4" a="1"/>
  <c r="Q1355" i="4"/>
  <c r="S1354" i="4"/>
  <c r="Q1354" i="4" a="1"/>
  <c r="Q1354" i="4"/>
  <c r="S1353" i="4"/>
  <c r="Q1353" i="4" a="1"/>
  <c r="Q1353" i="4"/>
  <c r="S1352" i="4"/>
  <c r="Q1352" i="4" a="1"/>
  <c r="Q1352" i="4"/>
  <c r="S1351" i="4"/>
  <c r="Q1351" i="4" a="1"/>
  <c r="Q1351" i="4"/>
  <c r="S1350" i="4"/>
  <c r="Q1350" i="4" a="1"/>
  <c r="Q1350" i="4"/>
  <c r="S1349" i="4"/>
  <c r="Q1349" i="4" a="1"/>
  <c r="Q1349" i="4"/>
  <c r="S1348" i="4"/>
  <c r="Q1348" i="4" a="1"/>
  <c r="Q1348" i="4"/>
  <c r="S1347" i="4"/>
  <c r="Q1347" i="4" a="1"/>
  <c r="Q1347" i="4"/>
  <c r="S1346" i="4"/>
  <c r="Q1346" i="4" a="1"/>
  <c r="Q1346" i="4"/>
  <c r="S1345" i="4"/>
  <c r="Q1345" i="4" a="1"/>
  <c r="Q1345" i="4"/>
  <c r="S1344" i="4"/>
  <c r="Q1344" i="4" a="1"/>
  <c r="Q1344" i="4"/>
  <c r="S1343" i="4"/>
  <c r="Q1343" i="4" a="1"/>
  <c r="Q1343" i="4"/>
  <c r="S1342" i="4"/>
  <c r="Q1342" i="4" a="1"/>
  <c r="Q1342" i="4"/>
  <c r="S1341" i="4"/>
  <c r="Q1341" i="4" a="1"/>
  <c r="Q1341" i="4"/>
  <c r="S1340" i="4"/>
  <c r="Q1340" i="4" a="1"/>
  <c r="Q1340" i="4"/>
  <c r="S1339" i="4"/>
  <c r="Q1339" i="4" a="1"/>
  <c r="Q1339" i="4"/>
  <c r="S1338" i="4"/>
  <c r="Q1338" i="4" a="1"/>
  <c r="Q1338" i="4"/>
  <c r="S1337" i="4"/>
  <c r="Q1337" i="4" a="1"/>
  <c r="Q1337" i="4"/>
  <c r="S1336" i="4"/>
  <c r="Q1336" i="4" a="1"/>
  <c r="Q1336" i="4"/>
  <c r="S1335" i="4"/>
  <c r="Q1335" i="4" a="1"/>
  <c r="Q1335" i="4"/>
  <c r="S1334" i="4"/>
  <c r="Q1334" i="4" a="1"/>
  <c r="Q1334" i="4"/>
  <c r="S1333" i="4"/>
  <c r="Q1333" i="4" a="1"/>
  <c r="Q1333" i="4"/>
  <c r="S1332" i="4"/>
  <c r="Q1332" i="4" a="1"/>
  <c r="Q1332" i="4"/>
  <c r="S1331" i="4"/>
  <c r="Q1331" i="4" a="1"/>
  <c r="Q1331" i="4"/>
  <c r="S1330" i="4"/>
  <c r="Q1330" i="4" a="1"/>
  <c r="Q1330" i="4"/>
  <c r="S1329" i="4"/>
  <c r="Q1329" i="4" a="1"/>
  <c r="Q1329" i="4"/>
  <c r="S1328" i="4"/>
  <c r="Q1328" i="4" a="1"/>
  <c r="Q1328" i="4"/>
  <c r="S1327" i="4"/>
  <c r="Q1327" i="4" a="1"/>
  <c r="Q1327" i="4"/>
  <c r="S1326" i="4"/>
  <c r="Q1326" i="4" a="1"/>
  <c r="Q1326" i="4"/>
  <c r="S1325" i="4"/>
  <c r="Q1325" i="4" a="1"/>
  <c r="Q1325" i="4"/>
  <c r="S1324" i="4"/>
  <c r="Q1324" i="4" a="1"/>
  <c r="Q1324" i="4"/>
  <c r="S1323" i="4"/>
  <c r="Q1323" i="4" a="1"/>
  <c r="Q1323" i="4"/>
  <c r="S1322" i="4"/>
  <c r="Q1322" i="4" a="1"/>
  <c r="Q1322" i="4"/>
  <c r="S1321" i="4"/>
  <c r="Q1321" i="4" a="1"/>
  <c r="Q1321" i="4"/>
  <c r="S1320" i="4"/>
  <c r="Q1320" i="4" a="1"/>
  <c r="Q1320" i="4"/>
  <c r="S1319" i="4"/>
  <c r="Q1319" i="4" a="1"/>
  <c r="Q1319" i="4"/>
  <c r="S1318" i="4"/>
  <c r="Q1318" i="4" a="1"/>
  <c r="Q1318" i="4"/>
  <c r="S1317" i="4"/>
  <c r="Q1317" i="4" a="1"/>
  <c r="Q1317" i="4"/>
  <c r="S1316" i="4"/>
  <c r="Q1316" i="4" a="1"/>
  <c r="Q1316" i="4"/>
  <c r="S1315" i="4"/>
  <c r="Q1315" i="4" a="1"/>
  <c r="Q1315" i="4"/>
  <c r="S1314" i="4"/>
  <c r="Q1314" i="4" a="1"/>
  <c r="Q1314" i="4"/>
  <c r="S1313" i="4"/>
  <c r="Q1313" i="4" a="1"/>
  <c r="Q1313" i="4"/>
  <c r="S1312" i="4"/>
  <c r="Q1312" i="4" a="1"/>
  <c r="Q1312" i="4"/>
  <c r="S1311" i="4"/>
  <c r="Q1311" i="4" a="1"/>
  <c r="Q1311" i="4"/>
  <c r="S1310" i="4"/>
  <c r="Q1310" i="4" a="1"/>
  <c r="Q1310" i="4"/>
  <c r="S1309" i="4"/>
  <c r="Q1309" i="4" a="1"/>
  <c r="Q1309" i="4"/>
  <c r="S1308" i="4"/>
  <c r="Q1308" i="4" a="1"/>
  <c r="Q1308" i="4"/>
  <c r="S1307" i="4"/>
  <c r="Q1307" i="4" a="1"/>
  <c r="Q1307" i="4"/>
  <c r="S1306" i="4"/>
  <c r="Q1306" i="4" a="1"/>
  <c r="Q1306" i="4"/>
  <c r="S1305" i="4"/>
  <c r="Q1305" i="4" a="1"/>
  <c r="Q1305" i="4"/>
  <c r="S1304" i="4"/>
  <c r="Q1304" i="4" a="1"/>
  <c r="Q1304" i="4"/>
  <c r="S1303" i="4"/>
  <c r="Q1303" i="4" a="1"/>
  <c r="Q1303" i="4"/>
  <c r="S1302" i="4"/>
  <c r="Q1302" i="4" a="1"/>
  <c r="Q1302" i="4"/>
  <c r="S1301" i="4"/>
  <c r="Q1301" i="4" a="1"/>
  <c r="Q1301" i="4"/>
  <c r="S1300" i="4"/>
  <c r="Q1300" i="4" a="1"/>
  <c r="Q1300" i="4"/>
  <c r="S1299" i="4"/>
  <c r="Q1299" i="4" a="1"/>
  <c r="Q1299" i="4"/>
  <c r="S1298" i="4"/>
  <c r="Q1298" i="4" a="1"/>
  <c r="Q1298" i="4"/>
  <c r="S1297" i="4"/>
  <c r="Q1297" i="4" a="1"/>
  <c r="Q1297" i="4"/>
  <c r="S1296" i="4"/>
  <c r="Q1296" i="4" a="1"/>
  <c r="Q1296" i="4"/>
  <c r="S1295" i="4"/>
  <c r="Q1295" i="4" a="1"/>
  <c r="Q1295" i="4"/>
  <c r="S1294" i="4"/>
  <c r="Q1294" i="4" a="1"/>
  <c r="Q1294" i="4"/>
  <c r="S1293" i="4"/>
  <c r="Q1293" i="4" a="1"/>
  <c r="Q1293" i="4"/>
  <c r="S1292" i="4"/>
  <c r="Q1292" i="4" a="1"/>
  <c r="Q1292" i="4"/>
  <c r="S1291" i="4"/>
  <c r="Q1291" i="4" a="1"/>
  <c r="Q1291" i="4"/>
  <c r="S1290" i="4"/>
  <c r="Q1290" i="4" a="1"/>
  <c r="Q1290" i="4"/>
  <c r="S1289" i="4"/>
  <c r="Q1289" i="4" a="1"/>
  <c r="Q1289" i="4"/>
  <c r="S1288" i="4"/>
  <c r="Q1288" i="4" a="1"/>
  <c r="Q1288" i="4"/>
  <c r="S1287" i="4"/>
  <c r="Q1287" i="4" a="1"/>
  <c r="Q1287" i="4"/>
  <c r="S1286" i="4"/>
  <c r="Q1286" i="4" a="1"/>
  <c r="Q1286" i="4"/>
  <c r="S1285" i="4"/>
  <c r="Q1285" i="4" a="1"/>
  <c r="Q1285" i="4"/>
  <c r="S1284" i="4"/>
  <c r="Q1284" i="4" a="1"/>
  <c r="Q1284" i="4"/>
  <c r="S1283" i="4"/>
  <c r="Q1283" i="4" a="1"/>
  <c r="Q1283" i="4"/>
  <c r="S1282" i="4"/>
  <c r="Q1282" i="4" a="1"/>
  <c r="Q1282" i="4"/>
  <c r="S1281" i="4"/>
  <c r="Q1281" i="4" a="1"/>
  <c r="Q1281" i="4"/>
  <c r="S1280" i="4"/>
  <c r="Q1280" i="4" a="1"/>
  <c r="Q1280" i="4"/>
  <c r="S1279" i="4"/>
  <c r="Q1279" i="4" a="1"/>
  <c r="Q1279" i="4"/>
  <c r="S1278" i="4"/>
  <c r="Q1278" i="4" a="1"/>
  <c r="Q1278" i="4"/>
  <c r="S1277" i="4"/>
  <c r="Q1277" i="4" a="1"/>
  <c r="Q1277" i="4"/>
  <c r="S1276" i="4"/>
  <c r="Q1276" i="4" a="1"/>
  <c r="Q1276" i="4"/>
  <c r="S1275" i="4"/>
  <c r="Q1275" i="4" a="1"/>
  <c r="Q1275" i="4"/>
  <c r="S1274" i="4"/>
  <c r="Q1274" i="4" a="1"/>
  <c r="Q1274" i="4"/>
  <c r="S1273" i="4"/>
  <c r="Q1273" i="4" a="1"/>
  <c r="Q1273" i="4"/>
  <c r="S1272" i="4"/>
  <c r="Q1272" i="4" a="1"/>
  <c r="Q1272" i="4"/>
  <c r="S1271" i="4"/>
  <c r="Q1271" i="4" a="1"/>
  <c r="Q1271" i="4"/>
  <c r="S1270" i="4"/>
  <c r="Q1270" i="4" a="1"/>
  <c r="Q1270" i="4"/>
  <c r="S1269" i="4"/>
  <c r="Q1269" i="4" a="1"/>
  <c r="Q1269" i="4"/>
  <c r="S1268" i="4"/>
  <c r="Q1268" i="4" a="1"/>
  <c r="Q1268" i="4"/>
  <c r="S1267" i="4"/>
  <c r="Q1267" i="4" a="1"/>
  <c r="Q1267" i="4"/>
  <c r="S1266" i="4"/>
  <c r="Q1266" i="4" a="1"/>
  <c r="Q1266" i="4"/>
  <c r="S1265" i="4"/>
  <c r="Q1265" i="4" a="1"/>
  <c r="Q1265" i="4"/>
  <c r="S1264" i="4"/>
  <c r="Q1264" i="4" a="1"/>
  <c r="Q1264" i="4"/>
  <c r="S1263" i="4"/>
  <c r="Q1263" i="4" a="1"/>
  <c r="Q1263" i="4"/>
  <c r="S1262" i="4"/>
  <c r="Q1262" i="4" a="1"/>
  <c r="Q1262" i="4"/>
  <c r="S1261" i="4"/>
  <c r="Q1261" i="4" a="1"/>
  <c r="Q1261" i="4"/>
  <c r="S1260" i="4"/>
  <c r="Q1260" i="4" a="1"/>
  <c r="Q1260" i="4"/>
  <c r="S1259" i="4"/>
  <c r="Q1259" i="4" a="1"/>
  <c r="Q1259" i="4"/>
  <c r="S1258" i="4"/>
  <c r="Q1258" i="4" a="1"/>
  <c r="Q1258" i="4"/>
  <c r="S1257" i="4"/>
  <c r="Q1257" i="4" a="1"/>
  <c r="Q1257" i="4"/>
  <c r="S1256" i="4"/>
  <c r="Q1256" i="4" a="1"/>
  <c r="Q1256" i="4"/>
  <c r="S1255" i="4"/>
  <c r="Q1255" i="4" a="1"/>
  <c r="Q1255" i="4"/>
  <c r="S1254" i="4"/>
  <c r="Q1254" i="4" a="1"/>
  <c r="Q1254" i="4"/>
  <c r="S1253" i="4"/>
  <c r="Q1253" i="4" a="1"/>
  <c r="Q1253" i="4"/>
  <c r="S1252" i="4"/>
  <c r="Q1252" i="4" a="1"/>
  <c r="Q1252" i="4"/>
  <c r="S1251" i="4"/>
  <c r="Q1251" i="4" a="1"/>
  <c r="Q1251" i="4"/>
  <c r="S1250" i="4"/>
  <c r="Q1250" i="4" a="1"/>
  <c r="Q1250" i="4"/>
  <c r="S1249" i="4"/>
  <c r="Q1249" i="4" a="1"/>
  <c r="Q1249" i="4"/>
  <c r="S1248" i="4"/>
  <c r="Q1248" i="4" a="1"/>
  <c r="Q1248" i="4"/>
  <c r="S1247" i="4"/>
  <c r="Q1247" i="4" a="1"/>
  <c r="Q1247" i="4"/>
  <c r="S1246" i="4"/>
  <c r="Q1246" i="4" a="1"/>
  <c r="Q1246" i="4"/>
  <c r="S1245" i="4"/>
  <c r="Q1245" i="4" a="1"/>
  <c r="Q1245" i="4"/>
  <c r="S1244" i="4"/>
  <c r="Q1244" i="4" a="1"/>
  <c r="Q1244" i="4"/>
  <c r="S1243" i="4"/>
  <c r="Q1243" i="4" a="1"/>
  <c r="Q1243" i="4"/>
  <c r="S1242" i="4"/>
  <c r="Q1242" i="4" a="1"/>
  <c r="Q1242" i="4"/>
  <c r="S1241" i="4"/>
  <c r="Q1241" i="4" a="1"/>
  <c r="Q1241" i="4"/>
  <c r="S1240" i="4"/>
  <c r="Q1240" i="4" a="1"/>
  <c r="Q1240" i="4"/>
  <c r="S1239" i="4"/>
  <c r="Q1239" i="4" a="1"/>
  <c r="Q1239" i="4"/>
  <c r="S1238" i="4"/>
  <c r="Q1238" i="4" a="1"/>
  <c r="Q1238" i="4"/>
  <c r="S1237" i="4"/>
  <c r="Q1237" i="4" a="1"/>
  <c r="Q1237" i="4"/>
  <c r="S1236" i="4"/>
  <c r="Q1236" i="4" a="1"/>
  <c r="Q1236" i="4"/>
  <c r="S1235" i="4"/>
  <c r="Q1235" i="4" a="1"/>
  <c r="Q1235" i="4"/>
  <c r="S1234" i="4"/>
  <c r="Q1234" i="4" a="1"/>
  <c r="Q1234" i="4"/>
  <c r="S1233" i="4"/>
  <c r="Q1233" i="4" a="1"/>
  <c r="Q1233" i="4"/>
  <c r="S1232" i="4"/>
  <c r="Q1232" i="4" a="1"/>
  <c r="Q1232" i="4"/>
  <c r="S1231" i="4"/>
  <c r="Q1231" i="4" a="1"/>
  <c r="Q1231" i="4"/>
  <c r="S1230" i="4"/>
  <c r="Q1230" i="4" a="1"/>
  <c r="Q1230" i="4"/>
  <c r="S1229" i="4"/>
  <c r="Q1229" i="4" a="1"/>
  <c r="Q1229" i="4"/>
  <c r="S1228" i="4"/>
  <c r="Q1228" i="4" a="1"/>
  <c r="Q1228" i="4"/>
  <c r="S1227" i="4"/>
  <c r="Q1227" i="4" a="1"/>
  <c r="Q1227" i="4"/>
  <c r="S1226" i="4"/>
  <c r="Q1226" i="4" a="1"/>
  <c r="Q1226" i="4"/>
  <c r="S1225" i="4"/>
  <c r="Q1225" i="4" a="1"/>
  <c r="Q1225" i="4"/>
  <c r="S1224" i="4"/>
  <c r="Q1224" i="4" a="1"/>
  <c r="Q1224" i="4"/>
  <c r="S1223" i="4"/>
  <c r="Q1223" i="4" a="1"/>
  <c r="Q1223" i="4"/>
  <c r="S1222" i="4"/>
  <c r="Q1222" i="4" a="1"/>
  <c r="Q1222" i="4"/>
  <c r="S1221" i="4"/>
  <c r="Q1221" i="4" a="1"/>
  <c r="Q1221" i="4"/>
  <c r="S1220" i="4"/>
  <c r="Q1220" i="4" a="1"/>
  <c r="Q1220" i="4"/>
  <c r="S1219" i="4"/>
  <c r="Q1219" i="4" a="1"/>
  <c r="Q1219" i="4"/>
  <c r="S1218" i="4"/>
  <c r="Q1218" i="4" a="1"/>
  <c r="Q1218" i="4"/>
  <c r="S1217" i="4"/>
  <c r="Q1217" i="4" a="1"/>
  <c r="Q1217" i="4"/>
  <c r="S1216" i="4"/>
  <c r="Q1216" i="4" a="1"/>
  <c r="Q1216" i="4"/>
  <c r="S1215" i="4"/>
  <c r="Q1215" i="4" a="1"/>
  <c r="Q1215" i="4"/>
  <c r="S1214" i="4"/>
  <c r="Q1214" i="4" a="1"/>
  <c r="Q1214" i="4"/>
  <c r="S1213" i="4"/>
  <c r="Q1213" i="4" a="1"/>
  <c r="Q1213" i="4"/>
  <c r="S1212" i="4"/>
  <c r="Q1212" i="4" a="1"/>
  <c r="Q1212" i="4"/>
  <c r="S1211" i="4"/>
  <c r="Q1211" i="4" a="1"/>
  <c r="Q1211" i="4"/>
  <c r="S1210" i="4"/>
  <c r="Q1210" i="4" a="1"/>
  <c r="Q1210" i="4"/>
  <c r="S1209" i="4"/>
  <c r="Q1209" i="4" a="1"/>
  <c r="Q1209" i="4"/>
  <c r="S1208" i="4"/>
  <c r="Q1208" i="4" a="1"/>
  <c r="Q1208" i="4"/>
  <c r="S1207" i="4"/>
  <c r="Q1207" i="4" a="1"/>
  <c r="Q1207" i="4"/>
  <c r="S1206" i="4"/>
  <c r="Q1206" i="4" a="1"/>
  <c r="Q1206" i="4"/>
  <c r="S1205" i="4"/>
  <c r="Q1205" i="4" a="1"/>
  <c r="Q1205" i="4"/>
  <c r="S1204" i="4"/>
  <c r="Q1204" i="4" a="1"/>
  <c r="Q1204" i="4"/>
  <c r="S1203" i="4"/>
  <c r="Q1203" i="4" a="1"/>
  <c r="Q1203" i="4"/>
  <c r="S1202" i="4"/>
  <c r="Q1202" i="4" a="1"/>
  <c r="Q1202" i="4"/>
  <c r="S1201" i="4"/>
  <c r="Q1201" i="4" a="1"/>
  <c r="Q1201" i="4"/>
  <c r="S1200" i="4"/>
  <c r="Q1200" i="4" a="1"/>
  <c r="Q1200" i="4"/>
  <c r="S1199" i="4"/>
  <c r="Q1199" i="4" a="1"/>
  <c r="Q1199" i="4"/>
  <c r="S1198" i="4"/>
  <c r="Q1198" i="4" a="1"/>
  <c r="Q1198" i="4"/>
  <c r="S1197" i="4"/>
  <c r="Q1197" i="4" a="1"/>
  <c r="Q1197" i="4"/>
  <c r="S1196" i="4"/>
  <c r="Q1196" i="4" a="1"/>
  <c r="Q1196" i="4"/>
  <c r="S1195" i="4"/>
  <c r="Q1195" i="4" a="1"/>
  <c r="Q1195" i="4"/>
  <c r="S1194" i="4"/>
  <c r="Q1194" i="4" a="1"/>
  <c r="Q1194" i="4"/>
  <c r="S1193" i="4"/>
  <c r="Q1193" i="4" a="1"/>
  <c r="Q1193" i="4"/>
  <c r="S1192" i="4"/>
  <c r="Q1192" i="4" a="1"/>
  <c r="Q1192" i="4"/>
  <c r="S1191" i="4"/>
  <c r="Q1191" i="4" a="1"/>
  <c r="Q1191" i="4"/>
  <c r="S1190" i="4"/>
  <c r="Q1190" i="4" a="1"/>
  <c r="Q1190" i="4"/>
  <c r="S1189" i="4"/>
  <c r="Q1189" i="4" a="1"/>
  <c r="Q1189" i="4"/>
  <c r="S1188" i="4"/>
  <c r="Q1188" i="4" a="1"/>
  <c r="Q1188" i="4"/>
  <c r="S1187" i="4"/>
  <c r="Q1187" i="4" a="1"/>
  <c r="Q1187" i="4"/>
  <c r="S1186" i="4"/>
  <c r="Q1186" i="4" a="1"/>
  <c r="Q1186" i="4"/>
  <c r="S1185" i="4"/>
  <c r="Q1185" i="4" a="1"/>
  <c r="Q1185" i="4"/>
  <c r="S1184" i="4"/>
  <c r="Q1184" i="4" a="1"/>
  <c r="Q1184" i="4"/>
  <c r="S1183" i="4"/>
  <c r="Q1183" i="4" a="1"/>
  <c r="Q1183" i="4"/>
  <c r="S1182" i="4"/>
  <c r="Q1182" i="4" a="1"/>
  <c r="Q1182" i="4"/>
  <c r="S1181" i="4"/>
  <c r="Q1181" i="4" a="1"/>
  <c r="Q1181" i="4"/>
  <c r="S1180" i="4"/>
  <c r="Q1180" i="4" a="1"/>
  <c r="Q1180" i="4"/>
  <c r="S1179" i="4"/>
  <c r="Q1179" i="4" a="1"/>
  <c r="Q1179" i="4"/>
  <c r="S1178" i="4"/>
  <c r="Q1178" i="4" a="1"/>
  <c r="Q1178" i="4"/>
  <c r="S1177" i="4"/>
  <c r="Q1177" i="4" a="1"/>
  <c r="Q1177" i="4"/>
  <c r="S1176" i="4"/>
  <c r="Q1176" i="4" a="1"/>
  <c r="Q1176" i="4"/>
  <c r="S1175" i="4"/>
  <c r="Q1175" i="4" a="1"/>
  <c r="Q1175" i="4"/>
  <c r="S1174" i="4"/>
  <c r="Q1174" i="4" a="1"/>
  <c r="Q1174" i="4"/>
  <c r="S1173" i="4"/>
  <c r="Q1173" i="4" a="1"/>
  <c r="Q1173" i="4"/>
  <c r="S1172" i="4"/>
  <c r="Q1172" i="4" a="1"/>
  <c r="Q1172" i="4"/>
  <c r="S1171" i="4"/>
  <c r="Q1171" i="4" a="1"/>
  <c r="Q1171" i="4"/>
  <c r="S1170" i="4"/>
  <c r="Q1170" i="4" a="1"/>
  <c r="Q1170" i="4"/>
  <c r="S1169" i="4"/>
  <c r="Q1169" i="4" a="1"/>
  <c r="Q1169" i="4"/>
  <c r="S1168" i="4"/>
  <c r="Q1168" i="4" a="1"/>
  <c r="Q1168" i="4"/>
  <c r="S1167" i="4"/>
  <c r="Q1167" i="4" a="1"/>
  <c r="Q1167" i="4"/>
  <c r="S1166" i="4"/>
  <c r="Q1166" i="4" a="1"/>
  <c r="Q1166" i="4"/>
  <c r="S1165" i="4"/>
  <c r="Q1165" i="4" a="1"/>
  <c r="Q1165" i="4"/>
  <c r="S1164" i="4"/>
  <c r="Q1164" i="4" a="1"/>
  <c r="Q1164" i="4"/>
  <c r="S1163" i="4"/>
  <c r="Q1163" i="4" a="1"/>
  <c r="Q1163" i="4"/>
  <c r="S1162" i="4"/>
  <c r="Q1162" i="4" a="1"/>
  <c r="Q1162" i="4"/>
  <c r="S1161" i="4"/>
  <c r="Q1161" i="4" a="1"/>
  <c r="Q1161" i="4"/>
  <c r="S1160" i="4"/>
  <c r="Q1160" i="4" a="1"/>
  <c r="Q1160" i="4"/>
  <c r="S1159" i="4"/>
  <c r="Q1159" i="4" a="1"/>
  <c r="Q1159" i="4"/>
  <c r="S1158" i="4"/>
  <c r="Q1158" i="4" a="1"/>
  <c r="Q1158" i="4"/>
  <c r="S1157" i="4"/>
  <c r="Q1157" i="4" a="1"/>
  <c r="Q1157" i="4"/>
  <c r="S1156" i="4"/>
  <c r="Q1156" i="4" a="1"/>
  <c r="Q1156" i="4"/>
  <c r="S1155" i="4"/>
  <c r="Q1155" i="4" a="1"/>
  <c r="Q1155" i="4"/>
  <c r="S1154" i="4"/>
  <c r="Q1154" i="4" a="1"/>
  <c r="Q1154" i="4"/>
  <c r="S1153" i="4"/>
  <c r="Q1153" i="4" a="1"/>
  <c r="Q1153" i="4"/>
  <c r="S1152" i="4"/>
  <c r="Q1152" i="4" a="1"/>
  <c r="Q1152" i="4"/>
  <c r="S1151" i="4"/>
  <c r="Q1151" i="4" a="1"/>
  <c r="Q1151" i="4"/>
  <c r="S1150" i="4"/>
  <c r="Q1150" i="4" a="1"/>
  <c r="Q1150" i="4"/>
  <c r="S1149" i="4"/>
  <c r="Q1149" i="4" a="1"/>
  <c r="Q1149" i="4"/>
  <c r="S1148" i="4"/>
  <c r="Q1148" i="4" a="1"/>
  <c r="Q1148" i="4"/>
  <c r="S1147" i="4"/>
  <c r="Q1147" i="4" a="1"/>
  <c r="Q1147" i="4"/>
  <c r="S1146" i="4"/>
  <c r="Q1146" i="4" a="1"/>
  <c r="Q1146" i="4"/>
  <c r="S1145" i="4"/>
  <c r="Q1145" i="4" a="1"/>
  <c r="Q1145" i="4"/>
  <c r="S1144" i="4"/>
  <c r="Q1144" i="4" a="1"/>
  <c r="Q1144" i="4"/>
  <c r="S1143" i="4"/>
  <c r="Q1143" i="4" a="1"/>
  <c r="Q1143" i="4"/>
  <c r="S1142" i="4"/>
  <c r="Q1142" i="4" a="1"/>
  <c r="Q1142" i="4"/>
  <c r="S1141" i="4"/>
  <c r="Q1141" i="4" a="1"/>
  <c r="Q1141" i="4"/>
  <c r="S1140" i="4"/>
  <c r="Q1140" i="4" a="1"/>
  <c r="Q1140" i="4"/>
  <c r="S1139" i="4"/>
  <c r="Q1139" i="4" a="1"/>
  <c r="Q1139" i="4"/>
  <c r="S1138" i="4"/>
  <c r="Q1138" i="4" a="1"/>
  <c r="Q1138" i="4"/>
  <c r="S1137" i="4"/>
  <c r="Q1137" i="4" a="1"/>
  <c r="Q1137" i="4"/>
  <c r="S1136" i="4"/>
  <c r="Q1136" i="4" a="1"/>
  <c r="Q1136" i="4"/>
  <c r="S1135" i="4"/>
  <c r="Q1135" i="4" a="1"/>
  <c r="Q1135" i="4"/>
  <c r="S1134" i="4"/>
  <c r="Q1134" i="4" a="1"/>
  <c r="Q1134" i="4"/>
  <c r="S1133" i="4"/>
  <c r="Q1133" i="4" a="1"/>
  <c r="Q1133" i="4"/>
  <c r="S1132" i="4"/>
  <c r="Q1132" i="4" a="1"/>
  <c r="Q1132" i="4"/>
  <c r="S1131" i="4"/>
  <c r="Q1131" i="4" a="1"/>
  <c r="Q1131" i="4"/>
  <c r="S1130" i="4"/>
  <c r="Q1130" i="4" a="1"/>
  <c r="Q1130" i="4"/>
  <c r="S1129" i="4"/>
  <c r="Q1129" i="4" a="1"/>
  <c r="Q1129" i="4"/>
  <c r="S1128" i="4"/>
  <c r="Q1128" i="4" a="1"/>
  <c r="Q1128" i="4"/>
  <c r="S1127" i="4"/>
  <c r="Q1127" i="4" a="1"/>
  <c r="Q1127" i="4"/>
  <c r="S1126" i="4"/>
  <c r="Q1126" i="4" a="1"/>
  <c r="Q1126" i="4"/>
  <c r="S1125" i="4"/>
  <c r="Q1125" i="4" a="1"/>
  <c r="Q1125" i="4"/>
  <c r="S1124" i="4"/>
  <c r="Q1124" i="4" a="1"/>
  <c r="Q1124" i="4"/>
  <c r="S1123" i="4"/>
  <c r="Q1123" i="4" a="1"/>
  <c r="Q1123" i="4"/>
  <c r="S1122" i="4"/>
  <c r="Q1122" i="4" a="1"/>
  <c r="Q1122" i="4"/>
  <c r="S1121" i="4"/>
  <c r="Q1121" i="4" a="1"/>
  <c r="Q1121" i="4"/>
  <c r="S1120" i="4"/>
  <c r="Q1120" i="4" a="1"/>
  <c r="Q1120" i="4"/>
  <c r="S1119" i="4"/>
  <c r="Q1119" i="4" a="1"/>
  <c r="Q1119" i="4"/>
  <c r="S1118" i="4"/>
  <c r="Q1118" i="4" a="1"/>
  <c r="Q1118" i="4"/>
  <c r="S1117" i="4"/>
  <c r="Q1117" i="4" a="1"/>
  <c r="Q1117" i="4"/>
  <c r="S1116" i="4"/>
  <c r="Q1116" i="4" a="1"/>
  <c r="Q1116" i="4"/>
  <c r="S1115" i="4"/>
  <c r="Q1115" i="4" a="1"/>
  <c r="Q1115" i="4"/>
  <c r="S1114" i="4"/>
  <c r="Q1114" i="4" a="1"/>
  <c r="Q1114" i="4"/>
  <c r="S1113" i="4"/>
  <c r="Q1113" i="4" a="1"/>
  <c r="Q1113" i="4"/>
  <c r="S1112" i="4"/>
  <c r="Q1112" i="4" a="1"/>
  <c r="Q1112" i="4"/>
  <c r="S1111" i="4"/>
  <c r="Q1111" i="4" a="1"/>
  <c r="Q1111" i="4"/>
  <c r="S1110" i="4"/>
  <c r="Q1110" i="4" a="1"/>
  <c r="Q1110" i="4"/>
  <c r="S1109" i="4"/>
  <c r="Q1109" i="4" a="1"/>
  <c r="Q1109" i="4"/>
  <c r="S1108" i="4"/>
  <c r="Q1108" i="4" a="1"/>
  <c r="Q1108" i="4"/>
  <c r="S1107" i="4"/>
  <c r="Q1107" i="4" a="1"/>
  <c r="Q1107" i="4"/>
  <c r="S1106" i="4"/>
  <c r="Q1106" i="4" a="1"/>
  <c r="Q1106" i="4"/>
  <c r="S1105" i="4"/>
  <c r="Q1105" i="4" a="1"/>
  <c r="Q1105" i="4"/>
  <c r="S1104" i="4"/>
  <c r="Q1104" i="4" a="1"/>
  <c r="Q1104" i="4"/>
  <c r="S1103" i="4"/>
  <c r="Q1103" i="4" a="1"/>
  <c r="Q1103" i="4"/>
  <c r="S1102" i="4"/>
  <c r="Q1102" i="4" a="1"/>
  <c r="Q1102" i="4"/>
  <c r="S1101" i="4"/>
  <c r="Q1101" i="4" a="1"/>
  <c r="Q1101" i="4"/>
  <c r="S1100" i="4"/>
  <c r="Q1100" i="4" a="1"/>
  <c r="Q1100" i="4"/>
  <c r="S1099" i="4"/>
  <c r="Q1099" i="4" a="1"/>
  <c r="Q1099" i="4"/>
  <c r="S1098" i="4"/>
  <c r="Q1098" i="4" a="1"/>
  <c r="Q1098" i="4"/>
  <c r="S1097" i="4"/>
  <c r="Q1097" i="4" a="1"/>
  <c r="Q1097" i="4"/>
  <c r="S1096" i="4"/>
  <c r="Q1096" i="4" a="1"/>
  <c r="Q1096" i="4"/>
  <c r="S1095" i="4"/>
  <c r="Q1095" i="4" a="1"/>
  <c r="Q1095" i="4"/>
  <c r="S1094" i="4"/>
  <c r="Q1094" i="4" a="1"/>
  <c r="Q1094" i="4"/>
  <c r="S1093" i="4"/>
  <c r="Q1093" i="4" a="1"/>
  <c r="Q1093" i="4"/>
  <c r="S1092" i="4"/>
  <c r="Q1092" i="4" a="1"/>
  <c r="Q1092" i="4"/>
  <c r="S1091" i="4"/>
  <c r="Q1091" i="4" a="1"/>
  <c r="Q1091" i="4"/>
  <c r="S1090" i="4"/>
  <c r="Q1090" i="4" a="1"/>
  <c r="Q1090" i="4"/>
  <c r="S1089" i="4"/>
  <c r="Q1089" i="4" a="1"/>
  <c r="Q1089" i="4"/>
  <c r="S1088" i="4"/>
  <c r="Q1088" i="4" a="1"/>
  <c r="Q1088" i="4"/>
  <c r="S1087" i="4"/>
  <c r="Q1087" i="4" a="1"/>
  <c r="Q1087" i="4"/>
  <c r="S1086" i="4"/>
  <c r="Q1086" i="4" a="1"/>
  <c r="Q1086" i="4"/>
  <c r="S1085" i="4"/>
  <c r="Q1085" i="4" a="1"/>
  <c r="Q1085" i="4"/>
  <c r="S1084" i="4"/>
  <c r="Q1084" i="4" a="1"/>
  <c r="Q1084" i="4"/>
  <c r="S1083" i="4"/>
  <c r="Q1083" i="4" a="1"/>
  <c r="Q1083" i="4"/>
  <c r="S1082" i="4"/>
  <c r="Q1082" i="4" a="1"/>
  <c r="Q1082" i="4"/>
  <c r="S1081" i="4"/>
  <c r="Q1081" i="4" a="1"/>
  <c r="Q1081" i="4"/>
  <c r="S1080" i="4"/>
  <c r="Q1080" i="4" a="1"/>
  <c r="Q1080" i="4"/>
  <c r="S1079" i="4"/>
  <c r="Q1079" i="4" a="1"/>
  <c r="Q1079" i="4"/>
  <c r="S1078" i="4"/>
  <c r="Q1078" i="4" a="1"/>
  <c r="Q1078" i="4"/>
  <c r="S1077" i="4"/>
  <c r="Q1077" i="4" a="1"/>
  <c r="Q1077" i="4"/>
  <c r="S1076" i="4"/>
  <c r="Q1076" i="4" a="1"/>
  <c r="Q1076" i="4"/>
  <c r="S1075" i="4"/>
  <c r="Q1075" i="4" a="1"/>
  <c r="Q1075" i="4"/>
  <c r="S1074" i="4"/>
  <c r="Q1074" i="4" a="1"/>
  <c r="Q1074" i="4"/>
  <c r="S1073" i="4"/>
  <c r="Q1073" i="4" a="1"/>
  <c r="Q1073" i="4"/>
  <c r="S1072" i="4"/>
  <c r="Q1072" i="4" a="1"/>
  <c r="Q1072" i="4"/>
  <c r="S1071" i="4"/>
  <c r="Q1071" i="4" a="1"/>
  <c r="Q1071" i="4"/>
  <c r="S1070" i="4"/>
  <c r="Q1070" i="4" a="1"/>
  <c r="Q1070" i="4"/>
  <c r="S1069" i="4"/>
  <c r="Q1069" i="4" a="1"/>
  <c r="Q1069" i="4"/>
  <c r="S1068" i="4"/>
  <c r="Q1068" i="4" a="1"/>
  <c r="Q1068" i="4"/>
  <c r="S1067" i="4"/>
  <c r="Q1067" i="4" a="1"/>
  <c r="Q1067" i="4"/>
  <c r="S1066" i="4"/>
  <c r="Q1066" i="4" a="1"/>
  <c r="Q1066" i="4"/>
  <c r="S1065" i="4"/>
  <c r="Q1065" i="4" a="1"/>
  <c r="Q1065" i="4"/>
  <c r="S1064" i="4"/>
  <c r="Q1064" i="4" a="1"/>
  <c r="Q1064" i="4"/>
  <c r="S1063" i="4"/>
  <c r="Q1063" i="4" a="1"/>
  <c r="Q1063" i="4"/>
  <c r="S1062" i="4"/>
  <c r="Q1062" i="4" a="1"/>
  <c r="Q1062" i="4"/>
  <c r="S1061" i="4"/>
  <c r="Q1061" i="4" a="1"/>
  <c r="Q1061" i="4"/>
  <c r="S1060" i="4"/>
  <c r="Q1060" i="4" a="1"/>
  <c r="Q1060" i="4"/>
  <c r="S1059" i="4"/>
  <c r="Q1059" i="4" a="1"/>
  <c r="Q1059" i="4"/>
  <c r="S1058" i="4"/>
  <c r="Q1058" i="4" a="1"/>
  <c r="Q1058" i="4"/>
  <c r="S1057" i="4"/>
  <c r="Q1057" i="4" a="1"/>
  <c r="Q1057" i="4"/>
  <c r="S1056" i="4"/>
  <c r="Q1056" i="4" a="1"/>
  <c r="Q1056" i="4"/>
  <c r="S1055" i="4"/>
  <c r="Q1055" i="4" a="1"/>
  <c r="Q1055" i="4"/>
  <c r="S1054" i="4"/>
  <c r="Q1054" i="4" a="1"/>
  <c r="Q1054" i="4"/>
  <c r="S1053" i="4"/>
  <c r="Q1053" i="4" a="1"/>
  <c r="Q1053" i="4"/>
  <c r="S1052" i="4"/>
  <c r="Q1052" i="4" a="1"/>
  <c r="Q1052" i="4"/>
  <c r="S1051" i="4"/>
  <c r="Q1051" i="4" a="1"/>
  <c r="Q1051" i="4"/>
  <c r="S1050" i="4"/>
  <c r="Q1050" i="4" a="1"/>
  <c r="Q1050" i="4"/>
  <c r="S1049" i="4"/>
  <c r="Q1049" i="4" a="1"/>
  <c r="Q1049" i="4"/>
  <c r="S1048" i="4"/>
  <c r="Q1048" i="4" a="1"/>
  <c r="Q1048" i="4"/>
  <c r="S1047" i="4"/>
  <c r="Q1047" i="4" a="1"/>
  <c r="Q1047" i="4"/>
  <c r="S1046" i="4"/>
  <c r="Q1046" i="4" a="1"/>
  <c r="Q1046" i="4"/>
  <c r="S1045" i="4"/>
  <c r="Q1045" i="4" a="1"/>
  <c r="Q1045" i="4"/>
  <c r="S1044" i="4"/>
  <c r="Q1044" i="4" a="1"/>
  <c r="Q1044" i="4"/>
  <c r="S1043" i="4"/>
  <c r="Q1043" i="4" a="1"/>
  <c r="Q1043" i="4"/>
  <c r="S1042" i="4"/>
  <c r="Q1042" i="4" a="1"/>
  <c r="Q1042" i="4"/>
  <c r="S1041" i="4"/>
  <c r="Q1041" i="4" a="1"/>
  <c r="Q1041" i="4"/>
  <c r="S1040" i="4"/>
  <c r="Q1040" i="4" a="1"/>
  <c r="Q1040" i="4"/>
  <c r="S1039" i="4"/>
  <c r="Q1039" i="4" a="1"/>
  <c r="Q1039" i="4"/>
  <c r="S1038" i="4"/>
  <c r="Q1038" i="4" a="1"/>
  <c r="Q1038" i="4"/>
  <c r="S1037" i="4"/>
  <c r="Q1037" i="4" a="1"/>
  <c r="Q1037" i="4"/>
  <c r="S1036" i="4"/>
  <c r="Q1036" i="4" a="1"/>
  <c r="Q1036" i="4"/>
  <c r="S1035" i="4"/>
  <c r="Q1035" i="4" a="1"/>
  <c r="Q1035" i="4"/>
  <c r="S1034" i="4"/>
  <c r="Q1034" i="4" a="1"/>
  <c r="Q1034" i="4"/>
  <c r="S1033" i="4"/>
  <c r="Q1033" i="4" a="1"/>
  <c r="Q1033" i="4"/>
  <c r="S1032" i="4"/>
  <c r="Q1032" i="4" a="1"/>
  <c r="Q1032" i="4"/>
  <c r="S1031" i="4"/>
  <c r="Q1031" i="4" a="1"/>
  <c r="Q1031" i="4"/>
  <c r="S1030" i="4"/>
  <c r="Q1030" i="4" a="1"/>
  <c r="Q1030" i="4"/>
  <c r="S1029" i="4"/>
  <c r="Q1029" i="4" a="1"/>
  <c r="Q1029" i="4"/>
  <c r="S1028" i="4"/>
  <c r="Q1028" i="4" a="1"/>
  <c r="Q1028" i="4"/>
  <c r="S1027" i="4"/>
  <c r="Q1027" i="4" a="1"/>
  <c r="Q1027" i="4"/>
  <c r="S1026" i="4"/>
  <c r="Q1026" i="4" a="1"/>
  <c r="Q1026" i="4"/>
  <c r="S1025" i="4"/>
  <c r="Q1025" i="4" a="1"/>
  <c r="Q1025" i="4"/>
  <c r="S1024" i="4"/>
  <c r="Q1024" i="4" a="1"/>
  <c r="Q1024" i="4"/>
  <c r="S1023" i="4"/>
  <c r="Q1023" i="4" a="1"/>
  <c r="Q1023" i="4"/>
  <c r="S1022" i="4"/>
  <c r="Q1022" i="4" a="1"/>
  <c r="Q1022" i="4"/>
  <c r="S1021" i="4"/>
  <c r="Q1021" i="4" a="1"/>
  <c r="Q1021" i="4"/>
  <c r="S1020" i="4"/>
  <c r="Q1020" i="4" a="1"/>
  <c r="Q1020" i="4"/>
  <c r="S1019" i="4"/>
  <c r="Q1019" i="4" a="1"/>
  <c r="Q1019" i="4"/>
  <c r="S1018" i="4"/>
  <c r="Q1018" i="4" a="1"/>
  <c r="Q1018" i="4"/>
  <c r="S1017" i="4"/>
  <c r="Q1017" i="4" a="1"/>
  <c r="Q1017" i="4"/>
  <c r="S1016" i="4"/>
  <c r="Q1016" i="4" a="1"/>
  <c r="Q1016" i="4"/>
  <c r="S1015" i="4"/>
  <c r="Q1015" i="4" a="1"/>
  <c r="Q1015" i="4"/>
  <c r="S1014" i="4"/>
  <c r="Q1014" i="4" a="1"/>
  <c r="Q1014" i="4"/>
  <c r="S1013" i="4"/>
  <c r="Q1013" i="4" a="1"/>
  <c r="Q1013" i="4"/>
  <c r="S1012" i="4"/>
  <c r="Q1012" i="4" a="1"/>
  <c r="Q1012" i="4"/>
  <c r="S1011" i="4"/>
  <c r="Q1011" i="4" a="1"/>
  <c r="Q1011" i="4"/>
  <c r="S1010" i="4"/>
  <c r="Q1010" i="4" a="1"/>
  <c r="Q1010" i="4"/>
  <c r="S1009" i="4"/>
  <c r="Q1009" i="4" a="1"/>
  <c r="Q1009" i="4"/>
  <c r="S1008" i="4"/>
  <c r="Q1008" i="4" a="1"/>
  <c r="Q1008" i="4"/>
  <c r="S1007" i="4"/>
  <c r="Q1007" i="4" a="1"/>
  <c r="Q1007" i="4"/>
  <c r="S1006" i="4"/>
  <c r="Q1006" i="4" a="1"/>
  <c r="Q1006" i="4"/>
  <c r="S1005" i="4"/>
  <c r="Q1005" i="4" a="1"/>
  <c r="Q1005" i="4"/>
  <c r="S1004" i="4"/>
  <c r="Q1004" i="4" a="1"/>
  <c r="Q1004" i="4"/>
  <c r="S1003" i="4"/>
  <c r="Q1003" i="4" a="1"/>
  <c r="Q1003" i="4"/>
  <c r="S1002" i="4"/>
  <c r="Q1002" i="4" a="1"/>
  <c r="Q1002" i="4"/>
  <c r="S1001" i="4"/>
  <c r="Q1001" i="4" a="1"/>
  <c r="Q1001" i="4"/>
  <c r="S1000" i="4"/>
  <c r="Q1000" i="4" a="1"/>
  <c r="Q1000" i="4"/>
  <c r="S999" i="4"/>
  <c r="Q999" i="4" a="1"/>
  <c r="Q999" i="4"/>
  <c r="S998" i="4"/>
  <c r="Q998" i="4" a="1"/>
  <c r="Q998" i="4"/>
  <c r="S997" i="4"/>
  <c r="Q997" i="4" a="1"/>
  <c r="Q997" i="4"/>
  <c r="S996" i="4"/>
  <c r="Q996" i="4" a="1"/>
  <c r="Q996" i="4"/>
  <c r="S995" i="4"/>
  <c r="Q995" i="4" a="1"/>
  <c r="Q995" i="4"/>
  <c r="S994" i="4"/>
  <c r="Q994" i="4" a="1"/>
  <c r="Q994" i="4"/>
  <c r="S993" i="4"/>
  <c r="Q993" i="4" a="1"/>
  <c r="Q993" i="4"/>
  <c r="S992" i="4"/>
  <c r="Q992" i="4" a="1"/>
  <c r="Q992" i="4"/>
  <c r="S991" i="4"/>
  <c r="Q991" i="4" a="1"/>
  <c r="Q991" i="4"/>
  <c r="S990" i="4"/>
  <c r="Q990" i="4" a="1"/>
  <c r="Q990" i="4"/>
  <c r="S989" i="4"/>
  <c r="Q989" i="4" a="1"/>
  <c r="Q989" i="4"/>
  <c r="S988" i="4"/>
  <c r="Q988" i="4" a="1"/>
  <c r="Q988" i="4"/>
  <c r="S987" i="4"/>
  <c r="Q987" i="4" a="1"/>
  <c r="Q987" i="4"/>
  <c r="S986" i="4"/>
  <c r="Q986" i="4" a="1"/>
  <c r="Q986" i="4"/>
  <c r="S985" i="4"/>
  <c r="Q985" i="4" a="1"/>
  <c r="Q985" i="4"/>
  <c r="S984" i="4"/>
  <c r="Q984" i="4" a="1"/>
  <c r="Q984" i="4"/>
  <c r="S983" i="4"/>
  <c r="Q983" i="4" a="1"/>
  <c r="Q983" i="4"/>
  <c r="S982" i="4"/>
  <c r="Q982" i="4" a="1"/>
  <c r="Q982" i="4"/>
  <c r="S981" i="4"/>
  <c r="Q981" i="4" a="1"/>
  <c r="Q981" i="4"/>
  <c r="S980" i="4"/>
  <c r="Q980" i="4" a="1"/>
  <c r="Q980" i="4"/>
  <c r="S979" i="4"/>
  <c r="Q979" i="4" a="1"/>
  <c r="Q979" i="4"/>
  <c r="S978" i="4"/>
  <c r="Q978" i="4" a="1"/>
  <c r="Q978" i="4"/>
  <c r="S977" i="4"/>
  <c r="Q977" i="4" a="1"/>
  <c r="Q977" i="4"/>
  <c r="S976" i="4"/>
  <c r="Q976" i="4" a="1"/>
  <c r="Q976" i="4"/>
  <c r="S975" i="4"/>
  <c r="Q975" i="4" a="1"/>
  <c r="Q975" i="4"/>
  <c r="S974" i="4"/>
  <c r="Q974" i="4" a="1"/>
  <c r="Q974" i="4"/>
  <c r="S973" i="4"/>
  <c r="Q973" i="4" a="1"/>
  <c r="Q973" i="4"/>
  <c r="S972" i="4"/>
  <c r="Q972" i="4" a="1"/>
  <c r="Q972" i="4"/>
  <c r="S971" i="4"/>
  <c r="Q971" i="4" a="1"/>
  <c r="Q971" i="4"/>
  <c r="S970" i="4"/>
  <c r="Q970" i="4" a="1"/>
  <c r="Q970" i="4"/>
  <c r="S969" i="4"/>
  <c r="Q969" i="4" a="1"/>
  <c r="Q969" i="4"/>
  <c r="S968" i="4"/>
  <c r="Q968" i="4" a="1"/>
  <c r="Q968" i="4"/>
  <c r="S967" i="4"/>
  <c r="Q967" i="4" a="1"/>
  <c r="Q967" i="4"/>
  <c r="S966" i="4"/>
  <c r="Q966" i="4" a="1"/>
  <c r="Q966" i="4"/>
  <c r="S965" i="4"/>
  <c r="Q965" i="4" a="1"/>
  <c r="Q965" i="4"/>
  <c r="S964" i="4"/>
  <c r="Q964" i="4" a="1"/>
  <c r="Q964" i="4"/>
  <c r="S963" i="4"/>
  <c r="Q963" i="4" a="1"/>
  <c r="Q963" i="4"/>
  <c r="S962" i="4"/>
  <c r="Q962" i="4" a="1"/>
  <c r="Q962" i="4"/>
  <c r="S961" i="4"/>
  <c r="Q961" i="4" a="1"/>
  <c r="Q961" i="4"/>
  <c r="S960" i="4"/>
  <c r="Q960" i="4" a="1"/>
  <c r="Q960" i="4"/>
  <c r="S959" i="4"/>
  <c r="Q959" i="4" a="1"/>
  <c r="Q959" i="4"/>
  <c r="S958" i="4"/>
  <c r="Q958" i="4" a="1"/>
  <c r="Q958" i="4"/>
  <c r="S957" i="4"/>
  <c r="Q957" i="4" a="1"/>
  <c r="Q957" i="4"/>
  <c r="S956" i="4"/>
  <c r="Q956" i="4" a="1"/>
  <c r="Q956" i="4"/>
  <c r="S955" i="4"/>
  <c r="Q955" i="4" a="1"/>
  <c r="Q955" i="4"/>
  <c r="S954" i="4"/>
  <c r="Q954" i="4" a="1"/>
  <c r="Q954" i="4"/>
  <c r="S953" i="4"/>
  <c r="Q953" i="4" a="1"/>
  <c r="Q953" i="4"/>
  <c r="S952" i="4"/>
  <c r="Q952" i="4" a="1"/>
  <c r="Q952" i="4"/>
  <c r="S951" i="4"/>
  <c r="Q951" i="4" a="1"/>
  <c r="Q951" i="4"/>
  <c r="S950" i="4"/>
  <c r="Q950" i="4" a="1"/>
  <c r="Q950" i="4"/>
  <c r="S949" i="4"/>
  <c r="Q949" i="4" a="1"/>
  <c r="Q949" i="4"/>
  <c r="S948" i="4"/>
  <c r="Q948" i="4" a="1"/>
  <c r="Q948" i="4"/>
  <c r="S947" i="4"/>
  <c r="Q947" i="4" a="1"/>
  <c r="Q947" i="4"/>
  <c r="S946" i="4"/>
  <c r="Q946" i="4" a="1"/>
  <c r="Q946" i="4"/>
  <c r="S945" i="4"/>
  <c r="Q945" i="4" a="1"/>
  <c r="Q945" i="4"/>
  <c r="S944" i="4"/>
  <c r="Q944" i="4" a="1"/>
  <c r="Q944" i="4"/>
  <c r="S943" i="4"/>
  <c r="Q943" i="4" a="1"/>
  <c r="Q943" i="4"/>
  <c r="S942" i="4"/>
  <c r="Q942" i="4" a="1"/>
  <c r="Q942" i="4"/>
  <c r="S941" i="4"/>
  <c r="Q941" i="4" a="1"/>
  <c r="Q941" i="4"/>
  <c r="S940" i="4"/>
  <c r="Q940" i="4" a="1"/>
  <c r="Q940" i="4"/>
  <c r="S939" i="4"/>
  <c r="Q939" i="4" a="1"/>
  <c r="Q939" i="4"/>
  <c r="S938" i="4"/>
  <c r="Q938" i="4" a="1"/>
  <c r="Q938" i="4"/>
  <c r="S937" i="4"/>
  <c r="Q937" i="4" a="1"/>
  <c r="Q937" i="4"/>
  <c r="S936" i="4"/>
  <c r="Q936" i="4" a="1"/>
  <c r="Q936" i="4"/>
  <c r="S935" i="4"/>
  <c r="Q935" i="4" a="1"/>
  <c r="Q935" i="4"/>
  <c r="S934" i="4"/>
  <c r="Q934" i="4" a="1"/>
  <c r="Q934" i="4"/>
  <c r="S933" i="4"/>
  <c r="Q933" i="4" a="1"/>
  <c r="Q933" i="4"/>
  <c r="S932" i="4"/>
  <c r="Q932" i="4" a="1"/>
  <c r="Q932" i="4"/>
  <c r="S931" i="4"/>
  <c r="Q931" i="4" a="1"/>
  <c r="Q931" i="4"/>
  <c r="S930" i="4"/>
  <c r="Q930" i="4" a="1"/>
  <c r="Q930" i="4"/>
  <c r="S929" i="4"/>
  <c r="Q929" i="4" a="1"/>
  <c r="Q929" i="4"/>
  <c r="S928" i="4"/>
  <c r="Q928" i="4" a="1"/>
  <c r="Q928" i="4"/>
  <c r="S927" i="4"/>
  <c r="Q927" i="4" a="1"/>
  <c r="Q927" i="4"/>
  <c r="S926" i="4"/>
  <c r="Q926" i="4" a="1"/>
  <c r="Q926" i="4"/>
  <c r="S925" i="4"/>
  <c r="Q925" i="4" a="1"/>
  <c r="Q925" i="4"/>
  <c r="S924" i="4"/>
  <c r="Q924" i="4" a="1"/>
  <c r="Q924" i="4"/>
  <c r="S923" i="4"/>
  <c r="Q923" i="4" a="1"/>
  <c r="Q923" i="4"/>
  <c r="S922" i="4"/>
  <c r="Q922" i="4" a="1"/>
  <c r="Q922" i="4"/>
  <c r="S921" i="4"/>
  <c r="Q921" i="4" a="1"/>
  <c r="Q921" i="4"/>
  <c r="S920" i="4"/>
  <c r="Q920" i="4" a="1"/>
  <c r="Q920" i="4"/>
  <c r="S919" i="4"/>
  <c r="Q919" i="4" a="1"/>
  <c r="Q919" i="4"/>
  <c r="S918" i="4"/>
  <c r="Q918" i="4" a="1"/>
  <c r="Q918" i="4"/>
  <c r="S917" i="4"/>
  <c r="Q917" i="4" a="1"/>
  <c r="Q917" i="4"/>
  <c r="S916" i="4"/>
  <c r="Q916" i="4" a="1"/>
  <c r="Q916" i="4"/>
  <c r="S915" i="4"/>
  <c r="Q915" i="4" a="1"/>
  <c r="Q915" i="4"/>
  <c r="S914" i="4"/>
  <c r="Q914" i="4" a="1"/>
  <c r="Q914" i="4"/>
  <c r="S913" i="4"/>
  <c r="Q913" i="4" a="1"/>
  <c r="Q913" i="4"/>
  <c r="S912" i="4"/>
  <c r="Q912" i="4" a="1"/>
  <c r="Q912" i="4"/>
  <c r="S911" i="4"/>
  <c r="Q911" i="4" a="1"/>
  <c r="Q911" i="4"/>
  <c r="S910" i="4"/>
  <c r="Q910" i="4" a="1"/>
  <c r="Q910" i="4"/>
  <c r="S909" i="4"/>
  <c r="Q909" i="4" a="1"/>
  <c r="Q909" i="4"/>
  <c r="S908" i="4"/>
  <c r="Q908" i="4" a="1"/>
  <c r="Q908" i="4"/>
  <c r="S907" i="4"/>
  <c r="Q907" i="4" a="1"/>
  <c r="Q907" i="4"/>
  <c r="S906" i="4"/>
  <c r="Q906" i="4" a="1"/>
  <c r="Q906" i="4"/>
  <c r="S905" i="4"/>
  <c r="Q905" i="4" a="1"/>
  <c r="Q905" i="4"/>
  <c r="S904" i="4"/>
  <c r="Q904" i="4" a="1"/>
  <c r="Q904" i="4"/>
  <c r="S903" i="4"/>
  <c r="Q903" i="4" a="1"/>
  <c r="Q903" i="4"/>
  <c r="S902" i="4"/>
  <c r="Q902" i="4" a="1"/>
  <c r="Q902" i="4"/>
  <c r="S901" i="4"/>
  <c r="Q901" i="4" a="1"/>
  <c r="Q901" i="4"/>
  <c r="S900" i="4"/>
  <c r="Q900" i="4" a="1"/>
  <c r="Q900" i="4"/>
  <c r="S899" i="4"/>
  <c r="Q899" i="4" a="1"/>
  <c r="Q899" i="4"/>
  <c r="S898" i="4"/>
  <c r="Q898" i="4" a="1"/>
  <c r="Q898" i="4"/>
  <c r="S897" i="4"/>
  <c r="Q897" i="4" a="1"/>
  <c r="Q897" i="4"/>
  <c r="S896" i="4"/>
  <c r="Q896" i="4" a="1"/>
  <c r="Q896" i="4"/>
  <c r="S895" i="4"/>
  <c r="Q895" i="4" a="1"/>
  <c r="Q895" i="4"/>
  <c r="S894" i="4"/>
  <c r="Q894" i="4" a="1"/>
  <c r="Q894" i="4"/>
  <c r="S893" i="4"/>
  <c r="Q893" i="4" a="1"/>
  <c r="Q893" i="4"/>
  <c r="S892" i="4"/>
  <c r="Q892" i="4" a="1"/>
  <c r="Q892" i="4"/>
  <c r="S891" i="4"/>
  <c r="Q891" i="4" a="1"/>
  <c r="Q891" i="4"/>
  <c r="S890" i="4"/>
  <c r="Q890" i="4" a="1"/>
  <c r="Q890" i="4"/>
  <c r="S889" i="4"/>
  <c r="Q889" i="4" a="1"/>
  <c r="Q889" i="4"/>
  <c r="S888" i="4"/>
  <c r="Q888" i="4" a="1"/>
  <c r="Q888" i="4"/>
  <c r="S887" i="4"/>
  <c r="Q887" i="4" a="1"/>
  <c r="Q887" i="4"/>
  <c r="S886" i="4"/>
  <c r="Q886" i="4" a="1"/>
  <c r="Q886" i="4"/>
  <c r="S885" i="4"/>
  <c r="Q885" i="4" a="1"/>
  <c r="Q885" i="4"/>
  <c r="S884" i="4"/>
  <c r="Q884" i="4" a="1"/>
  <c r="Q884" i="4"/>
  <c r="S883" i="4"/>
  <c r="Q883" i="4" a="1"/>
  <c r="Q883" i="4"/>
  <c r="S882" i="4"/>
  <c r="Q882" i="4" a="1"/>
  <c r="Q882" i="4"/>
  <c r="S881" i="4"/>
  <c r="Q881" i="4" a="1"/>
  <c r="Q881" i="4"/>
  <c r="S880" i="4"/>
  <c r="Q880" i="4" a="1"/>
  <c r="Q880" i="4"/>
  <c r="S879" i="4"/>
  <c r="Q879" i="4" a="1"/>
  <c r="Q879" i="4"/>
  <c r="S878" i="4"/>
  <c r="Q878" i="4" a="1"/>
  <c r="Q878" i="4"/>
  <c r="S877" i="4"/>
  <c r="Q877" i="4" a="1"/>
  <c r="Q877" i="4"/>
  <c r="S876" i="4"/>
  <c r="Q876" i="4" a="1"/>
  <c r="Q876" i="4"/>
  <c r="S875" i="4"/>
  <c r="Q875" i="4" a="1"/>
  <c r="Q875" i="4"/>
  <c r="S874" i="4"/>
  <c r="Q874" i="4" a="1"/>
  <c r="Q874" i="4"/>
  <c r="S873" i="4"/>
  <c r="Q873" i="4" a="1"/>
  <c r="Q873" i="4"/>
  <c r="S872" i="4"/>
  <c r="Q872" i="4" a="1"/>
  <c r="Q872" i="4"/>
  <c r="S871" i="4"/>
  <c r="Q871" i="4" a="1"/>
  <c r="Q871" i="4"/>
  <c r="S870" i="4"/>
  <c r="Q870" i="4" a="1"/>
  <c r="Q870" i="4"/>
  <c r="S869" i="4"/>
  <c r="Q869" i="4" a="1"/>
  <c r="Q869" i="4"/>
  <c r="S868" i="4"/>
  <c r="Q868" i="4" a="1"/>
  <c r="Q868" i="4"/>
  <c r="S867" i="4"/>
  <c r="Q867" i="4" a="1"/>
  <c r="Q867" i="4"/>
  <c r="S866" i="4"/>
  <c r="Q866" i="4" a="1"/>
  <c r="Q866" i="4"/>
  <c r="S865" i="4"/>
  <c r="Q865" i="4" a="1"/>
  <c r="Q865" i="4"/>
  <c r="S864" i="4"/>
  <c r="Q864" i="4" a="1"/>
  <c r="Q864" i="4"/>
  <c r="S863" i="4"/>
  <c r="Q863" i="4" a="1"/>
  <c r="Q863" i="4"/>
  <c r="S862" i="4"/>
  <c r="Q862" i="4" a="1"/>
  <c r="Q862" i="4"/>
  <c r="S861" i="4"/>
  <c r="Q861" i="4" a="1"/>
  <c r="Q861" i="4"/>
  <c r="S860" i="4"/>
  <c r="Q860" i="4" a="1"/>
  <c r="Q860" i="4"/>
  <c r="S859" i="4"/>
  <c r="Q859" i="4" a="1"/>
  <c r="Q859" i="4"/>
  <c r="S858" i="4"/>
  <c r="Q858" i="4" a="1"/>
  <c r="Q858" i="4"/>
  <c r="S857" i="4"/>
  <c r="Q857" i="4" a="1"/>
  <c r="Q857" i="4"/>
  <c r="S856" i="4"/>
  <c r="Q856" i="4" a="1"/>
  <c r="Q856" i="4"/>
  <c r="S855" i="4"/>
  <c r="Q855" i="4" a="1"/>
  <c r="Q855" i="4"/>
  <c r="S854" i="4"/>
  <c r="Q854" i="4" a="1"/>
  <c r="Q854" i="4"/>
  <c r="S853" i="4"/>
  <c r="Q853" i="4" a="1"/>
  <c r="Q853" i="4"/>
  <c r="S852" i="4"/>
  <c r="Q852" i="4" a="1"/>
  <c r="Q852" i="4"/>
  <c r="S851" i="4"/>
  <c r="Q851" i="4" a="1"/>
  <c r="Q851" i="4"/>
  <c r="S850" i="4"/>
  <c r="Q850" i="4" a="1"/>
  <c r="Q850" i="4"/>
  <c r="S849" i="4"/>
  <c r="Q849" i="4" a="1"/>
  <c r="Q849" i="4"/>
  <c r="S848" i="4"/>
  <c r="Q848" i="4" a="1"/>
  <c r="Q848" i="4"/>
  <c r="S847" i="4"/>
  <c r="Q847" i="4" a="1"/>
  <c r="Q847" i="4"/>
  <c r="S846" i="4"/>
  <c r="Q846" i="4" a="1"/>
  <c r="Q846" i="4"/>
  <c r="S845" i="4"/>
  <c r="Q845" i="4" a="1"/>
  <c r="Q845" i="4"/>
  <c r="S844" i="4"/>
  <c r="Q844" i="4" a="1"/>
  <c r="Q844" i="4"/>
  <c r="S843" i="4"/>
  <c r="Q843" i="4" a="1"/>
  <c r="Q843" i="4"/>
  <c r="S842" i="4"/>
  <c r="Q842" i="4" a="1"/>
  <c r="Q842" i="4"/>
  <c r="S841" i="4"/>
  <c r="Q841" i="4" a="1"/>
  <c r="Q841" i="4"/>
  <c r="S840" i="4"/>
  <c r="Q840" i="4" a="1"/>
  <c r="Q840" i="4"/>
  <c r="S839" i="4"/>
  <c r="Q839" i="4" a="1"/>
  <c r="Q839" i="4"/>
  <c r="S838" i="4"/>
  <c r="Q838" i="4" a="1"/>
  <c r="Q838" i="4"/>
  <c r="S837" i="4"/>
  <c r="Q837" i="4" a="1"/>
  <c r="Q837" i="4"/>
  <c r="S836" i="4"/>
  <c r="Q836" i="4" a="1"/>
  <c r="Q836" i="4"/>
  <c r="S835" i="4"/>
  <c r="Q835" i="4" a="1"/>
  <c r="Q835" i="4"/>
  <c r="S834" i="4"/>
  <c r="Q834" i="4" a="1"/>
  <c r="Q834" i="4"/>
  <c r="S833" i="4"/>
  <c r="Q833" i="4" a="1"/>
  <c r="Q833" i="4"/>
  <c r="S832" i="4"/>
  <c r="Q832" i="4" a="1"/>
  <c r="Q832" i="4"/>
  <c r="S831" i="4"/>
  <c r="Q831" i="4" a="1"/>
  <c r="Q831" i="4"/>
  <c r="S830" i="4"/>
  <c r="Q830" i="4" a="1"/>
  <c r="Q830" i="4"/>
  <c r="S829" i="4"/>
  <c r="Q829" i="4" a="1"/>
  <c r="Q829" i="4"/>
  <c r="S828" i="4"/>
  <c r="Q828" i="4" a="1"/>
  <c r="Q828" i="4"/>
  <c r="S827" i="4"/>
  <c r="Q827" i="4" a="1"/>
  <c r="Q827" i="4"/>
  <c r="S826" i="4"/>
  <c r="Q826" i="4" a="1"/>
  <c r="Q826" i="4"/>
  <c r="S825" i="4"/>
  <c r="Q825" i="4" a="1"/>
  <c r="Q825" i="4"/>
  <c r="S824" i="4"/>
  <c r="Q824" i="4" a="1"/>
  <c r="Q824" i="4"/>
  <c r="S823" i="4"/>
  <c r="Q823" i="4" a="1"/>
  <c r="Q823" i="4"/>
  <c r="S822" i="4"/>
  <c r="Q822" i="4" a="1"/>
  <c r="Q822" i="4"/>
  <c r="S821" i="4"/>
  <c r="Q821" i="4" a="1"/>
  <c r="Q821" i="4"/>
  <c r="S820" i="4"/>
  <c r="Q820" i="4" a="1"/>
  <c r="Q820" i="4"/>
  <c r="S819" i="4"/>
  <c r="Q819" i="4" a="1"/>
  <c r="Q819" i="4"/>
  <c r="S818" i="4"/>
  <c r="Q818" i="4" a="1"/>
  <c r="Q818" i="4"/>
  <c r="S817" i="4"/>
  <c r="Q817" i="4" a="1"/>
  <c r="Q817" i="4"/>
  <c r="S816" i="4"/>
  <c r="Q816" i="4" a="1"/>
  <c r="Q816" i="4"/>
  <c r="S815" i="4"/>
  <c r="Q815" i="4" a="1"/>
  <c r="Q815" i="4"/>
  <c r="S814" i="4"/>
  <c r="Q814" i="4" a="1"/>
  <c r="Q814" i="4"/>
  <c r="S813" i="4"/>
  <c r="Q813" i="4" a="1"/>
  <c r="Q813" i="4"/>
  <c r="S812" i="4"/>
  <c r="Q812" i="4" a="1"/>
  <c r="Q812" i="4"/>
  <c r="S811" i="4"/>
  <c r="Q811" i="4" a="1"/>
  <c r="Q811" i="4"/>
  <c r="S810" i="4"/>
  <c r="Q810" i="4" a="1"/>
  <c r="Q810" i="4"/>
  <c r="S809" i="4"/>
  <c r="Q809" i="4" a="1"/>
  <c r="Q809" i="4"/>
  <c r="S808" i="4"/>
  <c r="Q808" i="4" a="1"/>
  <c r="Q808" i="4"/>
  <c r="S807" i="4"/>
  <c r="Q807" i="4" a="1"/>
  <c r="Q807" i="4"/>
  <c r="S806" i="4"/>
  <c r="Q806" i="4" a="1"/>
  <c r="Q806" i="4"/>
  <c r="S805" i="4"/>
  <c r="Q805" i="4" a="1"/>
  <c r="Q805" i="4"/>
  <c r="S804" i="4"/>
  <c r="Q804" i="4" a="1"/>
  <c r="Q804" i="4"/>
  <c r="S803" i="4"/>
  <c r="Q803" i="4" a="1"/>
  <c r="Q803" i="4"/>
  <c r="S802" i="4"/>
  <c r="Q802" i="4" a="1"/>
  <c r="Q802" i="4"/>
  <c r="S801" i="4"/>
  <c r="Q801" i="4" a="1"/>
  <c r="Q801" i="4"/>
  <c r="S800" i="4"/>
  <c r="Q800" i="4" a="1"/>
  <c r="Q800" i="4"/>
  <c r="S799" i="4"/>
  <c r="Q799" i="4" a="1"/>
  <c r="Q799" i="4"/>
  <c r="S798" i="4"/>
  <c r="Q798" i="4" a="1"/>
  <c r="Q798" i="4"/>
  <c r="S797" i="4"/>
  <c r="Q797" i="4" a="1"/>
  <c r="Q797" i="4"/>
  <c r="S796" i="4"/>
  <c r="Q796" i="4" a="1"/>
  <c r="Q796" i="4"/>
  <c r="S795" i="4"/>
  <c r="Q795" i="4" a="1"/>
  <c r="Q795" i="4"/>
  <c r="S794" i="4"/>
  <c r="Q794" i="4" a="1"/>
  <c r="Q794" i="4"/>
  <c r="S793" i="4"/>
  <c r="Q793" i="4" a="1"/>
  <c r="Q793" i="4"/>
  <c r="S792" i="4"/>
  <c r="Q792" i="4" a="1"/>
  <c r="Q792" i="4"/>
  <c r="S791" i="4"/>
  <c r="Q791" i="4" a="1"/>
  <c r="Q791" i="4"/>
  <c r="S790" i="4"/>
  <c r="Q790" i="4" a="1"/>
  <c r="Q790" i="4"/>
  <c r="S789" i="4"/>
  <c r="Q789" i="4" a="1"/>
  <c r="Q789" i="4"/>
  <c r="S788" i="4"/>
  <c r="Q788" i="4" a="1"/>
  <c r="Q788" i="4"/>
  <c r="S787" i="4"/>
  <c r="Q787" i="4" a="1"/>
  <c r="Q787" i="4"/>
  <c r="S786" i="4"/>
  <c r="Q786" i="4" a="1"/>
  <c r="Q786" i="4"/>
  <c r="S785" i="4"/>
  <c r="Q785" i="4" a="1"/>
  <c r="Q785" i="4"/>
  <c r="S784" i="4"/>
  <c r="Q784" i="4" a="1"/>
  <c r="Q784" i="4"/>
  <c r="S783" i="4"/>
  <c r="Q783" i="4" a="1"/>
  <c r="Q783" i="4"/>
  <c r="S782" i="4"/>
  <c r="Q782" i="4" a="1"/>
  <c r="Q782" i="4"/>
  <c r="S781" i="4"/>
  <c r="Q781" i="4" a="1"/>
  <c r="Q781" i="4"/>
  <c r="S780" i="4"/>
  <c r="Q780" i="4" a="1"/>
  <c r="Q780" i="4"/>
  <c r="S779" i="4"/>
  <c r="Q779" i="4" a="1"/>
  <c r="Q779" i="4"/>
  <c r="S778" i="4"/>
  <c r="Q778" i="4" a="1"/>
  <c r="Q778" i="4"/>
  <c r="S777" i="4"/>
  <c r="Q777" i="4" a="1"/>
  <c r="Q777" i="4"/>
  <c r="S776" i="4"/>
  <c r="Q776" i="4" a="1"/>
  <c r="Q776" i="4"/>
  <c r="S775" i="4"/>
  <c r="Q775" i="4" a="1"/>
  <c r="Q775" i="4"/>
  <c r="S774" i="4"/>
  <c r="Q774" i="4" a="1"/>
  <c r="Q774" i="4"/>
  <c r="S773" i="4"/>
  <c r="Q773" i="4" a="1"/>
  <c r="Q773" i="4"/>
  <c r="S772" i="4"/>
  <c r="Q772" i="4" a="1"/>
  <c r="Q772" i="4"/>
  <c r="S771" i="4"/>
  <c r="Q771" i="4" a="1"/>
  <c r="Q771" i="4"/>
  <c r="S770" i="4"/>
  <c r="Q770" i="4" a="1"/>
  <c r="Q770" i="4"/>
  <c r="S769" i="4"/>
  <c r="Q769" i="4" a="1"/>
  <c r="Q769" i="4"/>
  <c r="S768" i="4"/>
  <c r="Q768" i="4" a="1"/>
  <c r="Q768" i="4"/>
  <c r="S767" i="4"/>
  <c r="Q767" i="4" a="1"/>
  <c r="Q767" i="4"/>
  <c r="S766" i="4"/>
  <c r="Q766" i="4" a="1"/>
  <c r="Q766" i="4"/>
  <c r="S765" i="4"/>
  <c r="Q765" i="4" a="1"/>
  <c r="Q765" i="4"/>
  <c r="S764" i="4"/>
  <c r="Q764" i="4" a="1"/>
  <c r="Q764" i="4"/>
  <c r="S763" i="4"/>
  <c r="Q763" i="4" a="1"/>
  <c r="Q763" i="4"/>
  <c r="S762" i="4"/>
  <c r="Q762" i="4" a="1"/>
  <c r="Q762" i="4"/>
  <c r="S761" i="4"/>
  <c r="Q761" i="4" a="1"/>
  <c r="Q761" i="4"/>
  <c r="S760" i="4"/>
  <c r="Q760" i="4" a="1"/>
  <c r="Q760" i="4"/>
  <c r="S759" i="4"/>
  <c r="Q759" i="4" a="1"/>
  <c r="Q759" i="4"/>
  <c r="S758" i="4"/>
  <c r="Q758" i="4" a="1"/>
  <c r="Q758" i="4"/>
  <c r="S757" i="4"/>
  <c r="Q757" i="4" a="1"/>
  <c r="Q757" i="4"/>
  <c r="S756" i="4"/>
  <c r="Q756" i="4" a="1"/>
  <c r="Q756" i="4"/>
  <c r="S755" i="4"/>
  <c r="Q755" i="4" a="1"/>
  <c r="Q755" i="4"/>
  <c r="S754" i="4"/>
  <c r="Q754" i="4" a="1"/>
  <c r="Q754" i="4"/>
  <c r="S753" i="4"/>
  <c r="Q753" i="4" a="1"/>
  <c r="Q753" i="4"/>
  <c r="S752" i="4"/>
  <c r="Q752" i="4" a="1"/>
  <c r="Q752" i="4"/>
  <c r="S751" i="4"/>
  <c r="Q751" i="4" a="1"/>
  <c r="Q751" i="4"/>
  <c r="S750" i="4"/>
  <c r="Q750" i="4" a="1"/>
  <c r="Q750" i="4"/>
  <c r="S749" i="4"/>
  <c r="Q749" i="4" a="1"/>
  <c r="Q749" i="4"/>
  <c r="S748" i="4"/>
  <c r="Q748" i="4" a="1"/>
  <c r="Q748" i="4"/>
  <c r="S747" i="4"/>
  <c r="Q747" i="4" a="1"/>
  <c r="Q747" i="4"/>
  <c r="S746" i="4"/>
  <c r="Q746" i="4" a="1"/>
  <c r="Q746" i="4"/>
  <c r="S745" i="4"/>
  <c r="Q745" i="4" a="1"/>
  <c r="Q745" i="4"/>
  <c r="S744" i="4"/>
  <c r="Q744" i="4" a="1"/>
  <c r="Q744" i="4"/>
  <c r="S743" i="4"/>
  <c r="Q743" i="4" a="1"/>
  <c r="Q743" i="4"/>
  <c r="S742" i="4"/>
  <c r="Q742" i="4" a="1"/>
  <c r="Q742" i="4"/>
  <c r="S741" i="4"/>
  <c r="Q741" i="4" a="1"/>
  <c r="Q741" i="4"/>
  <c r="S740" i="4"/>
  <c r="Q740" i="4" a="1"/>
  <c r="Q740" i="4"/>
  <c r="S739" i="4"/>
  <c r="Q739" i="4" a="1"/>
  <c r="Q739" i="4"/>
  <c r="S738" i="4"/>
  <c r="Q738" i="4" a="1"/>
  <c r="Q738" i="4"/>
  <c r="S737" i="4"/>
  <c r="Q737" i="4" a="1"/>
  <c r="Q737" i="4"/>
  <c r="S736" i="4"/>
  <c r="Q736" i="4" a="1"/>
  <c r="Q736" i="4"/>
  <c r="S735" i="4"/>
  <c r="Q735" i="4" a="1"/>
  <c r="Q735" i="4"/>
  <c r="S734" i="4"/>
  <c r="Q734" i="4" a="1"/>
  <c r="Q734" i="4"/>
  <c r="S733" i="4"/>
  <c r="Q733" i="4" a="1"/>
  <c r="Q733" i="4"/>
  <c r="S732" i="4"/>
  <c r="Q732" i="4" a="1"/>
  <c r="Q732" i="4"/>
  <c r="S731" i="4"/>
  <c r="Q731" i="4" a="1"/>
  <c r="Q731" i="4"/>
  <c r="S730" i="4"/>
  <c r="Q730" i="4" a="1"/>
  <c r="Q730" i="4"/>
  <c r="S729" i="4"/>
  <c r="Q729" i="4" a="1"/>
  <c r="Q729" i="4"/>
  <c r="S728" i="4"/>
  <c r="Q728" i="4" a="1"/>
  <c r="Q728" i="4"/>
  <c r="S727" i="4"/>
  <c r="Q727" i="4" a="1"/>
  <c r="Q727" i="4"/>
  <c r="S726" i="4"/>
  <c r="Q726" i="4" a="1"/>
  <c r="Q726" i="4"/>
  <c r="S725" i="4"/>
  <c r="Q725" i="4" a="1"/>
  <c r="Q725" i="4"/>
  <c r="S724" i="4"/>
  <c r="Q724" i="4" a="1"/>
  <c r="Q724" i="4"/>
  <c r="S723" i="4"/>
  <c r="Q723" i="4" a="1"/>
  <c r="Q723" i="4"/>
  <c r="S722" i="4"/>
  <c r="Q722" i="4" a="1"/>
  <c r="Q722" i="4"/>
  <c r="S721" i="4"/>
  <c r="Q721" i="4" a="1"/>
  <c r="Q721" i="4"/>
  <c r="S720" i="4"/>
  <c r="Q720" i="4" a="1"/>
  <c r="Q720" i="4"/>
  <c r="S719" i="4"/>
  <c r="Q719" i="4" a="1"/>
  <c r="Q719" i="4"/>
  <c r="S718" i="4"/>
  <c r="Q718" i="4" a="1"/>
  <c r="Q718" i="4"/>
  <c r="S717" i="4"/>
  <c r="Q717" i="4" a="1"/>
  <c r="Q717" i="4"/>
  <c r="S716" i="4"/>
  <c r="Q716" i="4" a="1"/>
  <c r="Q716" i="4"/>
  <c r="S715" i="4"/>
  <c r="Q715" i="4" a="1"/>
  <c r="Q715" i="4"/>
  <c r="S714" i="4"/>
  <c r="Q714" i="4" a="1"/>
  <c r="Q714" i="4"/>
  <c r="S713" i="4"/>
  <c r="Q713" i="4" a="1"/>
  <c r="Q713" i="4"/>
  <c r="S712" i="4"/>
  <c r="Q712" i="4" a="1"/>
  <c r="Q712" i="4"/>
  <c r="S711" i="4"/>
  <c r="Q711" i="4" a="1"/>
  <c r="Q711" i="4"/>
  <c r="S710" i="4"/>
  <c r="Q710" i="4" a="1"/>
  <c r="Q710" i="4"/>
  <c r="S709" i="4"/>
  <c r="Q709" i="4" a="1"/>
  <c r="Q709" i="4"/>
  <c r="S708" i="4"/>
  <c r="Q708" i="4" a="1"/>
  <c r="Q708" i="4"/>
  <c r="S707" i="4"/>
  <c r="Q707" i="4" a="1"/>
  <c r="Q707" i="4"/>
  <c r="S706" i="4"/>
  <c r="Q706" i="4" a="1"/>
  <c r="Q706" i="4"/>
  <c r="S705" i="4"/>
  <c r="Q705" i="4" a="1"/>
  <c r="Q705" i="4"/>
  <c r="S704" i="4"/>
  <c r="Q704" i="4" a="1"/>
  <c r="Q704" i="4"/>
  <c r="S703" i="4"/>
  <c r="Q703" i="4" a="1"/>
  <c r="Q703" i="4"/>
  <c r="S702" i="4"/>
  <c r="Q702" i="4" a="1"/>
  <c r="Q702" i="4"/>
  <c r="S701" i="4"/>
  <c r="Q701" i="4" a="1"/>
  <c r="Q701" i="4"/>
  <c r="S700" i="4"/>
  <c r="Q700" i="4" a="1"/>
  <c r="Q700" i="4"/>
  <c r="S699" i="4"/>
  <c r="Q699" i="4" a="1"/>
  <c r="Q699" i="4"/>
  <c r="S698" i="4"/>
  <c r="Q698" i="4" a="1"/>
  <c r="Q698" i="4"/>
  <c r="S697" i="4"/>
  <c r="Q697" i="4" a="1"/>
  <c r="Q697" i="4"/>
  <c r="S696" i="4"/>
  <c r="Q696" i="4" a="1"/>
  <c r="Q696" i="4"/>
  <c r="S695" i="4"/>
  <c r="Q695" i="4" a="1"/>
  <c r="Q695" i="4"/>
  <c r="S694" i="4"/>
  <c r="Q694" i="4" a="1"/>
  <c r="Q694" i="4"/>
  <c r="S693" i="4"/>
  <c r="Q693" i="4" a="1"/>
  <c r="Q693" i="4"/>
  <c r="S692" i="4"/>
  <c r="Q692" i="4" a="1"/>
  <c r="Q692" i="4"/>
  <c r="S691" i="4"/>
  <c r="Q691" i="4" a="1"/>
  <c r="Q691" i="4"/>
  <c r="S690" i="4"/>
  <c r="Q690" i="4" a="1"/>
  <c r="Q690" i="4"/>
  <c r="S689" i="4"/>
  <c r="Q689" i="4" a="1"/>
  <c r="Q689" i="4"/>
  <c r="S688" i="4"/>
  <c r="Q688" i="4" a="1"/>
  <c r="Q688" i="4"/>
  <c r="S687" i="4"/>
  <c r="Q687" i="4" a="1"/>
  <c r="Q687" i="4"/>
  <c r="S686" i="4"/>
  <c r="Q686" i="4" a="1"/>
  <c r="Q686" i="4"/>
  <c r="S685" i="4"/>
  <c r="Q685" i="4" a="1"/>
  <c r="Q685" i="4"/>
  <c r="S684" i="4"/>
  <c r="Q684" i="4" a="1"/>
  <c r="Q684" i="4"/>
  <c r="S683" i="4"/>
  <c r="Q683" i="4" a="1"/>
  <c r="Q683" i="4"/>
  <c r="S682" i="4"/>
  <c r="Q682" i="4" a="1"/>
  <c r="Q682" i="4"/>
  <c r="S681" i="4"/>
  <c r="Q681" i="4" a="1"/>
  <c r="Q681" i="4"/>
  <c r="S680" i="4"/>
  <c r="Q680" i="4" a="1"/>
  <c r="Q680" i="4"/>
  <c r="S679" i="4"/>
  <c r="Q679" i="4" a="1"/>
  <c r="Q679" i="4"/>
  <c r="S678" i="4"/>
  <c r="Q678" i="4" a="1"/>
  <c r="Q678" i="4"/>
  <c r="S677" i="4"/>
  <c r="Q677" i="4" a="1"/>
  <c r="Q677" i="4"/>
  <c r="S676" i="4"/>
  <c r="Q676" i="4" a="1"/>
  <c r="Q676" i="4"/>
  <c r="S675" i="4"/>
  <c r="Q675" i="4" a="1"/>
  <c r="Q675" i="4"/>
  <c r="S674" i="4"/>
  <c r="Q674" i="4" a="1"/>
  <c r="Q674" i="4"/>
  <c r="S673" i="4"/>
  <c r="Q673" i="4" a="1"/>
  <c r="Q673" i="4"/>
  <c r="S672" i="4"/>
  <c r="Q672" i="4" a="1"/>
  <c r="Q672" i="4"/>
  <c r="S671" i="4"/>
  <c r="Q671" i="4" a="1"/>
  <c r="Q671" i="4"/>
  <c r="S670" i="4"/>
  <c r="Q670" i="4" a="1"/>
  <c r="Q670" i="4"/>
  <c r="S669" i="4"/>
  <c r="Q669" i="4" a="1"/>
  <c r="Q669" i="4"/>
  <c r="S668" i="4"/>
  <c r="Q668" i="4" a="1"/>
  <c r="Q668" i="4"/>
  <c r="S667" i="4"/>
  <c r="Q667" i="4" a="1"/>
  <c r="Q667" i="4"/>
  <c r="S666" i="4"/>
  <c r="Q666" i="4" a="1"/>
  <c r="Q666" i="4"/>
  <c r="S665" i="4"/>
  <c r="Q665" i="4" a="1"/>
  <c r="Q665" i="4"/>
  <c r="S664" i="4"/>
  <c r="Q664" i="4" a="1"/>
  <c r="Q664" i="4"/>
  <c r="S663" i="4"/>
  <c r="Q663" i="4" a="1"/>
  <c r="Q663" i="4"/>
  <c r="S662" i="4"/>
  <c r="Q662" i="4" a="1"/>
  <c r="Q662" i="4"/>
  <c r="S661" i="4"/>
  <c r="Q661" i="4" a="1"/>
  <c r="Q661" i="4"/>
  <c r="S660" i="4"/>
  <c r="Q660" i="4" a="1"/>
  <c r="Q660" i="4"/>
  <c r="S659" i="4"/>
  <c r="Q659" i="4" a="1"/>
  <c r="Q659" i="4"/>
  <c r="S658" i="4"/>
  <c r="Q658" i="4" a="1"/>
  <c r="Q658" i="4"/>
  <c r="S657" i="4"/>
  <c r="Q657" i="4" a="1"/>
  <c r="Q657" i="4"/>
  <c r="S656" i="4"/>
  <c r="Q656" i="4" a="1"/>
  <c r="Q656" i="4"/>
  <c r="S655" i="4"/>
  <c r="Q655" i="4" a="1"/>
  <c r="Q655" i="4"/>
  <c r="S654" i="4"/>
  <c r="Q654" i="4" a="1"/>
  <c r="Q654" i="4"/>
  <c r="S653" i="4"/>
  <c r="Q653" i="4" a="1"/>
  <c r="Q653" i="4"/>
  <c r="S652" i="4"/>
  <c r="Q652" i="4" a="1"/>
  <c r="Q652" i="4"/>
  <c r="S651" i="4"/>
  <c r="Q651" i="4" a="1"/>
  <c r="Q651" i="4"/>
  <c r="S650" i="4"/>
  <c r="Q650" i="4" a="1"/>
  <c r="Q650" i="4"/>
  <c r="S649" i="4"/>
  <c r="Q649" i="4" a="1"/>
  <c r="Q649" i="4"/>
  <c r="S648" i="4"/>
  <c r="Q648" i="4" a="1"/>
  <c r="Q648" i="4"/>
  <c r="S647" i="4"/>
  <c r="Q647" i="4" a="1"/>
  <c r="Q647" i="4"/>
  <c r="S646" i="4"/>
  <c r="Q646" i="4" a="1"/>
  <c r="Q646" i="4"/>
  <c r="S645" i="4"/>
  <c r="Q645" i="4" a="1"/>
  <c r="Q645" i="4"/>
  <c r="S644" i="4"/>
  <c r="Q644" i="4" a="1"/>
  <c r="Q644" i="4"/>
  <c r="S643" i="4"/>
  <c r="Q643" i="4" a="1"/>
  <c r="Q643" i="4"/>
  <c r="S642" i="4"/>
  <c r="Q642" i="4" a="1"/>
  <c r="Q642" i="4"/>
  <c r="S641" i="4"/>
  <c r="Q641" i="4" a="1"/>
  <c r="Q641" i="4"/>
  <c r="S640" i="4"/>
  <c r="Q640" i="4" a="1"/>
  <c r="Q640" i="4"/>
  <c r="S639" i="4"/>
  <c r="Q639" i="4" a="1"/>
  <c r="Q639" i="4"/>
  <c r="S638" i="4"/>
  <c r="Q638" i="4" a="1"/>
  <c r="Q638" i="4"/>
  <c r="S637" i="4"/>
  <c r="Q637" i="4" a="1"/>
  <c r="Q637" i="4"/>
  <c r="S636" i="4"/>
  <c r="Q636" i="4" a="1"/>
  <c r="Q636" i="4"/>
  <c r="S635" i="4"/>
  <c r="Q635" i="4" a="1"/>
  <c r="Q635" i="4"/>
  <c r="S634" i="4"/>
  <c r="Q634" i="4" a="1"/>
  <c r="Q634" i="4"/>
  <c r="S633" i="4"/>
  <c r="Q633" i="4" a="1"/>
  <c r="Q633" i="4"/>
  <c r="S632" i="4"/>
  <c r="Q632" i="4" a="1"/>
  <c r="Q632" i="4"/>
  <c r="S631" i="4"/>
  <c r="Q631" i="4" a="1"/>
  <c r="Q631" i="4"/>
  <c r="S630" i="4"/>
  <c r="Q630" i="4" a="1"/>
  <c r="Q630" i="4"/>
  <c r="S629" i="4"/>
  <c r="Q629" i="4" a="1"/>
  <c r="Q629" i="4"/>
  <c r="S628" i="4"/>
  <c r="Q628" i="4" a="1"/>
  <c r="Q628" i="4"/>
  <c r="S627" i="4"/>
  <c r="Q627" i="4" a="1"/>
  <c r="Q627" i="4"/>
  <c r="S626" i="4"/>
  <c r="Q626" i="4" a="1"/>
  <c r="Q626" i="4"/>
  <c r="S625" i="4"/>
  <c r="Q625" i="4" a="1"/>
  <c r="Q625" i="4"/>
  <c r="S624" i="4"/>
  <c r="Q624" i="4" a="1"/>
  <c r="Q624" i="4"/>
  <c r="S623" i="4"/>
  <c r="Q623" i="4" a="1"/>
  <c r="Q623" i="4"/>
  <c r="S622" i="4"/>
  <c r="Q622" i="4" a="1"/>
  <c r="Q622" i="4"/>
  <c r="S621" i="4"/>
  <c r="Q621" i="4" a="1"/>
  <c r="Q621" i="4"/>
  <c r="S620" i="4"/>
  <c r="Q620" i="4" a="1"/>
  <c r="Q620" i="4"/>
  <c r="S619" i="4"/>
  <c r="Q619" i="4" a="1"/>
  <c r="Q619" i="4"/>
  <c r="S618" i="4"/>
  <c r="Q618" i="4" a="1"/>
  <c r="Q618" i="4"/>
  <c r="S617" i="4"/>
  <c r="Q617" i="4" a="1"/>
  <c r="Q617" i="4"/>
  <c r="S616" i="4"/>
  <c r="Q616" i="4" a="1"/>
  <c r="Q616" i="4"/>
  <c r="S615" i="4"/>
  <c r="Q615" i="4" a="1"/>
  <c r="Q615" i="4"/>
  <c r="S614" i="4"/>
  <c r="Q614" i="4" a="1"/>
  <c r="Q614" i="4"/>
  <c r="S613" i="4"/>
  <c r="Q613" i="4" a="1"/>
  <c r="Q613" i="4"/>
  <c r="S612" i="4"/>
  <c r="Q612" i="4" a="1"/>
  <c r="Q612" i="4"/>
  <c r="S611" i="4"/>
  <c r="Q611" i="4" a="1"/>
  <c r="Q611" i="4"/>
  <c r="S610" i="4"/>
  <c r="Q610" i="4" a="1"/>
  <c r="Q610" i="4"/>
  <c r="S609" i="4"/>
  <c r="Q609" i="4" a="1"/>
  <c r="Q609" i="4"/>
  <c r="S608" i="4"/>
  <c r="Q608" i="4" a="1"/>
  <c r="Q608" i="4"/>
  <c r="S607" i="4"/>
  <c r="Q607" i="4" a="1"/>
  <c r="Q607" i="4"/>
  <c r="S606" i="4"/>
  <c r="Q606" i="4" a="1"/>
  <c r="Q606" i="4"/>
  <c r="S605" i="4"/>
  <c r="Q605" i="4" a="1"/>
  <c r="Q605" i="4"/>
  <c r="S604" i="4"/>
  <c r="Q604" i="4" a="1"/>
  <c r="Q604" i="4"/>
  <c r="S603" i="4"/>
  <c r="Q603" i="4" a="1"/>
  <c r="Q603" i="4"/>
  <c r="S602" i="4"/>
  <c r="Q602" i="4" a="1"/>
  <c r="Q602" i="4"/>
  <c r="S601" i="4"/>
  <c r="Q601" i="4" a="1"/>
  <c r="Q601" i="4"/>
  <c r="S600" i="4"/>
  <c r="Q600" i="4" a="1"/>
  <c r="Q600" i="4"/>
  <c r="S599" i="4"/>
  <c r="Q599" i="4" a="1"/>
  <c r="Q599" i="4"/>
  <c r="S598" i="4"/>
  <c r="Q598" i="4" a="1"/>
  <c r="Q598" i="4"/>
  <c r="S597" i="4"/>
  <c r="Q597" i="4" a="1"/>
  <c r="Q597" i="4"/>
  <c r="S596" i="4"/>
  <c r="Q596" i="4" a="1"/>
  <c r="Q596" i="4"/>
  <c r="S595" i="4"/>
  <c r="Q595" i="4" a="1"/>
  <c r="Q595" i="4"/>
  <c r="S594" i="4"/>
  <c r="Q594" i="4" a="1"/>
  <c r="Q594" i="4"/>
  <c r="S593" i="4"/>
  <c r="Q593" i="4" a="1"/>
  <c r="Q593" i="4"/>
  <c r="S592" i="4"/>
  <c r="Q592" i="4" a="1"/>
  <c r="Q592" i="4"/>
  <c r="S591" i="4"/>
  <c r="Q591" i="4" a="1"/>
  <c r="Q591" i="4"/>
  <c r="S590" i="4"/>
  <c r="Q590" i="4" a="1"/>
  <c r="Q590" i="4"/>
  <c r="S589" i="4"/>
  <c r="Q589" i="4" a="1"/>
  <c r="Q589" i="4"/>
  <c r="S588" i="4"/>
  <c r="Q588" i="4" a="1"/>
  <c r="Q588" i="4"/>
  <c r="S587" i="4"/>
  <c r="Q587" i="4" a="1"/>
  <c r="Q587" i="4"/>
  <c r="S586" i="4"/>
  <c r="Q586" i="4" a="1"/>
  <c r="Q586" i="4"/>
  <c r="S585" i="4"/>
  <c r="Q585" i="4" a="1"/>
  <c r="Q585" i="4"/>
  <c r="S584" i="4"/>
  <c r="Q584" i="4" a="1"/>
  <c r="Q584" i="4"/>
  <c r="S583" i="4"/>
  <c r="Q583" i="4" a="1"/>
  <c r="Q583" i="4"/>
  <c r="S582" i="4"/>
  <c r="Q582" i="4" a="1"/>
  <c r="Q582" i="4"/>
  <c r="S581" i="4"/>
  <c r="Q581" i="4" a="1"/>
  <c r="Q581" i="4"/>
  <c r="S580" i="4"/>
  <c r="Q580" i="4" a="1"/>
  <c r="Q580" i="4"/>
  <c r="S579" i="4"/>
  <c r="Q579" i="4" a="1"/>
  <c r="Q579" i="4"/>
  <c r="S578" i="4"/>
  <c r="Q578" i="4" a="1"/>
  <c r="Q578" i="4"/>
  <c r="S577" i="4"/>
  <c r="Q577" i="4" a="1"/>
  <c r="Q577" i="4"/>
  <c r="S576" i="4"/>
  <c r="Q576" i="4" a="1"/>
  <c r="Q576" i="4"/>
  <c r="S575" i="4"/>
  <c r="Q575" i="4" a="1"/>
  <c r="Q575" i="4"/>
  <c r="S574" i="4"/>
  <c r="Q574" i="4" a="1"/>
  <c r="Q574" i="4"/>
  <c r="S573" i="4"/>
  <c r="Q573" i="4" a="1"/>
  <c r="Q573" i="4"/>
  <c r="S572" i="4"/>
  <c r="Q572" i="4" a="1"/>
  <c r="Q572" i="4"/>
  <c r="S571" i="4"/>
  <c r="Q571" i="4" a="1"/>
  <c r="Q571" i="4"/>
  <c r="S570" i="4"/>
  <c r="Q570" i="4" a="1"/>
  <c r="Q570" i="4"/>
  <c r="S569" i="4"/>
  <c r="Q569" i="4" a="1"/>
  <c r="Q569" i="4"/>
  <c r="S568" i="4"/>
  <c r="Q568" i="4" a="1"/>
  <c r="Q568" i="4"/>
  <c r="S567" i="4"/>
  <c r="Q567" i="4" a="1"/>
  <c r="Q567" i="4"/>
  <c r="S566" i="4"/>
  <c r="Q566" i="4" a="1"/>
  <c r="Q566" i="4"/>
  <c r="S565" i="4"/>
  <c r="Q565" i="4" a="1"/>
  <c r="Q565" i="4"/>
  <c r="S564" i="4"/>
  <c r="Q564" i="4" a="1"/>
  <c r="Q564" i="4"/>
  <c r="S563" i="4"/>
  <c r="Q563" i="4" a="1"/>
  <c r="Q563" i="4"/>
  <c r="S562" i="4"/>
  <c r="Q562" i="4" a="1"/>
  <c r="Q562" i="4"/>
  <c r="S561" i="4"/>
  <c r="Q561" i="4" a="1"/>
  <c r="Q561" i="4"/>
  <c r="S560" i="4"/>
  <c r="Q560" i="4" a="1"/>
  <c r="Q560" i="4"/>
  <c r="S559" i="4"/>
  <c r="Q559" i="4" a="1"/>
  <c r="Q559" i="4"/>
  <c r="S558" i="4"/>
  <c r="Q558" i="4" a="1"/>
  <c r="Q558" i="4"/>
  <c r="S557" i="4"/>
  <c r="Q557" i="4" a="1"/>
  <c r="Q557" i="4"/>
  <c r="S556" i="4"/>
  <c r="Q556" i="4" a="1"/>
  <c r="Q556" i="4"/>
  <c r="S555" i="4"/>
  <c r="Q555" i="4" a="1"/>
  <c r="Q555" i="4"/>
  <c r="S554" i="4"/>
  <c r="Q554" i="4" a="1"/>
  <c r="Q554" i="4"/>
  <c r="S553" i="4"/>
  <c r="Q553" i="4" a="1"/>
  <c r="Q553" i="4"/>
  <c r="S552" i="4"/>
  <c r="Q552" i="4" a="1"/>
  <c r="Q552" i="4"/>
  <c r="S551" i="4"/>
  <c r="Q551" i="4" a="1"/>
  <c r="Q551" i="4"/>
  <c r="S550" i="4"/>
  <c r="Q550" i="4" a="1"/>
  <c r="Q550" i="4"/>
  <c r="S549" i="4"/>
  <c r="Q549" i="4" a="1"/>
  <c r="Q549" i="4"/>
  <c r="S548" i="4"/>
  <c r="Q548" i="4" a="1"/>
  <c r="Q548" i="4"/>
  <c r="S547" i="4"/>
  <c r="Q547" i="4" a="1"/>
  <c r="Q547" i="4"/>
  <c r="S546" i="4"/>
  <c r="Q546" i="4" a="1"/>
  <c r="Q546" i="4"/>
  <c r="S545" i="4"/>
  <c r="Q545" i="4" a="1"/>
  <c r="Q545" i="4"/>
  <c r="S544" i="4"/>
  <c r="Q544" i="4" a="1"/>
  <c r="Q544" i="4"/>
  <c r="S543" i="4"/>
  <c r="Q543" i="4" a="1"/>
  <c r="Q543" i="4"/>
  <c r="S542" i="4"/>
  <c r="Q542" i="4" a="1"/>
  <c r="Q542" i="4"/>
  <c r="S541" i="4"/>
  <c r="Q541" i="4" a="1"/>
  <c r="Q541" i="4"/>
  <c r="S540" i="4"/>
  <c r="Q540" i="4" a="1"/>
  <c r="Q540" i="4"/>
  <c r="S539" i="4"/>
  <c r="Q539" i="4" a="1"/>
  <c r="Q539" i="4"/>
  <c r="S538" i="4"/>
  <c r="Q538" i="4" a="1"/>
  <c r="Q538" i="4"/>
  <c r="S537" i="4"/>
  <c r="Q537" i="4" a="1"/>
  <c r="Q537" i="4"/>
  <c r="S536" i="4"/>
  <c r="Q536" i="4" a="1"/>
  <c r="Q536" i="4"/>
  <c r="S535" i="4"/>
  <c r="Q535" i="4" a="1"/>
  <c r="Q535" i="4"/>
  <c r="S534" i="4"/>
  <c r="Q534" i="4" a="1"/>
  <c r="Q534" i="4"/>
  <c r="S533" i="4"/>
  <c r="Q533" i="4" a="1"/>
  <c r="Q533" i="4"/>
  <c r="S532" i="4"/>
  <c r="Q532" i="4" a="1"/>
  <c r="Q532" i="4"/>
  <c r="S531" i="4"/>
  <c r="Q531" i="4" a="1"/>
  <c r="Q531" i="4"/>
  <c r="S530" i="4"/>
  <c r="Q530" i="4" a="1"/>
  <c r="Q530" i="4"/>
  <c r="S529" i="4"/>
  <c r="Q529" i="4" a="1"/>
  <c r="Q529" i="4"/>
  <c r="S528" i="4"/>
  <c r="Q528" i="4" a="1"/>
  <c r="Q528" i="4"/>
  <c r="S527" i="4"/>
  <c r="Q527" i="4" a="1"/>
  <c r="Q527" i="4"/>
  <c r="S526" i="4"/>
  <c r="Q526" i="4" a="1"/>
  <c r="Q526" i="4"/>
  <c r="S525" i="4"/>
  <c r="Q525" i="4" a="1"/>
  <c r="Q525" i="4"/>
  <c r="S524" i="4"/>
  <c r="Q524" i="4" a="1"/>
  <c r="Q524" i="4"/>
  <c r="S523" i="4"/>
  <c r="Q523" i="4" a="1"/>
  <c r="Q523" i="4"/>
  <c r="S522" i="4"/>
  <c r="Q522" i="4" a="1"/>
  <c r="Q522" i="4"/>
  <c r="S521" i="4"/>
  <c r="Q521" i="4" a="1"/>
  <c r="Q521" i="4"/>
  <c r="S520" i="4"/>
  <c r="Q520" i="4" a="1"/>
  <c r="Q520" i="4"/>
  <c r="S519" i="4"/>
  <c r="Q519" i="4" a="1"/>
  <c r="Q519" i="4"/>
  <c r="S518" i="4"/>
  <c r="Q518" i="4" a="1"/>
  <c r="Q518" i="4"/>
  <c r="S517" i="4"/>
  <c r="Q517" i="4" a="1"/>
  <c r="Q517" i="4"/>
  <c r="S516" i="4"/>
  <c r="Q516" i="4" a="1"/>
  <c r="Q516" i="4"/>
  <c r="S515" i="4"/>
  <c r="Q515" i="4" a="1"/>
  <c r="Q515" i="4"/>
  <c r="S514" i="4"/>
  <c r="Q514" i="4" a="1"/>
  <c r="Q514" i="4"/>
  <c r="S513" i="4"/>
  <c r="Q513" i="4" a="1"/>
  <c r="Q513" i="4"/>
  <c r="S512" i="4"/>
  <c r="Q512" i="4" a="1"/>
  <c r="Q512" i="4"/>
  <c r="S511" i="4"/>
  <c r="Q511" i="4" a="1"/>
  <c r="Q511" i="4"/>
  <c r="S510" i="4"/>
  <c r="Q510" i="4" a="1"/>
  <c r="Q510" i="4"/>
  <c r="S509" i="4"/>
  <c r="Q509" i="4" a="1"/>
  <c r="Q509" i="4"/>
  <c r="S508" i="4"/>
  <c r="Q508" i="4" a="1"/>
  <c r="Q508" i="4"/>
  <c r="S507" i="4"/>
  <c r="Q507" i="4" a="1"/>
  <c r="Q507" i="4"/>
  <c r="S506" i="4"/>
  <c r="Q506" i="4" a="1"/>
  <c r="Q506" i="4"/>
  <c r="S505" i="4"/>
  <c r="Q505" i="4" a="1"/>
  <c r="Q505" i="4"/>
  <c r="S504" i="4"/>
  <c r="Q504" i="4" a="1"/>
  <c r="Q504" i="4"/>
  <c r="S503" i="4"/>
  <c r="Q503" i="4" a="1"/>
  <c r="Q503" i="4"/>
  <c r="S502" i="4"/>
  <c r="Q502" i="4" a="1"/>
  <c r="Q502" i="4"/>
  <c r="S501" i="4"/>
  <c r="Q501" i="4" a="1"/>
  <c r="Q501" i="4"/>
  <c r="S500" i="4"/>
  <c r="Q500" i="4" a="1"/>
  <c r="Q500" i="4"/>
  <c r="S499" i="4"/>
  <c r="Q499" i="4" a="1"/>
  <c r="Q499" i="4"/>
  <c r="S498" i="4"/>
  <c r="Q498" i="4" a="1"/>
  <c r="Q498" i="4"/>
  <c r="S497" i="4"/>
  <c r="Q497" i="4" a="1"/>
  <c r="Q497" i="4"/>
  <c r="S496" i="4"/>
  <c r="Q496" i="4" a="1"/>
  <c r="Q496" i="4"/>
  <c r="S495" i="4"/>
  <c r="Q495" i="4" a="1"/>
  <c r="Q495" i="4"/>
  <c r="S494" i="4"/>
  <c r="Q494" i="4" a="1"/>
  <c r="Q494" i="4"/>
  <c r="S493" i="4"/>
  <c r="Q493" i="4" a="1"/>
  <c r="Q493" i="4"/>
  <c r="S492" i="4"/>
  <c r="Q492" i="4" a="1"/>
  <c r="Q492" i="4"/>
  <c r="S491" i="4"/>
  <c r="Q491" i="4" a="1"/>
  <c r="Q491" i="4"/>
  <c r="S490" i="4"/>
  <c r="Q490" i="4" a="1"/>
  <c r="Q490" i="4"/>
  <c r="S489" i="4"/>
  <c r="Q489" i="4" a="1"/>
  <c r="Q489" i="4"/>
  <c r="S488" i="4"/>
  <c r="Q488" i="4" a="1"/>
  <c r="Q488" i="4"/>
  <c r="S487" i="4"/>
  <c r="Q487" i="4" a="1"/>
  <c r="Q487" i="4"/>
  <c r="S486" i="4"/>
  <c r="Q486" i="4" a="1"/>
  <c r="Q486" i="4"/>
  <c r="S485" i="4"/>
  <c r="Q485" i="4" a="1"/>
  <c r="Q485" i="4"/>
  <c r="S484" i="4"/>
  <c r="Q484" i="4" a="1"/>
  <c r="Q484" i="4"/>
  <c r="S483" i="4"/>
  <c r="Q483" i="4" a="1"/>
  <c r="Q483" i="4"/>
  <c r="S482" i="4"/>
  <c r="Q482" i="4" a="1"/>
  <c r="Q482" i="4"/>
  <c r="S481" i="4"/>
  <c r="Q481" i="4" a="1"/>
  <c r="Q481" i="4"/>
  <c r="S480" i="4"/>
  <c r="Q480" i="4" a="1"/>
  <c r="Q480" i="4"/>
  <c r="S479" i="4"/>
  <c r="Q479" i="4" a="1"/>
  <c r="Q479" i="4"/>
  <c r="S478" i="4"/>
  <c r="Q478" i="4" a="1"/>
  <c r="Q478" i="4"/>
  <c r="S477" i="4"/>
  <c r="Q477" i="4" a="1"/>
  <c r="Q477" i="4"/>
  <c r="S476" i="4"/>
  <c r="Q476" i="4" a="1"/>
  <c r="Q476" i="4"/>
  <c r="S475" i="4"/>
  <c r="Q475" i="4" a="1"/>
  <c r="Q475" i="4"/>
  <c r="S474" i="4"/>
  <c r="Q474" i="4" a="1"/>
  <c r="Q474" i="4"/>
  <c r="S473" i="4"/>
  <c r="Q473" i="4" a="1"/>
  <c r="Q473" i="4"/>
  <c r="S472" i="4"/>
  <c r="Q472" i="4" a="1"/>
  <c r="Q472" i="4"/>
  <c r="S471" i="4"/>
  <c r="Q471" i="4" a="1"/>
  <c r="Q471" i="4"/>
  <c r="S470" i="4"/>
  <c r="Q470" i="4" a="1"/>
  <c r="Q470" i="4"/>
  <c r="S469" i="4"/>
  <c r="Q469" i="4" a="1"/>
  <c r="Q469" i="4"/>
  <c r="S468" i="4"/>
  <c r="Q468" i="4" a="1"/>
  <c r="Q468" i="4"/>
  <c r="S467" i="4"/>
  <c r="Q467" i="4" a="1"/>
  <c r="Q467" i="4"/>
  <c r="S466" i="4"/>
  <c r="Q466" i="4" a="1"/>
  <c r="Q466" i="4"/>
  <c r="S465" i="4"/>
  <c r="Q465" i="4" a="1"/>
  <c r="Q465" i="4"/>
  <c r="S464" i="4"/>
  <c r="Q464" i="4" a="1"/>
  <c r="Q464" i="4"/>
  <c r="S463" i="4"/>
  <c r="Q463" i="4" a="1"/>
  <c r="Q463" i="4"/>
  <c r="S462" i="4"/>
  <c r="Q462" i="4" a="1"/>
  <c r="Q462" i="4"/>
  <c r="S461" i="4"/>
  <c r="Q461" i="4" a="1"/>
  <c r="Q461" i="4"/>
  <c r="S460" i="4"/>
  <c r="Q460" i="4" a="1"/>
  <c r="Q460" i="4"/>
  <c r="S459" i="4"/>
  <c r="Q459" i="4" a="1"/>
  <c r="Q459" i="4"/>
  <c r="S458" i="4"/>
  <c r="Q458" i="4" a="1"/>
  <c r="Q458" i="4"/>
  <c r="S457" i="4"/>
  <c r="Q457" i="4" a="1"/>
  <c r="Q457" i="4"/>
  <c r="S456" i="4"/>
  <c r="Q456" i="4" a="1"/>
  <c r="Q456" i="4"/>
  <c r="S455" i="4"/>
  <c r="Q455" i="4" a="1"/>
  <c r="Q455" i="4"/>
  <c r="S454" i="4"/>
  <c r="Q454" i="4" a="1"/>
  <c r="Q454" i="4"/>
  <c r="S453" i="4"/>
  <c r="Q453" i="4" a="1"/>
  <c r="Q453" i="4"/>
  <c r="S452" i="4"/>
  <c r="Q452" i="4" a="1"/>
  <c r="Q452" i="4"/>
  <c r="S451" i="4"/>
  <c r="Q451" i="4" a="1"/>
  <c r="Q451" i="4"/>
  <c r="S450" i="4"/>
  <c r="Q450" i="4" a="1"/>
  <c r="Q450" i="4"/>
  <c r="S449" i="4"/>
  <c r="Q449" i="4" a="1"/>
  <c r="Q449" i="4"/>
  <c r="S448" i="4"/>
  <c r="Q448" i="4" a="1"/>
  <c r="Q448" i="4"/>
  <c r="S447" i="4"/>
  <c r="Q447" i="4" a="1"/>
  <c r="Q447" i="4"/>
  <c r="S446" i="4"/>
  <c r="Q446" i="4" a="1"/>
  <c r="Q446" i="4"/>
  <c r="S445" i="4"/>
  <c r="Q445" i="4" a="1"/>
  <c r="Q445" i="4"/>
  <c r="S444" i="4"/>
  <c r="Q444" i="4" a="1"/>
  <c r="Q444" i="4"/>
  <c r="S443" i="4"/>
  <c r="Q443" i="4" a="1"/>
  <c r="Q443" i="4"/>
  <c r="S442" i="4"/>
  <c r="Q442" i="4" a="1"/>
  <c r="Q442" i="4"/>
  <c r="S441" i="4"/>
  <c r="Q441" i="4" a="1"/>
  <c r="Q441" i="4"/>
  <c r="S440" i="4"/>
  <c r="Q440" i="4" a="1"/>
  <c r="Q440" i="4"/>
  <c r="S439" i="4"/>
  <c r="Q439" i="4" a="1"/>
  <c r="Q439" i="4"/>
  <c r="S438" i="4"/>
  <c r="Q438" i="4" a="1"/>
  <c r="Q438" i="4"/>
  <c r="S437" i="4"/>
  <c r="Q437" i="4" a="1"/>
  <c r="Q437" i="4"/>
  <c r="S436" i="4"/>
  <c r="Q436" i="4" a="1"/>
  <c r="Q436" i="4"/>
  <c r="S435" i="4"/>
  <c r="Q435" i="4" a="1"/>
  <c r="Q435" i="4"/>
  <c r="S434" i="4"/>
  <c r="Q434" i="4" a="1"/>
  <c r="Q434" i="4"/>
  <c r="S433" i="4"/>
  <c r="Q433" i="4" a="1"/>
  <c r="Q433" i="4"/>
  <c r="S432" i="4"/>
  <c r="Q432" i="4" a="1"/>
  <c r="Q432" i="4"/>
  <c r="S431" i="4"/>
  <c r="Q431" i="4" a="1"/>
  <c r="Q431" i="4"/>
  <c r="S430" i="4"/>
  <c r="Q430" i="4" a="1"/>
  <c r="Q430" i="4"/>
  <c r="S429" i="4"/>
  <c r="Q429" i="4" a="1"/>
  <c r="Q429" i="4"/>
  <c r="S428" i="4"/>
  <c r="Q428" i="4" a="1"/>
  <c r="Q428" i="4"/>
  <c r="S427" i="4"/>
  <c r="Q427" i="4" a="1"/>
  <c r="Q427" i="4"/>
  <c r="S426" i="4"/>
  <c r="Q426" i="4" a="1"/>
  <c r="Q426" i="4"/>
  <c r="S425" i="4"/>
  <c r="Q425" i="4" a="1"/>
  <c r="Q425" i="4"/>
  <c r="S424" i="4"/>
  <c r="Q424" i="4" a="1"/>
  <c r="Q424" i="4"/>
  <c r="S423" i="4"/>
  <c r="Q423" i="4" a="1"/>
  <c r="Q423" i="4"/>
  <c r="S422" i="4"/>
  <c r="Q422" i="4" a="1"/>
  <c r="Q422" i="4"/>
  <c r="S421" i="4"/>
  <c r="Q421" i="4" a="1"/>
  <c r="Q421" i="4"/>
  <c r="S420" i="4"/>
  <c r="Q420" i="4" a="1"/>
  <c r="Q420" i="4"/>
  <c r="S419" i="4"/>
  <c r="Q419" i="4" a="1"/>
  <c r="Q419" i="4"/>
  <c r="S418" i="4"/>
  <c r="Q418" i="4" a="1"/>
  <c r="Q418" i="4"/>
  <c r="S417" i="4"/>
  <c r="Q417" i="4" a="1"/>
  <c r="Q417" i="4"/>
  <c r="S416" i="4"/>
  <c r="Q416" i="4" a="1"/>
  <c r="Q416" i="4"/>
  <c r="S415" i="4"/>
  <c r="Q415" i="4" a="1"/>
  <c r="Q415" i="4"/>
  <c r="S414" i="4"/>
  <c r="Q414" i="4" a="1"/>
  <c r="Q414" i="4"/>
  <c r="S413" i="4"/>
  <c r="Q413" i="4" a="1"/>
  <c r="Q413" i="4"/>
  <c r="S412" i="4"/>
  <c r="Q412" i="4" a="1"/>
  <c r="Q412" i="4"/>
  <c r="S411" i="4"/>
  <c r="Q411" i="4" a="1"/>
  <c r="Q411" i="4"/>
  <c r="S410" i="4"/>
  <c r="Q410" i="4" a="1"/>
  <c r="Q410" i="4"/>
  <c r="S409" i="4"/>
  <c r="Q409" i="4" a="1"/>
  <c r="Q409" i="4"/>
  <c r="S408" i="4"/>
  <c r="Q408" i="4" a="1"/>
  <c r="Q408" i="4"/>
  <c r="S407" i="4"/>
  <c r="Q407" i="4" a="1"/>
  <c r="Q407" i="4"/>
  <c r="S406" i="4"/>
  <c r="Q406" i="4" a="1"/>
  <c r="Q406" i="4"/>
  <c r="S405" i="4"/>
  <c r="Q405" i="4" a="1"/>
  <c r="Q405" i="4"/>
  <c r="S404" i="4"/>
  <c r="Q404" i="4" a="1"/>
  <c r="Q404" i="4"/>
  <c r="S403" i="4"/>
  <c r="Q403" i="4" a="1"/>
  <c r="Q403" i="4"/>
  <c r="S402" i="4"/>
  <c r="Q402" i="4" a="1"/>
  <c r="Q402" i="4"/>
  <c r="S401" i="4"/>
  <c r="Q401" i="4" a="1"/>
  <c r="Q401" i="4"/>
  <c r="S400" i="4"/>
  <c r="Q400" i="4" a="1"/>
  <c r="Q400" i="4"/>
  <c r="S399" i="4"/>
  <c r="Q399" i="4" a="1"/>
  <c r="Q399" i="4"/>
  <c r="S398" i="4"/>
  <c r="Q398" i="4" a="1"/>
  <c r="Q398" i="4"/>
  <c r="S397" i="4"/>
  <c r="Q397" i="4" a="1"/>
  <c r="Q397" i="4"/>
  <c r="S396" i="4"/>
  <c r="Q396" i="4" a="1"/>
  <c r="Q396" i="4"/>
  <c r="S395" i="4"/>
  <c r="Q395" i="4" a="1"/>
  <c r="Q395" i="4"/>
  <c r="S394" i="4"/>
  <c r="Q394" i="4" a="1"/>
  <c r="Q394" i="4"/>
  <c r="S393" i="4"/>
  <c r="Q393" i="4" a="1"/>
  <c r="Q393" i="4"/>
  <c r="S392" i="4"/>
  <c r="Q392" i="4" a="1"/>
  <c r="Q392" i="4"/>
  <c r="S391" i="4"/>
  <c r="Q391" i="4" a="1"/>
  <c r="Q391" i="4"/>
  <c r="S390" i="4"/>
  <c r="Q390" i="4" a="1"/>
  <c r="Q390" i="4"/>
  <c r="S389" i="4"/>
  <c r="Q389" i="4" a="1"/>
  <c r="Q389" i="4"/>
  <c r="S388" i="4"/>
  <c r="Q388" i="4" a="1"/>
  <c r="Q388" i="4"/>
  <c r="S387" i="4"/>
  <c r="Q387" i="4" a="1"/>
  <c r="Q387" i="4"/>
  <c r="S386" i="4"/>
  <c r="Q386" i="4" a="1"/>
  <c r="Q386" i="4"/>
  <c r="S385" i="4"/>
  <c r="Q385" i="4" a="1"/>
  <c r="Q385" i="4"/>
  <c r="S384" i="4"/>
  <c r="Q384" i="4" a="1"/>
  <c r="Q384" i="4"/>
  <c r="S383" i="4"/>
  <c r="Q383" i="4" a="1"/>
  <c r="Q383" i="4"/>
  <c r="S382" i="4"/>
  <c r="Q382" i="4" a="1"/>
  <c r="Q382" i="4"/>
  <c r="S381" i="4"/>
  <c r="Q381" i="4" a="1"/>
  <c r="Q381" i="4"/>
  <c r="S380" i="4"/>
  <c r="Q380" i="4" a="1"/>
  <c r="Q380" i="4"/>
  <c r="S379" i="4"/>
  <c r="Q379" i="4" a="1"/>
  <c r="Q379" i="4"/>
  <c r="S378" i="4"/>
  <c r="Q378" i="4" a="1"/>
  <c r="Q378" i="4"/>
  <c r="S377" i="4"/>
  <c r="Q377" i="4" a="1"/>
  <c r="Q377" i="4"/>
  <c r="S376" i="4"/>
  <c r="Q376" i="4" a="1"/>
  <c r="Q376" i="4"/>
  <c r="S375" i="4"/>
  <c r="Q375" i="4" a="1"/>
  <c r="Q375" i="4"/>
  <c r="S374" i="4"/>
  <c r="Q374" i="4" a="1"/>
  <c r="Q374" i="4"/>
  <c r="S373" i="4"/>
  <c r="Q373" i="4" a="1"/>
  <c r="Q373" i="4"/>
  <c r="S372" i="4"/>
  <c r="Q372" i="4" a="1"/>
  <c r="Q372" i="4"/>
  <c r="S371" i="4"/>
  <c r="Q371" i="4" a="1"/>
  <c r="Q371" i="4"/>
  <c r="S370" i="4"/>
  <c r="Q370" i="4" a="1"/>
  <c r="Q370" i="4"/>
  <c r="S369" i="4"/>
  <c r="Q369" i="4" a="1"/>
  <c r="Q369" i="4"/>
  <c r="S368" i="4"/>
  <c r="Q368" i="4" a="1"/>
  <c r="Q368" i="4"/>
  <c r="S367" i="4"/>
  <c r="Q367" i="4" a="1"/>
  <c r="Q367" i="4"/>
  <c r="S366" i="4"/>
  <c r="Q366" i="4" a="1"/>
  <c r="Q366" i="4"/>
  <c r="S365" i="4"/>
  <c r="Q365" i="4" a="1"/>
  <c r="Q365" i="4"/>
  <c r="S364" i="4"/>
  <c r="Q364" i="4" a="1"/>
  <c r="Q364" i="4"/>
  <c r="S363" i="4"/>
  <c r="Q363" i="4" a="1"/>
  <c r="Q363" i="4"/>
  <c r="S362" i="4"/>
  <c r="Q362" i="4" a="1"/>
  <c r="Q362" i="4"/>
  <c r="S361" i="4"/>
  <c r="Q361" i="4" a="1"/>
  <c r="Q361" i="4"/>
  <c r="S360" i="4"/>
  <c r="Q360" i="4" a="1"/>
  <c r="Q360" i="4"/>
  <c r="S359" i="4"/>
  <c r="Q359" i="4" a="1"/>
  <c r="Q359" i="4"/>
  <c r="S358" i="4"/>
  <c r="Q358" i="4" a="1"/>
  <c r="Q358" i="4"/>
  <c r="S357" i="4"/>
  <c r="Q357" i="4" a="1"/>
  <c r="Q357" i="4"/>
  <c r="S356" i="4"/>
  <c r="Q356" i="4" a="1"/>
  <c r="Q356" i="4"/>
  <c r="S355" i="4"/>
  <c r="Q355" i="4" a="1"/>
  <c r="Q355" i="4"/>
  <c r="S354" i="4"/>
  <c r="Q354" i="4" a="1"/>
  <c r="Q354" i="4"/>
  <c r="S353" i="4"/>
  <c r="Q353" i="4" a="1"/>
  <c r="Q353" i="4"/>
  <c r="S352" i="4"/>
  <c r="Q352" i="4" a="1"/>
  <c r="Q352" i="4"/>
  <c r="S351" i="4"/>
  <c r="Q351" i="4" a="1"/>
  <c r="Q351" i="4"/>
  <c r="S350" i="4"/>
  <c r="Q350" i="4" a="1"/>
  <c r="Q350" i="4"/>
  <c r="S349" i="4"/>
  <c r="Q349" i="4" a="1"/>
  <c r="Q349" i="4"/>
  <c r="S348" i="4"/>
  <c r="Q348" i="4" a="1"/>
  <c r="Q348" i="4"/>
  <c r="S347" i="4"/>
  <c r="Q347" i="4" a="1"/>
  <c r="Q347" i="4"/>
  <c r="S346" i="4"/>
  <c r="Q346" i="4" a="1"/>
  <c r="Q346" i="4"/>
  <c r="S345" i="4"/>
  <c r="Q345" i="4" a="1"/>
  <c r="Q345" i="4"/>
  <c r="S344" i="4"/>
  <c r="Q344" i="4" a="1"/>
  <c r="Q344" i="4"/>
  <c r="S343" i="4"/>
  <c r="Q343" i="4" a="1"/>
  <c r="Q343" i="4"/>
  <c r="S342" i="4"/>
  <c r="Q342" i="4" a="1"/>
  <c r="Q342" i="4"/>
  <c r="S341" i="4"/>
  <c r="Q341" i="4" a="1"/>
  <c r="Q341" i="4"/>
  <c r="S340" i="4"/>
  <c r="Q340" i="4" a="1"/>
  <c r="Q340" i="4"/>
  <c r="S339" i="4"/>
  <c r="Q339" i="4" a="1"/>
  <c r="Q339" i="4"/>
  <c r="S338" i="4"/>
  <c r="Q338" i="4" a="1"/>
  <c r="Q338" i="4"/>
  <c r="S337" i="4"/>
  <c r="Q337" i="4" a="1"/>
  <c r="Q337" i="4"/>
  <c r="S336" i="4"/>
  <c r="Q336" i="4" a="1"/>
  <c r="Q336" i="4"/>
  <c r="S335" i="4"/>
  <c r="Q335" i="4" a="1"/>
  <c r="Q335" i="4"/>
  <c r="S334" i="4"/>
  <c r="Q334" i="4" a="1"/>
  <c r="Q334" i="4"/>
  <c r="S333" i="4"/>
  <c r="Q333" i="4" a="1"/>
  <c r="Q333" i="4"/>
  <c r="S332" i="4"/>
  <c r="Q332" i="4" a="1"/>
  <c r="Q332" i="4"/>
  <c r="S331" i="4"/>
  <c r="Q331" i="4" a="1"/>
  <c r="Q331" i="4"/>
  <c r="S330" i="4"/>
  <c r="Q330" i="4" a="1"/>
  <c r="Q330" i="4"/>
  <c r="S329" i="4"/>
  <c r="Q329" i="4" a="1"/>
  <c r="Q329" i="4"/>
  <c r="S328" i="4"/>
  <c r="Q328" i="4" a="1"/>
  <c r="Q328" i="4"/>
  <c r="S327" i="4"/>
  <c r="Q327" i="4" a="1"/>
  <c r="Q327" i="4"/>
  <c r="S326" i="4"/>
  <c r="Q326" i="4" a="1"/>
  <c r="Q326" i="4"/>
  <c r="S325" i="4"/>
  <c r="Q325" i="4" a="1"/>
  <c r="Q325" i="4"/>
  <c r="S324" i="4"/>
  <c r="Q324" i="4" a="1"/>
  <c r="Q324" i="4"/>
  <c r="S323" i="4"/>
  <c r="Q323" i="4" a="1"/>
  <c r="Q323" i="4"/>
  <c r="S322" i="4"/>
  <c r="Q322" i="4" a="1"/>
  <c r="Q322" i="4"/>
  <c r="S321" i="4"/>
  <c r="Q321" i="4" a="1"/>
  <c r="Q321" i="4"/>
  <c r="S320" i="4"/>
  <c r="Q320" i="4" a="1"/>
  <c r="Q320" i="4"/>
  <c r="S319" i="4"/>
  <c r="Q319" i="4" a="1"/>
  <c r="Q319" i="4"/>
  <c r="S318" i="4"/>
  <c r="Q318" i="4" a="1"/>
  <c r="Q318" i="4"/>
  <c r="S317" i="4"/>
  <c r="Q317" i="4" a="1"/>
  <c r="Q317" i="4"/>
  <c r="S316" i="4"/>
  <c r="Q316" i="4" a="1"/>
  <c r="Q316" i="4"/>
  <c r="S315" i="4"/>
  <c r="Q315" i="4" a="1"/>
  <c r="Q315" i="4"/>
  <c r="S314" i="4"/>
  <c r="Q314" i="4" a="1"/>
  <c r="Q314" i="4"/>
  <c r="S313" i="4"/>
  <c r="Q313" i="4" a="1"/>
  <c r="Q313" i="4"/>
  <c r="S312" i="4"/>
  <c r="Q312" i="4" a="1"/>
  <c r="Q312" i="4"/>
  <c r="S311" i="4"/>
  <c r="Q311" i="4" a="1"/>
  <c r="Q311" i="4"/>
  <c r="S310" i="4"/>
  <c r="Q310" i="4" a="1"/>
  <c r="Q310" i="4"/>
  <c r="S309" i="4"/>
  <c r="Q309" i="4" a="1"/>
  <c r="Q309" i="4"/>
  <c r="S308" i="4"/>
  <c r="Q308" i="4" a="1"/>
  <c r="Q308" i="4"/>
  <c r="S307" i="4"/>
  <c r="Q307" i="4" a="1"/>
  <c r="Q307" i="4"/>
  <c r="S306" i="4"/>
  <c r="Q306" i="4" a="1"/>
  <c r="Q306" i="4"/>
  <c r="S305" i="4"/>
  <c r="Q305" i="4" a="1"/>
  <c r="Q305" i="4"/>
  <c r="S304" i="4"/>
  <c r="Q304" i="4" a="1"/>
  <c r="Q304" i="4"/>
  <c r="S303" i="4"/>
  <c r="Q303" i="4" a="1"/>
  <c r="Q303" i="4"/>
  <c r="S302" i="4"/>
  <c r="Q302" i="4" a="1"/>
  <c r="Q302" i="4"/>
  <c r="S301" i="4"/>
  <c r="Q301" i="4" a="1"/>
  <c r="Q301" i="4"/>
  <c r="S300" i="4"/>
  <c r="Q300" i="4" a="1"/>
  <c r="Q300" i="4"/>
  <c r="S299" i="4"/>
  <c r="Q299" i="4" a="1"/>
  <c r="Q299" i="4"/>
  <c r="S298" i="4"/>
  <c r="Q298" i="4" a="1"/>
  <c r="Q298" i="4"/>
  <c r="S297" i="4"/>
  <c r="Q297" i="4" a="1"/>
  <c r="Q297" i="4"/>
  <c r="S296" i="4"/>
  <c r="Q296" i="4" a="1"/>
  <c r="Q296" i="4"/>
  <c r="S295" i="4"/>
  <c r="Q295" i="4" a="1"/>
  <c r="Q295" i="4"/>
  <c r="S294" i="4"/>
  <c r="Q294" i="4" a="1"/>
  <c r="Q294" i="4"/>
  <c r="S293" i="4"/>
  <c r="Q293" i="4" a="1"/>
  <c r="Q293" i="4"/>
  <c r="S292" i="4"/>
  <c r="Q292" i="4" a="1"/>
  <c r="Q292" i="4"/>
  <c r="S291" i="4"/>
  <c r="Q291" i="4" a="1"/>
  <c r="Q291" i="4"/>
  <c r="S290" i="4"/>
  <c r="Q290" i="4" a="1"/>
  <c r="Q290" i="4"/>
  <c r="S289" i="4"/>
  <c r="Q289" i="4" a="1"/>
  <c r="Q289" i="4"/>
  <c r="S288" i="4"/>
  <c r="Q288" i="4" a="1"/>
  <c r="Q288" i="4"/>
  <c r="S287" i="4"/>
  <c r="Q287" i="4" a="1"/>
  <c r="Q287" i="4"/>
  <c r="S286" i="4"/>
  <c r="Q286" i="4" a="1"/>
  <c r="Q286" i="4"/>
  <c r="S285" i="4"/>
  <c r="Q285" i="4" a="1"/>
  <c r="Q285" i="4"/>
  <c r="S284" i="4"/>
  <c r="Q284" i="4" a="1"/>
  <c r="Q284" i="4"/>
  <c r="S283" i="4"/>
  <c r="Q283" i="4" a="1"/>
  <c r="Q283" i="4"/>
  <c r="S282" i="4"/>
  <c r="Q282" i="4" a="1"/>
  <c r="Q282" i="4"/>
  <c r="S281" i="4"/>
  <c r="Q281" i="4" a="1"/>
  <c r="Q281" i="4"/>
  <c r="S280" i="4"/>
  <c r="Q280" i="4" a="1"/>
  <c r="Q280" i="4"/>
  <c r="S279" i="4"/>
  <c r="Q279" i="4" a="1"/>
  <c r="Q279" i="4"/>
  <c r="S278" i="4"/>
  <c r="Q278" i="4" a="1"/>
  <c r="Q278" i="4"/>
  <c r="S277" i="4"/>
  <c r="Q277" i="4" a="1"/>
  <c r="Q277" i="4"/>
  <c r="S276" i="4"/>
  <c r="Q276" i="4" a="1"/>
  <c r="Q276" i="4"/>
  <c r="S275" i="4"/>
  <c r="Q275" i="4" a="1"/>
  <c r="Q275" i="4"/>
  <c r="S274" i="4"/>
  <c r="Q274" i="4" a="1"/>
  <c r="Q274" i="4"/>
  <c r="S273" i="4"/>
  <c r="Q273" i="4" a="1"/>
  <c r="Q273" i="4"/>
  <c r="S272" i="4"/>
  <c r="Q272" i="4" a="1"/>
  <c r="Q272" i="4"/>
  <c r="S271" i="4"/>
  <c r="Q271" i="4" a="1"/>
  <c r="Q271" i="4"/>
  <c r="S270" i="4"/>
  <c r="Q270" i="4" a="1"/>
  <c r="Q270" i="4"/>
  <c r="S269" i="4"/>
  <c r="Q269" i="4" a="1"/>
  <c r="Q269" i="4"/>
  <c r="S268" i="4"/>
  <c r="Q268" i="4" a="1"/>
  <c r="Q268" i="4"/>
  <c r="S267" i="4"/>
  <c r="Q267" i="4" a="1"/>
  <c r="Q267" i="4"/>
  <c r="S266" i="4"/>
  <c r="Q266" i="4" a="1"/>
  <c r="Q266" i="4"/>
  <c r="S265" i="4"/>
  <c r="Q265" i="4" a="1"/>
  <c r="Q265" i="4"/>
  <c r="S264" i="4"/>
  <c r="Q264" i="4" a="1"/>
  <c r="Q264" i="4"/>
  <c r="S263" i="4"/>
  <c r="Q263" i="4" a="1"/>
  <c r="Q263" i="4"/>
  <c r="S262" i="4"/>
  <c r="Q262" i="4" a="1"/>
  <c r="Q262" i="4"/>
  <c r="S261" i="4"/>
  <c r="Q261" i="4" a="1"/>
  <c r="Q261" i="4"/>
  <c r="S260" i="4"/>
  <c r="Q260" i="4" a="1"/>
  <c r="Q260" i="4"/>
  <c r="S259" i="4"/>
  <c r="Q259" i="4" a="1"/>
  <c r="Q259" i="4"/>
  <c r="S258" i="4"/>
  <c r="Q258" i="4" a="1"/>
  <c r="Q258" i="4"/>
  <c r="S257" i="4"/>
  <c r="Q257" i="4" a="1"/>
  <c r="Q257" i="4"/>
  <c r="S256" i="4"/>
  <c r="Q256" i="4" a="1"/>
  <c r="Q256" i="4"/>
  <c r="S255" i="4"/>
  <c r="Q255" i="4" a="1"/>
  <c r="Q255" i="4"/>
  <c r="S254" i="4"/>
  <c r="Q254" i="4" a="1"/>
  <c r="Q254" i="4"/>
  <c r="S253" i="4"/>
  <c r="Q253" i="4" a="1"/>
  <c r="Q253" i="4"/>
  <c r="S252" i="4"/>
  <c r="Q252" i="4" a="1"/>
  <c r="Q252" i="4"/>
  <c r="S251" i="4"/>
  <c r="Q251" i="4" a="1"/>
  <c r="Q251" i="4"/>
  <c r="S250" i="4"/>
  <c r="Q250" i="4" a="1"/>
  <c r="Q250" i="4"/>
  <c r="S249" i="4"/>
  <c r="Q249" i="4" a="1"/>
  <c r="Q249" i="4"/>
  <c r="S248" i="4"/>
  <c r="Q248" i="4" a="1"/>
  <c r="Q248" i="4"/>
  <c r="S247" i="4"/>
  <c r="Q247" i="4" a="1"/>
  <c r="Q247" i="4"/>
  <c r="S246" i="4"/>
  <c r="Q246" i="4" a="1"/>
  <c r="Q246" i="4"/>
  <c r="S245" i="4"/>
  <c r="Q245" i="4" a="1"/>
  <c r="Q245" i="4"/>
  <c r="S244" i="4"/>
  <c r="Q244" i="4" a="1"/>
  <c r="Q244" i="4"/>
  <c r="S243" i="4"/>
  <c r="Q243" i="4" a="1"/>
  <c r="Q243" i="4"/>
  <c r="S242" i="4"/>
  <c r="Q242" i="4" a="1"/>
  <c r="Q242" i="4"/>
  <c r="S241" i="4"/>
  <c r="Q241" i="4" a="1"/>
  <c r="Q241" i="4"/>
  <c r="S240" i="4"/>
  <c r="Q240" i="4" a="1"/>
  <c r="Q240" i="4"/>
  <c r="S239" i="4"/>
  <c r="Q239" i="4" a="1"/>
  <c r="Q239" i="4"/>
  <c r="S238" i="4"/>
  <c r="Q238" i="4" a="1"/>
  <c r="Q238" i="4"/>
  <c r="S237" i="4"/>
  <c r="Q237" i="4" a="1"/>
  <c r="Q237" i="4"/>
  <c r="S236" i="4"/>
  <c r="Q236" i="4" a="1"/>
  <c r="Q236" i="4"/>
  <c r="S235" i="4"/>
  <c r="Q235" i="4" a="1"/>
  <c r="Q235" i="4"/>
  <c r="S234" i="4"/>
  <c r="Q234" i="4" a="1"/>
  <c r="Q234" i="4"/>
  <c r="S233" i="4"/>
  <c r="Q233" i="4" a="1"/>
  <c r="Q233" i="4"/>
  <c r="S232" i="4"/>
  <c r="Q232" i="4" a="1"/>
  <c r="Q232" i="4"/>
  <c r="S231" i="4"/>
  <c r="Q231" i="4" a="1"/>
  <c r="Q231" i="4"/>
  <c r="S230" i="4"/>
  <c r="Q230" i="4" a="1"/>
  <c r="Q230" i="4"/>
  <c r="S229" i="4"/>
  <c r="Q229" i="4" a="1"/>
  <c r="Q229" i="4"/>
  <c r="S228" i="4"/>
  <c r="Q228" i="4" a="1"/>
  <c r="Q228" i="4"/>
  <c r="S227" i="4"/>
  <c r="Q227" i="4" a="1"/>
  <c r="Q227" i="4"/>
  <c r="S226" i="4"/>
  <c r="Q226" i="4" a="1"/>
  <c r="Q226" i="4"/>
  <c r="S225" i="4"/>
  <c r="Q225" i="4" a="1"/>
  <c r="Q225" i="4"/>
  <c r="S224" i="4"/>
  <c r="Q224" i="4" a="1"/>
  <c r="Q224" i="4"/>
  <c r="S223" i="4"/>
  <c r="Q223" i="4" a="1"/>
  <c r="Q223" i="4"/>
  <c r="S222" i="4"/>
  <c r="Q222" i="4" a="1"/>
  <c r="Q222" i="4"/>
  <c r="S221" i="4"/>
  <c r="Q221" i="4" a="1"/>
  <c r="Q221" i="4"/>
  <c r="S220" i="4"/>
  <c r="Q220" i="4" a="1"/>
  <c r="Q220" i="4"/>
  <c r="S219" i="4"/>
  <c r="Q219" i="4" a="1"/>
  <c r="Q219" i="4"/>
  <c r="S218" i="4"/>
  <c r="Q218" i="4" a="1"/>
  <c r="Q218" i="4"/>
  <c r="S217" i="4"/>
  <c r="Q217" i="4" a="1"/>
  <c r="Q217" i="4"/>
  <c r="S216" i="4"/>
  <c r="Q216" i="4" a="1"/>
  <c r="Q216" i="4"/>
  <c r="S215" i="4"/>
  <c r="Q215" i="4" a="1"/>
  <c r="Q215" i="4"/>
  <c r="S214" i="4"/>
  <c r="Q214" i="4" a="1"/>
  <c r="Q214" i="4"/>
  <c r="S213" i="4"/>
  <c r="Q213" i="4" a="1"/>
  <c r="Q213" i="4"/>
  <c r="S212" i="4"/>
  <c r="Q212" i="4" a="1"/>
  <c r="Q212" i="4"/>
  <c r="S211" i="4"/>
  <c r="Q211" i="4" a="1"/>
  <c r="Q211" i="4"/>
  <c r="S210" i="4"/>
  <c r="Q210" i="4" a="1"/>
  <c r="Q210" i="4"/>
  <c r="S209" i="4"/>
  <c r="Q209" i="4" a="1"/>
  <c r="Q209" i="4"/>
  <c r="S208" i="4"/>
  <c r="Q208" i="4" a="1"/>
  <c r="Q208" i="4"/>
  <c r="S207" i="4"/>
  <c r="Q207" i="4" a="1"/>
  <c r="Q207" i="4"/>
  <c r="S206" i="4"/>
  <c r="Q206" i="4" a="1"/>
  <c r="Q206" i="4"/>
  <c r="S205" i="4"/>
  <c r="Q205" i="4" a="1"/>
  <c r="Q205" i="4"/>
  <c r="S204" i="4"/>
  <c r="Q204" i="4" a="1"/>
  <c r="Q204" i="4"/>
  <c r="S203" i="4"/>
  <c r="Q203" i="4" a="1"/>
  <c r="Q203" i="4"/>
  <c r="S202" i="4"/>
  <c r="Q202" i="4" a="1"/>
  <c r="Q202" i="4"/>
  <c r="S201" i="4"/>
  <c r="Q201" i="4" a="1"/>
  <c r="Q201" i="4"/>
  <c r="S200" i="4"/>
  <c r="Q200" i="4" a="1"/>
  <c r="Q200" i="4"/>
  <c r="S199" i="4"/>
  <c r="Q199" i="4" a="1"/>
  <c r="Q199" i="4"/>
  <c r="S198" i="4"/>
  <c r="Q198" i="4" a="1"/>
  <c r="Q198" i="4"/>
  <c r="S197" i="4"/>
  <c r="Q197" i="4" a="1"/>
  <c r="Q197" i="4"/>
  <c r="S196" i="4"/>
  <c r="Q196" i="4" a="1"/>
  <c r="Q196" i="4"/>
  <c r="S195" i="4"/>
  <c r="Q195" i="4" a="1"/>
  <c r="Q195" i="4"/>
  <c r="S194" i="4"/>
  <c r="Q194" i="4" a="1"/>
  <c r="Q194" i="4"/>
  <c r="S193" i="4"/>
  <c r="Q193" i="4" a="1"/>
  <c r="Q193" i="4"/>
  <c r="S192" i="4"/>
  <c r="Q192" i="4" a="1"/>
  <c r="Q192" i="4"/>
  <c r="S191" i="4"/>
  <c r="Q191" i="4" a="1"/>
  <c r="Q191" i="4"/>
  <c r="S190" i="4"/>
  <c r="Q190" i="4" a="1"/>
  <c r="Q190" i="4"/>
  <c r="S189" i="4"/>
  <c r="Q189" i="4" a="1"/>
  <c r="Q189" i="4"/>
  <c r="S188" i="4"/>
  <c r="Q188" i="4" a="1"/>
  <c r="Q188" i="4"/>
  <c r="S187" i="4"/>
  <c r="Q187" i="4" a="1"/>
  <c r="Q187" i="4"/>
  <c r="S186" i="4"/>
  <c r="Q186" i="4" a="1"/>
  <c r="Q186" i="4"/>
  <c r="S185" i="4"/>
  <c r="Q185" i="4" a="1"/>
  <c r="Q185" i="4"/>
  <c r="S184" i="4"/>
  <c r="Q184" i="4" a="1"/>
  <c r="Q184" i="4"/>
  <c r="S183" i="4"/>
  <c r="Q183" i="4" a="1"/>
  <c r="Q183" i="4"/>
  <c r="S182" i="4"/>
  <c r="Q182" i="4" a="1"/>
  <c r="Q182" i="4"/>
  <c r="S181" i="4"/>
  <c r="Q181" i="4" a="1"/>
  <c r="Q181" i="4"/>
  <c r="S180" i="4"/>
  <c r="Q180" i="4" a="1"/>
  <c r="Q180" i="4"/>
  <c r="S179" i="4"/>
  <c r="Q179" i="4" a="1"/>
  <c r="Q179" i="4"/>
  <c r="S178" i="4"/>
  <c r="Q178" i="4" a="1"/>
  <c r="Q178" i="4"/>
  <c r="S177" i="4"/>
  <c r="Q177" i="4" a="1"/>
  <c r="Q177" i="4"/>
  <c r="S176" i="4"/>
  <c r="Q176" i="4" a="1"/>
  <c r="Q176" i="4"/>
  <c r="S175" i="4"/>
  <c r="Q175" i="4" a="1"/>
  <c r="Q175" i="4"/>
  <c r="S174" i="4"/>
  <c r="Q174" i="4" a="1"/>
  <c r="Q174" i="4"/>
  <c r="S173" i="4"/>
  <c r="Q173" i="4" a="1"/>
  <c r="Q173" i="4"/>
  <c r="S172" i="4"/>
  <c r="Q172" i="4" a="1"/>
  <c r="Q172" i="4"/>
  <c r="S171" i="4"/>
  <c r="Q171" i="4" a="1"/>
  <c r="Q171" i="4"/>
  <c r="S170" i="4"/>
  <c r="Q170" i="4" a="1"/>
  <c r="Q170" i="4"/>
  <c r="S169" i="4"/>
  <c r="Q169" i="4" a="1"/>
  <c r="Q169" i="4"/>
  <c r="S168" i="4"/>
  <c r="Q168" i="4" a="1"/>
  <c r="Q168" i="4"/>
  <c r="S167" i="4"/>
  <c r="Q167" i="4" a="1"/>
  <c r="Q167" i="4"/>
  <c r="S166" i="4"/>
  <c r="Q166" i="4" a="1"/>
  <c r="Q166" i="4"/>
  <c r="S165" i="4"/>
  <c r="Q165" i="4" a="1"/>
  <c r="Q165" i="4"/>
  <c r="S164" i="4"/>
  <c r="Q164" i="4" a="1"/>
  <c r="Q164" i="4"/>
  <c r="S163" i="4"/>
  <c r="Q163" i="4" a="1"/>
  <c r="Q163" i="4"/>
  <c r="S162" i="4"/>
  <c r="Q162" i="4" a="1"/>
  <c r="Q162" i="4"/>
  <c r="S161" i="4"/>
  <c r="Q161" i="4" a="1"/>
  <c r="Q161" i="4"/>
  <c r="S160" i="4"/>
  <c r="Q160" i="4" a="1"/>
  <c r="Q160" i="4"/>
  <c r="S159" i="4"/>
  <c r="Q159" i="4" a="1"/>
  <c r="Q159" i="4"/>
  <c r="S158" i="4"/>
  <c r="Q158" i="4" a="1"/>
  <c r="Q158" i="4"/>
  <c r="S157" i="4"/>
  <c r="Q157" i="4" a="1"/>
  <c r="Q157" i="4"/>
  <c r="S156" i="4"/>
  <c r="Q156" i="4" a="1"/>
  <c r="Q156" i="4"/>
  <c r="S155" i="4"/>
  <c r="Q155" i="4" a="1"/>
  <c r="Q155" i="4"/>
  <c r="S154" i="4"/>
  <c r="Q154" i="4" a="1"/>
  <c r="Q154" i="4"/>
  <c r="S153" i="4"/>
  <c r="Q153" i="4" a="1"/>
  <c r="Q153" i="4"/>
  <c r="S152" i="4"/>
  <c r="Q152" i="4" a="1"/>
  <c r="Q152" i="4"/>
  <c r="S151" i="4"/>
  <c r="Q151" i="4" a="1"/>
  <c r="Q151" i="4"/>
  <c r="S150" i="4"/>
  <c r="Q150" i="4" a="1"/>
  <c r="Q150" i="4"/>
  <c r="S149" i="4"/>
  <c r="Q149" i="4" a="1"/>
  <c r="Q149" i="4"/>
  <c r="S148" i="4"/>
  <c r="Q148" i="4" a="1"/>
  <c r="Q148" i="4"/>
  <c r="S147" i="4"/>
  <c r="Q147" i="4" a="1"/>
  <c r="Q147" i="4"/>
  <c r="S146" i="4"/>
  <c r="Q146" i="4" a="1"/>
  <c r="Q146" i="4"/>
  <c r="S145" i="4"/>
  <c r="Q145" i="4" a="1"/>
  <c r="Q145" i="4"/>
  <c r="S144" i="4"/>
  <c r="Q144" i="4" a="1"/>
  <c r="Q144" i="4"/>
  <c r="S143" i="4"/>
  <c r="Q143" i="4" a="1"/>
  <c r="Q143" i="4"/>
  <c r="S142" i="4"/>
  <c r="Q142" i="4" a="1"/>
  <c r="Q142" i="4"/>
  <c r="S141" i="4"/>
  <c r="Q141" i="4" a="1"/>
  <c r="Q141" i="4"/>
  <c r="S140" i="4"/>
  <c r="Q140" i="4" a="1"/>
  <c r="Q140" i="4"/>
  <c r="S139" i="4"/>
  <c r="Q139" i="4" a="1"/>
  <c r="Q139" i="4"/>
  <c r="S138" i="4"/>
  <c r="Q138" i="4" a="1"/>
  <c r="Q138" i="4"/>
  <c r="S137" i="4"/>
  <c r="Q137" i="4" a="1"/>
  <c r="Q137" i="4"/>
  <c r="S136" i="4"/>
  <c r="Q136" i="4" a="1"/>
  <c r="Q136" i="4"/>
  <c r="S135" i="4"/>
  <c r="Q135" i="4" a="1"/>
  <c r="Q135" i="4"/>
  <c r="S134" i="4"/>
  <c r="Q134" i="4" a="1"/>
  <c r="Q134" i="4"/>
  <c r="S133" i="4"/>
  <c r="Q133" i="4" a="1"/>
  <c r="Q133" i="4"/>
  <c r="S132" i="4"/>
  <c r="Q132" i="4" a="1"/>
  <c r="Q132" i="4"/>
  <c r="S131" i="4"/>
  <c r="Q131" i="4" a="1"/>
  <c r="Q131" i="4"/>
  <c r="S130" i="4"/>
  <c r="Q130" i="4" a="1"/>
  <c r="Q130" i="4"/>
  <c r="S129" i="4"/>
  <c r="Q129" i="4" a="1"/>
  <c r="Q129" i="4"/>
  <c r="S128" i="4"/>
  <c r="Q128" i="4" a="1"/>
  <c r="Q128" i="4"/>
  <c r="S127" i="4"/>
  <c r="Q127" i="4" a="1"/>
  <c r="Q127" i="4"/>
  <c r="S126" i="4"/>
  <c r="Q126" i="4" a="1"/>
  <c r="Q126" i="4"/>
  <c r="S125" i="4"/>
  <c r="Q125" i="4" a="1"/>
  <c r="Q125" i="4"/>
  <c r="S124" i="4"/>
  <c r="Q124" i="4" a="1"/>
  <c r="Q124" i="4"/>
  <c r="S123" i="4"/>
  <c r="Q123" i="4" a="1"/>
  <c r="Q123" i="4"/>
  <c r="S122" i="4"/>
  <c r="Q122" i="4" a="1"/>
  <c r="Q122" i="4"/>
  <c r="S121" i="4"/>
  <c r="Q121" i="4" a="1"/>
  <c r="Q121" i="4"/>
  <c r="S120" i="4"/>
  <c r="Q120" i="4" a="1"/>
  <c r="Q120" i="4"/>
  <c r="S119" i="4"/>
  <c r="Q119" i="4" a="1"/>
  <c r="Q119" i="4"/>
  <c r="S118" i="4"/>
  <c r="Q118" i="4" a="1"/>
  <c r="Q118" i="4"/>
  <c r="S117" i="4"/>
  <c r="Q117" i="4" a="1"/>
  <c r="Q117" i="4"/>
  <c r="S116" i="4"/>
  <c r="Q116" i="4" a="1"/>
  <c r="Q116" i="4"/>
  <c r="S115" i="4"/>
  <c r="Q115" i="4" a="1"/>
  <c r="Q115" i="4"/>
  <c r="S114" i="4"/>
  <c r="Q114" i="4" a="1"/>
  <c r="Q114" i="4"/>
  <c r="S113" i="4"/>
  <c r="Q113" i="4" a="1"/>
  <c r="Q113" i="4"/>
  <c r="S112" i="4"/>
  <c r="Q112" i="4" a="1"/>
  <c r="Q112" i="4"/>
  <c r="S111" i="4"/>
  <c r="Q111" i="4" a="1"/>
  <c r="Q111" i="4"/>
  <c r="S110" i="4"/>
  <c r="Q110" i="4" a="1"/>
  <c r="Q110" i="4"/>
  <c r="S109" i="4"/>
  <c r="Q109" i="4" a="1"/>
  <c r="Q109" i="4"/>
  <c r="S108" i="4"/>
  <c r="Q108" i="4" a="1"/>
  <c r="Q108" i="4"/>
  <c r="S107" i="4"/>
  <c r="Q107" i="4" a="1"/>
  <c r="Q107" i="4"/>
  <c r="S106" i="4"/>
  <c r="Q106" i="4" a="1"/>
  <c r="Q106" i="4"/>
  <c r="S105" i="4"/>
  <c r="Q105" i="4" a="1"/>
  <c r="Q105" i="4"/>
  <c r="S104" i="4"/>
  <c r="Q104" i="4" a="1"/>
  <c r="Q104" i="4"/>
  <c r="S103" i="4"/>
  <c r="Q103" i="4" a="1"/>
  <c r="Q103" i="4"/>
  <c r="S102" i="4"/>
  <c r="Q102" i="4" a="1"/>
  <c r="Q102" i="4"/>
  <c r="S101" i="4"/>
  <c r="Q101" i="4" a="1"/>
  <c r="Q101" i="4"/>
  <c r="S100" i="4"/>
  <c r="Q100" i="4" a="1"/>
  <c r="Q100" i="4"/>
  <c r="S99" i="4"/>
  <c r="Q99" i="4" a="1"/>
  <c r="Q99" i="4"/>
  <c r="S98" i="4"/>
  <c r="Q98" i="4" a="1"/>
  <c r="Q98" i="4"/>
  <c r="S97" i="4"/>
  <c r="Q97" i="4" a="1"/>
  <c r="Q97" i="4"/>
  <c r="S96" i="4"/>
  <c r="Q96" i="4" a="1"/>
  <c r="Q96" i="4"/>
  <c r="S95" i="4"/>
  <c r="Q95" i="4" a="1"/>
  <c r="Q95" i="4"/>
  <c r="S94" i="4"/>
  <c r="Q94" i="4" a="1"/>
  <c r="Q94" i="4"/>
  <c r="S93" i="4"/>
  <c r="Q93" i="4" a="1"/>
  <c r="Q93" i="4"/>
  <c r="S92" i="4"/>
  <c r="Q92" i="4" a="1"/>
  <c r="Q92" i="4"/>
  <c r="S91" i="4"/>
  <c r="Q91" i="4" a="1"/>
  <c r="Q91" i="4"/>
  <c r="S90" i="4"/>
  <c r="Q90" i="4" a="1"/>
  <c r="Q90" i="4"/>
  <c r="S89" i="4"/>
  <c r="Q89" i="4" a="1"/>
  <c r="Q89" i="4"/>
  <c r="S88" i="4"/>
  <c r="Q88" i="4" a="1"/>
  <c r="Q88" i="4"/>
  <c r="S87" i="4"/>
  <c r="Q87" i="4" a="1"/>
  <c r="Q87" i="4"/>
  <c r="S86" i="4"/>
  <c r="Q86" i="4" a="1"/>
  <c r="Q86" i="4"/>
  <c r="S85" i="4"/>
  <c r="Q85" i="4" a="1"/>
  <c r="Q85" i="4"/>
  <c r="S84" i="4"/>
  <c r="Q84" i="4" a="1"/>
  <c r="Q84" i="4"/>
  <c r="S83" i="4"/>
  <c r="Q83" i="4" a="1"/>
  <c r="Q83" i="4"/>
  <c r="S82" i="4"/>
  <c r="Q82" i="4" a="1"/>
  <c r="Q82" i="4"/>
  <c r="S81" i="4"/>
  <c r="Q81" i="4" a="1"/>
  <c r="Q81" i="4"/>
  <c r="S80" i="4"/>
  <c r="Q80" i="4" a="1"/>
  <c r="Q80" i="4"/>
  <c r="S79" i="4"/>
  <c r="Q79" i="4" a="1"/>
  <c r="Q79" i="4"/>
  <c r="S78" i="4"/>
  <c r="Q78" i="4" a="1"/>
  <c r="Q78" i="4"/>
  <c r="S77" i="4"/>
  <c r="Q77" i="4" a="1"/>
  <c r="Q77" i="4"/>
  <c r="S76" i="4"/>
  <c r="Q76" i="4" a="1"/>
  <c r="Q76" i="4"/>
  <c r="S75" i="4"/>
  <c r="Q75" i="4" a="1"/>
  <c r="Q75" i="4"/>
  <c r="S74" i="4"/>
  <c r="Q74" i="4" a="1"/>
  <c r="Q74" i="4"/>
  <c r="S73" i="4"/>
  <c r="Q73" i="4" a="1"/>
  <c r="Q73" i="4"/>
  <c r="S72" i="4"/>
  <c r="Q72" i="4" a="1"/>
  <c r="Q72" i="4"/>
  <c r="S71" i="4"/>
  <c r="Q71" i="4" a="1"/>
  <c r="Q71" i="4"/>
  <c r="S70" i="4"/>
  <c r="Q70" i="4" a="1"/>
  <c r="Q70" i="4"/>
  <c r="S69" i="4"/>
  <c r="Q69" i="4" a="1"/>
  <c r="Q69" i="4"/>
  <c r="S68" i="4"/>
  <c r="Q68" i="4" a="1"/>
  <c r="Q68" i="4"/>
  <c r="S67" i="4"/>
  <c r="Q67" i="4" a="1"/>
  <c r="Q67" i="4"/>
  <c r="S66" i="4"/>
  <c r="Q66" i="4" a="1"/>
  <c r="Q66" i="4"/>
  <c r="S65" i="4"/>
  <c r="Q65" i="4" a="1"/>
  <c r="Q65" i="4"/>
  <c r="S64" i="4"/>
  <c r="Q64" i="4" a="1"/>
  <c r="Q64" i="4"/>
  <c r="S63" i="4"/>
  <c r="Q63" i="4" a="1"/>
  <c r="Q63" i="4"/>
  <c r="S62" i="4"/>
  <c r="Q62" i="4" a="1"/>
  <c r="Q62" i="4"/>
  <c r="S61" i="4"/>
  <c r="Q61" i="4" a="1"/>
  <c r="Q61" i="4"/>
  <c r="S60" i="4"/>
  <c r="Q60" i="4" a="1"/>
  <c r="Q60" i="4"/>
  <c r="S59" i="4"/>
  <c r="Q59" i="4" a="1"/>
  <c r="Q59" i="4"/>
  <c r="S58" i="4"/>
  <c r="Q58" i="4" a="1"/>
  <c r="Q58" i="4"/>
  <c r="S57" i="4"/>
  <c r="Q57" i="4" a="1"/>
  <c r="Q57" i="4"/>
  <c r="S56" i="4"/>
  <c r="Q56" i="4" a="1"/>
  <c r="Q56" i="4"/>
  <c r="S55" i="4"/>
  <c r="Q55" i="4" a="1"/>
  <c r="Q55" i="4"/>
  <c r="S54" i="4"/>
  <c r="Q54" i="4" a="1"/>
  <c r="Q54" i="4"/>
  <c r="S53" i="4"/>
  <c r="Q53" i="4" a="1"/>
  <c r="Q53" i="4"/>
  <c r="S52" i="4"/>
  <c r="Q52" i="4" a="1"/>
  <c r="Q52" i="4"/>
  <c r="S51" i="4"/>
  <c r="Q51" i="4" a="1"/>
  <c r="Q51" i="4"/>
  <c r="S50" i="4"/>
  <c r="Q50" i="4" a="1"/>
  <c r="Q50" i="4"/>
  <c r="S49" i="4"/>
  <c r="Q49" i="4" a="1"/>
  <c r="Q49" i="4"/>
  <c r="S48" i="4"/>
  <c r="Q48" i="4" a="1"/>
  <c r="Q48" i="4"/>
  <c r="S47" i="4"/>
  <c r="Q47" i="4" a="1"/>
  <c r="Q47" i="4"/>
  <c r="S46" i="4"/>
  <c r="Q46" i="4" a="1"/>
  <c r="Q46" i="4"/>
  <c r="S45" i="4"/>
  <c r="Q45" i="4" a="1"/>
  <c r="Q45" i="4"/>
  <c r="S44" i="4"/>
  <c r="Q44" i="4" a="1"/>
  <c r="Q44" i="4"/>
  <c r="S43" i="4"/>
  <c r="Q43" i="4" a="1"/>
  <c r="Q43" i="4"/>
  <c r="S42" i="4"/>
  <c r="Q42" i="4" a="1"/>
  <c r="Q42" i="4"/>
  <c r="S41" i="4"/>
  <c r="Q41" i="4" a="1"/>
  <c r="Q41" i="4"/>
  <c r="S40" i="4"/>
  <c r="Q40" i="4" a="1"/>
  <c r="Q40" i="4"/>
  <c r="S39" i="4"/>
  <c r="Q39" i="4" a="1"/>
  <c r="Q39" i="4"/>
  <c r="S38" i="4"/>
  <c r="Q38" i="4" a="1"/>
  <c r="Q38" i="4"/>
  <c r="S37" i="4"/>
  <c r="Q37" i="4" a="1"/>
  <c r="Q37" i="4"/>
  <c r="S36" i="4"/>
  <c r="Q36" i="4" a="1"/>
  <c r="Q36" i="4"/>
  <c r="S35" i="4"/>
  <c r="Q35" i="4" a="1"/>
  <c r="Q35" i="4"/>
  <c r="S34" i="4"/>
  <c r="Q34" i="4" a="1"/>
  <c r="Q34" i="4"/>
  <c r="S33" i="4"/>
  <c r="Q33" i="4" a="1"/>
  <c r="Q33" i="4"/>
  <c r="S32" i="4"/>
  <c r="Q32" i="4" a="1"/>
  <c r="Q32" i="4"/>
  <c r="S31" i="4"/>
  <c r="Q31" i="4" a="1"/>
  <c r="Q31" i="4"/>
  <c r="S30" i="4"/>
  <c r="Q30" i="4" a="1"/>
  <c r="Q30" i="4"/>
  <c r="S29" i="4"/>
  <c r="Q29" i="4" a="1"/>
  <c r="Q29" i="4"/>
  <c r="S28" i="4"/>
  <c r="Q28" i="4" a="1"/>
  <c r="Q28" i="4"/>
  <c r="S27" i="4"/>
  <c r="Q27" i="4" a="1"/>
  <c r="Q27" i="4"/>
  <c r="S26" i="4"/>
  <c r="Q26" i="4" a="1"/>
  <c r="Q26" i="4"/>
  <c r="S25" i="4"/>
  <c r="Q25" i="4" a="1"/>
  <c r="Q25" i="4"/>
  <c r="S24" i="4"/>
  <c r="Q24" i="4" a="1"/>
  <c r="Q24" i="4"/>
  <c r="S23" i="4"/>
  <c r="Q23" i="4" a="1"/>
  <c r="Q23" i="4"/>
  <c r="S22" i="4"/>
  <c r="Q22" i="4" a="1"/>
  <c r="Q22" i="4"/>
  <c r="S21" i="4"/>
  <c r="Q21" i="4" a="1"/>
  <c r="Q21" i="4"/>
  <c r="S20" i="4"/>
  <c r="Q20" i="4" a="1"/>
  <c r="Q20" i="4"/>
  <c r="S19" i="4"/>
  <c r="Q19" i="4" a="1"/>
  <c r="Q19" i="4"/>
  <c r="S18" i="4"/>
  <c r="Q18" i="4" a="1"/>
  <c r="Q18" i="4"/>
  <c r="S17" i="4"/>
  <c r="Q17" i="4" a="1"/>
  <c r="Q17" i="4"/>
  <c r="S16" i="4"/>
  <c r="Q16" i="4" a="1"/>
  <c r="Q16" i="4"/>
  <c r="S15" i="4"/>
  <c r="Q15" i="4" a="1"/>
  <c r="Q15" i="4"/>
  <c r="S14" i="4"/>
  <c r="Q14" i="4" a="1"/>
  <c r="Q14" i="4"/>
  <c r="S13" i="4"/>
  <c r="Q13" i="4" a="1"/>
  <c r="Q13" i="4"/>
  <c r="S12" i="4"/>
  <c r="Q12" i="4" a="1"/>
  <c r="Q12" i="4"/>
  <c r="S11" i="4"/>
  <c r="Q11" i="4" a="1"/>
  <c r="Q11" i="4"/>
  <c r="S10" i="4"/>
  <c r="Q10" i="4" a="1"/>
  <c r="Q10" i="4"/>
  <c r="S9" i="4"/>
  <c r="Q9" i="4" a="1"/>
  <c r="Q9" i="4"/>
  <c r="S8" i="4"/>
  <c r="Q8" i="4" a="1"/>
  <c r="Q8" i="4"/>
  <c r="S7" i="4"/>
  <c r="Q7" i="4" a="1"/>
  <c r="Q7" i="4"/>
  <c r="S6" i="4"/>
  <c r="Q6" i="4" a="1"/>
  <c r="Q6" i="4"/>
  <c r="S5" i="4"/>
  <c r="Q5" i="4" a="1"/>
  <c r="Q5" i="4"/>
  <c r="S4" i="4"/>
  <c r="Q4" i="4" a="1"/>
  <c r="Q4" i="4"/>
  <c r="S3" i="4"/>
  <c r="Q3" i="4" a="1"/>
  <c r="Q3" i="4"/>
  <c r="S2" i="4"/>
  <c r="Q2" i="4" a="1"/>
  <c r="Q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Ecommerce_Sales_Dataset_updated.xlsx!customer" type="5" refreshedVersion="2" saveData="1">
    <dbPr connection="" command=""/>
  </connection>
  <connection id="2" xr16:uid="{00000000-0015-0000-FFFF-FFFF01000000}" name="WorksheetConnection_Ecommerce_Sales_Dataset_updated.xlsx!product" type="5" refreshedVersion="2" saveData="1">
    <dbPr connection="" command=""/>
  </connection>
  <connection id="3" xr16:uid="{00000000-0015-0000-FFFF-FFFF02000000}" name="WorksheetConnection_Ecommerce_Sales_Dataset_updated.xlsx!sales" type="5" refreshedVersion="2" saveData="1">
    <dbPr connection="" command=""/>
  </connection>
  <connection id="4" xr16:uid="{00000000-0015-0000-FFFF-FFFF03000000}" name="WorksheetConnection_Ecommerce_Sales_Dataset_updated.xlsx!store" type="5" refreshedVersion="2" saveData="1">
    <dbPr connection="" command="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<sst xmlns="http://schemas.openxmlformats.org/spreadsheetml/2006/main" count="34215" uniqueCount="3947">
  <si>
    <t>Sales_ID</t>
  </si>
  <si>
    <t>Order_Date</t>
  </si>
  <si>
    <t>Customer_ID</t>
  </si>
  <si>
    <t>Product_ID</t>
  </si>
  <si>
    <t>Store_ID</t>
  </si>
  <si>
    <t>Quantity</t>
  </si>
  <si>
    <t>Payment_Type</t>
  </si>
  <si>
    <t>Age</t>
  </si>
  <si>
    <t>Gender</t>
  </si>
  <si>
    <t>State</t>
  </si>
  <si>
    <t>Loyalty_Level</t>
  </si>
  <si>
    <t>Product_Brand</t>
  </si>
  <si>
    <t>Category</t>
  </si>
  <si>
    <t>Discount</t>
  </si>
  <si>
    <t>Unit_Price</t>
  </si>
  <si>
    <t>Cost</t>
  </si>
  <si>
    <t>Region</t>
  </si>
  <si>
    <t>Store_Type</t>
  </si>
  <si>
    <t>Total_Amount</t>
  </si>
  <si>
    <t>SALE0</t>
  </si>
  <si>
    <t>CUST1409</t>
  </si>
  <si>
    <t>PROD97</t>
  </si>
  <si>
    <t>STORE3</t>
  </si>
  <si>
    <t>Credit Card</t>
  </si>
  <si>
    <t>Male</t>
  </si>
  <si>
    <t>Wyoming</t>
  </si>
  <si>
    <t>Gold</t>
  </si>
  <si>
    <t>Cricket Bat - Khan Llc</t>
  </si>
  <si>
    <t>Sports</t>
  </si>
  <si>
    <t>SALE1</t>
  </si>
  <si>
    <t>CUST1467</t>
  </si>
  <si>
    <t>PROD74</t>
  </si>
  <si>
    <t>STORE17</t>
  </si>
  <si>
    <t>PayPal</t>
  </si>
  <si>
    <t>Female</t>
  </si>
  <si>
    <t>Vermont</t>
  </si>
  <si>
    <t>Bluetooth Car Audio System - Bruce-Bowen</t>
  </si>
  <si>
    <t>Electronics</t>
  </si>
  <si>
    <t>Column</t>
  </si>
  <si>
    <t>Solution</t>
  </si>
  <si>
    <t>SALE2</t>
  </si>
  <si>
    <t>CUST1056</t>
  </si>
  <si>
    <t>PROD49</t>
  </si>
  <si>
    <t>STORE8</t>
  </si>
  <si>
    <t>Pennsylvania</t>
  </si>
  <si>
    <t>Men'S Roll-On Perfume - Sullivan And Sons</t>
  </si>
  <si>
    <t>Beauty</t>
  </si>
  <si>
    <t>SALE3</t>
  </si>
  <si>
    <t>CUST1346</t>
  </si>
  <si>
    <t>PROD76</t>
  </si>
  <si>
    <t>COD</t>
  </si>
  <si>
    <t>Tennessee</t>
  </si>
  <si>
    <t>Platinum</t>
  </si>
  <si>
    <t>Wireless Mouse - Larson Ltd</t>
  </si>
  <si>
    <r>
      <rPr>
        <sz val="11"/>
        <color theme="1"/>
        <rFont val="Calibri"/>
        <charset val="134"/>
        <scheme val="minor"/>
      </rPr>
      <t xml:space="preserve">The Missing Values Arranged with Use </t>
    </r>
    <r>
      <rPr>
        <b/>
        <sz val="11"/>
        <color theme="1"/>
        <rFont val="Calibri"/>
        <charset val="134"/>
        <scheme val="minor"/>
      </rPr>
      <t>Median</t>
    </r>
  </si>
  <si>
    <t>SALE4</t>
  </si>
  <si>
    <t>CUST1493</t>
  </si>
  <si>
    <t>PROD59</t>
  </si>
  <si>
    <t>STORE5</t>
  </si>
  <si>
    <t>Alabama</t>
  </si>
  <si>
    <t>Silver</t>
  </si>
  <si>
    <t>Men'S Hair Styling Gel - Cline-Mccarthy</t>
  </si>
  <si>
    <t>MEDIAN(F2:F2000)</t>
  </si>
  <si>
    <t>SALE5</t>
  </si>
  <si>
    <t>CUST1116</t>
  </si>
  <si>
    <t>PROD15</t>
  </si>
  <si>
    <t>STORE7</t>
  </si>
  <si>
    <t>Rhode Island</t>
  </si>
  <si>
    <t>4K Home Projector - Thomas Llc</t>
  </si>
  <si>
    <t>SALE6</t>
  </si>
  <si>
    <t>CUST1016</t>
  </si>
  <si>
    <t>PROD56</t>
  </si>
  <si>
    <t>STORE4</t>
  </si>
  <si>
    <t>Bronze</t>
  </si>
  <si>
    <t>Premium Blanket Throw - Hernandez, Kennedy And Porter</t>
  </si>
  <si>
    <t>Home</t>
  </si>
  <si>
    <t xml:space="preserve">Using to Find </t>
  </si>
  <si>
    <t>SALE7</t>
  </si>
  <si>
    <t>CUST1152</t>
  </si>
  <si>
    <t>PROD70</t>
  </si>
  <si>
    <t>Missouri</t>
  </si>
  <si>
    <t>Kitchen Storage Rack - Duran Group</t>
  </si>
  <si>
    <t>IF(ISBLANK(O2),AVERAGE(O2:O2000),O2)</t>
  </si>
  <si>
    <t>SALE8</t>
  </si>
  <si>
    <t>CUST1187</t>
  </si>
  <si>
    <t>PROD99</t>
  </si>
  <si>
    <t>Stainless Steel Cookware Set - Campbell Ltd</t>
  </si>
  <si>
    <t>SALE9</t>
  </si>
  <si>
    <t>CUST1464</t>
  </si>
  <si>
    <t>PROD33</t>
  </si>
  <si>
    <t>STORE0</t>
  </si>
  <si>
    <t>Washington</t>
  </si>
  <si>
    <t>Modern Wall Clock - Weiss-Watson</t>
  </si>
  <si>
    <t>Total amount</t>
  </si>
  <si>
    <t>These  Amount are inconsistent so change with</t>
  </si>
  <si>
    <t>SALE10</t>
  </si>
  <si>
    <t>CUST1065</t>
  </si>
  <si>
    <t>PROD24</t>
  </si>
  <si>
    <t>STORE14</t>
  </si>
  <si>
    <t>Nevada</t>
  </si>
  <si>
    <t>Foldable Camping Chair - Cook Ltd</t>
  </si>
  <si>
    <t>(O2-N2)*F2</t>
  </si>
  <si>
    <t>SALE11</t>
  </si>
  <si>
    <t>CUST1320</t>
  </si>
  <si>
    <t>PROD39</t>
  </si>
  <si>
    <t>STORE1</t>
  </si>
  <si>
    <t>Iowa</t>
  </si>
  <si>
    <t>Portable Power Bank - Cummings And Sons</t>
  </si>
  <si>
    <t>SALE12</t>
  </si>
  <si>
    <t>CUST1237</t>
  </si>
  <si>
    <t>PROD88</t>
  </si>
  <si>
    <t>Montana</t>
  </si>
  <si>
    <t>Sports Wrist Sweatbands - Olsen-Daniels</t>
  </si>
  <si>
    <t>IF(ISBLANK(N2),AVERAGE(N2:N2000),N2)</t>
  </si>
  <si>
    <t>SALE13</t>
  </si>
  <si>
    <t>CUST1443</t>
  </si>
  <si>
    <t>PROD34</t>
  </si>
  <si>
    <t>STORE16</t>
  </si>
  <si>
    <t>Texas</t>
  </si>
  <si>
    <t>Gaming Mechanical Keyboard - Lucero Llc</t>
  </si>
  <si>
    <t>SALE14</t>
  </si>
  <si>
    <t>CUST1348</t>
  </si>
  <si>
    <t>STORE15</t>
  </si>
  <si>
    <t>Finally Fetch the All Data in One Sheet Using with</t>
  </si>
  <si>
    <t>SALE15</t>
  </si>
  <si>
    <t>CUST1435</t>
  </si>
  <si>
    <t>PROD36</t>
  </si>
  <si>
    <t>STORE9</t>
  </si>
  <si>
    <t>Idaho</t>
  </si>
  <si>
    <t>Women'S Summer Dress - Smith-Mills</t>
  </si>
  <si>
    <t>Clothing</t>
  </si>
  <si>
    <r>
      <rPr>
        <b/>
        <sz val="11"/>
        <color theme="1"/>
        <rFont val="Calibri"/>
        <charset val="134"/>
        <scheme val="minor"/>
      </rPr>
      <t xml:space="preserve">VLOOKUP </t>
    </r>
    <r>
      <rPr>
        <sz val="11"/>
        <color theme="1"/>
        <rFont val="Calibri"/>
        <charset val="134"/>
        <scheme val="minor"/>
      </rPr>
      <t>and the tables are named so use table name in formula</t>
    </r>
  </si>
  <si>
    <t>SALE16</t>
  </si>
  <si>
    <t>CUST1276</t>
  </si>
  <si>
    <t>PROD65</t>
  </si>
  <si>
    <t>STORE19</t>
  </si>
  <si>
    <t>Adjustable Dumbbells 20Kg - Montgomery, Benton And Miller</t>
  </si>
  <si>
    <t>SALE17</t>
  </si>
  <si>
    <t>CUST1079</t>
  </si>
  <si>
    <t>PROD27</t>
  </si>
  <si>
    <t>Arkansas</t>
  </si>
  <si>
    <t>Decorative Floor Vase - Khan, Jones And Paul</t>
  </si>
  <si>
    <t>Cutomer to sales</t>
  </si>
  <si>
    <t>vlookup(c2,cutomer,{3,4,7,8),FALSE)</t>
  </si>
  <si>
    <t>SALE18</t>
  </si>
  <si>
    <t>CUST1094</t>
  </si>
  <si>
    <t>SALE19</t>
  </si>
  <si>
    <t>CUST1239</t>
  </si>
  <si>
    <t>PROD60</t>
  </si>
  <si>
    <t>STORE13</t>
  </si>
  <si>
    <t>Luxury Perfume Spray - Gibson, Green And Lopez</t>
  </si>
  <si>
    <t>Product to sales</t>
  </si>
  <si>
    <t>vlookup(p2,product,{2,3,5,6},FALSE)</t>
  </si>
  <si>
    <t>SALE20</t>
  </si>
  <si>
    <t>CUST1144</t>
  </si>
  <si>
    <t>PROD72</t>
  </si>
  <si>
    <t>Professional Jump Rope - Davis Plc</t>
  </si>
  <si>
    <t>SALE21</t>
  </si>
  <si>
    <t>CUST1396</t>
  </si>
  <si>
    <t>PROD43</t>
  </si>
  <si>
    <t>STORE18</t>
  </si>
  <si>
    <t>New York</t>
  </si>
  <si>
    <t>Usb External Hard Drive - Robinson Inc</t>
  </si>
  <si>
    <t>Sore to Sales</t>
  </si>
  <si>
    <t>vlookup(e2,Store,{3,4,5},FALSE)</t>
  </si>
  <si>
    <t>SALE22</t>
  </si>
  <si>
    <t>CUST1476</t>
  </si>
  <si>
    <t>PROD69</t>
  </si>
  <si>
    <t>STORE10</t>
  </si>
  <si>
    <t>Oklahoma</t>
  </si>
  <si>
    <t>Men'S Sports Shorts - Fitzpatrick Ltd</t>
  </si>
  <si>
    <t>SALE23</t>
  </si>
  <si>
    <t>CUST1368</t>
  </si>
  <si>
    <t>PROD12</t>
  </si>
  <si>
    <t>Hair Strengthening Shampoo - Rice Llc</t>
  </si>
  <si>
    <t>Fetched the all the datas.</t>
  </si>
  <si>
    <t>SALE24</t>
  </si>
  <si>
    <t>CUST1186</t>
  </si>
  <si>
    <t>PROD67</t>
  </si>
  <si>
    <t>STORE6</t>
  </si>
  <si>
    <t>Smart Led Light Strip - Flores-Davis</t>
  </si>
  <si>
    <t>SALE25</t>
  </si>
  <si>
    <t>CUST1381</t>
  </si>
  <si>
    <t>PROD5</t>
  </si>
  <si>
    <t>Men'S Leather Belt - Baldwin, Garza And Gonzalez</t>
  </si>
  <si>
    <t>SALE26</t>
  </si>
  <si>
    <t>CUST1213</t>
  </si>
  <si>
    <t>PROD98</t>
  </si>
  <si>
    <t>North Dakota</t>
  </si>
  <si>
    <t>Portable Bluetooth Speaker - Flores-King</t>
  </si>
  <si>
    <t>SALE27</t>
  </si>
  <si>
    <t>CUST1200</t>
  </si>
  <si>
    <t>PROD77</t>
  </si>
  <si>
    <t>Maine</t>
  </si>
  <si>
    <t>Wifi Mesh Router - White, Reeves And Woods</t>
  </si>
  <si>
    <t>SALE28</t>
  </si>
  <si>
    <t>CUST1148</t>
  </si>
  <si>
    <t>PROD13</t>
  </si>
  <si>
    <t>STORE2</t>
  </si>
  <si>
    <t>Wisconsin</t>
  </si>
  <si>
    <t>Usb-C Fast Charger - Dawson-Perkins</t>
  </si>
  <si>
    <t>SALE29</t>
  </si>
  <si>
    <t>SALE30</t>
  </si>
  <si>
    <t>CUST1028</t>
  </si>
  <si>
    <t>New Jersey</t>
  </si>
  <si>
    <t>SALE31</t>
  </si>
  <si>
    <t>CUST1412</t>
  </si>
  <si>
    <t>PROD53</t>
  </si>
  <si>
    <t>STORE12</t>
  </si>
  <si>
    <t>Michigan</t>
  </si>
  <si>
    <t>Men'S Track Pants - Hamilton, Woods And Walker</t>
  </si>
  <si>
    <t>SALE32</t>
  </si>
  <si>
    <t>CUST1398</t>
  </si>
  <si>
    <t>PROD75</t>
  </si>
  <si>
    <t>New Hampshire</t>
  </si>
  <si>
    <t>Women'S Ankle Boots - Poole Plc</t>
  </si>
  <si>
    <t>SALE33</t>
  </si>
  <si>
    <t>CUST1453</t>
  </si>
  <si>
    <t>Hawaii</t>
  </si>
  <si>
    <t>SALE34</t>
  </si>
  <si>
    <t>CUST1344</t>
  </si>
  <si>
    <t>PROD79</t>
  </si>
  <si>
    <t>New Mexico</t>
  </si>
  <si>
    <t>Decorative Lamp Shade - Ramirez-Hanson</t>
  </si>
  <si>
    <t>SALE35</t>
  </si>
  <si>
    <t>CUST1218</t>
  </si>
  <si>
    <t>PROD16</t>
  </si>
  <si>
    <t>California</t>
  </si>
  <si>
    <t>Beard Grooming Kit - Erickson-Green</t>
  </si>
  <si>
    <t>SALE36</t>
  </si>
  <si>
    <t>CUST1086</t>
  </si>
  <si>
    <t>Mississippi</t>
  </si>
  <si>
    <t>SALE37</t>
  </si>
  <si>
    <t>CUST1492</t>
  </si>
  <si>
    <t>PROD10</t>
  </si>
  <si>
    <t>Florida</t>
  </si>
  <si>
    <t>Ceramic Kitchen Bowl Set - Hamilton Group</t>
  </si>
  <si>
    <t>SALE38</t>
  </si>
  <si>
    <t>CUST1189</t>
  </si>
  <si>
    <t>Kentucky</t>
  </si>
  <si>
    <t>SALE39</t>
  </si>
  <si>
    <t>CUST1431</t>
  </si>
  <si>
    <t>PROD94</t>
  </si>
  <si>
    <t>Vitamin E Body Lotion - Hoffman-Williams</t>
  </si>
  <si>
    <t>SALE40</t>
  </si>
  <si>
    <t>CUST1072</t>
  </si>
  <si>
    <t>PROD26</t>
  </si>
  <si>
    <t>Wireless Bluetooth Speaker - Reed-Schmidt</t>
  </si>
  <si>
    <t>SALE41</t>
  </si>
  <si>
    <t>CUST1302</t>
  </si>
  <si>
    <t>PROD23</t>
  </si>
  <si>
    <t>Arizona</t>
  </si>
  <si>
    <t>Men'S Formal Shirt - Moon, Mora And Santos</t>
  </si>
  <si>
    <t>SALE42</t>
  </si>
  <si>
    <t>CUST1335</t>
  </si>
  <si>
    <t>PROD29</t>
  </si>
  <si>
    <t>North Carolina</t>
  </si>
  <si>
    <t>Fabric Sofa Throw Blanket - Hoffman Group</t>
  </si>
  <si>
    <t>SALE43</t>
  </si>
  <si>
    <t>CUST1084</t>
  </si>
  <si>
    <t>Indiana</t>
  </si>
  <si>
    <t>SALE44</t>
  </si>
  <si>
    <t>CUST1203</t>
  </si>
  <si>
    <t>SALE45</t>
  </si>
  <si>
    <t>CUST1470</t>
  </si>
  <si>
    <t>SALE46</t>
  </si>
  <si>
    <t>CUST1070</t>
  </si>
  <si>
    <t>PROD78</t>
  </si>
  <si>
    <t>Essential Oil Diffuser - Hernandez Inc</t>
  </si>
  <si>
    <t>SALE47</t>
  </si>
  <si>
    <t>CUST1008</t>
  </si>
  <si>
    <t>PROD30</t>
  </si>
  <si>
    <t>STORE11</t>
  </si>
  <si>
    <t>Stainless Steel Cutlery Set - Stevens, Fernandez And Martin</t>
  </si>
  <si>
    <t>SALE48</t>
  </si>
  <si>
    <t>PROD44</t>
  </si>
  <si>
    <t>Adjustable Jump Rope - Cox Inc</t>
  </si>
  <si>
    <t>SALE49</t>
  </si>
  <si>
    <t>CUST1420</t>
  </si>
  <si>
    <t>PROD21</t>
  </si>
  <si>
    <t>Multi-Purpose Storage Box - Gardner-Montes</t>
  </si>
  <si>
    <t>SALE50</t>
  </si>
  <si>
    <t>PROD52</t>
  </si>
  <si>
    <t>Rugby Ball - Harris Inc</t>
  </si>
  <si>
    <t>SALE51</t>
  </si>
  <si>
    <t>CUST1142</t>
  </si>
  <si>
    <t>SALE52</t>
  </si>
  <si>
    <t>PROD89</t>
  </si>
  <si>
    <t>Face Foundation Kit - Taylor-Elliott</t>
  </si>
  <si>
    <t>SALE53</t>
  </si>
  <si>
    <t>CUST1324</t>
  </si>
  <si>
    <t>PROD20</t>
  </si>
  <si>
    <t>Outdoor Sports Water Bottle - Soto-Ellis</t>
  </si>
  <si>
    <t>SALE54</t>
  </si>
  <si>
    <t>CUST1095</t>
  </si>
  <si>
    <t>PROD40</t>
  </si>
  <si>
    <t>Noise-Canceling Headphones - Taylor-Hart</t>
  </si>
  <si>
    <t>SALE55</t>
  </si>
  <si>
    <t>CUST1416</t>
  </si>
  <si>
    <t>SALE56</t>
  </si>
  <si>
    <t>CUST1080</t>
  </si>
  <si>
    <t>SALE57</t>
  </si>
  <si>
    <t>PROD47</t>
  </si>
  <si>
    <t>Makeup Brush Set - Cook Inc</t>
  </si>
  <si>
    <t>SALE58</t>
  </si>
  <si>
    <t>CUST1404</t>
  </si>
  <si>
    <t>SALE59</t>
  </si>
  <si>
    <t>CUST1367</t>
  </si>
  <si>
    <t>Ohio</t>
  </si>
  <si>
    <t>SALE60</t>
  </si>
  <si>
    <t>CUST1408</t>
  </si>
  <si>
    <t>PROD31</t>
  </si>
  <si>
    <t>Basketball - Nolan-Snow</t>
  </si>
  <si>
    <t>SALE61</t>
  </si>
  <si>
    <t>PROD19</t>
  </si>
  <si>
    <t>Knee Support Brace - May-Reese</t>
  </si>
  <si>
    <t>SALE62</t>
  </si>
  <si>
    <t>PROD93</t>
  </si>
  <si>
    <t>Usb-C Laptop Charger - Martin Llc</t>
  </si>
  <si>
    <t>SALE63</t>
  </si>
  <si>
    <t>CUST1126</t>
  </si>
  <si>
    <t>SALE64</t>
  </si>
  <si>
    <t>CUST1255</t>
  </si>
  <si>
    <t>SALE65</t>
  </si>
  <si>
    <t>CUST1162</t>
  </si>
  <si>
    <t>SALE66</t>
  </si>
  <si>
    <t>CUST1269</t>
  </si>
  <si>
    <t>SALE67</t>
  </si>
  <si>
    <t>CUST1483</t>
  </si>
  <si>
    <t>SALE68</t>
  </si>
  <si>
    <t>CUST1372</t>
  </si>
  <si>
    <t>SALE69</t>
  </si>
  <si>
    <t>CUST1423</t>
  </si>
  <si>
    <t>Kansas</t>
  </si>
  <si>
    <t>SALE70</t>
  </si>
  <si>
    <t>CUST1058</t>
  </si>
  <si>
    <t>Maryland</t>
  </si>
  <si>
    <t>SALE71</t>
  </si>
  <si>
    <t>CUST1168</t>
  </si>
  <si>
    <t>SALE72</t>
  </si>
  <si>
    <t>PROD38</t>
  </si>
  <si>
    <t>Sports Water Hydration Pack - Sims-Smith</t>
  </si>
  <si>
    <t>SALE73</t>
  </si>
  <si>
    <t>CUST1037</t>
  </si>
  <si>
    <t>PROD45</t>
  </si>
  <si>
    <t>South Dakota</t>
  </si>
  <si>
    <t>Unknown</t>
  </si>
  <si>
    <t>High-Grip Football - Bridges, Banks And Cummings</t>
  </si>
  <si>
    <t>SALE74</t>
  </si>
  <si>
    <t>CUST1273</t>
  </si>
  <si>
    <t>SALE75</t>
  </si>
  <si>
    <t>CUST1035</t>
  </si>
  <si>
    <t>SALE76</t>
  </si>
  <si>
    <t>CUST1019</t>
  </si>
  <si>
    <t>SALE77</t>
  </si>
  <si>
    <t>CUST1007</t>
  </si>
  <si>
    <t>West Virginia</t>
  </si>
  <si>
    <t>SALE78</t>
  </si>
  <si>
    <t>CUST1221</t>
  </si>
  <si>
    <t>PROD83</t>
  </si>
  <si>
    <t>Georgia</t>
  </si>
  <si>
    <t>Hydrating Face Cleanser - Butler Group</t>
  </si>
  <si>
    <t>SALE79</t>
  </si>
  <si>
    <t>CUST1115</t>
  </si>
  <si>
    <t>SALE80</t>
  </si>
  <si>
    <t>CUST1176</t>
  </si>
  <si>
    <t>SALE81</t>
  </si>
  <si>
    <t>CUST1253</t>
  </si>
  <si>
    <t>PROD71</t>
  </si>
  <si>
    <t>Hair Repair Oil Treatment - Hopkins Ltd</t>
  </si>
  <si>
    <t>SALE82</t>
  </si>
  <si>
    <t>CUST1378</t>
  </si>
  <si>
    <t>PROD91</t>
  </si>
  <si>
    <t>Delaware</t>
  </si>
  <si>
    <t>Women'S High Heels - Smith-Charles</t>
  </si>
  <si>
    <t>SALE83</t>
  </si>
  <si>
    <t>CUST1403</t>
  </si>
  <si>
    <t>PROD17</t>
  </si>
  <si>
    <t>Louisiana</t>
  </si>
  <si>
    <t>Soccer Training Cone Set - Ford, Murphy And Wilson</t>
  </si>
  <si>
    <t>SALE84</t>
  </si>
  <si>
    <t>PROD46</t>
  </si>
  <si>
    <t>Men'S Winter Jacket - Kelly, Smith And Perez</t>
  </si>
  <si>
    <t>SALE85</t>
  </si>
  <si>
    <t>CUST1054</t>
  </si>
  <si>
    <t>SALE86</t>
  </si>
  <si>
    <t>CUST1303</t>
  </si>
  <si>
    <t>SALE87</t>
  </si>
  <si>
    <t>CUST1327</t>
  </si>
  <si>
    <t>PROD1</t>
  </si>
  <si>
    <t>Men'S Graphic T-Shirt - Terry-Moore</t>
  </si>
  <si>
    <t>SALE88</t>
  </si>
  <si>
    <t>CUST1183</t>
  </si>
  <si>
    <t>SALE89</t>
  </si>
  <si>
    <t>CUST1143</t>
  </si>
  <si>
    <t>SALE90</t>
  </si>
  <si>
    <t>CUST1010</t>
  </si>
  <si>
    <t>SALE91</t>
  </si>
  <si>
    <t>CUST1406</t>
  </si>
  <si>
    <t>SALE92</t>
  </si>
  <si>
    <t>PROD86</t>
  </si>
  <si>
    <t>Kitchen Cutting Board - Taylor, Dodson And Johnston</t>
  </si>
  <si>
    <t>SALE93</t>
  </si>
  <si>
    <t>SALE94</t>
  </si>
  <si>
    <t>CUST1298</t>
  </si>
  <si>
    <t>SALE95</t>
  </si>
  <si>
    <t>CUST1321</t>
  </si>
  <si>
    <t>SALE96</t>
  </si>
  <si>
    <t>CUST1244</t>
  </si>
  <si>
    <t>PROD50</t>
  </si>
  <si>
    <t>Utah</t>
  </si>
  <si>
    <t>Boxing Hand Wraps - Smith-King</t>
  </si>
  <si>
    <t>SALE97</t>
  </si>
  <si>
    <t>CUST1287</t>
  </si>
  <si>
    <t>PROD3</t>
  </si>
  <si>
    <t>Men'S Running Jacket - Pineda Ltd</t>
  </si>
  <si>
    <t>SALE98</t>
  </si>
  <si>
    <t>CUST1131</t>
  </si>
  <si>
    <t>SALE99</t>
  </si>
  <si>
    <t>CUST1325</t>
  </si>
  <si>
    <t>PROD54</t>
  </si>
  <si>
    <t>Sports Stopwatch Pro - Thompson-French</t>
  </si>
  <si>
    <t>SALE100</t>
  </si>
  <si>
    <t>CUST1369</t>
  </si>
  <si>
    <t>SALE101</t>
  </si>
  <si>
    <t>PROD25</t>
  </si>
  <si>
    <t>Women'S Scarf Set - Brown And Sons</t>
  </si>
  <si>
    <t>SALE102</t>
  </si>
  <si>
    <t>CUST1097</t>
  </si>
  <si>
    <t>PROD80</t>
  </si>
  <si>
    <t>Wall-Mounted Spice Rack - Allison Ltd</t>
  </si>
  <si>
    <t>SALE103</t>
  </si>
  <si>
    <t>CUST1182</t>
  </si>
  <si>
    <t>SALE104</t>
  </si>
  <si>
    <t>CUST1029</t>
  </si>
  <si>
    <t>SALE105</t>
  </si>
  <si>
    <t>CUST1002</t>
  </si>
  <si>
    <t>SALE106</t>
  </si>
  <si>
    <t>SALE107</t>
  </si>
  <si>
    <t>CUST1338</t>
  </si>
  <si>
    <t>Connecticut</t>
  </si>
  <si>
    <t>SALE108</t>
  </si>
  <si>
    <t>CUST1041</t>
  </si>
  <si>
    <t>PROD22</t>
  </si>
  <si>
    <t>Alaska</t>
  </si>
  <si>
    <t>Carbon Fiber Tennis Racket - Flores, Pineda And Rodriguez</t>
  </si>
  <si>
    <t>SALE109</t>
  </si>
  <si>
    <t>CUST1214</t>
  </si>
  <si>
    <t>SALE110</t>
  </si>
  <si>
    <t>PROD42</t>
  </si>
  <si>
    <t>Smart Home Wifi Camera - Holmes Llc</t>
  </si>
  <si>
    <t>SALE111</t>
  </si>
  <si>
    <t>CUST1119</t>
  </si>
  <si>
    <t>PROD90</t>
  </si>
  <si>
    <t>Gaming Mouse Pad Xl - Sharp, Taylor And Rodriguez</t>
  </si>
  <si>
    <t>SALE112</t>
  </si>
  <si>
    <t>CUST1087</t>
  </si>
  <si>
    <t>South Carolina</t>
  </si>
  <si>
    <t>SALE113</t>
  </si>
  <si>
    <t>SALE114</t>
  </si>
  <si>
    <t>SALE115</t>
  </si>
  <si>
    <t>CUST1257</t>
  </si>
  <si>
    <t>PROD85</t>
  </si>
  <si>
    <t>Massachusetts</t>
  </si>
  <si>
    <t>Women'S Beanie Hat - Richardson-Carrillo</t>
  </si>
  <si>
    <t>SALE116</t>
  </si>
  <si>
    <t>CUST1419</t>
  </si>
  <si>
    <t>SALE117</t>
  </si>
  <si>
    <t>CUST1067</t>
  </si>
  <si>
    <t>SALE118</t>
  </si>
  <si>
    <t>CUST1105</t>
  </si>
  <si>
    <t>SALE119</t>
  </si>
  <si>
    <t>CUST1158</t>
  </si>
  <si>
    <t>SALE120</t>
  </si>
  <si>
    <t>CUST1231</t>
  </si>
  <si>
    <t>SALE121</t>
  </si>
  <si>
    <t>CUST1264</t>
  </si>
  <si>
    <t>SALE122</t>
  </si>
  <si>
    <t>SALE123</t>
  </si>
  <si>
    <t>SALE124</t>
  </si>
  <si>
    <t>PROD14</t>
  </si>
  <si>
    <t>Decorative Wall Mirror - Luna, Anderson And Bowman</t>
  </si>
  <si>
    <t>SALE125</t>
  </si>
  <si>
    <t>CUST1498</t>
  </si>
  <si>
    <t>PROD8</t>
  </si>
  <si>
    <t>Wireless Bluetooth Earbuds - Perez-Johnston</t>
  </si>
  <si>
    <t>SALE126</t>
  </si>
  <si>
    <t>PROD35</t>
  </si>
  <si>
    <t>Bedroom Table Lamp - Jones Llc</t>
  </si>
  <si>
    <t>SALE127</t>
  </si>
  <si>
    <t>CUST1277</t>
  </si>
  <si>
    <t>Colorado</t>
  </si>
  <si>
    <t>SALE128</t>
  </si>
  <si>
    <t>CUST1397</t>
  </si>
  <si>
    <t>SALE129</t>
  </si>
  <si>
    <t>CUST1315</t>
  </si>
  <si>
    <t>SALE130</t>
  </si>
  <si>
    <t>CUST1343</t>
  </si>
  <si>
    <t>Virginia</t>
  </si>
  <si>
    <t>SALE131</t>
  </si>
  <si>
    <t>CUST1496</t>
  </si>
  <si>
    <t>PROD51</t>
  </si>
  <si>
    <t>Hdmi Cable – 2M - Bautista, Green And Hale</t>
  </si>
  <si>
    <t>SALE132</t>
  </si>
  <si>
    <t>CUST1164</t>
  </si>
  <si>
    <t>PROD48</t>
  </si>
  <si>
    <t>Car Dashboard Phone Holder - Byrd, Stewart And Valdez</t>
  </si>
  <si>
    <t>SALE133</t>
  </si>
  <si>
    <t>CUST1329</t>
  </si>
  <si>
    <t>PROD57</t>
  </si>
  <si>
    <t>Minnesota</t>
  </si>
  <si>
    <t>Foam Roller - Atkinson, Camacho And Oliver</t>
  </si>
  <si>
    <t>SALE134</t>
  </si>
  <si>
    <t>CUST1201</t>
  </si>
  <si>
    <t>PROD87</t>
  </si>
  <si>
    <t>Led Bedside Lamp - Aguilar, Horton And Lewis</t>
  </si>
  <si>
    <t>SALE135</t>
  </si>
  <si>
    <t>CUST1427</t>
  </si>
  <si>
    <t>SALE136</t>
  </si>
  <si>
    <t>CUST1349</t>
  </si>
  <si>
    <t>SALE137</t>
  </si>
  <si>
    <t>CUST1473</t>
  </si>
  <si>
    <t>SALE138</t>
  </si>
  <si>
    <t>CUST1178</t>
  </si>
  <si>
    <t>SALE139</t>
  </si>
  <si>
    <t>CUST1337</t>
  </si>
  <si>
    <t>SALE140</t>
  </si>
  <si>
    <t>CUST1171</t>
  </si>
  <si>
    <t>SALE141</t>
  </si>
  <si>
    <t>CUST1113</t>
  </si>
  <si>
    <t>SALE142</t>
  </si>
  <si>
    <t>CUST1399</t>
  </si>
  <si>
    <t>PROD66</t>
  </si>
  <si>
    <t>Women'S Hair Dryer Brush - Torres, Spencer And Potter</t>
  </si>
  <si>
    <t>SALE143</t>
  </si>
  <si>
    <t>CUST1401</t>
  </si>
  <si>
    <t>SALE144</t>
  </si>
  <si>
    <t>SALE145</t>
  </si>
  <si>
    <t>CUST1459</t>
  </si>
  <si>
    <t>SALE146</t>
  </si>
  <si>
    <t>SALE147</t>
  </si>
  <si>
    <t>CUST1294</t>
  </si>
  <si>
    <t>PROD82</t>
  </si>
  <si>
    <t>Fitness Resistance Bands - Reese-Watson</t>
  </si>
  <si>
    <t>SALE148</t>
  </si>
  <si>
    <t>SALE149</t>
  </si>
  <si>
    <t>CUST1093</t>
  </si>
  <si>
    <t>SALE150</t>
  </si>
  <si>
    <t>CUST1068</t>
  </si>
  <si>
    <t>SALE151</t>
  </si>
  <si>
    <t>CUST1022</t>
  </si>
  <si>
    <t>SALE152</t>
  </si>
  <si>
    <t>CUST1243</t>
  </si>
  <si>
    <t>SALE153</t>
  </si>
  <si>
    <t>CUST1314</t>
  </si>
  <si>
    <t>PROD11</t>
  </si>
  <si>
    <t>Hd Smart Tv Stick - Gibson, Hobbs And Weaver</t>
  </si>
  <si>
    <t>SALE154</t>
  </si>
  <si>
    <t>CUST1405</t>
  </si>
  <si>
    <t>SALE155</t>
  </si>
  <si>
    <t>CUST1307</t>
  </si>
  <si>
    <t>SALE156</t>
  </si>
  <si>
    <t>CUST1319</t>
  </si>
  <si>
    <t>SALE157</t>
  </si>
  <si>
    <t>PROD55</t>
  </si>
  <si>
    <t>Ceramic Plant Pot - Hatfield, Baird And Torres</t>
  </si>
  <si>
    <t>SALE158</t>
  </si>
  <si>
    <t>PROD28</t>
  </si>
  <si>
    <t>Sports Stopwatch Timer - Burns-Hansen</t>
  </si>
  <si>
    <t>SALE159</t>
  </si>
  <si>
    <t>CUST1394</t>
  </si>
  <si>
    <t>SALE160</t>
  </si>
  <si>
    <t>CUST1020</t>
  </si>
  <si>
    <t>SALE161</t>
  </si>
  <si>
    <t>SALE162</t>
  </si>
  <si>
    <t>PROD73</t>
  </si>
  <si>
    <t>Shin Guards – Adult - French Ltd</t>
  </si>
  <si>
    <t>SALE163</t>
  </si>
  <si>
    <t>CUST1076</t>
  </si>
  <si>
    <t>PROD32</t>
  </si>
  <si>
    <t>Vitamin C Face Serum - Griffin Ltd</t>
  </si>
  <si>
    <t>SALE164</t>
  </si>
  <si>
    <t>SALE165</t>
  </si>
  <si>
    <t>CUST1073</t>
  </si>
  <si>
    <t>SALE166</t>
  </si>
  <si>
    <t>CUST1295</t>
  </si>
  <si>
    <t>SALE167</t>
  </si>
  <si>
    <t>CUST1415</t>
  </si>
  <si>
    <t>SALE168</t>
  </si>
  <si>
    <t>CUST1108</t>
  </si>
  <si>
    <t>SALE169</t>
  </si>
  <si>
    <t>CUST1373</t>
  </si>
  <si>
    <t>SALE170</t>
  </si>
  <si>
    <t>CUST1256</t>
  </si>
  <si>
    <t>SALE171</t>
  </si>
  <si>
    <t>CUST1175</t>
  </si>
  <si>
    <t>SALE172</t>
  </si>
  <si>
    <t>SALE173</t>
  </si>
  <si>
    <t>CUST1485</t>
  </si>
  <si>
    <t>SALE174</t>
  </si>
  <si>
    <t>CUST1293</t>
  </si>
  <si>
    <t>SALE175</t>
  </si>
  <si>
    <t>CUST1377</t>
  </si>
  <si>
    <t>PROD92</t>
  </si>
  <si>
    <t>Microwave Oven - Green, Powell And Palmer</t>
  </si>
  <si>
    <t>SALE176</t>
  </si>
  <si>
    <t>CUST1128</t>
  </si>
  <si>
    <t>SALE177</t>
  </si>
  <si>
    <t>CUST1499</t>
  </si>
  <si>
    <t>Oregon</t>
  </si>
  <si>
    <t>SALE178</t>
  </si>
  <si>
    <t>CUST1066</t>
  </si>
  <si>
    <t>SALE179</t>
  </si>
  <si>
    <t>CUST1081</t>
  </si>
  <si>
    <t>SALE180</t>
  </si>
  <si>
    <t>CUST1478</t>
  </si>
  <si>
    <t>SALE181</t>
  </si>
  <si>
    <t>CUST1462</t>
  </si>
  <si>
    <t>SALE182</t>
  </si>
  <si>
    <t>SALE183</t>
  </si>
  <si>
    <t>CUST1033</t>
  </si>
  <si>
    <t>SALE184</t>
  </si>
  <si>
    <t>CUST1489</t>
  </si>
  <si>
    <t>SALE185</t>
  </si>
  <si>
    <t>CUST1428</t>
  </si>
  <si>
    <t>PROD63</t>
  </si>
  <si>
    <t>Organic Sunscreen Lotion - Anderson-Riley</t>
  </si>
  <si>
    <t>SALE186</t>
  </si>
  <si>
    <t>SALE187</t>
  </si>
  <si>
    <t>CUST1272</t>
  </si>
  <si>
    <t>PROD81</t>
  </si>
  <si>
    <t>Badminton Racket Set - Robinson-Brown</t>
  </si>
  <si>
    <t>SALE188</t>
  </si>
  <si>
    <t>CUST1382</t>
  </si>
  <si>
    <t>PROD4</t>
  </si>
  <si>
    <t>Women'S Yoga Pants - Gonzales-Davis</t>
  </si>
  <si>
    <t>SALE189</t>
  </si>
  <si>
    <t>CUST1091</t>
  </si>
  <si>
    <t>SALE190</t>
  </si>
  <si>
    <t>CUST1334</t>
  </si>
  <si>
    <t>SALE191</t>
  </si>
  <si>
    <t>CUST1138</t>
  </si>
  <si>
    <t>SALE192</t>
  </si>
  <si>
    <t>CUST1424</t>
  </si>
  <si>
    <t>SALE193</t>
  </si>
  <si>
    <t>PROD7</t>
  </si>
  <si>
    <t>Led Table Lamp - Harrell Llc</t>
  </si>
  <si>
    <t>SALE194</t>
  </si>
  <si>
    <t>CUST1323</t>
  </si>
  <si>
    <t>SALE195</t>
  </si>
  <si>
    <t>SALE196</t>
  </si>
  <si>
    <t>SALE197</t>
  </si>
  <si>
    <t>CUST1135</t>
  </si>
  <si>
    <t>SALE198</t>
  </si>
  <si>
    <t>CUST1448</t>
  </si>
  <si>
    <t>SALE199</t>
  </si>
  <si>
    <t>CUST1038</t>
  </si>
  <si>
    <t>SALE200</t>
  </si>
  <si>
    <t>CUST1170</t>
  </si>
  <si>
    <t>SALE201</t>
  </si>
  <si>
    <t>SALE202</t>
  </si>
  <si>
    <t>PROD62</t>
  </si>
  <si>
    <t>Laptop Cooling Pad - Murray, Gould And Ware</t>
  </si>
  <si>
    <t>SALE203</t>
  </si>
  <si>
    <t>CUST1472</t>
  </si>
  <si>
    <t>SALE204</t>
  </si>
  <si>
    <t>SALE205</t>
  </si>
  <si>
    <t>CUST1437</t>
  </si>
  <si>
    <t>SALE206</t>
  </si>
  <si>
    <t>SALE207</t>
  </si>
  <si>
    <t>CUST1185</t>
  </si>
  <si>
    <t>SALE208</t>
  </si>
  <si>
    <t>CUST1184</t>
  </si>
  <si>
    <t>SALE209</t>
  </si>
  <si>
    <t>CUST1371</t>
  </si>
  <si>
    <t>SALE210</t>
  </si>
  <si>
    <t>SALE211</t>
  </si>
  <si>
    <t>CUST1012</t>
  </si>
  <si>
    <t>SALE212</t>
  </si>
  <si>
    <t>CUST1442</t>
  </si>
  <si>
    <t>SALE213</t>
  </si>
  <si>
    <t>SALE214</t>
  </si>
  <si>
    <t>CUST1199</t>
  </si>
  <si>
    <t>SALE215</t>
  </si>
  <si>
    <t>SALE216</t>
  </si>
  <si>
    <t>CUST1153</t>
  </si>
  <si>
    <t>SALE217</t>
  </si>
  <si>
    <t>CUST1266</t>
  </si>
  <si>
    <t>SALE218</t>
  </si>
  <si>
    <t>CUST1246</t>
  </si>
  <si>
    <t>SALE219</t>
  </si>
  <si>
    <t>SALE220</t>
  </si>
  <si>
    <t>CUST1075</t>
  </si>
  <si>
    <t>SALE221</t>
  </si>
  <si>
    <t>CUST1099</t>
  </si>
  <si>
    <t>SALE222</t>
  </si>
  <si>
    <t>SALE223</t>
  </si>
  <si>
    <t>CUST1495</t>
  </si>
  <si>
    <t>PROD61</t>
  </si>
  <si>
    <t>Tennis Ball 3-Pack - Lopez Llc</t>
  </si>
  <si>
    <t>SALE224</t>
  </si>
  <si>
    <t>CUST1096</t>
  </si>
  <si>
    <t>SALE225</t>
  </si>
  <si>
    <t>CUST1069</t>
  </si>
  <si>
    <t>SALE226</t>
  </si>
  <si>
    <t>SALE227</t>
  </si>
  <si>
    <t>SALE228</t>
  </si>
  <si>
    <t>CUST1107</t>
  </si>
  <si>
    <t>SALE229</t>
  </si>
  <si>
    <t>SALE230</t>
  </si>
  <si>
    <t>CUST1049</t>
  </si>
  <si>
    <t>SALE231</t>
  </si>
  <si>
    <t>CUST1275</t>
  </si>
  <si>
    <t>SALE232</t>
  </si>
  <si>
    <t>PROD58</t>
  </si>
  <si>
    <t>Womens Cotton Scarf - Shepherd-Gould</t>
  </si>
  <si>
    <t>SALE233</t>
  </si>
  <si>
    <t>SALE234</t>
  </si>
  <si>
    <t>SALE235</t>
  </si>
  <si>
    <t>SALE236</t>
  </si>
  <si>
    <t>CUST1169</t>
  </si>
  <si>
    <t>SALE237</t>
  </si>
  <si>
    <t>CUST1494</t>
  </si>
  <si>
    <t>SALE238</t>
  </si>
  <si>
    <t>SALE239</t>
  </si>
  <si>
    <t>CUST1216</t>
  </si>
  <si>
    <t>SALE240</t>
  </si>
  <si>
    <t>CUST1031</t>
  </si>
  <si>
    <t>SALE241</t>
  </si>
  <si>
    <t>SALE242</t>
  </si>
  <si>
    <t>SALE243</t>
  </si>
  <si>
    <t>CUST1364</t>
  </si>
  <si>
    <t>SALE244</t>
  </si>
  <si>
    <t>SALE245</t>
  </si>
  <si>
    <t>CUST1463</t>
  </si>
  <si>
    <t>SALE246</t>
  </si>
  <si>
    <t>SALE247</t>
  </si>
  <si>
    <t>SALE248</t>
  </si>
  <si>
    <t>CUST1083</t>
  </si>
  <si>
    <t>SALE249</t>
  </si>
  <si>
    <t>CUST1023</t>
  </si>
  <si>
    <t>PROD68</t>
  </si>
  <si>
    <t>Wooden Nightstand - Wolfe, Ross And Hester</t>
  </si>
  <si>
    <t>SALE250</t>
  </si>
  <si>
    <t>SALE251</t>
  </si>
  <si>
    <t>PROD41</t>
  </si>
  <si>
    <t>Yoga Exercise Mat - Carroll, Long And Mendoza</t>
  </si>
  <si>
    <t>SALE252</t>
  </si>
  <si>
    <t>CUST1449</t>
  </si>
  <si>
    <t>SALE253</t>
  </si>
  <si>
    <t>CUST1240</t>
  </si>
  <si>
    <t>SALE254</t>
  </si>
  <si>
    <t>CUST1082</t>
  </si>
  <si>
    <t>SALE255</t>
  </si>
  <si>
    <t>CUST1044</t>
  </si>
  <si>
    <t>SALE256</t>
  </si>
  <si>
    <t>CUST1471</t>
  </si>
  <si>
    <t>SALE257</t>
  </si>
  <si>
    <t>CUST1013</t>
  </si>
  <si>
    <t>SALE258</t>
  </si>
  <si>
    <t>CUST1136</t>
  </si>
  <si>
    <t>Nebraska</t>
  </si>
  <si>
    <t>SALE259</t>
  </si>
  <si>
    <t>CUST1248</t>
  </si>
  <si>
    <t>SALE260</t>
  </si>
  <si>
    <t>CUST1103</t>
  </si>
  <si>
    <t>SALE261</t>
  </si>
  <si>
    <t>CUST1333</t>
  </si>
  <si>
    <t>PROD0</t>
  </si>
  <si>
    <t>Brother Laser Printer - Hunt Inc</t>
  </si>
  <si>
    <t>SALE262</t>
  </si>
  <si>
    <t>CUST1209</t>
  </si>
  <si>
    <t>SALE263</t>
  </si>
  <si>
    <t>CUST1282</t>
  </si>
  <si>
    <t>SALE264</t>
  </si>
  <si>
    <t>SALE265</t>
  </si>
  <si>
    <t>CUST1141</t>
  </si>
  <si>
    <t>SALE266</t>
  </si>
  <si>
    <t>CUST1433</t>
  </si>
  <si>
    <t>PROD64</t>
  </si>
  <si>
    <t>Matte Lipstick Set - Zhang Inc</t>
  </si>
  <si>
    <t>SALE267</t>
  </si>
  <si>
    <t>CUST1118</t>
  </si>
  <si>
    <t>SALE268</t>
  </si>
  <si>
    <t>SALE269</t>
  </si>
  <si>
    <t>CUST1219</t>
  </si>
  <si>
    <t>PROD37</t>
  </si>
  <si>
    <t>Men'S Casual Sneakers - Hogan-Lee</t>
  </si>
  <si>
    <t>SALE270</t>
  </si>
  <si>
    <t>CUST1101</t>
  </si>
  <si>
    <t>SALE271</t>
  </si>
  <si>
    <t>CUST1134</t>
  </si>
  <si>
    <t>SALE272</t>
  </si>
  <si>
    <t>SALE273</t>
  </si>
  <si>
    <t>CUST1312</t>
  </si>
  <si>
    <t>SALE274</t>
  </si>
  <si>
    <t>SALE275</t>
  </si>
  <si>
    <t>SALE276</t>
  </si>
  <si>
    <t>SALE277</t>
  </si>
  <si>
    <t>CUST1484</t>
  </si>
  <si>
    <t>SALE278</t>
  </si>
  <si>
    <t>CUST1316</t>
  </si>
  <si>
    <t>SALE279</t>
  </si>
  <si>
    <t>CUST1326</t>
  </si>
  <si>
    <t>SALE280</t>
  </si>
  <si>
    <t>SALE281</t>
  </si>
  <si>
    <t>CUST1490</t>
  </si>
  <si>
    <t>SALE282</t>
  </si>
  <si>
    <t>CUST1262</t>
  </si>
  <si>
    <t>SALE283</t>
  </si>
  <si>
    <t>PROD9</t>
  </si>
  <si>
    <t>Adjustable Dumbbell Set - Hill Plc</t>
  </si>
  <si>
    <t>SALE284</t>
  </si>
  <si>
    <t>CUST1260</t>
  </si>
  <si>
    <t>PROD84</t>
  </si>
  <si>
    <t>Wooden Bookshelf - Collins-Stephenson</t>
  </si>
  <si>
    <t>SALE285</t>
  </si>
  <si>
    <t>CUST1225</t>
  </si>
  <si>
    <t>SALE286</t>
  </si>
  <si>
    <t>CUST1466</t>
  </si>
  <si>
    <t>SALE287</t>
  </si>
  <si>
    <t>SALE288</t>
  </si>
  <si>
    <t>SALE289</t>
  </si>
  <si>
    <t>CUST1263</t>
  </si>
  <si>
    <t>SALE290</t>
  </si>
  <si>
    <t>CUST1417</t>
  </si>
  <si>
    <t>SALE291</t>
  </si>
  <si>
    <t>CUST1017</t>
  </si>
  <si>
    <t>SALE292</t>
  </si>
  <si>
    <t>SALE293</t>
  </si>
  <si>
    <t>CUST1224</t>
  </si>
  <si>
    <t>SALE294</t>
  </si>
  <si>
    <t>SALE295</t>
  </si>
  <si>
    <t>CUST1211</t>
  </si>
  <si>
    <t>SALE296</t>
  </si>
  <si>
    <t>SALE297</t>
  </si>
  <si>
    <t>CUST1191</t>
  </si>
  <si>
    <t>SALE298</t>
  </si>
  <si>
    <t>SALE299</t>
  </si>
  <si>
    <t>SALE300</t>
  </si>
  <si>
    <t>CUST1198</t>
  </si>
  <si>
    <t>SALE301</t>
  </si>
  <si>
    <t>SALE302</t>
  </si>
  <si>
    <t>CUST1468</t>
  </si>
  <si>
    <t>SALE303</t>
  </si>
  <si>
    <t>SALE304</t>
  </si>
  <si>
    <t>CUST1042</t>
  </si>
  <si>
    <t>SALE305</t>
  </si>
  <si>
    <t>SALE306</t>
  </si>
  <si>
    <t>CUST1481</t>
  </si>
  <si>
    <t>SALE307</t>
  </si>
  <si>
    <t>CUST1451</t>
  </si>
  <si>
    <t>SALE308</t>
  </si>
  <si>
    <t>CUST1479</t>
  </si>
  <si>
    <t>SALE309</t>
  </si>
  <si>
    <t>CUST1220</t>
  </si>
  <si>
    <t>SALE310</t>
  </si>
  <si>
    <t>CUST1047</t>
  </si>
  <si>
    <t>SALE311</t>
  </si>
  <si>
    <t>SALE312</t>
  </si>
  <si>
    <t>SALE313</t>
  </si>
  <si>
    <t>CUST1304</t>
  </si>
  <si>
    <t>SALE314</t>
  </si>
  <si>
    <t>SALE315</t>
  </si>
  <si>
    <t>SALE316</t>
  </si>
  <si>
    <t>SALE317</t>
  </si>
  <si>
    <t>SALE318</t>
  </si>
  <si>
    <t>CUST1088</t>
  </si>
  <si>
    <t>PROD2</t>
  </si>
  <si>
    <t>Women'S Casual Hoodie - Sims Inc</t>
  </si>
  <si>
    <t>SALE319</t>
  </si>
  <si>
    <t>CUST1358</t>
  </si>
  <si>
    <t>SALE320</t>
  </si>
  <si>
    <t>CUST1332</t>
  </si>
  <si>
    <t>SALE321</t>
  </si>
  <si>
    <t>CUST1297</t>
  </si>
  <si>
    <t>SALE322</t>
  </si>
  <si>
    <t>SALE323</t>
  </si>
  <si>
    <t>CUST1438</t>
  </si>
  <si>
    <t>SALE324</t>
  </si>
  <si>
    <t>CUST1234</t>
  </si>
  <si>
    <t>SALE325</t>
  </si>
  <si>
    <t>SALE326</t>
  </si>
  <si>
    <t>SALE327</t>
  </si>
  <si>
    <t>SALE328</t>
  </si>
  <si>
    <t>SALE329</t>
  </si>
  <si>
    <t>CUST1322</t>
  </si>
  <si>
    <t>PROD6</t>
  </si>
  <si>
    <t>Herbal Face Moisturizer - Davidson Plc</t>
  </si>
  <si>
    <t>SALE330</t>
  </si>
  <si>
    <t>CUST1251</t>
  </si>
  <si>
    <t>SALE331</t>
  </si>
  <si>
    <t>SALE332</t>
  </si>
  <si>
    <t>CUST1133</t>
  </si>
  <si>
    <t>SALE333</t>
  </si>
  <si>
    <t>CUST1085</t>
  </si>
  <si>
    <t>SALE334</t>
  </si>
  <si>
    <t>SALE335</t>
  </si>
  <si>
    <t>CUST1458</t>
  </si>
  <si>
    <t>SALE336</t>
  </si>
  <si>
    <t>CUST1034</t>
  </si>
  <si>
    <t>SALE337</t>
  </si>
  <si>
    <t>SALE338</t>
  </si>
  <si>
    <t>SALE339</t>
  </si>
  <si>
    <t>CUST1222</t>
  </si>
  <si>
    <t>SALE340</t>
  </si>
  <si>
    <t>SALE341</t>
  </si>
  <si>
    <t>CUST1150</t>
  </si>
  <si>
    <t>SALE342</t>
  </si>
  <si>
    <t>SALE343</t>
  </si>
  <si>
    <t>CUST1027</t>
  </si>
  <si>
    <t>SALE344</t>
  </si>
  <si>
    <t>CUST1014</t>
  </si>
  <si>
    <t>SALE345</t>
  </si>
  <si>
    <t>SALE346</t>
  </si>
  <si>
    <t>CUST1061</t>
  </si>
  <si>
    <t>SALE347</t>
  </si>
  <si>
    <t>SALE348</t>
  </si>
  <si>
    <t>SALE349</t>
  </si>
  <si>
    <t>SALE350</t>
  </si>
  <si>
    <t>SALE351</t>
  </si>
  <si>
    <t>SALE352</t>
  </si>
  <si>
    <t>SALE353</t>
  </si>
  <si>
    <t>CUST1104</t>
  </si>
  <si>
    <t>SALE354</t>
  </si>
  <si>
    <t>SALE355</t>
  </si>
  <si>
    <t>CUST1241</t>
  </si>
  <si>
    <t>SALE356</t>
  </si>
  <si>
    <t>PROD18</t>
  </si>
  <si>
    <t>Women'S Denim Jeans - Guerra-Hendrix</t>
  </si>
  <si>
    <t>SALE357</t>
  </si>
  <si>
    <t>CUST1165</t>
  </si>
  <si>
    <t>Illinois</t>
  </si>
  <si>
    <t>SALE358</t>
  </si>
  <si>
    <t>CUST1210</t>
  </si>
  <si>
    <t>SALE359</t>
  </si>
  <si>
    <t>SALE360</t>
  </si>
  <si>
    <t>SALE361</t>
  </si>
  <si>
    <t>CUST1102</t>
  </si>
  <si>
    <t>SALE362</t>
  </si>
  <si>
    <t>CUST1360</t>
  </si>
  <si>
    <t>SALE363</t>
  </si>
  <si>
    <t>SALE364</t>
  </si>
  <si>
    <t>SALE365</t>
  </si>
  <si>
    <t>CUST1077</t>
  </si>
  <si>
    <t>SALE366</t>
  </si>
  <si>
    <t>CUST1370</t>
  </si>
  <si>
    <t>SALE367</t>
  </si>
  <si>
    <t>SALE368</t>
  </si>
  <si>
    <t>SALE369</t>
  </si>
  <si>
    <t>SALE370</t>
  </si>
  <si>
    <t>SALE371</t>
  </si>
  <si>
    <t>SALE372</t>
  </si>
  <si>
    <t>SALE373</t>
  </si>
  <si>
    <t>CUST1161</t>
  </si>
  <si>
    <t>SALE374</t>
  </si>
  <si>
    <t>CUST1469</t>
  </si>
  <si>
    <t>SALE375</t>
  </si>
  <si>
    <t>SALE376</t>
  </si>
  <si>
    <t>CUST1120</t>
  </si>
  <si>
    <t>SALE377</t>
  </si>
  <si>
    <t>CUST1455</t>
  </si>
  <si>
    <t>SALE378</t>
  </si>
  <si>
    <t>CUST1125</t>
  </si>
  <si>
    <t>SALE379</t>
  </si>
  <si>
    <t>SALE380</t>
  </si>
  <si>
    <t>SALE381</t>
  </si>
  <si>
    <t>SALE382</t>
  </si>
  <si>
    <t>CUST1208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</si>
  <si>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</si>
  <si>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</si>
  <si>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</si>
  <si>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</si>
  <si>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</si>
  <si>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</si>
  <si>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</si>
  <si>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</si>
  <si>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CUST1347</t>
  </si>
  <si>
    <t>SALE390</t>
  </si>
  <si>
    <t>CUST1089</t>
  </si>
  <si>
    <t>SALE391</t>
  </si>
  <si>
    <t>SALE392</t>
  </si>
  <si>
    <t>SALE393</t>
  </si>
  <si>
    <t>SALE394</t>
  </si>
  <si>
    <t>SALE395</t>
  </si>
  <si>
    <t>SALE396</t>
  </si>
  <si>
    <t>CUST1015</t>
  </si>
  <si>
    <t>SALE397</t>
  </si>
  <si>
    <t>SALE398</t>
  </si>
  <si>
    <t>CUST1206</t>
  </si>
  <si>
    <t>SALE399</t>
  </si>
  <si>
    <t>SALE400</t>
  </si>
  <si>
    <t>SALE401</t>
  </si>
  <si>
    <t>SALE402</t>
  </si>
  <si>
    <t>CUST1296</t>
  </si>
  <si>
    <t>SALE403</t>
  </si>
  <si>
    <t>SALE404</t>
  </si>
  <si>
    <t>CUST1379</t>
  </si>
  <si>
    <t>SALE405</t>
  </si>
  <si>
    <t>SALE406</t>
  </si>
  <si>
    <t>CUST1050</t>
  </si>
  <si>
    <t>SALE407</t>
  </si>
  <si>
    <t>CUST1413</t>
  </si>
  <si>
    <t>SALE408</t>
  </si>
  <si>
    <t>CUST1039</t>
  </si>
  <si>
    <t>SALE409</t>
  </si>
  <si>
    <t>SALE410</t>
  </si>
  <si>
    <t>CUST1391</t>
  </si>
  <si>
    <t>SALE411</t>
  </si>
  <si>
    <t>CUST1043</t>
  </si>
  <si>
    <t>SALE412</t>
  </si>
  <si>
    <t>SALE413</t>
  </si>
  <si>
    <t>SALE414</t>
  </si>
  <si>
    <t>CUST1006</t>
  </si>
  <si>
    <t>SALE415</t>
  </si>
  <si>
    <t>SALE416</t>
  </si>
  <si>
    <t>SALE417</t>
  </si>
  <si>
    <t>CUST1383</t>
  </si>
  <si>
    <t>SALE418</t>
  </si>
  <si>
    <t>SALE419</t>
  </si>
  <si>
    <t>SALE420</t>
  </si>
  <si>
    <t>SALE421</t>
  </si>
  <si>
    <t>SALE422</t>
  </si>
  <si>
    <t>SALE423</t>
  </si>
  <si>
    <t>CUST1145</t>
  </si>
  <si>
    <t>SALE424</t>
  </si>
  <si>
    <t>SALE425</t>
  </si>
  <si>
    <t>SALE426</t>
  </si>
  <si>
    <t>SALE427</t>
  </si>
  <si>
    <t>CUST1181</t>
  </si>
  <si>
    <t>SALE428</t>
  </si>
  <si>
    <t>SALE429</t>
  </si>
  <si>
    <t>SALE430</t>
  </si>
  <si>
    <t>CUST1001</t>
  </si>
  <si>
    <t>SALE431</t>
  </si>
  <si>
    <t>SALE432</t>
  </si>
  <si>
    <t>SALE433</t>
  </si>
  <si>
    <t>CUST1114</t>
  </si>
  <si>
    <t>SALE434</t>
  </si>
  <si>
    <t>SALE435</t>
  </si>
  <si>
    <t>CUST1288</t>
  </si>
  <si>
    <t>SALE436</t>
  </si>
  <si>
    <t>CUST1053</t>
  </si>
  <si>
    <t>SALE437</t>
  </si>
  <si>
    <t>SALE438</t>
  </si>
  <si>
    <t>CUST1159</t>
  </si>
  <si>
    <t>SALE439</t>
  </si>
  <si>
    <t>CUST1098</t>
  </si>
  <si>
    <t>SALE440</t>
  </si>
  <si>
    <t>SALE441</t>
  </si>
  <si>
    <t>SALE442</t>
  </si>
  <si>
    <t>SALE443</t>
  </si>
  <si>
    <t>SALE444</t>
  </si>
  <si>
    <t>CUST1488</t>
  </si>
  <si>
    <t>SALE445</t>
  </si>
  <si>
    <t>CUST1345</t>
  </si>
  <si>
    <t>SALE446</t>
  </si>
  <si>
    <t>SALE447</t>
  </si>
  <si>
    <t>SALE448</t>
  </si>
  <si>
    <t>SALE449</t>
  </si>
  <si>
    <t>CUST1071</t>
  </si>
  <si>
    <t>SALE450</t>
  </si>
  <si>
    <t>CUST1477</t>
  </si>
  <si>
    <t>SALE451</t>
  </si>
  <si>
    <t>CUST1422</t>
  </si>
  <si>
    <t>SALE452</t>
  </si>
  <si>
    <t>SALE453</t>
  </si>
  <si>
    <t>CUST1127</t>
  </si>
  <si>
    <t>SALE454</t>
  </si>
  <si>
    <t>SALE455</t>
  </si>
  <si>
    <t>SALE456</t>
  </si>
  <si>
    <t>CUST1215</t>
  </si>
  <si>
    <t>SALE457</t>
  </si>
  <si>
    <t>CUST1229</t>
  </si>
  <si>
    <t>SALE458</t>
  </si>
  <si>
    <t>CUST1205</t>
  </si>
  <si>
    <t>SALE459</t>
  </si>
  <si>
    <t>SALE460</t>
  </si>
  <si>
    <t>SALE461</t>
  </si>
  <si>
    <t>CUST1129</t>
  </si>
  <si>
    <t>SALE462</t>
  </si>
  <si>
    <t>CUST1265</t>
  </si>
  <si>
    <t>SALE463</t>
  </si>
  <si>
    <t>CUST1163</t>
  </si>
  <si>
    <t>SALE464</t>
  </si>
  <si>
    <t>CUST1300</t>
  </si>
  <si>
    <t>SALE465</t>
  </si>
  <si>
    <t>SALE466</t>
  </si>
  <si>
    <t>SALE467</t>
  </si>
  <si>
    <t>CUST1366</t>
  </si>
  <si>
    <t>SALE468</t>
  </si>
  <si>
    <t>SALE469</t>
  </si>
  <si>
    <t>SALE470</t>
  </si>
  <si>
    <t>SALE471</t>
  </si>
  <si>
    <t>SALE472</t>
  </si>
  <si>
    <t>CUST1197</t>
  </si>
  <si>
    <t>SALE473</t>
  </si>
  <si>
    <t>CUST1384</t>
  </si>
  <si>
    <t>SALE474</t>
  </si>
  <si>
    <t>SALE475</t>
  </si>
  <si>
    <t>CUST1166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</si>
  <si>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</si>
  <si>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</si>
  <si>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</si>
  <si>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</si>
  <si>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</si>
  <si>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</si>
  <si>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</si>
  <si>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</si>
  <si>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</si>
  <si>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</si>
  <si>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</si>
  <si>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</si>
  <si>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</si>
  <si>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</si>
  <si>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</si>
  <si>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CUST1418</t>
  </si>
  <si>
    <t>SALE491</t>
  </si>
  <si>
    <t>CUST1223</t>
  </si>
  <si>
    <t>SALE492</t>
  </si>
  <si>
    <t>CUST1156</t>
  </si>
  <si>
    <t>SALE493</t>
  </si>
  <si>
    <t>SALE494</t>
  </si>
  <si>
    <t>SALE495</t>
  </si>
  <si>
    <t>SALE496</t>
  </si>
  <si>
    <t>CUST1232</t>
  </si>
  <si>
    <t>PROD95</t>
  </si>
  <si>
    <t>Sports Stopwatch Basic - Wilson Group</t>
  </si>
  <si>
    <t>SALE497</t>
  </si>
  <si>
    <t>SALE498</t>
  </si>
  <si>
    <t>CUST1146</t>
  </si>
  <si>
    <t>SALE499</t>
  </si>
  <si>
    <t>CUST1011</t>
  </si>
  <si>
    <t>SALE500</t>
  </si>
  <si>
    <t>CUST1445</t>
  </si>
  <si>
    <t>SALE501</t>
  </si>
  <si>
    <t>SALE502</t>
  </si>
  <si>
    <t>SALE503</t>
  </si>
  <si>
    <t>SALE504</t>
  </si>
  <si>
    <t>CUST1167</t>
  </si>
  <si>
    <t>SALE505</t>
  </si>
  <si>
    <t>SALE506</t>
  </si>
  <si>
    <t>SALE507</t>
  </si>
  <si>
    <t>CUST1212</t>
  </si>
  <si>
    <t>SALE508</t>
  </si>
  <si>
    <t>SALE509</t>
  </si>
  <si>
    <t>CUST1311</t>
  </si>
  <si>
    <t>SALE510</t>
  </si>
  <si>
    <t>SALE511</t>
  </si>
  <si>
    <t>CUST1352</t>
  </si>
  <si>
    <t>SALE512</t>
  </si>
  <si>
    <t>SALE513</t>
  </si>
  <si>
    <t>CUST1365</t>
  </si>
  <si>
    <t>SALE514</t>
  </si>
  <si>
    <t>SALE515</t>
  </si>
  <si>
    <t>CUST1160</t>
  </si>
  <si>
    <t>SALE516</t>
  </si>
  <si>
    <t>SALE517</t>
  </si>
  <si>
    <t>SALE518</t>
  </si>
  <si>
    <t>CUST1362</t>
  </si>
  <si>
    <t>SALE519</t>
  </si>
  <si>
    <t>CUST1233</t>
  </si>
  <si>
    <t>SALE520</t>
  </si>
  <si>
    <t>SALE521</t>
  </si>
  <si>
    <t>SALE522</t>
  </si>
  <si>
    <t>CUST1261</t>
  </si>
  <si>
    <t>SALE523</t>
  </si>
  <si>
    <t>CUST1286</t>
  </si>
  <si>
    <t>SALE524</t>
  </si>
  <si>
    <t>CUST1100</t>
  </si>
  <si>
    <t>SALE525</t>
  </si>
  <si>
    <t>SALE526</t>
  </si>
  <si>
    <t>CUST1228</t>
  </si>
  <si>
    <t>SALE527</t>
  </si>
  <si>
    <t>SALE528</t>
  </si>
  <si>
    <t>CUST1092</t>
  </si>
  <si>
    <t>SALE529</t>
  </si>
  <si>
    <t>SALE530</t>
  </si>
  <si>
    <t>SALE531</t>
  </si>
  <si>
    <t>SALE532</t>
  </si>
  <si>
    <t>SALE533</t>
  </si>
  <si>
    <t>SALE534</t>
  </si>
  <si>
    <t>SALE535</t>
  </si>
  <si>
    <t>CUST1032</t>
  </si>
  <si>
    <t>SALE536</t>
  </si>
  <si>
    <t>SALE537</t>
  </si>
  <si>
    <t>SALE538</t>
  </si>
  <si>
    <t>CUST1388</t>
  </si>
  <si>
    <t>SALE539</t>
  </si>
  <si>
    <t>SALE540</t>
  </si>
  <si>
    <t>CUST1235</t>
  </si>
  <si>
    <t>SALE541</t>
  </si>
  <si>
    <t>SALE542</t>
  </si>
  <si>
    <t>CUST1204</t>
  </si>
  <si>
    <t>SALE543</t>
  </si>
  <si>
    <t>SALE544</t>
  </si>
  <si>
    <t>SALE545</t>
  </si>
  <si>
    <t>SALE546</t>
  </si>
  <si>
    <t>SALE547</t>
  </si>
  <si>
    <t>CUST1046</t>
  </si>
  <si>
    <t>SALE548</t>
  </si>
  <si>
    <t>CUST1123</t>
  </si>
  <si>
    <t>SALE549</t>
  </si>
  <si>
    <t>CUST1157</t>
  </si>
  <si>
    <t>SALE550</t>
  </si>
  <si>
    <t>SALE551</t>
  </si>
  <si>
    <t>SALE552</t>
  </si>
  <si>
    <t>SALE553</t>
  </si>
  <si>
    <t>CUST1057</t>
  </si>
  <si>
    <t>SALE554</t>
  </si>
  <si>
    <t>CUST1270</t>
  </si>
  <si>
    <t>SALE555</t>
  </si>
  <si>
    <t>CUST1278</t>
  </si>
  <si>
    <t>SALE556</t>
  </si>
  <si>
    <t>SALE557</t>
  </si>
  <si>
    <t>CUST1062</t>
  </si>
  <si>
    <t>SALE558</t>
  </si>
  <si>
    <t>SALE559</t>
  </si>
  <si>
    <t>CUST1389</t>
  </si>
  <si>
    <t>SALE560</t>
  </si>
  <si>
    <t>CUST1188</t>
  </si>
  <si>
    <t>SALE561</t>
  </si>
  <si>
    <t>SALE562</t>
  </si>
  <si>
    <t>CUST1026</t>
  </si>
  <si>
    <t>SALE563</t>
  </si>
  <si>
    <t>SALE564</t>
  </si>
  <si>
    <t>CUST1452</t>
  </si>
  <si>
    <t>SALE565</t>
  </si>
  <si>
    <t>CUST1149</t>
  </si>
  <si>
    <t>SALE566</t>
  </si>
  <si>
    <t>SALE567</t>
  </si>
  <si>
    <t>SALE568</t>
  </si>
  <si>
    <t>CUST1328</t>
  </si>
  <si>
    <t>SALE569</t>
  </si>
  <si>
    <t>SALE570</t>
  </si>
  <si>
    <t>CUST1461</t>
  </si>
  <si>
    <t>SALE571</t>
  </si>
  <si>
    <t>CUST1284</t>
  </si>
  <si>
    <t>SALE572</t>
  </si>
  <si>
    <t>CUST1040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</si>
  <si>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</si>
  <si>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</si>
  <si>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</si>
  <si>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</si>
  <si>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</si>
  <si>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</si>
  <si>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</si>
  <si>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</si>
  <si>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CUST1242</t>
  </si>
  <si>
    <t>SALE581</t>
  </si>
  <si>
    <t>SALE582</t>
  </si>
  <si>
    <t>SALE583</t>
  </si>
  <si>
    <t>SALE584</t>
  </si>
  <si>
    <t>SALE585</t>
  </si>
  <si>
    <t>SALE586</t>
  </si>
  <si>
    <t>SALE587</t>
  </si>
  <si>
    <t>CUST1147</t>
  </si>
  <si>
    <t>SALE588</t>
  </si>
  <si>
    <t>SALE589</t>
  </si>
  <si>
    <t>PROD96</t>
  </si>
  <si>
    <t>Women'S Formal Blazer - Phillips And Sons</t>
  </si>
  <si>
    <t>SALE590</t>
  </si>
  <si>
    <t>SALE591</t>
  </si>
  <si>
    <t>SALE592</t>
  </si>
  <si>
    <t>SALE593</t>
  </si>
  <si>
    <t>SALE594</t>
  </si>
  <si>
    <t>SALE595</t>
  </si>
  <si>
    <t>CUST1173</t>
  </si>
  <si>
    <t>SALE596</t>
  </si>
  <si>
    <t>CUST1202</t>
  </si>
  <si>
    <t>SALE597</t>
  </si>
  <si>
    <t>SALE598</t>
  </si>
  <si>
    <t>SALE599</t>
  </si>
  <si>
    <t>CUST1339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</si>
  <si>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</si>
  <si>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</si>
  <si>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</si>
  <si>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</si>
  <si>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</si>
  <si>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</si>
  <si>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</si>
  <si>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</si>
  <si>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CUST1430</t>
  </si>
  <si>
    <t>SALE608</t>
  </si>
  <si>
    <t>CUST1317</t>
  </si>
  <si>
    <t>SALE609</t>
  </si>
  <si>
    <t>SALE610</t>
  </si>
  <si>
    <t>SALE611</t>
  </si>
  <si>
    <t>SALE612</t>
  </si>
  <si>
    <t>SALE613</t>
  </si>
  <si>
    <t>CUST1425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</si>
  <si>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</si>
  <si>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</si>
  <si>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</si>
  <si>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</si>
  <si>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</si>
  <si>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</si>
  <si>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</si>
  <si>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</si>
  <si>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CUST1117</t>
  </si>
  <si>
    <t>SALE621</t>
  </si>
  <si>
    <t>CUST1353</t>
  </si>
  <si>
    <t>SALE622</t>
  </si>
  <si>
    <t>CUST1036</t>
  </si>
  <si>
    <t>SALE623</t>
  </si>
  <si>
    <t>SALE624</t>
  </si>
  <si>
    <t>CUST1059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</si>
  <si>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</si>
  <si>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</si>
  <si>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</si>
  <si>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</si>
  <si>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</si>
  <si>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</si>
  <si>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</si>
  <si>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</si>
  <si>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</si>
  <si>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</si>
  <si>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</si>
  <si>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CUST1411</t>
  </si>
  <si>
    <t>SALE636</t>
  </si>
  <si>
    <t>SALE637</t>
  </si>
  <si>
    <t>SALE638</t>
  </si>
  <si>
    <t>CUST1390</t>
  </si>
  <si>
    <t>SALE639</t>
  </si>
  <si>
    <t>CUST1336</t>
  </si>
  <si>
    <t>SALE640</t>
  </si>
  <si>
    <t>CUST1410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</si>
  <si>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</si>
  <si>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</si>
  <si>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</si>
  <si>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</si>
  <si>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</si>
  <si>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</si>
  <si>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</si>
  <si>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</si>
  <si>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</si>
  <si>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CUST1402</t>
  </si>
  <si>
    <t>SALE650</t>
  </si>
  <si>
    <t>SALE651</t>
  </si>
  <si>
    <t>SALE652</t>
  </si>
  <si>
    <t>SALE653</t>
  </si>
  <si>
    <t>CUST1440</t>
  </si>
  <si>
    <t>SALE654</t>
  </si>
  <si>
    <t>CUST1376</t>
  </si>
  <si>
    <t>SALE655</t>
  </si>
  <si>
    <t>SALE656</t>
  </si>
  <si>
    <t>SALE657</t>
  </si>
  <si>
    <t>SALE658</t>
  </si>
  <si>
    <t>CUST1055</t>
  </si>
  <si>
    <t>SALE659</t>
  </si>
  <si>
    <t>SALE660</t>
  </si>
  <si>
    <t>CUST1180</t>
  </si>
  <si>
    <t>SALE661</t>
  </si>
  <si>
    <t>SALE662</t>
  </si>
  <si>
    <t>CUST1354</t>
  </si>
  <si>
    <t>SALE663</t>
  </si>
  <si>
    <t>SALE664</t>
  </si>
  <si>
    <t>SALE665</t>
  </si>
  <si>
    <t>CUST1048</t>
  </si>
  <si>
    <t>SALE666</t>
  </si>
  <si>
    <t>SALE667</t>
  </si>
  <si>
    <t>CUST1051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</si>
  <si>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</si>
  <si>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</si>
  <si>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</si>
  <si>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</si>
  <si>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</si>
  <si>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</si>
  <si>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</si>
  <si>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</si>
  <si>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</si>
  <si>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</si>
  <si>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</si>
  <si>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CUST1177</t>
  </si>
  <si>
    <t>SALE678</t>
  </si>
  <si>
    <t>SALE679</t>
  </si>
  <si>
    <t>SALE680</t>
  </si>
  <si>
    <t>SALE681</t>
  </si>
  <si>
    <t>SALE682</t>
  </si>
  <si>
    <t>CUST1281</t>
  </si>
  <si>
    <t>SALE683</t>
  </si>
  <si>
    <t>CUST1357</t>
  </si>
  <si>
    <t>SALE684</t>
  </si>
  <si>
    <t>CUST1192</t>
  </si>
  <si>
    <t>SALE685</t>
  </si>
  <si>
    <t>CUST1456</t>
  </si>
  <si>
    <t>SALE686</t>
  </si>
  <si>
    <t>SALE687</t>
  </si>
  <si>
    <t>SALE688</t>
  </si>
  <si>
    <t>SALE689</t>
  </si>
  <si>
    <t>SALE690</t>
  </si>
  <si>
    <t>SALE691</t>
  </si>
  <si>
    <t>CUST1124</t>
  </si>
  <si>
    <t>SALE692</t>
  </si>
  <si>
    <t>SALE693</t>
  </si>
  <si>
    <t>SALE694</t>
  </si>
  <si>
    <t>SALE695</t>
  </si>
  <si>
    <t>CUST1351</t>
  </si>
  <si>
    <t>SALE696</t>
  </si>
  <si>
    <t>SALE697</t>
  </si>
  <si>
    <t>CUST1139</t>
  </si>
  <si>
    <t>SALE698</t>
  </si>
  <si>
    <t>SALE699</t>
  </si>
  <si>
    <t>SALE700</t>
  </si>
  <si>
    <t>CUST1285</t>
  </si>
  <si>
    <t>SALE701</t>
  </si>
  <si>
    <t>SALE702</t>
  </si>
  <si>
    <t>SALE703</t>
  </si>
  <si>
    <t>CUST1196</t>
  </si>
  <si>
    <t>SALE704</t>
  </si>
  <si>
    <t>CUST1482</t>
  </si>
  <si>
    <t>SALE705</t>
  </si>
  <si>
    <t>CUST1151</t>
  </si>
  <si>
    <t>SALE706</t>
  </si>
  <si>
    <t>SALE707</t>
  </si>
  <si>
    <t>SALE708</t>
  </si>
  <si>
    <t>CUST1446</t>
  </si>
  <si>
    <t>SALE709</t>
  </si>
  <si>
    <t>SALE710</t>
  </si>
  <si>
    <t>SALE711</t>
  </si>
  <si>
    <t>SALE712</t>
  </si>
  <si>
    <t>SALE713</t>
  </si>
  <si>
    <t>CUST1024</t>
  </si>
  <si>
    <t>SALE714</t>
  </si>
  <si>
    <t>CUST1380</t>
  </si>
  <si>
    <t>SALE715</t>
  </si>
  <si>
    <t>CUST1274</t>
  </si>
  <si>
    <t>SALE716</t>
  </si>
  <si>
    <t>SALE717</t>
  </si>
  <si>
    <t>SALE718</t>
  </si>
  <si>
    <t>CUST1497</t>
  </si>
  <si>
    <t>SALE719</t>
  </si>
  <si>
    <t>SALE720</t>
  </si>
  <si>
    <t>SALE721</t>
  </si>
  <si>
    <t>SALE722</t>
  </si>
  <si>
    <t>SALE723</t>
  </si>
  <si>
    <t>CUST1341</t>
  </si>
  <si>
    <t>SALE724</t>
  </si>
  <si>
    <t>SALE725</t>
  </si>
  <si>
    <t>SALE726</t>
  </si>
  <si>
    <t>CUST1130</t>
  </si>
  <si>
    <t>SALE727</t>
  </si>
  <si>
    <t>CUST1387</t>
  </si>
  <si>
    <t>SALE728</t>
  </si>
  <si>
    <t>SALE729</t>
  </si>
  <si>
    <t>SALE730</t>
  </si>
  <si>
    <t>CUST1385</t>
  </si>
  <si>
    <t>SALE731</t>
  </si>
  <si>
    <t>SALE732</t>
  </si>
  <si>
    <t>SALE733</t>
  </si>
  <si>
    <t>CUST1330</t>
  </si>
  <si>
    <t>SALE734</t>
  </si>
  <si>
    <t>SALE735</t>
  </si>
  <si>
    <t>CUST1355</t>
  </si>
  <si>
    <t>SALE736</t>
  </si>
  <si>
    <t>CUST1342</t>
  </si>
  <si>
    <t>SALE737</t>
  </si>
  <si>
    <t>SALE738</t>
  </si>
  <si>
    <t>SALE739</t>
  </si>
  <si>
    <t>SALE740</t>
  </si>
  <si>
    <t>SALE741</t>
  </si>
  <si>
    <t>SALE742</t>
  </si>
  <si>
    <t>SALE743</t>
  </si>
  <si>
    <t>CUST1172</t>
  </si>
  <si>
    <t>SALE744</t>
  </si>
  <si>
    <t>SALE745</t>
  </si>
  <si>
    <t>SALE746</t>
  </si>
  <si>
    <t>SALE747</t>
  </si>
  <si>
    <t>CUST1122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</si>
  <si>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</si>
  <si>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</si>
  <si>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</si>
  <si>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</si>
  <si>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</si>
  <si>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</si>
  <si>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</si>
  <si>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</si>
  <si>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</si>
  <si>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</si>
  <si>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</si>
  <si>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</si>
  <si>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CUST1271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</si>
  <si>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</si>
  <si>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</si>
  <si>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</si>
  <si>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</si>
  <si>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</si>
  <si>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</si>
  <si>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</si>
  <si>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</si>
  <si>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</si>
  <si>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</si>
  <si>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</si>
  <si>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</si>
  <si>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</si>
  <si>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CUST1247</t>
  </si>
  <si>
    <t>SALE772</t>
  </si>
  <si>
    <t>CUST1350</t>
  </si>
  <si>
    <t>SALE773</t>
  </si>
  <si>
    <t>SALE774</t>
  </si>
  <si>
    <t>SALE775</t>
  </si>
  <si>
    <t>SALE776</t>
  </si>
  <si>
    <t>SALE777</t>
  </si>
  <si>
    <t>CUST1363</t>
  </si>
  <si>
    <t>SALE778</t>
  </si>
  <si>
    <t>SALE779</t>
  </si>
  <si>
    <t>SALE780</t>
  </si>
  <si>
    <t>SALE781</t>
  </si>
  <si>
    <t>SALE782</t>
  </si>
  <si>
    <t>SALE783</t>
  </si>
  <si>
    <t>CUST1474</t>
  </si>
  <si>
    <t>SALE784</t>
  </si>
  <si>
    <t>SALE785</t>
  </si>
  <si>
    <t>SALE786</t>
  </si>
  <si>
    <t>CUST1292</t>
  </si>
  <si>
    <t>SALE787</t>
  </si>
  <si>
    <t>SALE788</t>
  </si>
  <si>
    <t>CUST1475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</si>
  <si>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</si>
  <si>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</si>
  <si>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</si>
  <si>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</si>
  <si>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</si>
  <si>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</si>
  <si>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</si>
  <si>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</si>
  <si>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CUST1052</t>
  </si>
  <si>
    <t>SALE797</t>
  </si>
  <si>
    <t>CUST1110</t>
  </si>
  <si>
    <t>SALE798</t>
  </si>
  <si>
    <t>SALE799</t>
  </si>
  <si>
    <t>SALE800</t>
  </si>
  <si>
    <t>SALE801</t>
  </si>
  <si>
    <t>SALE802</t>
  </si>
  <si>
    <t>SALE803</t>
  </si>
  <si>
    <t>SALE804</t>
  </si>
  <si>
    <t>CUST1306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</si>
  <si>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</si>
  <si>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</si>
  <si>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</si>
  <si>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</si>
  <si>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</si>
  <si>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</si>
  <si>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</si>
  <si>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</si>
  <si>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CUST1230</t>
  </si>
  <si>
    <t>SALE813</t>
  </si>
  <si>
    <t>SALE814</t>
  </si>
  <si>
    <t>SALE815</t>
  </si>
  <si>
    <t>SALE816</t>
  </si>
  <si>
    <t>SALE817</t>
  </si>
  <si>
    <t>CUST1190</t>
  </si>
  <si>
    <t>SALE818</t>
  </si>
  <si>
    <t>SALE819</t>
  </si>
  <si>
    <t>SALE820</t>
  </si>
  <si>
    <t>SALE821</t>
  </si>
  <si>
    <t>SALE822</t>
  </si>
  <si>
    <t>SALE823</t>
  </si>
  <si>
    <t>CUST1441</t>
  </si>
  <si>
    <t>SALE824</t>
  </si>
  <si>
    <t>SALE825</t>
  </si>
  <si>
    <t>SALE826</t>
  </si>
  <si>
    <t>SALE827</t>
  </si>
  <si>
    <t>SALE828</t>
  </si>
  <si>
    <t>CUST1356</t>
  </si>
  <si>
    <t>SALE829</t>
  </si>
  <si>
    <t>SALE830</t>
  </si>
  <si>
    <t>CUST1283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</si>
  <si>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</si>
  <si>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</si>
  <si>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</si>
  <si>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</si>
  <si>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</si>
  <si>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</si>
  <si>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</si>
  <si>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</si>
  <si>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</si>
  <si>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</si>
  <si>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</si>
  <si>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</si>
  <si>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</si>
  <si>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</si>
  <si>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CUST1457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</si>
  <si>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</si>
  <si>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</si>
  <si>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</si>
  <si>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</si>
  <si>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</si>
  <si>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</si>
  <si>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</si>
  <si>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</si>
  <si>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CUST1259</t>
  </si>
  <si>
    <t>SALE853</t>
  </si>
  <si>
    <t>CUST1407</t>
  </si>
  <si>
    <t>SALE854</t>
  </si>
  <si>
    <t>SALE855</t>
  </si>
  <si>
    <t>CUST1078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</si>
  <si>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</si>
  <si>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</si>
  <si>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</si>
  <si>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</si>
  <si>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</si>
  <si>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</si>
  <si>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</si>
  <si>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</si>
  <si>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</si>
  <si>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</si>
  <si>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</si>
  <si>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</si>
  <si>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CUST1121</t>
  </si>
  <si>
    <t>SALE868</t>
  </si>
  <si>
    <t>SALE869</t>
  </si>
  <si>
    <t>CUST1279</t>
  </si>
  <si>
    <t>SALE870</t>
  </si>
  <si>
    <t>SALE871</t>
  </si>
  <si>
    <t>SALE872</t>
  </si>
  <si>
    <t>SALE873</t>
  </si>
  <si>
    <t>SALE874</t>
  </si>
  <si>
    <t>CUST1195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</si>
  <si>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</si>
  <si>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</si>
  <si>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</si>
  <si>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</si>
  <si>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</si>
  <si>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</si>
  <si>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</si>
  <si>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</si>
  <si>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</si>
  <si>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</si>
  <si>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</si>
  <si>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</si>
  <si>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</si>
  <si>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</si>
  <si>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CUST1465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</si>
  <si>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</si>
  <si>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</si>
  <si>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</si>
  <si>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</si>
  <si>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</si>
  <si>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</si>
  <si>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</si>
  <si>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</si>
  <si>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</si>
  <si>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</si>
  <si>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</si>
  <si>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</si>
  <si>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</si>
  <si>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</si>
  <si>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</si>
  <si>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</si>
  <si>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</si>
  <si>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CUST1392</t>
  </si>
  <si>
    <t>SALE906</t>
  </si>
  <si>
    <t>CUST1109</t>
  </si>
  <si>
    <t>SALE907</t>
  </si>
  <si>
    <t>CUST1268</t>
  </si>
  <si>
    <t>SALE908</t>
  </si>
  <si>
    <t>SALE909</t>
  </si>
  <si>
    <t>SALE910</t>
  </si>
  <si>
    <t>SALE911</t>
  </si>
  <si>
    <t>SALE912</t>
  </si>
  <si>
    <t>CUST1193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</si>
  <si>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</si>
  <si>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</si>
  <si>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</si>
  <si>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</si>
  <si>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</si>
  <si>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</si>
  <si>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</si>
  <si>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</si>
  <si>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</si>
  <si>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</si>
  <si>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</si>
  <si>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</si>
  <si>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</si>
  <si>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</si>
  <si>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</si>
  <si>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</si>
  <si>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</si>
  <si>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</si>
  <si>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</si>
  <si>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</si>
  <si>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</si>
  <si>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CUST1060</t>
  </si>
  <si>
    <t>SALE934</t>
  </si>
  <si>
    <t>CUST1245</t>
  </si>
  <si>
    <t>SALE935</t>
  </si>
  <si>
    <t>SALE936</t>
  </si>
  <si>
    <t>SALE937</t>
  </si>
  <si>
    <t>SALE938</t>
  </si>
  <si>
    <t>SALE939</t>
  </si>
  <si>
    <t>CUST1305</t>
  </si>
  <si>
    <t>SALE940</t>
  </si>
  <si>
    <t>SALE941</t>
  </si>
  <si>
    <t>SALE942</t>
  </si>
  <si>
    <t>SALE943</t>
  </si>
  <si>
    <t>SALE944</t>
  </si>
  <si>
    <t>SALE945</t>
  </si>
  <si>
    <t>SALE946</t>
  </si>
  <si>
    <t>CUST1140</t>
  </si>
  <si>
    <t>SALE947</t>
  </si>
  <si>
    <t>SALE948</t>
  </si>
  <si>
    <t>SALE949</t>
  </si>
  <si>
    <t>SALE950</t>
  </si>
  <si>
    <t>CUST1309</t>
  </si>
  <si>
    <t>SALE951</t>
  </si>
  <si>
    <t>CUST1154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</si>
  <si>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</si>
  <si>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</si>
  <si>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</si>
  <si>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</si>
  <si>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</si>
  <si>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</si>
  <si>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</si>
  <si>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</si>
  <si>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</si>
  <si>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</si>
  <si>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</si>
  <si>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</si>
  <si>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</si>
  <si>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</si>
  <si>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</si>
  <si>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</si>
  <si>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</si>
  <si>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</si>
  <si>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</si>
  <si>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</si>
  <si>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CUST1280</t>
  </si>
  <si>
    <t>SALE972</t>
  </si>
  <si>
    <t>SALE973</t>
  </si>
  <si>
    <t>SALE974</t>
  </si>
  <si>
    <t>CUST1444</t>
  </si>
  <si>
    <t>SALE975</t>
  </si>
  <si>
    <t>SALE976</t>
  </si>
  <si>
    <t>CUST1249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</si>
  <si>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</si>
  <si>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</si>
  <si>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</si>
  <si>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</si>
  <si>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</si>
  <si>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</si>
  <si>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</si>
  <si>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</si>
  <si>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</si>
  <si>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</si>
  <si>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</si>
  <si>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</si>
  <si>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</si>
  <si>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</si>
  <si>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</si>
  <si>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</si>
  <si>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</si>
  <si>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</si>
  <si>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</si>
  <si>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</si>
  <si>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</si>
  <si>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</si>
  <si>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</si>
  <si>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</si>
  <si>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CUST1421</t>
  </si>
  <si>
    <t>SALE1000</t>
  </si>
  <si>
    <t>SALE1001</t>
  </si>
  <si>
    <t>SALE1002</t>
  </si>
  <si>
    <t>SALE1003</t>
  </si>
  <si>
    <t>SALE1004</t>
  </si>
  <si>
    <t>SALE1005</t>
  </si>
  <si>
    <t>CUST1194</t>
  </si>
  <si>
    <t>SALE1006</t>
  </si>
  <si>
    <t>SALE1007</t>
  </si>
  <si>
    <t>SALE1008</t>
  </si>
  <si>
    <t>CUST1426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</si>
  <si>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</si>
  <si>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</si>
  <si>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</si>
  <si>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</si>
  <si>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</si>
  <si>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</si>
  <si>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</si>
  <si>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</si>
  <si>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</si>
  <si>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</si>
  <si>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</si>
  <si>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</si>
  <si>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</si>
  <si>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</si>
  <si>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</si>
  <si>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</si>
  <si>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</si>
  <si>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</si>
  <si>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</si>
  <si>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CUST1436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</si>
  <si>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</si>
  <si>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</si>
  <si>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</si>
  <si>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</si>
  <si>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</si>
  <si>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</si>
  <si>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</si>
  <si>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</si>
  <si>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</si>
  <si>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</si>
  <si>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</si>
  <si>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</si>
  <si>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CUST1155</t>
  </si>
  <si>
    <t>SALE1040</t>
  </si>
  <si>
    <t>SALE1041</t>
  </si>
  <si>
    <t>CUST1310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</si>
  <si>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</si>
  <si>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</si>
  <si>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</si>
  <si>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</si>
  <si>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</si>
  <si>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</si>
  <si>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</si>
  <si>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</si>
  <si>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</si>
  <si>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</si>
  <si>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</si>
  <si>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</si>
  <si>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</si>
  <si>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</si>
  <si>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</si>
  <si>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</si>
  <si>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</si>
  <si>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</si>
  <si>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CUST1009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</si>
  <si>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</si>
  <si>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</si>
  <si>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</si>
  <si>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</si>
  <si>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</si>
  <si>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</si>
  <si>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</si>
  <si>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</si>
  <si>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</si>
  <si>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</si>
  <si>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</si>
  <si>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</si>
  <si>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</si>
  <si>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</si>
  <si>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</si>
  <si>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</si>
  <si>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CUST1301</t>
  </si>
  <si>
    <t>SALE1076</t>
  </si>
  <si>
    <t>CUST1045</t>
  </si>
  <si>
    <t>SALE1077</t>
  </si>
  <si>
    <t>SALE1078</t>
  </si>
  <si>
    <t>CUST1414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</si>
  <si>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</si>
  <si>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</si>
  <si>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</si>
  <si>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</si>
  <si>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</si>
  <si>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</si>
  <si>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</si>
  <si>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</si>
  <si>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</si>
  <si>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</si>
  <si>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</si>
  <si>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</si>
  <si>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</si>
  <si>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</si>
  <si>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</si>
  <si>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</si>
  <si>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</si>
  <si>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</si>
  <si>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</si>
  <si>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</si>
  <si>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</si>
  <si>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</si>
  <si>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</si>
  <si>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</si>
  <si>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</si>
  <si>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CUST1375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</si>
  <si>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</si>
  <si>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</si>
  <si>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</si>
  <si>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</si>
  <si>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</si>
  <si>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</si>
  <si>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</si>
  <si>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</si>
  <si>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</si>
  <si>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</si>
  <si>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</si>
  <si>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</si>
  <si>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</si>
  <si>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</si>
  <si>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</si>
  <si>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</si>
  <si>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</si>
  <si>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</si>
  <si>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</si>
  <si>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</si>
  <si>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</si>
  <si>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CUST1361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</si>
  <si>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</si>
  <si>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</si>
  <si>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</si>
  <si>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</si>
  <si>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</si>
  <si>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</si>
  <si>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</si>
  <si>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</si>
  <si>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</si>
  <si>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</si>
  <si>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</si>
  <si>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</si>
  <si>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CUST1359</t>
  </si>
  <si>
    <t>SALE1137</t>
  </si>
  <si>
    <t>SALE1138</t>
  </si>
  <si>
    <t>SALE1139</t>
  </si>
  <si>
    <t>SALE1140</t>
  </si>
  <si>
    <t>CUST1179</t>
  </si>
  <si>
    <t>SALE1141</t>
  </si>
  <si>
    <t>SALE1142</t>
  </si>
  <si>
    <t>SALE1143</t>
  </si>
  <si>
    <t>SALE1144</t>
  </si>
  <si>
    <t>SALE1145</t>
  </si>
  <si>
    <t>CUST1432</t>
  </si>
  <si>
    <t>SALE1146</t>
  </si>
  <si>
    <t>SALE1147</t>
  </si>
  <si>
    <t>SALE1148</t>
  </si>
  <si>
    <t>SALE1149</t>
  </si>
  <si>
    <t>SALE1150</t>
  </si>
  <si>
    <t>SALE1151</t>
  </si>
  <si>
    <t>SALE1152</t>
  </si>
  <si>
    <t>CUST1480</t>
  </si>
  <si>
    <t>SALE1153</t>
  </si>
  <si>
    <t>SALE1154</t>
  </si>
  <si>
    <t>SALE1155</t>
  </si>
  <si>
    <t>CUST1340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</si>
  <si>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</si>
  <si>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</si>
  <si>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</si>
  <si>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</si>
  <si>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</si>
  <si>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</si>
  <si>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</si>
  <si>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</si>
  <si>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</si>
  <si>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</si>
  <si>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</si>
  <si>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</si>
  <si>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</si>
  <si>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</si>
  <si>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</si>
  <si>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</si>
  <si>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</si>
  <si>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</si>
  <si>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</si>
  <si>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</si>
  <si>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</si>
  <si>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</si>
  <si>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</si>
  <si>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</si>
  <si>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</si>
  <si>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</si>
  <si>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</si>
  <si>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</si>
  <si>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</si>
  <si>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</si>
  <si>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</si>
  <si>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</si>
  <si>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</si>
  <si>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</si>
  <si>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</si>
  <si>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</si>
  <si>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</si>
  <si>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</si>
  <si>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</si>
  <si>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</si>
  <si>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</si>
  <si>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</si>
  <si>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</si>
  <si>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</si>
  <si>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</si>
  <si>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</si>
  <si>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</si>
  <si>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</si>
  <si>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</si>
  <si>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</si>
  <si>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CUST1400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</si>
  <si>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</si>
  <si>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</si>
  <si>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</si>
  <si>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</si>
  <si>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</si>
  <si>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</si>
  <si>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</si>
  <si>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</si>
  <si>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</si>
  <si>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</si>
  <si>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</si>
  <si>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</si>
  <si>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</si>
  <si>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</si>
  <si>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CUST1030</t>
  </si>
  <si>
    <t>SALE1220</t>
  </si>
  <si>
    <t>CUST1313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</si>
  <si>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</si>
  <si>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</si>
  <si>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</si>
  <si>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</si>
  <si>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</si>
  <si>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</si>
  <si>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</si>
  <si>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</si>
  <si>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</si>
  <si>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</si>
  <si>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CUST1018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</si>
  <si>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</si>
  <si>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</si>
  <si>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</si>
  <si>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</si>
  <si>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</si>
  <si>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</si>
  <si>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</si>
  <si>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</si>
  <si>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</si>
  <si>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</si>
  <si>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</si>
  <si>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</si>
  <si>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</si>
  <si>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</si>
  <si>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</si>
  <si>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</si>
  <si>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</si>
  <si>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</si>
  <si>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</si>
  <si>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</si>
  <si>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</si>
  <si>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</si>
  <si>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</si>
  <si>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</si>
  <si>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</si>
  <si>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</si>
  <si>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CUST1450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</si>
  <si>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</si>
  <si>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</si>
  <si>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</si>
  <si>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</si>
  <si>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</si>
  <si>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</si>
  <si>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</si>
  <si>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</si>
  <si>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</si>
  <si>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</si>
  <si>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</si>
  <si>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</si>
  <si>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</si>
  <si>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</si>
  <si>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</si>
  <si>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</si>
  <si>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</si>
  <si>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</si>
  <si>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</si>
  <si>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</si>
  <si>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</si>
  <si>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</si>
  <si>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</si>
  <si>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</si>
  <si>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</si>
  <si>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</si>
  <si>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</si>
  <si>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</si>
  <si>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</si>
  <si>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</si>
  <si>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</si>
  <si>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</si>
  <si>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</si>
  <si>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</si>
  <si>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</si>
  <si>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</si>
  <si>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</si>
  <si>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CUST1112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</si>
  <si>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</si>
  <si>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</si>
  <si>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</si>
  <si>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</si>
  <si>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</si>
  <si>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</si>
  <si>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</si>
  <si>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</si>
  <si>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</si>
  <si>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</si>
  <si>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</si>
  <si>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</si>
  <si>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</si>
  <si>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</si>
  <si>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</si>
  <si>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</si>
  <si>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</si>
  <si>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</si>
  <si>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</si>
  <si>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</si>
  <si>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</si>
  <si>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CUST1021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</si>
  <si>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</si>
  <si>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</si>
  <si>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</si>
  <si>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</si>
  <si>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</si>
  <si>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</si>
  <si>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</si>
  <si>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</si>
  <si>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</si>
  <si>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</si>
  <si>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</si>
  <si>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</si>
  <si>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</si>
  <si>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</si>
  <si>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</si>
  <si>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</si>
  <si>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</si>
  <si>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</si>
  <si>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</si>
  <si>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</si>
  <si>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</si>
  <si>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</si>
  <si>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</si>
  <si>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</si>
  <si>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</si>
  <si>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</si>
  <si>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</si>
  <si>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CUST1439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</si>
  <si>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</si>
  <si>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</si>
  <si>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</si>
  <si>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</si>
  <si>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</si>
  <si>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</si>
  <si>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</si>
  <si>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</si>
  <si>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</si>
  <si>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</si>
  <si>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</si>
  <si>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</si>
  <si>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</si>
  <si>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</si>
  <si>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</si>
  <si>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</si>
  <si>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</si>
  <si>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</si>
  <si>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</si>
  <si>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</si>
  <si>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</si>
  <si>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</si>
  <si>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</si>
  <si>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</si>
  <si>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</si>
  <si>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</si>
  <si>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</si>
  <si>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CUST1299</t>
  </si>
  <si>
    <t>SALE1368</t>
  </si>
  <si>
    <t>SALE1369</t>
  </si>
  <si>
    <t>SALE1370</t>
  </si>
  <si>
    <t>SALE1371</t>
  </si>
  <si>
    <t>SALE1372</t>
  </si>
  <si>
    <t>SALE1373</t>
  </si>
  <si>
    <t>CUST1254</t>
  </si>
  <si>
    <t>SALE1374</t>
  </si>
  <si>
    <t>SALE1375</t>
  </si>
  <si>
    <t>SALE1376</t>
  </si>
  <si>
    <t>SALE1377</t>
  </si>
  <si>
    <t>SALE1378</t>
  </si>
  <si>
    <t>CUST1064</t>
  </si>
  <si>
    <t>SALE1379</t>
  </si>
  <si>
    <t>SALE1380</t>
  </si>
  <si>
    <t>CUST1090</t>
  </si>
  <si>
    <t>SALE1381</t>
  </si>
  <si>
    <t>SALE1382</t>
  </si>
  <si>
    <t>SALE1383</t>
  </si>
  <si>
    <t>SALE1384</t>
  </si>
  <si>
    <t>SALE1385</t>
  </si>
  <si>
    <t>CUST1227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</si>
  <si>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</si>
  <si>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</si>
  <si>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</si>
  <si>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</si>
  <si>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</si>
  <si>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</si>
  <si>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</si>
  <si>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</si>
  <si>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</si>
  <si>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</si>
  <si>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</si>
  <si>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</si>
  <si>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</si>
  <si>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</si>
  <si>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</si>
  <si>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</si>
  <si>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</si>
  <si>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</si>
  <si>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</si>
  <si>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</si>
  <si>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</si>
  <si>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</si>
  <si>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</si>
  <si>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</si>
  <si>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</si>
  <si>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</si>
  <si>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</si>
  <si>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</si>
  <si>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</si>
  <si>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</si>
  <si>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</si>
  <si>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</si>
  <si>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</si>
  <si>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</si>
  <si>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</si>
  <si>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</si>
  <si>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</si>
  <si>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</si>
  <si>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</si>
  <si>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</si>
  <si>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</si>
  <si>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</si>
  <si>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</si>
  <si>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</si>
  <si>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</si>
  <si>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</si>
  <si>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CUST1447</t>
  </si>
  <si>
    <t>SALE1432</t>
  </si>
  <si>
    <t>SALE1433</t>
  </si>
  <si>
    <t>SALE1434</t>
  </si>
  <si>
    <t>SALE1435</t>
  </si>
  <si>
    <t>SALE1436</t>
  </si>
  <si>
    <t>CUST1174</t>
  </si>
  <si>
    <t>SALE1437</t>
  </si>
  <si>
    <t>SALE1438</t>
  </si>
  <si>
    <t>SALE1439</t>
  </si>
  <si>
    <t>CUST1291</t>
  </si>
  <si>
    <t>SALE1440</t>
  </si>
  <si>
    <t>SALE1441</t>
  </si>
  <si>
    <t>CUST1258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</si>
  <si>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</si>
  <si>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</si>
  <si>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</si>
  <si>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</si>
  <si>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</si>
  <si>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</si>
  <si>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</si>
  <si>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</si>
  <si>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</si>
  <si>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</si>
  <si>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</si>
  <si>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</si>
  <si>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</si>
  <si>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</si>
  <si>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CUST1236</t>
  </si>
  <si>
    <t>SALE1456</t>
  </si>
  <si>
    <t>SALE1457</t>
  </si>
  <si>
    <t>CUST1238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</si>
  <si>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</si>
  <si>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</si>
  <si>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</si>
  <si>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</si>
  <si>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</si>
  <si>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</si>
  <si>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</si>
  <si>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</si>
  <si>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</si>
  <si>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CUST1226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</si>
  <si>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</si>
  <si>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</si>
  <si>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</si>
  <si>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</si>
  <si>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</si>
  <si>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</si>
  <si>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</si>
  <si>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</si>
  <si>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</si>
  <si>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</si>
  <si>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</si>
  <si>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</si>
  <si>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</si>
  <si>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</si>
  <si>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</si>
  <si>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</si>
  <si>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</si>
  <si>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</si>
  <si>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</si>
  <si>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</si>
  <si>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</si>
  <si>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</si>
  <si>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</si>
  <si>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</si>
  <si>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</si>
  <si>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</si>
  <si>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</si>
  <si>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</si>
  <si>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</si>
  <si>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</si>
  <si>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CUST1331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</si>
  <si>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</si>
  <si>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</si>
  <si>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</si>
  <si>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</si>
  <si>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</si>
  <si>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</si>
  <si>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</si>
  <si>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</si>
  <si>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</si>
  <si>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</si>
  <si>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</si>
  <si>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</si>
  <si>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</si>
  <si>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</si>
  <si>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</si>
  <si>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CUST1250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</si>
  <si>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</si>
  <si>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</si>
  <si>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</si>
  <si>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</si>
  <si>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</si>
  <si>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</si>
  <si>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</si>
  <si>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</si>
  <si>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</si>
  <si>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CUST1106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</si>
  <si>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</si>
  <si>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</si>
  <si>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</si>
  <si>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</si>
  <si>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</si>
  <si>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</si>
  <si>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</si>
  <si>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</si>
  <si>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</si>
  <si>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</si>
  <si>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</si>
  <si>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</si>
  <si>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</si>
  <si>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</si>
  <si>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</si>
  <si>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</si>
  <si>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</si>
  <si>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</si>
  <si>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</si>
  <si>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</si>
  <si>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</si>
  <si>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</si>
  <si>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</si>
  <si>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</si>
  <si>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</si>
  <si>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CUST1207</t>
  </si>
  <si>
    <t>SALE1546</t>
  </si>
  <si>
    <t>SALE1547</t>
  </si>
  <si>
    <t>CUST1217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</si>
  <si>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</si>
  <si>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</si>
  <si>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</si>
  <si>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</si>
  <si>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</si>
  <si>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</si>
  <si>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</si>
  <si>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</si>
  <si>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</si>
  <si>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</si>
  <si>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</si>
  <si>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</si>
  <si>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</si>
  <si>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</si>
  <si>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</si>
  <si>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</si>
  <si>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</si>
  <si>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</si>
  <si>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</si>
  <si>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</si>
  <si>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</si>
  <si>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</si>
  <si>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</si>
  <si>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</si>
  <si>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</si>
  <si>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</si>
  <si>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</si>
  <si>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</si>
  <si>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</si>
  <si>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</si>
  <si>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</si>
  <si>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</si>
  <si>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</si>
  <si>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</si>
  <si>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</si>
  <si>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</si>
  <si>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</si>
  <si>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CUST1318</t>
  </si>
  <si>
    <t>SALE1585</t>
  </si>
  <si>
    <t>SALE1586</t>
  </si>
  <si>
    <t>SALE1587</t>
  </si>
  <si>
    <t>SALE1588</t>
  </si>
  <si>
    <t>SALE1589</t>
  </si>
  <si>
    <t>SALE1590</t>
  </si>
  <si>
    <t>SALE1591</t>
  </si>
  <si>
    <t>CUST1025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</si>
  <si>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</si>
  <si>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</si>
  <si>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</si>
  <si>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</si>
  <si>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</si>
  <si>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</si>
  <si>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</si>
  <si>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</si>
  <si>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</si>
  <si>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</si>
  <si>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</si>
  <si>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</si>
  <si>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</si>
  <si>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</si>
  <si>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</si>
  <si>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</si>
  <si>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</si>
  <si>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</si>
  <si>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</si>
  <si>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</si>
  <si>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</si>
  <si>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</si>
  <si>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</si>
  <si>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</si>
  <si>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</si>
  <si>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</si>
  <si>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</si>
  <si>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</si>
  <si>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CUST1074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</si>
  <si>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</si>
  <si>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</si>
  <si>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</si>
  <si>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</si>
  <si>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</si>
  <si>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</si>
  <si>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</si>
  <si>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</si>
  <si>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</si>
  <si>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</si>
  <si>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</si>
  <si>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</si>
  <si>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</si>
  <si>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</si>
  <si>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</si>
  <si>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</si>
  <si>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</si>
  <si>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</si>
  <si>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</si>
  <si>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</si>
  <si>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</si>
  <si>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</si>
  <si>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</si>
  <si>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CUST1308</t>
  </si>
  <si>
    <t>SALE1643</t>
  </si>
  <si>
    <t>SALE1644</t>
  </si>
  <si>
    <t>SALE1645</t>
  </si>
  <si>
    <t>SALE1646</t>
  </si>
  <si>
    <t>SALE1647</t>
  </si>
  <si>
    <t>CUST1132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</si>
  <si>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</si>
  <si>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</si>
  <si>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</si>
  <si>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</si>
  <si>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</si>
  <si>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</si>
  <si>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</si>
  <si>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</si>
  <si>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</si>
  <si>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CUST1460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</si>
  <si>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</si>
  <si>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</si>
  <si>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</si>
  <si>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</si>
  <si>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</si>
  <si>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</si>
  <si>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</si>
  <si>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</si>
  <si>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</si>
  <si>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</si>
  <si>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</si>
  <si>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</si>
  <si>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</si>
  <si>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</si>
  <si>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</si>
  <si>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</si>
  <si>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</si>
  <si>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</si>
  <si>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</si>
  <si>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</si>
  <si>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</si>
  <si>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</si>
  <si>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</si>
  <si>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</si>
  <si>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</si>
  <si>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</si>
  <si>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</si>
  <si>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</si>
  <si>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</si>
  <si>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</si>
  <si>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</si>
  <si>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</si>
  <si>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</si>
  <si>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</si>
  <si>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</si>
  <si>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</si>
  <si>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CUST1393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</si>
  <si>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</si>
  <si>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</si>
  <si>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</si>
  <si>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</si>
  <si>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</si>
  <si>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</si>
  <si>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</si>
  <si>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</si>
  <si>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</si>
  <si>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</si>
  <si>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</si>
  <si>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</si>
  <si>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</si>
  <si>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</si>
  <si>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</si>
  <si>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</si>
  <si>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</si>
  <si>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</si>
  <si>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</si>
  <si>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</si>
  <si>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</si>
  <si>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</si>
  <si>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</si>
  <si>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</si>
  <si>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</si>
  <si>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</si>
  <si>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</si>
  <si>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</si>
  <si>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</si>
  <si>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CUST1289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</si>
  <si>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</si>
  <si>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</si>
  <si>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</si>
  <si>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</si>
  <si>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</si>
  <si>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</si>
  <si>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</si>
  <si>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</si>
  <si>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</si>
  <si>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</si>
  <si>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</si>
  <si>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</si>
  <si>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</si>
  <si>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</si>
  <si>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</si>
  <si>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</si>
  <si>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</si>
  <si>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</si>
  <si>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</si>
  <si>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</si>
  <si>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</si>
  <si>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</si>
  <si>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</si>
  <si>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</si>
  <si>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</si>
  <si>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</si>
  <si>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</si>
  <si>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</si>
  <si>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</si>
  <si>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</si>
  <si>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</si>
  <si>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</si>
  <si>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</si>
  <si>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</si>
  <si>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</si>
  <si>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</si>
  <si>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</si>
  <si>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</si>
  <si>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</si>
  <si>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</si>
  <si>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</si>
  <si>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</si>
  <si>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</si>
  <si>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</si>
  <si>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</si>
  <si>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</si>
  <si>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CUST1252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</si>
  <si>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</si>
  <si>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</si>
  <si>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</si>
  <si>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</si>
  <si>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</si>
  <si>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</si>
  <si>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</si>
  <si>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</si>
  <si>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</si>
  <si>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</si>
  <si>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</si>
  <si>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</si>
  <si>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</si>
  <si>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</si>
  <si>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</si>
  <si>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</si>
  <si>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</si>
  <si>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</si>
  <si>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</si>
  <si>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</si>
  <si>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</si>
  <si>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</si>
  <si>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</si>
  <si>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</si>
  <si>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</si>
  <si>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</si>
  <si>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</si>
  <si>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</si>
  <si>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</si>
  <si>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</si>
  <si>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</si>
  <si>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</si>
  <si>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</si>
  <si>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</si>
  <si>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</si>
  <si>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</si>
  <si>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</si>
  <si>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</si>
  <si>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</si>
  <si>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</si>
  <si>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</si>
  <si>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</si>
  <si>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</si>
  <si>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</si>
  <si>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</si>
  <si>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</si>
  <si>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</si>
  <si>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</si>
  <si>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</si>
  <si>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</si>
  <si>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</si>
  <si>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CUST1137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</si>
  <si>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</si>
  <si>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</si>
  <si>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</si>
  <si>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</si>
  <si>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</si>
  <si>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</si>
  <si>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</si>
  <si>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</si>
  <si>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</si>
  <si>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</si>
  <si>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</si>
  <si>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</si>
  <si>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</si>
  <si>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</si>
  <si>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</si>
  <si>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</si>
  <si>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</si>
  <si>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</si>
  <si>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</si>
  <si>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</si>
  <si>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</si>
  <si>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</si>
  <si>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</si>
  <si>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</si>
  <si>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</si>
  <si>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</si>
  <si>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</si>
  <si>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CUST1111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</si>
  <si>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</si>
  <si>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</si>
  <si>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</si>
  <si>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</si>
  <si>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</si>
  <si>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</si>
  <si>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</si>
  <si>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</si>
  <si>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</si>
  <si>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</si>
  <si>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</si>
  <si>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</si>
  <si>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</si>
  <si>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</si>
  <si>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</si>
  <si>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</si>
  <si>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</si>
  <si>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</si>
  <si>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</si>
  <si>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</si>
  <si>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</si>
  <si>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</si>
  <si>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</si>
  <si>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</si>
  <si>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</si>
  <si>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</si>
  <si>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</si>
  <si>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</si>
  <si>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</si>
  <si>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</si>
  <si>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</si>
  <si>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</si>
  <si>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</si>
  <si>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</si>
  <si>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</si>
  <si>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</si>
  <si>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</si>
  <si>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</si>
  <si>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</si>
  <si>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</si>
  <si>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</si>
  <si>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</si>
  <si>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</si>
  <si>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</si>
  <si>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</si>
  <si>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</si>
  <si>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</si>
  <si>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</si>
  <si>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</si>
  <si>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</si>
  <si>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</si>
  <si>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CUST1434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</si>
  <si>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</si>
  <si>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</si>
  <si>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</si>
  <si>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</si>
  <si>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</si>
  <si>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</si>
  <si>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</si>
  <si>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</si>
  <si>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</si>
  <si>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</si>
  <si>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</si>
  <si>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</si>
  <si>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</si>
  <si>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</si>
  <si>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</si>
  <si>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</si>
  <si>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</si>
  <si>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</si>
  <si>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</si>
  <si>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</si>
  <si>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</si>
  <si>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</si>
  <si>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</si>
  <si>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</si>
  <si>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</si>
  <si>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</si>
  <si>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</si>
  <si>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</si>
  <si>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</si>
  <si>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</si>
  <si>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</si>
  <si>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</si>
  <si>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</si>
  <si>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</si>
  <si>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</si>
  <si>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</si>
  <si>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</si>
  <si>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</si>
  <si>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</si>
  <si>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</si>
  <si>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</si>
  <si>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</si>
  <si>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</si>
  <si>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</si>
  <si>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</si>
  <si>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</si>
  <si>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</si>
  <si>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</si>
  <si>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</si>
  <si>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</si>
  <si>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</si>
  <si>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</si>
  <si>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</si>
  <si>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</si>
  <si>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</si>
  <si>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</si>
  <si>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</si>
  <si>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</si>
  <si>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</si>
  <si>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</si>
  <si>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</si>
  <si>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</si>
  <si>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</si>
  <si>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</si>
  <si>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</si>
  <si>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</si>
  <si>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</si>
  <si>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</si>
  <si>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</si>
  <si>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</si>
  <si>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</si>
  <si>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</si>
  <si>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</si>
  <si>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</si>
  <si>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</si>
  <si>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</si>
  <si>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</si>
  <si>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</si>
  <si>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</si>
  <si>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</si>
  <si>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</si>
  <si>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</si>
  <si>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</si>
  <si>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</si>
  <si>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</si>
  <si>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</si>
  <si>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</si>
  <si>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</si>
  <si>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</si>
  <si>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CUST1454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</si>
  <si>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</si>
  <si>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</si>
  <si>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</si>
  <si>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</si>
  <si>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</si>
  <si>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</si>
  <si>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</si>
  <si>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</si>
  <si>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</si>
  <si>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</si>
  <si>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</si>
  <si>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</si>
  <si>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</si>
  <si>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</si>
  <si>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Name</t>
  </si>
  <si>
    <t>City</t>
  </si>
  <si>
    <t>Country</t>
  </si>
  <si>
    <t>Customer ID Standardization</t>
  </si>
  <si>
    <t>Sheena Bonilla</t>
  </si>
  <si>
    <t>Donaldton</t>
  </si>
  <si>
    <t>USA</t>
  </si>
  <si>
    <t>Eugene Nelson</t>
  </si>
  <si>
    <t>Phillipsmouth</t>
  </si>
  <si>
    <t>In the Customer ID column, inconsistent values such as eg:“C-1464” were identified.</t>
  </si>
  <si>
    <t>Dr. Benjamin Price</t>
  </si>
  <si>
    <t>Kylebury</t>
  </si>
  <si>
    <r>
      <rPr>
        <sz val="11"/>
        <color theme="1"/>
        <rFont val="Calibri"/>
        <charset val="134"/>
        <scheme val="minor"/>
      </rPr>
      <t>The values were standardized to the correct format “Cust1464” using the</t>
    </r>
    <r>
      <rPr>
        <b/>
        <sz val="11"/>
        <color theme="1"/>
        <rFont val="Calibri"/>
        <charset val="134"/>
        <scheme val="minor"/>
      </rPr>
      <t xml:space="preserve"> Replace Values </t>
    </r>
    <r>
      <rPr>
        <sz val="11"/>
        <color theme="1"/>
        <rFont val="Calibri"/>
        <charset val="134"/>
        <scheme val="minor"/>
      </rPr>
      <t>option.</t>
    </r>
  </si>
  <si>
    <t>Jeremy Harris</t>
  </si>
  <si>
    <t>Thomastown</t>
  </si>
  <si>
    <t>Caroline Collins</t>
  </si>
  <si>
    <t>Nicholasshire</t>
  </si>
  <si>
    <t>Name Cleaning and Standardization</t>
  </si>
  <si>
    <t>Christine Vaughn</t>
  </si>
  <si>
    <t>East Amandamouth</t>
  </si>
  <si>
    <t>Amber Jackson</t>
  </si>
  <si>
    <t>Deborahborough</t>
  </si>
  <si>
    <t>* The Name column was cleaned to remove unnecessary spaces and inconsistent formatting.</t>
  </si>
  <si>
    <t>Daniel Boyd</t>
  </si>
  <si>
    <t>West Pamelafurt</t>
  </si>
  <si>
    <r>
      <rPr>
        <sz val="11"/>
        <color theme="1"/>
        <rFont val="Calibri"/>
        <charset val="134"/>
        <scheme val="minor"/>
      </rPr>
      <t xml:space="preserve">* </t>
    </r>
    <r>
      <rPr>
        <b/>
        <sz val="11"/>
        <color theme="1"/>
        <rFont val="Calibri"/>
        <charset val="134"/>
        <scheme val="minor"/>
      </rPr>
      <t>Trim</t>
    </r>
    <r>
      <rPr>
        <sz val="11"/>
        <color theme="1"/>
        <rFont val="Calibri"/>
        <charset val="134"/>
        <scheme val="minor"/>
      </rPr>
      <t xml:space="preserve"> was used to remove extra spaces.</t>
    </r>
  </si>
  <si>
    <t>Melissa Howard</t>
  </si>
  <si>
    <t>Maynardton</t>
  </si>
  <si>
    <r>
      <rPr>
        <sz val="11"/>
        <color theme="1"/>
        <rFont val="Calibri"/>
        <charset val="134"/>
        <scheme val="minor"/>
      </rPr>
      <t xml:space="preserve">* </t>
    </r>
    <r>
      <rPr>
        <b/>
        <sz val="11"/>
        <color theme="1"/>
        <rFont val="Calibri"/>
        <charset val="134"/>
        <scheme val="minor"/>
      </rPr>
      <t>Clean</t>
    </r>
    <r>
      <rPr>
        <sz val="11"/>
        <color theme="1"/>
        <rFont val="Calibri"/>
        <charset val="134"/>
        <scheme val="minor"/>
      </rPr>
      <t xml:space="preserve"> was applied to remove unwanted/non-printable characters.</t>
    </r>
  </si>
  <si>
    <t>Ms. Maria Leach</t>
  </si>
  <si>
    <t>Melissashire</t>
  </si>
  <si>
    <r>
      <rPr>
        <sz val="11"/>
        <color theme="1"/>
        <rFont val="Calibri"/>
        <charset val="134"/>
        <scheme val="minor"/>
      </rPr>
      <t xml:space="preserve">* </t>
    </r>
    <r>
      <rPr>
        <b/>
        <sz val="11"/>
        <color theme="1"/>
        <rFont val="Calibri"/>
        <charset val="134"/>
        <scheme val="minor"/>
      </rPr>
      <t>Prope</t>
    </r>
    <r>
      <rPr>
        <sz val="11"/>
        <color theme="1"/>
        <rFont val="Calibri"/>
        <charset val="134"/>
        <scheme val="minor"/>
      </rPr>
      <t>r Case was used to standardize names with the correct capitalization.</t>
    </r>
  </si>
  <si>
    <t>Dominic Page</t>
  </si>
  <si>
    <t>Port Michaelburgh</t>
  </si>
  <si>
    <t>proper(trim(clean(b2)))</t>
  </si>
  <si>
    <t>Brian Lopez</t>
  </si>
  <si>
    <t>East Krista</t>
  </si>
  <si>
    <t>Kenneth Lambert</t>
  </si>
  <si>
    <t>North Kathryn</t>
  </si>
  <si>
    <t>City Name Standardization</t>
  </si>
  <si>
    <t>Nathan Hernandez</t>
  </si>
  <si>
    <t>New Becky</t>
  </si>
  <si>
    <t>Ashley Cohen</t>
  </si>
  <si>
    <t>Lake Kristamouth</t>
  </si>
  <si>
    <t>* The City Name column was cleaned and standardized.</t>
  </si>
  <si>
    <t>Laura Alvarez</t>
  </si>
  <si>
    <t>Lawsonhaven</t>
  </si>
  <si>
    <t>* Extra spaces and unwanted characters were removed using Trim and Clean.</t>
  </si>
  <si>
    <t>John Scott</t>
  </si>
  <si>
    <t>South Christopher</t>
  </si>
  <si>
    <t>* Proper Case was applied to maintain a consistent city-name format.</t>
  </si>
  <si>
    <t>Adam Cruz</t>
  </si>
  <si>
    <t>Brandonville</t>
  </si>
  <si>
    <t>proper(trim(clean(e2)))</t>
  </si>
  <si>
    <t>Rhonda Moss</t>
  </si>
  <si>
    <t>South William</t>
  </si>
  <si>
    <t>Michael Torres</t>
  </si>
  <si>
    <t>Gonzalezfort</t>
  </si>
  <si>
    <t>Bridget Allen</t>
  </si>
  <si>
    <t>Lake Shaneburgh</t>
  </si>
  <si>
    <t>Country Name Standardization</t>
  </si>
  <si>
    <t>Jeff Martinez</t>
  </si>
  <si>
    <t>Smithburgh</t>
  </si>
  <si>
    <t>Paul Fox</t>
  </si>
  <si>
    <t>Michaelton</t>
  </si>
  <si>
    <r>
      <rPr>
        <sz val="11"/>
        <color theme="1"/>
        <rFont val="Calibri"/>
        <charset val="134"/>
        <scheme val="minor"/>
      </rPr>
      <t>* In the Country column, the value “</t>
    </r>
    <r>
      <rPr>
        <b/>
        <sz val="11"/>
        <color theme="1"/>
        <rFont val="Calibri"/>
        <charset val="134"/>
        <scheme val="minor"/>
      </rPr>
      <t>United States of America”</t>
    </r>
    <r>
      <rPr>
        <sz val="11"/>
        <color theme="1"/>
        <rFont val="Calibri"/>
        <charset val="134"/>
        <scheme val="minor"/>
      </rPr>
      <t xml:space="preserve"> was replaced with “</t>
    </r>
    <r>
      <rPr>
        <b/>
        <sz val="11"/>
        <color theme="1"/>
        <rFont val="Calibri"/>
        <charset val="134"/>
        <scheme val="minor"/>
      </rPr>
      <t>USA</t>
    </r>
    <r>
      <rPr>
        <sz val="11"/>
        <color theme="1"/>
        <rFont val="Calibri"/>
        <charset val="134"/>
        <scheme val="minor"/>
      </rPr>
      <t>”.</t>
    </r>
  </si>
  <si>
    <t>Jonathan Steele</t>
  </si>
  <si>
    <t>Molinabury</t>
  </si>
  <si>
    <r>
      <rPr>
        <sz val="11"/>
        <color theme="1"/>
        <rFont val="Calibri"/>
        <charset val="134"/>
        <scheme val="minor"/>
      </rPr>
      <t xml:space="preserve">* The </t>
    </r>
    <r>
      <rPr>
        <b/>
        <sz val="11"/>
        <color theme="1"/>
        <rFont val="Calibri"/>
        <charset val="134"/>
        <scheme val="minor"/>
      </rPr>
      <t>Replace Values</t>
    </r>
    <r>
      <rPr>
        <sz val="11"/>
        <color theme="1"/>
        <rFont val="Calibri"/>
        <charset val="134"/>
        <scheme val="minor"/>
      </rPr>
      <t xml:space="preserve"> option was used to maintain a short and consistent country format.</t>
    </r>
  </si>
  <si>
    <t>Heather Collins</t>
  </si>
  <si>
    <t>Rogerschester</t>
  </si>
  <si>
    <t>Diana Taylor</t>
  </si>
  <si>
    <t>Vasqueztown</t>
  </si>
  <si>
    <t>Loyalty Level – Missing Value Handling</t>
  </si>
  <si>
    <t>Amber Carlson</t>
  </si>
  <si>
    <t>East Michellemouth</t>
  </si>
  <si>
    <t>Leslie Johnson</t>
  </si>
  <si>
    <t>Mollyshire</t>
  </si>
  <si>
    <t>* Blank or missing values in the Loyalty Level column were identified.</t>
  </si>
  <si>
    <t>Joshua Ryan</t>
  </si>
  <si>
    <t>New David</t>
  </si>
  <si>
    <r>
      <rPr>
        <sz val="11"/>
        <color theme="1"/>
        <rFont val="Calibri"/>
        <charset val="134"/>
        <scheme val="minor"/>
      </rPr>
      <t>* The missing values were replaced with “</t>
    </r>
    <r>
      <rPr>
        <b/>
        <sz val="11"/>
        <color theme="1"/>
        <rFont val="Calibri"/>
        <charset val="134"/>
        <scheme val="minor"/>
      </rPr>
      <t>Unknown</t>
    </r>
    <r>
      <rPr>
        <sz val="11"/>
        <color theme="1"/>
        <rFont val="Calibri"/>
        <charset val="134"/>
        <scheme val="minor"/>
      </rPr>
      <t>” to clearly indicate unavailable information.</t>
    </r>
  </si>
  <si>
    <t>David Arnold</t>
  </si>
  <si>
    <t>East Jennifer</t>
  </si>
  <si>
    <r>
      <rPr>
        <sz val="11"/>
        <color theme="1"/>
        <rFont val="Calibri"/>
        <charset val="134"/>
        <scheme val="minor"/>
      </rPr>
      <t xml:space="preserve">* This helped prevent </t>
    </r>
    <r>
      <rPr>
        <b/>
        <sz val="11"/>
        <color theme="1"/>
        <rFont val="Calibri"/>
        <charset val="134"/>
        <scheme val="minor"/>
      </rPr>
      <t>blank values</t>
    </r>
    <r>
      <rPr>
        <sz val="11"/>
        <color theme="1"/>
        <rFont val="Calibri"/>
        <charset val="134"/>
        <scheme val="minor"/>
      </rPr>
      <t xml:space="preserve"> from affecting further analysis.</t>
    </r>
  </si>
  <si>
    <t>Jessica Acevedo</t>
  </si>
  <si>
    <t>Amybury</t>
  </si>
  <si>
    <t>Sarah Vance</t>
  </si>
  <si>
    <t>Johnsonville</t>
  </si>
  <si>
    <t>Mike Jennings</t>
  </si>
  <si>
    <t>Fostermouth</t>
  </si>
  <si>
    <t>Robert Jones Dds</t>
  </si>
  <si>
    <t>Tristanton</t>
  </si>
  <si>
    <t>Christopher Olson</t>
  </si>
  <si>
    <t>West Richard</t>
  </si>
  <si>
    <t>Rachel Myers</t>
  </si>
  <si>
    <t>Robertberg</t>
  </si>
  <si>
    <t>Thomas Phillips</t>
  </si>
  <si>
    <t>Luisfurt</t>
  </si>
  <si>
    <t>Christopher Carter</t>
  </si>
  <si>
    <t>Brendastad</t>
  </si>
  <si>
    <t>Deanna Simpson</t>
  </si>
  <si>
    <t>Brownport</t>
  </si>
  <si>
    <t>Tonya Reynolds</t>
  </si>
  <si>
    <t>Darleneton</t>
  </si>
  <si>
    <t>Eric Vega</t>
  </si>
  <si>
    <t>Williamsonland</t>
  </si>
  <si>
    <t>James Gibbs</t>
  </si>
  <si>
    <t>Mooneyshire</t>
  </si>
  <si>
    <t>William Martin</t>
  </si>
  <si>
    <t>Ryanburgh</t>
  </si>
  <si>
    <t>Joseph Snow</t>
  </si>
  <si>
    <t>South Michaelfort</t>
  </si>
  <si>
    <t>Denise Williams</t>
  </si>
  <si>
    <t>Christianstad</t>
  </si>
  <si>
    <t>Jordan Jackson Dds</t>
  </si>
  <si>
    <t>North Johnview</t>
  </si>
  <si>
    <t>Michelle Garcia Dds</t>
  </si>
  <si>
    <t>Perezbury</t>
  </si>
  <si>
    <t>Gina Knight</t>
  </si>
  <si>
    <t>Lake Roberthaven</t>
  </si>
  <si>
    <t>April Mullins</t>
  </si>
  <si>
    <t>Dawsonbury</t>
  </si>
  <si>
    <t>Timothy Weaver</t>
  </si>
  <si>
    <t>New Amy</t>
  </si>
  <si>
    <t>Matthew Hunter Jr.</t>
  </si>
  <si>
    <t>Gregoryview</t>
  </si>
  <si>
    <t>Sarah Rodgers</t>
  </si>
  <si>
    <t>New Julia</t>
  </si>
  <si>
    <t>Debra Liu</t>
  </si>
  <si>
    <t>South Timtown</t>
  </si>
  <si>
    <t>Sharon Brown</t>
  </si>
  <si>
    <t>East Andrea</t>
  </si>
  <si>
    <t>Katherine Dorsey</t>
  </si>
  <si>
    <t>Christopherland</t>
  </si>
  <si>
    <t>Wayne Mcpherson</t>
  </si>
  <si>
    <t>Edwardsfort</t>
  </si>
  <si>
    <t>Christopher Sutton</t>
  </si>
  <si>
    <t>Deborahberg</t>
  </si>
  <si>
    <t>Jay Patel</t>
  </si>
  <si>
    <t>Morrisbury</t>
  </si>
  <si>
    <t>Cheryl Copeland</t>
  </si>
  <si>
    <t>Snowmouth</t>
  </si>
  <si>
    <t>Alyssa Vargas</t>
  </si>
  <si>
    <t>New Kathrynland</t>
  </si>
  <si>
    <t>Dr. David Smith</t>
  </si>
  <si>
    <t>Schmidtchester</t>
  </si>
  <si>
    <t>Kristin Stein</t>
  </si>
  <si>
    <t>Jennifermouth</t>
  </si>
  <si>
    <t>James Bean</t>
  </si>
  <si>
    <t>Stevensonton</t>
  </si>
  <si>
    <t>CUST1063</t>
  </si>
  <si>
    <t>Michael Daniel</t>
  </si>
  <si>
    <t>New Jesse</t>
  </si>
  <si>
    <t>Mr. Mason Butler</t>
  </si>
  <si>
    <t>Port Kathrynhaven</t>
  </si>
  <si>
    <t>Michael Thomas</t>
  </si>
  <si>
    <t>Woodmouth</t>
  </si>
  <si>
    <t>Cody Diaz</t>
  </si>
  <si>
    <t>South Aaronside</t>
  </si>
  <si>
    <t>Amber Mcclain</t>
  </si>
  <si>
    <t>Brendaburgh</t>
  </si>
  <si>
    <t>Mr. Mark Beasley</t>
  </si>
  <si>
    <t>West Johnchester</t>
  </si>
  <si>
    <t>Roy Cole</t>
  </si>
  <si>
    <t>North Cynthiatown</t>
  </si>
  <si>
    <t>Eric Singh</t>
  </si>
  <si>
    <t>Port Lisa</t>
  </si>
  <si>
    <t>Andrea Perez</t>
  </si>
  <si>
    <t>South Shaun</t>
  </si>
  <si>
    <t>Tonya Burch</t>
  </si>
  <si>
    <t>Olsonhaven</t>
  </si>
  <si>
    <t>Christopher Brown</t>
  </si>
  <si>
    <t>Sandrastad</t>
  </si>
  <si>
    <t>John Mayer</t>
  </si>
  <si>
    <t>Longport</t>
  </si>
  <si>
    <t>Rhonda Morales</t>
  </si>
  <si>
    <t>Lake Barryfurt</t>
  </si>
  <si>
    <t>Nathan Campbell</t>
  </si>
  <si>
    <t>Rodrigueztown</t>
  </si>
  <si>
    <t>Katherine Young</t>
  </si>
  <si>
    <t>North Valeriemouth</t>
  </si>
  <si>
    <t>Cody Blake</t>
  </si>
  <si>
    <t>North Scottport</t>
  </si>
  <si>
    <t>Molly Gardner</t>
  </si>
  <si>
    <t>Nicoleborough</t>
  </si>
  <si>
    <t>Jennifer Garcia</t>
  </si>
  <si>
    <t>New Sean</t>
  </si>
  <si>
    <t>Krystal Ford</t>
  </si>
  <si>
    <t>South David</t>
  </si>
  <si>
    <t>George Rosario</t>
  </si>
  <si>
    <t>Leburgh</t>
  </si>
  <si>
    <t>Thomas Robinson</t>
  </si>
  <si>
    <t>Nicholastown</t>
  </si>
  <si>
    <t>Christy Hoffman</t>
  </si>
  <si>
    <t>Garyberg</t>
  </si>
  <si>
    <t>Richard Delgado</t>
  </si>
  <si>
    <t>West Theodorechester</t>
  </si>
  <si>
    <t>Tammy Miller Md</t>
  </si>
  <si>
    <t>Austinfurt</t>
  </si>
  <si>
    <t>Melissa Duffy Md</t>
  </si>
  <si>
    <t>East Jenna</t>
  </si>
  <si>
    <t>Timothy Wright</t>
  </si>
  <si>
    <t>Ashleystad</t>
  </si>
  <si>
    <t>Jamie Yoder</t>
  </si>
  <si>
    <t>New Gabrielleville</t>
  </si>
  <si>
    <t>Oscar Moon</t>
  </si>
  <si>
    <t>West Cody</t>
  </si>
  <si>
    <t>Donna Gregory</t>
  </si>
  <si>
    <t>South Amandahaven</t>
  </si>
  <si>
    <t>Robert Jackson</t>
  </si>
  <si>
    <t>Lake Brandy</t>
  </si>
  <si>
    <t>Christy Vasquez</t>
  </si>
  <si>
    <t>Port Travisstad</t>
  </si>
  <si>
    <t>David Patterson</t>
  </si>
  <si>
    <t>New Amyport</t>
  </si>
  <si>
    <t>Amy Fowler</t>
  </si>
  <si>
    <t>West Bobbyshire</t>
  </si>
  <si>
    <t>Samantha Walker</t>
  </si>
  <si>
    <t>Timothyburgh</t>
  </si>
  <si>
    <t>David Cobb</t>
  </si>
  <si>
    <t>Lake Thomas</t>
  </si>
  <si>
    <t>Brittney Morgan</t>
  </si>
  <si>
    <t>Lake Kaylahaven</t>
  </si>
  <si>
    <t>Sheila Wilson</t>
  </si>
  <si>
    <t>South Dustin</t>
  </si>
  <si>
    <t>Diane Watson</t>
  </si>
  <si>
    <t>North Codyport</t>
  </si>
  <si>
    <t>Colleen Maynard</t>
  </si>
  <si>
    <t>Singletonmouth</t>
  </si>
  <si>
    <t>Sarah Schneider</t>
  </si>
  <si>
    <t>Port Joshuachester</t>
  </si>
  <si>
    <t>Steven Stein</t>
  </si>
  <si>
    <t>West Lauren</t>
  </si>
  <si>
    <t>Christopher Lester</t>
  </si>
  <si>
    <t>South Jenniferville</t>
  </si>
  <si>
    <t>Lance Baker</t>
  </si>
  <si>
    <t>Port Victoria</t>
  </si>
  <si>
    <t>Howard Summers</t>
  </si>
  <si>
    <t>East Linda</t>
  </si>
  <si>
    <t>Erica Carney</t>
  </si>
  <si>
    <t>North Justin</t>
  </si>
  <si>
    <t>Travis Holland</t>
  </si>
  <si>
    <t>Webstermouth</t>
  </si>
  <si>
    <t>Amy Walker</t>
  </si>
  <si>
    <t>Smithland</t>
  </si>
  <si>
    <t>Ashley Griffin</t>
  </si>
  <si>
    <t>New Dawnton</t>
  </si>
  <si>
    <t>Julie Farmer</t>
  </si>
  <si>
    <t>Rodriguezmouth</t>
  </si>
  <si>
    <t>David Cole</t>
  </si>
  <si>
    <t>Lake Michael</t>
  </si>
  <si>
    <t>Edward Hall</t>
  </si>
  <si>
    <t>New William</t>
  </si>
  <si>
    <t>Ryan Hernandez</t>
  </si>
  <si>
    <t>East Donna</t>
  </si>
  <si>
    <t>Tyler Conrad</t>
  </si>
  <si>
    <t>North Curtischester</t>
  </si>
  <si>
    <t>Anthony Phillips</t>
  </si>
  <si>
    <t>North Davidport</t>
  </si>
  <si>
    <t>Colleen Mccarthy</t>
  </si>
  <si>
    <t>North Katherine</t>
  </si>
  <si>
    <t>Earl Allen</t>
  </si>
  <si>
    <t>New Jenniferburgh</t>
  </si>
  <si>
    <t>Michael Jones</t>
  </si>
  <si>
    <t>North Edwardton</t>
  </si>
  <si>
    <t>Jacob Hopkins</t>
  </si>
  <si>
    <t>Lake Tylerfort</t>
  </si>
  <si>
    <t>Joel Robinson</t>
  </si>
  <si>
    <t>Lake Danielport</t>
  </si>
  <si>
    <t>Michael Chang</t>
  </si>
  <si>
    <t>Kathrynport</t>
  </si>
  <si>
    <t>Erin Hopkins</t>
  </si>
  <si>
    <t>North Sabrina</t>
  </si>
  <si>
    <t>Donald Lee</t>
  </si>
  <si>
    <t>Wongberg</t>
  </si>
  <si>
    <t>Keith Miller</t>
  </si>
  <si>
    <t>West Jameston</t>
  </si>
  <si>
    <t>James Wolfe</t>
  </si>
  <si>
    <t>Benjaminton</t>
  </si>
  <si>
    <t>John Mcknight</t>
  </si>
  <si>
    <t>South Nathan</t>
  </si>
  <si>
    <t>Susan Mcdonald</t>
  </si>
  <si>
    <t>East Ellen</t>
  </si>
  <si>
    <t>Jessica Mitchell</t>
  </si>
  <si>
    <t>Matthewbury</t>
  </si>
  <si>
    <t>Jamie Reyes</t>
  </si>
  <si>
    <t>Jonesbury</t>
  </si>
  <si>
    <t>Joseph Richards</t>
  </si>
  <si>
    <t>Wigginsville</t>
  </si>
  <si>
    <t>Miguel Reynolds</t>
  </si>
  <si>
    <t>Taylorberg</t>
  </si>
  <si>
    <t>Hayley Pope</t>
  </si>
  <si>
    <t>West Stephenville</t>
  </si>
  <si>
    <t>Morgan Bowen</t>
  </si>
  <si>
    <t>Parksfort</t>
  </si>
  <si>
    <t>Matthew Hanna</t>
  </si>
  <si>
    <t>Gonzalezbury</t>
  </si>
  <si>
    <t>Patrick Coleman</t>
  </si>
  <si>
    <t>New Jeffrey</t>
  </si>
  <si>
    <t>Rick Dominguez</t>
  </si>
  <si>
    <t>North Johnbury</t>
  </si>
  <si>
    <t>Sean Roth</t>
  </si>
  <si>
    <t>Brian Holder</t>
  </si>
  <si>
    <t>Port Travis</t>
  </si>
  <si>
    <t>Patty Francis</t>
  </si>
  <si>
    <t>South Brooke</t>
  </si>
  <si>
    <t>Cristian Wright</t>
  </si>
  <si>
    <t>Port Denise</t>
  </si>
  <si>
    <t>Maria Ramirez</t>
  </si>
  <si>
    <t>West Brandon</t>
  </si>
  <si>
    <t>Carlos Skinner</t>
  </si>
  <si>
    <t>Dwaynemouth</t>
  </si>
  <si>
    <t>Justin Cross</t>
  </si>
  <si>
    <t>North Anthonychester</t>
  </si>
  <si>
    <t>Cameron Simpson</t>
  </si>
  <si>
    <t>Michaelfort</t>
  </si>
  <si>
    <t>Edward Rivera</t>
  </si>
  <si>
    <t>Chungmouth</t>
  </si>
  <si>
    <t>Rhonda Young</t>
  </si>
  <si>
    <t>Lake Nathanfort</t>
  </si>
  <si>
    <t>Theresa Campbell</t>
  </si>
  <si>
    <t>New Brian</t>
  </si>
  <si>
    <t>Denise Griffin</t>
  </si>
  <si>
    <t>West Markhaven</t>
  </si>
  <si>
    <t>Stephanie Conway</t>
  </si>
  <si>
    <t>Port Frankmouth</t>
  </si>
  <si>
    <t>Michael Davies</t>
  </si>
  <si>
    <t>Lake Stevenfort</t>
  </si>
  <si>
    <t>Patrick Roberts</t>
  </si>
  <si>
    <t>Jaredville</t>
  </si>
  <si>
    <t>Joseph Faulkner</t>
  </si>
  <si>
    <t>New Leahfurt</t>
  </si>
  <si>
    <t>Julie Hale</t>
  </si>
  <si>
    <t>Owensview</t>
  </si>
  <si>
    <t>Curtis Haynes</t>
  </si>
  <si>
    <t>Estradaside</t>
  </si>
  <si>
    <t>Maria Sanchez</t>
  </si>
  <si>
    <t>East Peterbury</t>
  </si>
  <si>
    <t>Paul Zamora</t>
  </si>
  <si>
    <t>North Larryfurt</t>
  </si>
  <si>
    <t>Sean Powell</t>
  </si>
  <si>
    <t>South Kevin</t>
  </si>
  <si>
    <t>Brian Choi</t>
  </si>
  <si>
    <t>Floydton</t>
  </si>
  <si>
    <t>John Lawson</t>
  </si>
  <si>
    <t>New Juliemouth</t>
  </si>
  <si>
    <t>Cynthia Morris</t>
  </si>
  <si>
    <t>Hessmouth</t>
  </si>
  <si>
    <t>Mariah Brown</t>
  </si>
  <si>
    <t>Palmerbury</t>
  </si>
  <si>
    <t>Joseph Jones</t>
  </si>
  <si>
    <t>North Matthew</t>
  </si>
  <si>
    <t>Daniel Rivas</t>
  </si>
  <si>
    <t>Dominiquefort</t>
  </si>
  <si>
    <t>Jason Wheeler</t>
  </si>
  <si>
    <t>Carolview</t>
  </si>
  <si>
    <t>Patricia Gardner</t>
  </si>
  <si>
    <t>South Ashleyton</t>
  </si>
  <si>
    <t>Antonio Wade</t>
  </si>
  <si>
    <t>New Jasonmouth</t>
  </si>
  <si>
    <t>Daniel Contreras</t>
  </si>
  <si>
    <t>Robertview</t>
  </si>
  <si>
    <t>Steve Mclaughlin</t>
  </si>
  <si>
    <t>Josephmouth</t>
  </si>
  <si>
    <t>Christopher Garcia Dds</t>
  </si>
  <si>
    <t>New Joseph</t>
  </si>
  <si>
    <t>Amy Wilson</t>
  </si>
  <si>
    <t>Morrisburgh</t>
  </si>
  <si>
    <t>Thomas Rhodes</t>
  </si>
  <si>
    <t>Port Richard</t>
  </si>
  <si>
    <t>Teresa Stokes</t>
  </si>
  <si>
    <t>usa</t>
  </si>
  <si>
    <t>Maria Davis</t>
  </si>
  <si>
    <t>Avilahaven</t>
  </si>
  <si>
    <t>Michelle Rogers</t>
  </si>
  <si>
    <t>East Jessicaborough</t>
  </si>
  <si>
    <t>John Bradford</t>
  </si>
  <si>
    <t>Anabury</t>
  </si>
  <si>
    <t>Curtis Lam</t>
  </si>
  <si>
    <t>Butlerberg</t>
  </si>
  <si>
    <t>Michelle Myers</t>
  </si>
  <si>
    <t>West Daniel</t>
  </si>
  <si>
    <t>Nicholas Bradshaw</t>
  </si>
  <si>
    <t>Murphyfurt</t>
  </si>
  <si>
    <t>Wesley Thompson</t>
  </si>
  <si>
    <t>East Davidmouth</t>
  </si>
  <si>
    <t>Erin Ward</t>
  </si>
  <si>
    <t>New Brianchester</t>
  </si>
  <si>
    <t>Melissa Hamilton</t>
  </si>
  <si>
    <t>Hutchinsonville</t>
  </si>
  <si>
    <t>Mario Jacobs</t>
  </si>
  <si>
    <t>Port James</t>
  </si>
  <si>
    <t>Leonard Cochran</t>
  </si>
  <si>
    <t>Port Sherryview</t>
  </si>
  <si>
    <t>Brent Rivas</t>
  </si>
  <si>
    <t>North Kellyberg</t>
  </si>
  <si>
    <t>Jennifer Pruitt</t>
  </si>
  <si>
    <t>East Justin</t>
  </si>
  <si>
    <t>Dr. Suzanne Bullock</t>
  </si>
  <si>
    <t>Lake Blaketon</t>
  </si>
  <si>
    <t>Kimberly Brooks</t>
  </si>
  <si>
    <t>Kingfort</t>
  </si>
  <si>
    <t>Daniel Austin</t>
  </si>
  <si>
    <t>Lake Howardberg</t>
  </si>
  <si>
    <t>Christopher Stewart</t>
  </si>
  <si>
    <t>Amandaside</t>
  </si>
  <si>
    <t>Todd Poole</t>
  </si>
  <si>
    <t>Johnsonshire</t>
  </si>
  <si>
    <t>Jacob Wood</t>
  </si>
  <si>
    <t>Lake Samanthafort</t>
  </si>
  <si>
    <t>David Roberts</t>
  </si>
  <si>
    <t>Port Amanda</t>
  </si>
  <si>
    <t>Ashley Ferguson</t>
  </si>
  <si>
    <t>Sarahmouth</t>
  </si>
  <si>
    <t>Anthony Garcia</t>
  </si>
  <si>
    <t>Taraberg</t>
  </si>
  <si>
    <t>Megan Greer</t>
  </si>
  <si>
    <t>West John</t>
  </si>
  <si>
    <t>Andrea Jacobs</t>
  </si>
  <si>
    <t>Wanda Snyder</t>
  </si>
  <si>
    <t>Frostmouth</t>
  </si>
  <si>
    <t>Carmen Price</t>
  </si>
  <si>
    <t>North Briannamouth</t>
  </si>
  <si>
    <t>Anna Perez</t>
  </si>
  <si>
    <t>South Jerry</t>
  </si>
  <si>
    <t>Mary Boyd</t>
  </si>
  <si>
    <t>New Logan</t>
  </si>
  <si>
    <t>Christina Garcia</t>
  </si>
  <si>
    <t>Clarkeside</t>
  </si>
  <si>
    <t>Sarah Brady</t>
  </si>
  <si>
    <t>Johnsonland</t>
  </si>
  <si>
    <t>Tiffany Herrera</t>
  </si>
  <si>
    <t>New Dianebury</t>
  </si>
  <si>
    <t>Michelle Carpenter</t>
  </si>
  <si>
    <t>Lake Danielleton</t>
  </si>
  <si>
    <t>Ronald Jones</t>
  </si>
  <si>
    <t>Brownshire</t>
  </si>
  <si>
    <t>Jacqueline Pacheco</t>
  </si>
  <si>
    <t>South Emily</t>
  </si>
  <si>
    <t>John Perez</t>
  </si>
  <si>
    <t>Kathrynview</t>
  </si>
  <si>
    <t>Joan Johnson</t>
  </si>
  <si>
    <t>Lake Josephport</t>
  </si>
  <si>
    <t>Antonio Jones</t>
  </si>
  <si>
    <t>Matthewborough</t>
  </si>
  <si>
    <t>Rodney Huffman</t>
  </si>
  <si>
    <t>Garzafort</t>
  </si>
  <si>
    <t>Blake Harrison</t>
  </si>
  <si>
    <t>Lyonsfort</t>
  </si>
  <si>
    <t>Stuart Johnson</t>
  </si>
  <si>
    <t>West Markport</t>
  </si>
  <si>
    <t>Eric Todd</t>
  </si>
  <si>
    <t>Danielstad</t>
  </si>
  <si>
    <t>Steve Medina</t>
  </si>
  <si>
    <t>East Josephside</t>
  </si>
  <si>
    <t>Kathryn Garcia</t>
  </si>
  <si>
    <t>Morrismouth</t>
  </si>
  <si>
    <t>Kathy Copeland</t>
  </si>
  <si>
    <t>North Christinemouth</t>
  </si>
  <si>
    <t>Julia Jackson</t>
  </si>
  <si>
    <t>Edwardland</t>
  </si>
  <si>
    <t>Jordan Wells</t>
  </si>
  <si>
    <t>Phillipschester</t>
  </si>
  <si>
    <t>George Davis</t>
  </si>
  <si>
    <t>Lake Lisa</t>
  </si>
  <si>
    <t>Lisa Young</t>
  </si>
  <si>
    <t>Maybury</t>
  </si>
  <si>
    <t>Alejandro Doyle</t>
  </si>
  <si>
    <t>East Crystalton</t>
  </si>
  <si>
    <t>Robert Harris</t>
  </si>
  <si>
    <t>East Jeremy</t>
  </si>
  <si>
    <t>Anthony Morgan</t>
  </si>
  <si>
    <t>New Anthonyfurt</t>
  </si>
  <si>
    <t>Elizabeth Stanley</t>
  </si>
  <si>
    <t>Bethanyton</t>
  </si>
  <si>
    <t>Alexis Castaneda</t>
  </si>
  <si>
    <t>Gregory Pham</t>
  </si>
  <si>
    <t>Pollardton</t>
  </si>
  <si>
    <t>Casey Flores</t>
  </si>
  <si>
    <t>Tanner Thompson</t>
  </si>
  <si>
    <t>Port Lisashire</t>
  </si>
  <si>
    <t>Timothy Sanders</t>
  </si>
  <si>
    <t>Aaronmouth</t>
  </si>
  <si>
    <t>Timothy Juarez</t>
  </si>
  <si>
    <t>Grahamstad</t>
  </si>
  <si>
    <t>Christy Hill</t>
  </si>
  <si>
    <t>Tammyton</t>
  </si>
  <si>
    <t>Michelle Gonzalez</t>
  </si>
  <si>
    <t>Clarkport</t>
  </si>
  <si>
    <t>Nathaniel Hill</t>
  </si>
  <si>
    <t>Lake Mark</t>
  </si>
  <si>
    <t>Jon Ortiz</t>
  </si>
  <si>
    <t>South Angelaport</t>
  </si>
  <si>
    <t>Joshua Wilson</t>
  </si>
  <si>
    <t>North Larryport</t>
  </si>
  <si>
    <t>Wesley Short</t>
  </si>
  <si>
    <t>Susanstad</t>
  </si>
  <si>
    <t>Steven Smith</t>
  </si>
  <si>
    <t>Port Krista</t>
  </si>
  <si>
    <t>Maria Hill</t>
  </si>
  <si>
    <t>Zamoraborough</t>
  </si>
  <si>
    <t>William Hull</t>
  </si>
  <si>
    <t>Heathfort</t>
  </si>
  <si>
    <t>Mr. William Horton</t>
  </si>
  <si>
    <t>Dawsonchester</t>
  </si>
  <si>
    <t>William Jackson</t>
  </si>
  <si>
    <t>New Tina</t>
  </si>
  <si>
    <t>Brian Hammond</t>
  </si>
  <si>
    <t>North Nicholas</t>
  </si>
  <si>
    <t>Nancy Page</t>
  </si>
  <si>
    <t>West Julia</t>
  </si>
  <si>
    <t>Laura Soto</t>
  </si>
  <si>
    <t>Rodriguezton</t>
  </si>
  <si>
    <t>Mary Russell</t>
  </si>
  <si>
    <t>South Regina</t>
  </si>
  <si>
    <t>Douglas Rhodes</t>
  </si>
  <si>
    <t>Mikehaven</t>
  </si>
  <si>
    <t>Nicholas Webb</t>
  </si>
  <si>
    <t>Lake Timothy</t>
  </si>
  <si>
    <t>Lauren George</t>
  </si>
  <si>
    <t>Garciamouth</t>
  </si>
  <si>
    <t>Veronica Newman</t>
  </si>
  <si>
    <t>New Daniel</t>
  </si>
  <si>
    <t>Tyler Garner</t>
  </si>
  <si>
    <t>Port Coreyfort</t>
  </si>
  <si>
    <t>John Mccoy</t>
  </si>
  <si>
    <t>Robinborough</t>
  </si>
  <si>
    <t>Dr. Ashley Yates Md</t>
  </si>
  <si>
    <t>New Maria</t>
  </si>
  <si>
    <t>Linda Kline</t>
  </si>
  <si>
    <t>Masseyland</t>
  </si>
  <si>
    <t>Damon Perez</t>
  </si>
  <si>
    <t>Jasonton</t>
  </si>
  <si>
    <t>Kristen Fischer</t>
  </si>
  <si>
    <t>Lake Christopher</t>
  </si>
  <si>
    <t>Christopher David</t>
  </si>
  <si>
    <t>Karenmouth</t>
  </si>
  <si>
    <t>Sarah Stewart</t>
  </si>
  <si>
    <t>East Richard</t>
  </si>
  <si>
    <t>Beth Allen</t>
  </si>
  <si>
    <t>South Kathrynmouth</t>
  </si>
  <si>
    <t>Russell Lamb</t>
  </si>
  <si>
    <t>North Jonathon</t>
  </si>
  <si>
    <t>Carol Bishop</t>
  </si>
  <si>
    <t>Lake Saramouth</t>
  </si>
  <si>
    <t>Katherine Cowan</t>
  </si>
  <si>
    <t>New Ana</t>
  </si>
  <si>
    <t>Crystal Davis</t>
  </si>
  <si>
    <t>Sallymouth</t>
  </si>
  <si>
    <t>Matthew Payne</t>
  </si>
  <si>
    <t>Grahamfurt</t>
  </si>
  <si>
    <t>Tracy Kelly</t>
  </si>
  <si>
    <t>West Jamieport</t>
  </si>
  <si>
    <t>Cynthia Payne</t>
  </si>
  <si>
    <t>South Gina</t>
  </si>
  <si>
    <t>CUST1267</t>
  </si>
  <si>
    <t>Zachary Shelton</t>
  </si>
  <si>
    <t>Kevin Orr</t>
  </si>
  <si>
    <t>Ryanberg</t>
  </si>
  <si>
    <t>Tyrone Olson</t>
  </si>
  <si>
    <t>Emilytown</t>
  </si>
  <si>
    <t>Brian Garcia</t>
  </si>
  <si>
    <t>Ramosmouth</t>
  </si>
  <si>
    <t>Daisy Johnson Dds</t>
  </si>
  <si>
    <t>North Stephanie</t>
  </si>
  <si>
    <t>Adam Rowland</t>
  </si>
  <si>
    <t>Welchview</t>
  </si>
  <si>
    <t>Samantha Robinson</t>
  </si>
  <si>
    <t>North Roy</t>
  </si>
  <si>
    <t>Sarah Lane</t>
  </si>
  <si>
    <t>Edwardborough</t>
  </si>
  <si>
    <t>Shannon Miller</t>
  </si>
  <si>
    <t>North Austinport</t>
  </si>
  <si>
    <t>Arthur Warren</t>
  </si>
  <si>
    <t>Ericshire</t>
  </si>
  <si>
    <t>Jeffrey Gomez</t>
  </si>
  <si>
    <t>Lake Nicole</t>
  </si>
  <si>
    <t>Stephen Fowler</t>
  </si>
  <si>
    <t>Port Mariastad</t>
  </si>
  <si>
    <t>Aaron Luna</t>
  </si>
  <si>
    <t>Gilltown</t>
  </si>
  <si>
    <t>Antonio Leon</t>
  </si>
  <si>
    <t>Morrisville</t>
  </si>
  <si>
    <t>Brittany Watson</t>
  </si>
  <si>
    <t>North Joshualand</t>
  </si>
  <si>
    <t>Kristi Lopez</t>
  </si>
  <si>
    <t>Spencermouth</t>
  </si>
  <si>
    <t>Bryan Garcia</t>
  </si>
  <si>
    <t>Garciaborough</t>
  </si>
  <si>
    <t>Hunter Sutton</t>
  </si>
  <si>
    <t>Patrickshire</t>
  </si>
  <si>
    <t>Donna Guerra</t>
  </si>
  <si>
    <t>North Robert</t>
  </si>
  <si>
    <t>Tommy Roberts</t>
  </si>
  <si>
    <t>Port Tonyfort</t>
  </si>
  <si>
    <t>Cynthia Roberts</t>
  </si>
  <si>
    <t>Millerfort</t>
  </si>
  <si>
    <t>Misty Ferguson</t>
  </si>
  <si>
    <t>North Joseside</t>
  </si>
  <si>
    <t>Jennifer Figueroa</t>
  </si>
  <si>
    <t>North Brookestad</t>
  </si>
  <si>
    <t>CUST1290</t>
  </si>
  <si>
    <t>Chase Williams Md</t>
  </si>
  <si>
    <t>Sherimouth</t>
  </si>
  <si>
    <t>James Powell</t>
  </si>
  <si>
    <t>West Beverlymouth</t>
  </si>
  <si>
    <t>Ricardo Jones</t>
  </si>
  <si>
    <t>Danielland</t>
  </si>
  <si>
    <t>Gloria Taylor</t>
  </si>
  <si>
    <t>North Daniel</t>
  </si>
  <si>
    <t>Lisa Chandler</t>
  </si>
  <si>
    <t>Crystal Waters</t>
  </si>
  <si>
    <t>North Michelleport</t>
  </si>
  <si>
    <t>Jared Moran</t>
  </si>
  <si>
    <t>Jennifer Carr</t>
  </si>
  <si>
    <t>Lake Brett</t>
  </si>
  <si>
    <t>Tracy Stephens</t>
  </si>
  <si>
    <t>New Joshuatown</t>
  </si>
  <si>
    <t>Stephanie Jacobs</t>
  </si>
  <si>
    <t>West Robinmouth</t>
  </si>
  <si>
    <t>Matthew Avery</t>
  </si>
  <si>
    <t>Lake Melissashire</t>
  </si>
  <si>
    <t>Ryan Kane</t>
  </si>
  <si>
    <t>West Bruceburgh</t>
  </si>
  <si>
    <t>Edward Cole</t>
  </si>
  <si>
    <t>Lake Charlotte</t>
  </si>
  <si>
    <t>John Sloan</t>
  </si>
  <si>
    <t>East Johntown</t>
  </si>
  <si>
    <t>Miss Alexandria Li Dvm</t>
  </si>
  <si>
    <t>Port Jenniferton</t>
  </si>
  <si>
    <t>Roberta Green</t>
  </si>
  <si>
    <t>West Joseph</t>
  </si>
  <si>
    <t>Angela Robinson</t>
  </si>
  <si>
    <t>New Nicholasstad</t>
  </si>
  <si>
    <t>Brandy Thompson</t>
  </si>
  <si>
    <t>West Patriciaview</t>
  </si>
  <si>
    <t>Jennifer Zamora</t>
  </si>
  <si>
    <t>Sarahland</t>
  </si>
  <si>
    <t>Stacy Collins</t>
  </si>
  <si>
    <t>Randychester</t>
  </si>
  <si>
    <t>Kara Dodson</t>
  </si>
  <si>
    <t>Joelside</t>
  </si>
  <si>
    <t>Kevin Larson</t>
  </si>
  <si>
    <t>Port Edwardmouth</t>
  </si>
  <si>
    <t>Jason Mullins</t>
  </si>
  <si>
    <t>Brianchester</t>
  </si>
  <si>
    <t>Elizabeth Jones</t>
  </si>
  <si>
    <t>Brownburgh</t>
  </si>
  <si>
    <t>Elizabeth Johnson</t>
  </si>
  <si>
    <t>Anitaland</t>
  </si>
  <si>
    <t>William Rodriguez</t>
  </si>
  <si>
    <t>Port Chad</t>
  </si>
  <si>
    <t>Robert House</t>
  </si>
  <si>
    <t>Lake James</t>
  </si>
  <si>
    <t>Tiffany Williams</t>
  </si>
  <si>
    <t>Richardsport</t>
  </si>
  <si>
    <t>Madison Wright</t>
  </si>
  <si>
    <t>Monicaview</t>
  </si>
  <si>
    <t>Casey Simpson</t>
  </si>
  <si>
    <t>West Mathewside</t>
  </si>
  <si>
    <t>Jessica Gonzalez</t>
  </si>
  <si>
    <t>South Darrenland</t>
  </si>
  <si>
    <t>Darren Burton</t>
  </si>
  <si>
    <t>Lake Alice</t>
  </si>
  <si>
    <t>Samuel Arias</t>
  </si>
  <si>
    <t>North Nicole</t>
  </si>
  <si>
    <t>Kristy Dunlap</t>
  </si>
  <si>
    <t>Whiteport</t>
  </si>
  <si>
    <t>Alex Mann Ii</t>
  </si>
  <si>
    <t>South Zacharychester</t>
  </si>
  <si>
    <t>Andrew Smith</t>
  </si>
  <si>
    <t>East Matthew</t>
  </si>
  <si>
    <t>Robert King</t>
  </si>
  <si>
    <t>Cindyton</t>
  </si>
  <si>
    <t>Reginald Willis</t>
  </si>
  <si>
    <t>Kellybury</t>
  </si>
  <si>
    <t>Mario Harvey Jr.</t>
  </si>
  <si>
    <t>Jessicaport</t>
  </si>
  <si>
    <t>Victor Mcintosh</t>
  </si>
  <si>
    <t>Tiffanyshire</t>
  </si>
  <si>
    <t>Pamela Mcguire</t>
  </si>
  <si>
    <t>South Jasontown</t>
  </si>
  <si>
    <t>Maria Phillips</t>
  </si>
  <si>
    <t>North Kathytown</t>
  </si>
  <si>
    <t>Dr. Lindsay Hanna</t>
  </si>
  <si>
    <t>New Paulstad</t>
  </si>
  <si>
    <t>Teresa Johnson</t>
  </si>
  <si>
    <t>Johnsonbury</t>
  </si>
  <si>
    <t>Mr. Christopher Sims</t>
  </si>
  <si>
    <t>Donaldsontown</t>
  </si>
  <si>
    <t>Jennifer Woods</t>
  </si>
  <si>
    <t>West Brendamouth</t>
  </si>
  <si>
    <t>John Jones</t>
  </si>
  <si>
    <t>North Michaelborough</t>
  </si>
  <si>
    <t>Carol Lewis</t>
  </si>
  <si>
    <t>Ryanport</t>
  </si>
  <si>
    <t>Jasmine Snyder</t>
  </si>
  <si>
    <t>Hudsonfort</t>
  </si>
  <si>
    <t>Mrs. Susan Buckley</t>
  </si>
  <si>
    <t>Stevensbury</t>
  </si>
  <si>
    <t>Eric Davis</t>
  </si>
  <si>
    <t>Johntown</t>
  </si>
  <si>
    <t>Angela Williams</t>
  </si>
  <si>
    <t>Lake Alyssaburgh</t>
  </si>
  <si>
    <t>Michelle Cunningham</t>
  </si>
  <si>
    <t>Amandaborough</t>
  </si>
  <si>
    <t>Ryan Moore</t>
  </si>
  <si>
    <t>Cartershire</t>
  </si>
  <si>
    <t>Evelyn Brown</t>
  </si>
  <si>
    <t>West Victoriaborough</t>
  </si>
  <si>
    <t>Daniel Nelson</t>
  </si>
  <si>
    <t>North Jonathan</t>
  </si>
  <si>
    <t>John Jordan</t>
  </si>
  <si>
    <t>Port Crystalberg</t>
  </si>
  <si>
    <t>Justin Mason Dds</t>
  </si>
  <si>
    <t>Peggystad</t>
  </si>
  <si>
    <t>Sherry Cabrera</t>
  </si>
  <si>
    <t>Shannonview</t>
  </si>
  <si>
    <t>Heather Valenzuela</t>
  </si>
  <si>
    <t>New Angiefurt</t>
  </si>
  <si>
    <t>Charles Miller</t>
  </si>
  <si>
    <t>Lake Allisonborough</t>
  </si>
  <si>
    <t>Jeffrey Mccarthy</t>
  </si>
  <si>
    <t>North Samuel</t>
  </si>
  <si>
    <t>Michael Greene</t>
  </si>
  <si>
    <t>Port Saramouth</t>
  </si>
  <si>
    <t>Laura Green</t>
  </si>
  <si>
    <t>Westbury</t>
  </si>
  <si>
    <t>Ryan Torres</t>
  </si>
  <si>
    <t>Guerreroport</t>
  </si>
  <si>
    <t>Carlos Flores</t>
  </si>
  <si>
    <t>North Johnfurt</t>
  </si>
  <si>
    <t>Steve Hunt</t>
  </si>
  <si>
    <t>North Richard</t>
  </si>
  <si>
    <t>Manuel Castillo</t>
  </si>
  <si>
    <t>Nealview</t>
  </si>
  <si>
    <t>Ashley Anderson</t>
  </si>
  <si>
    <t>West Johnmouth</t>
  </si>
  <si>
    <t>Melanie Lam</t>
  </si>
  <si>
    <t>East Michaelton</t>
  </si>
  <si>
    <t>Denise Tate</t>
  </si>
  <si>
    <t>Andersonside</t>
  </si>
  <si>
    <t>Natalie Johnson</t>
  </si>
  <si>
    <t>New Jessechester</t>
  </si>
  <si>
    <t>Joshua Smith Dvm</t>
  </si>
  <si>
    <t>Melvinton</t>
  </si>
  <si>
    <t>Elizabeth Smith</t>
  </si>
  <si>
    <t>Murphytown</t>
  </si>
  <si>
    <t>Chloe Aguilar</t>
  </si>
  <si>
    <t>Lake Johnside</t>
  </si>
  <si>
    <t>Brandon Mcbride</t>
  </si>
  <si>
    <t>Kellyside</t>
  </si>
  <si>
    <t>Mallory Allen</t>
  </si>
  <si>
    <t>North Theresa</t>
  </si>
  <si>
    <t>Melinda Johnson</t>
  </si>
  <si>
    <t>Kaufmanfurt</t>
  </si>
  <si>
    <t>Miranda King</t>
  </si>
  <si>
    <t>West Mathew</t>
  </si>
  <si>
    <t>Gregory Allen</t>
  </si>
  <si>
    <t>West Bruce</t>
  </si>
  <si>
    <t>James Holloway Jr.</t>
  </si>
  <si>
    <t>Millston</t>
  </si>
  <si>
    <t>Michael Garner</t>
  </si>
  <si>
    <t>Port Crystal</t>
  </si>
  <si>
    <t>Jacqueline Anthony</t>
  </si>
  <si>
    <t>Vincentside</t>
  </si>
  <si>
    <t>James Orozco</t>
  </si>
  <si>
    <t>Simpsonfort</t>
  </si>
  <si>
    <t>CUST1374</t>
  </si>
  <si>
    <t>Emma Wilson</t>
  </si>
  <si>
    <t>Andersonburgh</t>
  </si>
  <si>
    <t>Joshua Bell</t>
  </si>
  <si>
    <t>Port Richardshire</t>
  </si>
  <si>
    <t>Michele Burke</t>
  </si>
  <si>
    <t>Chambersberg</t>
  </si>
  <si>
    <t>Charles Conley</t>
  </si>
  <si>
    <t>Nathanshire</t>
  </si>
  <si>
    <t>Frank Stewart</t>
  </si>
  <si>
    <t>Fischerborough</t>
  </si>
  <si>
    <t>Tanya Lopez</t>
  </si>
  <si>
    <t>West Jeffreyburgh</t>
  </si>
  <si>
    <t>Shelley Ponce</t>
  </si>
  <si>
    <t>South Cassandrachester</t>
  </si>
  <si>
    <t>Erika Padilla</t>
  </si>
  <si>
    <t>Andrewsland</t>
  </si>
  <si>
    <t>Martha Brown</t>
  </si>
  <si>
    <t>Novakstad</t>
  </si>
  <si>
    <t>Kristine Higgins</t>
  </si>
  <si>
    <t>Jennifertown</t>
  </si>
  <si>
    <t>Andrew Mason</t>
  </si>
  <si>
    <t>North Michael</t>
  </si>
  <si>
    <t>Tammy Brennan</t>
  </si>
  <si>
    <t>Lake Brandontown</t>
  </si>
  <si>
    <t>CUST1386</t>
  </si>
  <si>
    <t>Melanie Mitchell</t>
  </si>
  <si>
    <t>West Laura</t>
  </si>
  <si>
    <t>Timothy Gardner</t>
  </si>
  <si>
    <t>New Dawn</t>
  </si>
  <si>
    <t>Timothy Valenzuela</t>
  </si>
  <si>
    <t>Stevensshire</t>
  </si>
  <si>
    <t>Cynthia Lopez</t>
  </si>
  <si>
    <t>Joseland</t>
  </si>
  <si>
    <t>Daniel Bell</t>
  </si>
  <si>
    <t>Deniseberg</t>
  </si>
  <si>
    <t>Heidi Tyler</t>
  </si>
  <si>
    <t>Dawnstad</t>
  </si>
  <si>
    <t>Jacqueline Payne</t>
  </si>
  <si>
    <t>Gutierrezstad</t>
  </si>
  <si>
    <t>Michael Mcneil</t>
  </si>
  <si>
    <t>Stewartchester</t>
  </si>
  <si>
    <t>Alejandro Evans</t>
  </si>
  <si>
    <t>Cannonberg</t>
  </si>
  <si>
    <t>CUST1395</t>
  </si>
  <si>
    <t>Brandon Mcguire</t>
  </si>
  <si>
    <t>Lake Morganland</t>
  </si>
  <si>
    <t>Alexander Byrd</t>
  </si>
  <si>
    <t>Parkerview</t>
  </si>
  <si>
    <t>Charles Norman Phd</t>
  </si>
  <si>
    <t>Jennifer Johnson</t>
  </si>
  <si>
    <t>Cheyenneborough</t>
  </si>
  <si>
    <t>John Donaldson</t>
  </si>
  <si>
    <t>New Edward</t>
  </si>
  <si>
    <t>Mark Rogers</t>
  </si>
  <si>
    <t>Bookertown</t>
  </si>
  <si>
    <t>Terry Moses</t>
  </si>
  <si>
    <t>Leahmouth</t>
  </si>
  <si>
    <t>Cassandra Perez</t>
  </si>
  <si>
    <t>Justin Ingram</t>
  </si>
  <si>
    <t>Lake Lisaland</t>
  </si>
  <si>
    <t>David Ross</t>
  </si>
  <si>
    <t>South Angela</t>
  </si>
  <si>
    <t>Eric Wolfe</t>
  </si>
  <si>
    <t>Garciaview</t>
  </si>
  <si>
    <t>David Lozano</t>
  </si>
  <si>
    <t>North Michaelfurt</t>
  </si>
  <si>
    <t>Joseph Mendoza</t>
  </si>
  <si>
    <t>Ashleymouth</t>
  </si>
  <si>
    <t>Isabel Foster</t>
  </si>
  <si>
    <t>Port Joshuaville</t>
  </si>
  <si>
    <t>Sarah Smith</t>
  </si>
  <si>
    <t>Kathleenport</t>
  </si>
  <si>
    <t>Jackie Thompson</t>
  </si>
  <si>
    <t>South Edwin</t>
  </si>
  <si>
    <t>Katrina Perez</t>
  </si>
  <si>
    <t>West Rebecca</t>
  </si>
  <si>
    <t>Shane Brown</t>
  </si>
  <si>
    <t>Megan Ryan</t>
  </si>
  <si>
    <t>Andrewsfurt</t>
  </si>
  <si>
    <t>Melissa Valentine</t>
  </si>
  <si>
    <t>East Patriciafort</t>
  </si>
  <si>
    <t>Tyler Cook</t>
  </si>
  <si>
    <t>Kramerview</t>
  </si>
  <si>
    <t>Jennifer Myers</t>
  </si>
  <si>
    <t>Marthaborough</t>
  </si>
  <si>
    <t>Karen King</t>
  </si>
  <si>
    <t>Kimburgh</t>
  </si>
  <si>
    <t>Luke Parks</t>
  </si>
  <si>
    <t>West Mario</t>
  </si>
  <si>
    <t>Monica Miller</t>
  </si>
  <si>
    <t>Lake David</t>
  </si>
  <si>
    <t>Dr. Tamara White Md</t>
  </si>
  <si>
    <t>New Benjamin</t>
  </si>
  <si>
    <t>Holly Robinson</t>
  </si>
  <si>
    <t>East Amy</t>
  </si>
  <si>
    <t>Brittany Edwards Dds</t>
  </si>
  <si>
    <t>Aliciahaven</t>
  </si>
  <si>
    <t>Rebecca Baker</t>
  </si>
  <si>
    <t>New Katherine</t>
  </si>
  <si>
    <t>Edwin Barnes</t>
  </si>
  <si>
    <t>Lake Alexandra</t>
  </si>
  <si>
    <t>Bryce Hawkins</t>
  </si>
  <si>
    <t>Lake Monique</t>
  </si>
  <si>
    <t>Jeanette Nichols</t>
  </si>
  <si>
    <t>Aguilarland</t>
  </si>
  <si>
    <t>Jose Stewart</t>
  </si>
  <si>
    <t>South Robert</t>
  </si>
  <si>
    <t>Samuel Mullins</t>
  </si>
  <si>
    <t>Hartmouth</t>
  </si>
  <si>
    <t>CUST1429</t>
  </si>
  <si>
    <t>Sean Vang</t>
  </si>
  <si>
    <t>Davidchester</t>
  </si>
  <si>
    <t>Kimberly Roberts</t>
  </si>
  <si>
    <t>Josephchester</t>
  </si>
  <si>
    <t>John Smith</t>
  </si>
  <si>
    <t>South Andrewport</t>
  </si>
  <si>
    <t>Summer Weiss</t>
  </si>
  <si>
    <t>Phyllisport</t>
  </si>
  <si>
    <t>Thomas Moore</t>
  </si>
  <si>
    <t>Williamsberg</t>
  </si>
  <si>
    <t>Monique Castro</t>
  </si>
  <si>
    <t>New Sarah</t>
  </si>
  <si>
    <t>Lindsay Beasley</t>
  </si>
  <si>
    <t>Wesleyhaven</t>
  </si>
  <si>
    <t>Sharon Simpson</t>
  </si>
  <si>
    <t>South Michellebury</t>
  </si>
  <si>
    <t>Melinda Rivera</t>
  </si>
  <si>
    <t>Monica Flynn</t>
  </si>
  <si>
    <t>Amberburgh</t>
  </si>
  <si>
    <t>John Compton</t>
  </si>
  <si>
    <t>Tammy Trevino</t>
  </si>
  <si>
    <t>Justinberg</t>
  </si>
  <si>
    <t>Dalton Walters</t>
  </si>
  <si>
    <t>Jonesstad</t>
  </si>
  <si>
    <t>Kelli Smith</t>
  </si>
  <si>
    <t>North Maryfort</t>
  </si>
  <si>
    <t>Adam Castro</t>
  </si>
  <si>
    <t>New Donnabury</t>
  </si>
  <si>
    <t>Cheryl Carr</t>
  </si>
  <si>
    <t>Jessicaland</t>
  </si>
  <si>
    <t>Gene Lee</t>
  </si>
  <si>
    <t>Mcfarlandmouth</t>
  </si>
  <si>
    <t>Shannon Turner</t>
  </si>
  <si>
    <t>West Jorge</t>
  </si>
  <si>
    <t>Monica Wright</t>
  </si>
  <si>
    <t>Paulside</t>
  </si>
  <si>
    <t>Eric Holmes</t>
  </si>
  <si>
    <t>Smithville</t>
  </si>
  <si>
    <t>William Cortez</t>
  </si>
  <si>
    <t>Port Hannahport</t>
  </si>
  <si>
    <t>Shane Mills</t>
  </si>
  <si>
    <t>Lake Meganstad</t>
  </si>
  <si>
    <t>Ashley Roberts</t>
  </si>
  <si>
    <t>Jeffery Wolf</t>
  </si>
  <si>
    <t>New Laura</t>
  </si>
  <si>
    <t>April Phillips</t>
  </si>
  <si>
    <t>Lake Carolyn</t>
  </si>
  <si>
    <t>John Berg</t>
  </si>
  <si>
    <t>Tyler Weber</t>
  </si>
  <si>
    <t>East Yvette</t>
  </si>
  <si>
    <t>Julie Powell</t>
  </si>
  <si>
    <t>South Barbara</t>
  </si>
  <si>
    <t>Christina Robertson</t>
  </si>
  <si>
    <t>Hubbardborough</t>
  </si>
  <si>
    <t>Kelly Garrett</t>
  </si>
  <si>
    <t>Port Taylorberg</t>
  </si>
  <si>
    <t>Brandontown</t>
  </si>
  <si>
    <t>Justin Johnson</t>
  </si>
  <si>
    <t>Hughesview</t>
  </si>
  <si>
    <t>Paul Cox</t>
  </si>
  <si>
    <t>East Julie</t>
  </si>
  <si>
    <t>Beth Martin</t>
  </si>
  <si>
    <t>Burkefurt</t>
  </si>
  <si>
    <t>Samantha Lee</t>
  </si>
  <si>
    <t>Port Anthony</t>
  </si>
  <si>
    <t>David Pierce</t>
  </si>
  <si>
    <t>Grayland</t>
  </si>
  <si>
    <t>Ronald Ross</t>
  </si>
  <si>
    <t>Hartmanside</t>
  </si>
  <si>
    <t>Cynthia Parrish</t>
  </si>
  <si>
    <t>Espinozaberg</t>
  </si>
  <si>
    <t>Michael Foley</t>
  </si>
  <si>
    <t>Oneillfurt</t>
  </si>
  <si>
    <t>Gregory Curtis</t>
  </si>
  <si>
    <t>Bergermouth</t>
  </si>
  <si>
    <t>James Foster</t>
  </si>
  <si>
    <t>East Audrey</t>
  </si>
  <si>
    <t>Manuel Fisher</t>
  </si>
  <si>
    <t>Kanebury</t>
  </si>
  <si>
    <t>Debra Mccullough</t>
  </si>
  <si>
    <t>Mcdanielfurt</t>
  </si>
  <si>
    <t>Philip Mendoza</t>
  </si>
  <si>
    <t>Tylermouth</t>
  </si>
  <si>
    <t>Laura Mathews</t>
  </si>
  <si>
    <t>Chambersfurt</t>
  </si>
  <si>
    <t>Joshua Howard</t>
  </si>
  <si>
    <t>East Christopherhaven</t>
  </si>
  <si>
    <t>Barbara Berry</t>
  </si>
  <si>
    <t>Elizabeth Foster</t>
  </si>
  <si>
    <t>Anthonymouth</t>
  </si>
  <si>
    <t>Andrea Harris</t>
  </si>
  <si>
    <t>West Kelseyberg</t>
  </si>
  <si>
    <t>Earl Smith Dds</t>
  </si>
  <si>
    <t>West Sarah</t>
  </si>
  <si>
    <t>Dylan Gutierrez</t>
  </si>
  <si>
    <t>New Jamesview</t>
  </si>
  <si>
    <t>Jordan Medina</t>
  </si>
  <si>
    <t>Robinchester</t>
  </si>
  <si>
    <t>Bryan Tran</t>
  </si>
  <si>
    <t>Kelseybury</t>
  </si>
  <si>
    <t>Sheri Joyce</t>
  </si>
  <si>
    <t>West Tylerfort</t>
  </si>
  <si>
    <t>East Rodney</t>
  </si>
  <si>
    <t>Jessica Castro</t>
  </si>
  <si>
    <t>West Markton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</si>
  <si>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</si>
  <si>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</si>
  <si>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</si>
  <si>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</si>
  <si>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</si>
  <si>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</si>
  <si>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</si>
  <si>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Zachary Andrade</t>
  </si>
  <si>
    <t>South Davidport</t>
  </si>
  <si>
    <t>Melinda Thomas</t>
  </si>
  <si>
    <t>Lake Elizabethside</t>
  </si>
  <si>
    <t>Scott Harris</t>
  </si>
  <si>
    <t>North Nataliemouth</t>
  </si>
  <si>
    <t>Kaitlin Brown</t>
  </si>
  <si>
    <t>Kellyberg</t>
  </si>
  <si>
    <t>Darrell Miller</t>
  </si>
  <si>
    <t>Port Carol</t>
  </si>
  <si>
    <t>Amanda Powell</t>
  </si>
  <si>
    <t>Justin Lopez</t>
  </si>
  <si>
    <t>Port Cheryl</t>
  </si>
  <si>
    <t>James Berger</t>
  </si>
  <si>
    <t>Bryanmouth</t>
  </si>
  <si>
    <t>Christopher Ford</t>
  </si>
  <si>
    <t>North Seanfurt</t>
  </si>
  <si>
    <t>Sarah Marsh</t>
  </si>
  <si>
    <t>Port William</t>
  </si>
  <si>
    <t>Traci Gonzalez</t>
  </si>
  <si>
    <t>Snyderfurt</t>
  </si>
  <si>
    <t>Philip Pennington</t>
  </si>
  <si>
    <t>East Valerieview</t>
  </si>
  <si>
    <t>Sub_Category</t>
  </si>
  <si>
    <t>Stock</t>
  </si>
  <si>
    <t>Computer</t>
  </si>
  <si>
    <t>Tops</t>
  </si>
  <si>
    <t>Outerwear</t>
  </si>
  <si>
    <t>Product_Id</t>
  </si>
  <si>
    <r>
      <rPr>
        <sz val="11"/>
        <color theme="1"/>
        <rFont val="Calibri"/>
        <charset val="134"/>
        <scheme val="minor"/>
      </rPr>
      <t xml:space="preserve">Inconsistant value </t>
    </r>
    <r>
      <rPr>
        <b/>
        <sz val="11"/>
        <color theme="1"/>
        <rFont val="Calibri"/>
        <charset val="134"/>
        <scheme val="minor"/>
      </rPr>
      <t>eg:P-3</t>
    </r>
    <r>
      <rPr>
        <sz val="11"/>
        <color theme="1"/>
        <rFont val="Calibri"/>
        <charset val="134"/>
        <scheme val="minor"/>
      </rPr>
      <t xml:space="preserve"> to correct form </t>
    </r>
    <r>
      <rPr>
        <b/>
        <sz val="11"/>
        <color theme="1"/>
        <rFont val="Calibri"/>
        <charset val="134"/>
        <scheme val="minor"/>
      </rPr>
      <t>PRO3</t>
    </r>
  </si>
  <si>
    <t>Bottoms</t>
  </si>
  <si>
    <t>Product &amp; Brand</t>
  </si>
  <si>
    <t>cleaned to remove unnecessary spaces and inconsistent formatting</t>
  </si>
  <si>
    <t>Accessories</t>
  </si>
  <si>
    <t>Skincare</t>
  </si>
  <si>
    <t>Lighting</t>
  </si>
  <si>
    <r>
      <rPr>
        <sz val="11"/>
        <color theme="1"/>
        <rFont val="Calibri"/>
        <charset val="134"/>
        <scheme val="minor"/>
      </rPr>
      <t xml:space="preserve">then to proceed </t>
    </r>
    <r>
      <rPr>
        <b/>
        <sz val="11"/>
        <color theme="1"/>
        <rFont val="Calibri"/>
        <charset val="134"/>
        <scheme val="minor"/>
      </rPr>
      <t>MERGE</t>
    </r>
    <r>
      <rPr>
        <sz val="11"/>
        <color theme="1"/>
        <rFont val="Calibri"/>
        <charset val="134"/>
        <scheme val="minor"/>
      </rPr>
      <t xml:space="preserve"> the columns and the merged column name is</t>
    </r>
  </si>
  <si>
    <t>Audio</t>
  </si>
  <si>
    <t>Fitness</t>
  </si>
  <si>
    <t>Kitchen</t>
  </si>
  <si>
    <t>Using cleaning process</t>
  </si>
  <si>
    <t>Haircare</t>
  </si>
  <si>
    <t>Using Cleaning Process</t>
  </si>
  <si>
    <t>Decor</t>
  </si>
  <si>
    <t>Missing Values are identified with using the formula</t>
  </si>
  <si>
    <t>Appliances</t>
  </si>
  <si>
    <t>IF(ISBLANK(E2),AVERAGE(E2:E101),E2)</t>
  </si>
  <si>
    <t>Grooming</t>
  </si>
  <si>
    <t>IF(ISBLANK(F2),AVERAGE(F2:F101),F2)</t>
  </si>
  <si>
    <t>Equipment</t>
  </si>
  <si>
    <r>
      <rPr>
        <sz val="11"/>
        <color theme="1"/>
        <rFont val="Calibri"/>
        <charset val="134"/>
        <scheme val="minor"/>
      </rPr>
      <t xml:space="preserve">And the Non Numeric column are changed to </t>
    </r>
    <r>
      <rPr>
        <b/>
        <sz val="11"/>
        <color theme="1"/>
        <rFont val="Calibri"/>
        <charset val="134"/>
        <scheme val="minor"/>
      </rPr>
      <t xml:space="preserve">TEXT </t>
    </r>
    <r>
      <rPr>
        <sz val="11"/>
        <color theme="1"/>
        <rFont val="Calibri"/>
        <charset val="134"/>
        <scheme val="minor"/>
      </rPr>
      <t>Format</t>
    </r>
  </si>
  <si>
    <t>Storage</t>
  </si>
  <si>
    <t>Outdoor</t>
  </si>
  <si>
    <t>Team Sports</t>
  </si>
  <si>
    <t>Footwear</t>
  </si>
  <si>
    <t>Mobile</t>
  </si>
  <si>
    <t>Makeup</t>
  </si>
  <si>
    <t>Fragrance</t>
  </si>
  <si>
    <t>Furniture</t>
  </si>
  <si>
    <t>Store_Name</t>
  </si>
  <si>
    <t>Rivera-Warner</t>
  </si>
  <si>
    <t>East</t>
  </si>
  <si>
    <t>Washingtonfurt</t>
  </si>
  <si>
    <t>Flagship</t>
  </si>
  <si>
    <t>Check all the columns and clean the column with proper,trim and clean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</si>
  <si>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</si>
  <si>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</si>
  <si>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</si>
  <si>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</si>
  <si>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</si>
  <si>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</si>
  <si>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</si>
  <si>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</si>
  <si>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</si>
  <si>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</si>
  <si>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</si>
  <si>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</si>
  <si>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</si>
  <si>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</si>
  <si>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</si>
  <si>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</si>
  <si>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</si>
  <si>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</si>
  <si>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</si>
  <si>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</si>
  <si>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</si>
  <si>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</si>
  <si>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</si>
  <si>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</si>
  <si>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</si>
  <si>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</si>
  <si>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Thomas, Bridges And Harris</t>
  </si>
  <si>
    <t>Sabrinatown</t>
  </si>
  <si>
    <t>Gardner, Humphrey And Contreras</t>
  </si>
  <si>
    <t>Mcdonald Inc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</si>
  <si>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</si>
  <si>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</si>
  <si>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</si>
  <si>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</si>
  <si>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</si>
  <si>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</si>
  <si>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</si>
  <si>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</si>
  <si>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</si>
  <si>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</si>
  <si>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Summary Statistics</t>
  </si>
  <si>
    <t>Value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</si>
  <si>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</si>
  <si>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</si>
  <si>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</si>
  <si>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</si>
  <si>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</si>
  <si>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</si>
  <si>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</si>
  <si>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</si>
  <si>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</si>
  <si>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</si>
  <si>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</si>
  <si>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</si>
  <si>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</si>
  <si>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</si>
  <si>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</si>
  <si>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</si>
  <si>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 of Total_Amount</t>
  </si>
  <si>
    <t>Column Labels</t>
  </si>
  <si>
    <t>Row Labels</t>
  </si>
  <si>
    <t>Grand Total</t>
  </si>
  <si>
    <t>(All)</t>
  </si>
  <si>
    <t>Year</t>
  </si>
  <si>
    <t>Sum of Total Amount</t>
  </si>
  <si>
    <t>2023</t>
  </si>
  <si>
    <t>2024</t>
  </si>
  <si>
    <t>2025</t>
  </si>
  <si>
    <t>Average of Discount</t>
  </si>
  <si>
    <t xml:space="preserve"> Total_Amount </t>
  </si>
  <si>
    <t>Forecast( Total_Amount )</t>
  </si>
  <si>
    <t>Lower Confidence Bound( Total_Amount )</t>
  </si>
  <si>
    <t>Upper Confidence Bound( Total_Amount )</t>
  </si>
  <si>
    <t>Ecommerce Sales Analysis</t>
  </si>
  <si>
    <t>Average Discount   0.15         Average Unit Price    513            Sum Of Total Amount     2554136.7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</si>
</sst>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 [$₹-4009]\ * #,##0.00_ ;_ [$₹-4009]\ * \-#,##0.00_ ;_ [$₹-4009]\ * &quot;-&quot;??_ ;_ @_ "/>
    <numFmt numFmtId="166" formatCode="_ [$₹-449]\ * #,##0.00_ ;_ [$₹-449]\ * \-#,##0.00_ ;_ [$₹-449]\ * &quot;-&quot;??_ ;_ @_ "/>
  </numFmts>
  <fonts count="1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i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49" fontId="0" fillId="0" borderId="0" xfId="0" applyNumberFormat="1"/>
    <xf numFmtId="49" fontId="5" fillId="0" borderId="2" xfId="0" applyNumberFormat="1" applyFont="1" applyBorder="1" applyAlignment="1">
      <alignment horizontal="center" vertical="top"/>
    </xf>
    <xf numFmtId="2" fontId="0" fillId="0" borderId="0" xfId="0" applyNumberFormat="1"/>
    <xf numFmtId="165" fontId="5" fillId="0" borderId="2" xfId="0" applyNumberFormat="1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0" fontId="6" fillId="5" borderId="0" xfId="0" applyFont="1" applyFill="1"/>
    <xf numFmtId="0" fontId="0" fillId="5" borderId="0" xfId="0" applyFill="1"/>
    <xf numFmtId="0" fontId="6" fillId="5" borderId="0" xfId="0" applyFont="1" applyFill="1" applyAlignment="1">
      <alignment horizontal="center"/>
    </xf>
    <xf numFmtId="0" fontId="7" fillId="0" borderId="0" xfId="0" applyFont="1"/>
    <xf numFmtId="0" fontId="7" fillId="5" borderId="0" xfId="0" applyFont="1" applyFill="1"/>
    <xf numFmtId="0" fontId="7" fillId="6" borderId="0" xfId="0" applyFont="1" applyFill="1"/>
    <xf numFmtId="166" fontId="0" fillId="0" borderId="0" xfId="0" applyNumberFormat="1"/>
    <xf numFmtId="0" fontId="5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8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7" fillId="0" borderId="0" xfId="0" applyNumberFormat="1" applyFont="1"/>
    <xf numFmtId="2" fontId="5" fillId="0" borderId="1" xfId="0" applyNumberFormat="1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0" fontId="7" fillId="7" borderId="0" xfId="0" applyFont="1" applyFill="1"/>
    <xf numFmtId="0" fontId="0" fillId="0" borderId="0" xfId="0" applyAlignment="1">
      <alignment horizontal="centerContinuous"/>
    </xf>
    <xf numFmtId="0" fontId="9" fillId="0" borderId="0" xfId="0" applyFont="1" applyAlignment="1">
      <alignment horizontal="centerContinuous"/>
    </xf>
    <xf numFmtId="2" fontId="7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0" fontId="0" fillId="9" borderId="1" xfId="0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0" borderId="1" xfId="0" applyBorder="1" applyAlignment="1">
      <alignment horizontal="left" indent="1"/>
    </xf>
    <xf numFmtId="0" fontId="4" fillId="8" borderId="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52">
    <dxf>
      <numFmt numFmtId="164" formatCode="yyyy\-mm\-dd"/>
    </dxf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</dxf>
    <dxf>
      <numFmt numFmtId="164" formatCode="yyyy\-mm\-dd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65" formatCode="_ [$₹-4009]\ * #,##0.00_ ;_ [$₹-4009]\ * \-#,##0.00_ ;_ [$₹-4009]\ * &quot;-&quot;??_ ;_ 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26" Type="http://schemas.openxmlformats.org/officeDocument/2006/relationships/styles" Target="styles.xml"/><Relationship Id="rId39" Type="http://schemas.openxmlformats.org/officeDocument/2006/relationships/customXml" Target="../customXml/item10.xml"/><Relationship Id="rId21" Type="http://schemas.microsoft.com/office/2007/relationships/slicerCache" Target="slicerCaches/slicerCache6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07/relationships/slicerCache" Target="slicerCaches/slicerCache8.xml"/><Relationship Id="rId28" Type="http://schemas.openxmlformats.org/officeDocument/2006/relationships/sheetMetadata" Target="metadata.xml"/><Relationship Id="rId36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07/relationships/slicerCache" Target="slicerCaches/slicerCache7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microsoft.com/office/2007/relationships/slicerCache" Target="slicerCaches/slicerCache5.xml"/><Relationship Id="rId41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[Ecommerce_Sales_Dataset.xlsx]category vs total vs dis!PivotTable11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category Wise Total &amp; Average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total vs dis'!$B$3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vs total vs dis'!$A$4:$A$9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'category vs total vs dis'!$B$4:$B$9</c:f>
              <c:numCache>
                <c:formatCode>General</c:formatCode>
                <c:ptCount val="5"/>
                <c:pt idx="0">
                  <c:v>381461.232405107</c:v>
                </c:pt>
                <c:pt idx="1">
                  <c:v>442258.9</c:v>
                </c:pt>
                <c:pt idx="2">
                  <c:v>593458.16680252703</c:v>
                </c:pt>
                <c:pt idx="3">
                  <c:v>501627.176933182</c:v>
                </c:pt>
                <c:pt idx="4">
                  <c:v>635331.27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3-48C4-A353-20777700DC09}"/>
            </c:ext>
          </c:extLst>
        </c:ser>
        <c:ser>
          <c:idx val="1"/>
          <c:order val="1"/>
          <c:tx>
            <c:strRef>
              <c:f>'category vs total vs dis'!$C$3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'category vs total vs dis'!$A$4:$A$9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'category vs total vs dis'!$C$4:$C$9</c:f>
              <c:numCache>
                <c:formatCode>General</c:formatCode>
                <c:ptCount val="5"/>
                <c:pt idx="0">
                  <c:v>0.152851973684211</c:v>
                </c:pt>
                <c:pt idx="1">
                  <c:v>0.14488023952095799</c:v>
                </c:pt>
                <c:pt idx="2">
                  <c:v>0.14930136414672901</c:v>
                </c:pt>
                <c:pt idx="3">
                  <c:v>0.148796422948375</c:v>
                </c:pt>
                <c:pt idx="4">
                  <c:v>0.14564257028112401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3-48C4-A353-20777700D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05122144"/>
        <c:axId val="905123392"/>
      </c:barChart>
      <c:catAx>
        <c:axId val="9051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3392"/>
        <c:crosses val="autoZero"/>
        <c:auto val="1"/>
        <c:lblAlgn val="ctr"/>
        <c:lblOffset val="100"/>
        <c:noMultiLvlLbl val="0"/>
      </c:catAx>
      <c:valAx>
        <c:axId val="9051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2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08ac12-cf34-4f02-b25c-3bd11e2cd4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[Ecommerce_Sales_Dataset.xlsx]year vs category,gender vs tota!PivotTable10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SG" sz="1200">
                <a:solidFill>
                  <a:schemeClr val="tx1"/>
                </a:solidFill>
              </a:rPr>
              <a:t>Year</a:t>
            </a:r>
            <a:r>
              <a:rPr lang="en-SG" sz="1200" baseline="0">
                <a:solidFill>
                  <a:schemeClr val="tx1"/>
                </a:solidFill>
              </a:rPr>
              <a:t> Wise category Total amount</a:t>
            </a:r>
            <a:endParaRPr lang="en-SG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'year vs category,gender vs tota'!$B$3:$B$4</c:f>
              <c:strCache>
                <c:ptCount val="1"/>
                <c:pt idx="0">
                  <c:v>Beauty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tota'!$B$5:$B$8</c:f>
              <c:numCache>
                <c:formatCode>General</c:formatCode>
                <c:ptCount val="3"/>
                <c:pt idx="0">
                  <c:v>43555.57</c:v>
                </c:pt>
                <c:pt idx="1">
                  <c:v>205298.129088633</c:v>
                </c:pt>
                <c:pt idx="2">
                  <c:v>132607.53331647499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F-47ED-A208-F0F81A30A1AC}"/>
            </c:ext>
          </c:extLst>
        </c:ser>
        <c:ser>
          <c:idx val="1"/>
          <c:order val="1"/>
          <c:tx>
            <c:strRef>
              <c:f>'year vs category,gender vs tota'!$C$3:$C$4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tota'!$C$5:$C$8</c:f>
              <c:numCache>
                <c:formatCode>General</c:formatCode>
                <c:ptCount val="3"/>
                <c:pt idx="0">
                  <c:v>47156.11</c:v>
                </c:pt>
                <c:pt idx="1">
                  <c:v>244526.87</c:v>
                </c:pt>
                <c:pt idx="2">
                  <c:v>150575.92000000001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F-47ED-A208-F0F81A30A1AC}"/>
            </c:ext>
          </c:extLst>
        </c:ser>
        <c:ser>
          <c:idx val="2"/>
          <c:order val="2"/>
          <c:tx>
            <c:strRef>
              <c:f>'year vs category,gender vs tota'!$D$3:$D$4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tota'!$D$5:$D$8</c:f>
              <c:numCache>
                <c:formatCode>General</c:formatCode>
                <c:ptCount val="3"/>
                <c:pt idx="0">
                  <c:v>53442.05</c:v>
                </c:pt>
                <c:pt idx="1">
                  <c:v>252244.896316475</c:v>
                </c:pt>
                <c:pt idx="2">
                  <c:v>287771.22048605297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F-47ED-A208-F0F81A30A1AC}"/>
            </c:ext>
          </c:extLst>
        </c:ser>
        <c:ser>
          <c:idx val="3"/>
          <c:order val="3"/>
          <c:tx>
            <c:strRef>
              <c:f>'year vs category,gender vs tota'!$E$3:$E$4</c:f>
              <c:strCache>
                <c:ptCount val="1"/>
                <c:pt idx="0">
                  <c:v>Home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tota'!$E$5:$E$8</c:f>
              <c:numCache>
                <c:formatCode>General</c:formatCode>
                <c:ptCount val="3"/>
                <c:pt idx="0">
                  <c:v>63108.63</c:v>
                </c:pt>
                <c:pt idx="1">
                  <c:v>247705.072933182</c:v>
                </c:pt>
                <c:pt idx="2">
                  <c:v>190813.47399999999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F-47ED-A208-F0F81A30A1AC}"/>
            </c:ext>
          </c:extLst>
        </c:ser>
        <c:ser>
          <c:idx val="4"/>
          <c:order val="4"/>
          <c:tx>
            <c:strRef>
              <c:f>'year vs category,gender vs tota'!$F$3:$F$4</c:f>
              <c:strCache>
                <c:ptCount val="1"/>
                <c:pt idx="0">
                  <c:v>Sports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tota'!$F$5:$F$8</c:f>
              <c:numCache>
                <c:formatCode>General</c:formatCode>
                <c:ptCount val="3"/>
                <c:pt idx="0">
                  <c:v>57259.07</c:v>
                </c:pt>
                <c:pt idx="1">
                  <c:v>335626.47</c:v>
                </c:pt>
                <c:pt idx="2">
                  <c:v>242445.73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F-47ED-A208-F0F81A30A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395600"/>
        <c:axId val="999396848"/>
      </c:lineChart>
      <c:catAx>
        <c:axId val="99939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6848"/>
        <c:crosses val="autoZero"/>
        <c:auto val="1"/>
        <c:lblAlgn val="ctr"/>
        <c:lblOffset val="100"/>
        <c:noMultiLvlLbl val="0"/>
      </c:catAx>
      <c:valAx>
        <c:axId val="9993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5679f35-107b-45f4-8cb0-05c9554a15cb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[Ecommerce_Sales_Dataset.xlsx]product brand vs category vs to!PivotTable9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Sum of Product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brand vs category vs 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47F-4E2A-B6BD-03075A75D31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47F-4E2A-B6BD-03075A75D31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47F-4E2A-B6BD-03075A75D31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47F-4E2A-B6BD-03075A75D31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47F-4E2A-B6BD-03075A75D312}"/>
              </c:ext>
            </c:extLst>
          </c:dPt>
          <c:cat>
            <c:strRef>
              <c:f>'product brand vs category vs to'!$A$4:$A$9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brand vs category vs to'!$B$4:$B$9</c:f>
              <c:numCache>
                <c:formatCode>General</c:formatCode>
                <c:ptCount val="5"/>
                <c:pt idx="0">
                  <c:v>381461.232405107</c:v>
                </c:pt>
                <c:pt idx="1">
                  <c:v>442258.9</c:v>
                </c:pt>
                <c:pt idx="2">
                  <c:v>593458.16680252703</c:v>
                </c:pt>
                <c:pt idx="3">
                  <c:v>501627.176933182</c:v>
                </c:pt>
                <c:pt idx="4">
                  <c:v>635331.27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7F-4E2A-B6BD-03075A75D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ce92f2a-bfb0-456b-859b-7a0aba2983c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[Ecommerce_Sales_Dataset.xlsx]category vs gender vs total!PivotTable7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Gender</a:t>
            </a:r>
            <a:r>
              <a:rPr lang="en-US" sz="1200" baseline="0"/>
              <a:t> wise category Total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vs gender vs total'!$B$3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'category vs gender vs total'!$A$4:$A$19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  <c:pt idx="6">
                    <c:v>Home</c:v>
                  </c:pt>
                  <c:pt idx="8">
                    <c:v>Sports</c:v>
                  </c:pt>
                </c:lvl>
              </c:multiLvlStrCache>
            </c:multiLvlStrRef>
          </c:cat>
          <c:val>
            <c:numRef>
              <c:f>'category vs gender vs total'!$B$4:$B$19</c:f>
              <c:numCache>
                <c:formatCode>General</c:formatCode>
                <c:ptCount val="10"/>
                <c:pt idx="0">
                  <c:v>212708.88240510799</c:v>
                </c:pt>
                <c:pt idx="1">
                  <c:v>168752.35</c:v>
                </c:pt>
                <c:pt idx="2">
                  <c:v>259410.76</c:v>
                </c:pt>
                <c:pt idx="3">
                  <c:v>182848.14</c:v>
                </c:pt>
                <c:pt idx="4">
                  <c:v>335606.05042843398</c:v>
                </c:pt>
                <c:pt idx="5">
                  <c:v>257852.11637409299</c:v>
                </c:pt>
                <c:pt idx="6">
                  <c:v>256323.57</c:v>
                </c:pt>
                <c:pt idx="7">
                  <c:v>245303.60693318301</c:v>
                </c:pt>
                <c:pt idx="8">
                  <c:v>380920.94</c:v>
                </c:pt>
                <c:pt idx="9">
                  <c:v>254410.33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6-447E-B7FA-3376B0010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5112160"/>
        <c:axId val="905125888"/>
      </c:barChart>
      <c:catAx>
        <c:axId val="90511216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5888"/>
        <c:crosses val="autoZero"/>
        <c:auto val="1"/>
        <c:lblAlgn val="ctr"/>
        <c:lblOffset val="100"/>
        <c:noMultiLvlLbl val="0"/>
      </c:catAx>
      <c:valAx>
        <c:axId val="90512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12160"/>
        <c:crosses val="autoZero"/>
        <c:crossBetween val="between"/>
      </c:valAx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66e07c-d488-4d68-876a-95f2742aaf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[Ecommerce_Sales_Dataset.xlsx]store vs region vs total amt!PivotTable3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 sz="1200"/>
              <a:t>Store</a:t>
            </a:r>
            <a:r>
              <a:rPr lang="en-SG" sz="1200" baseline="0"/>
              <a:t> vs Region Total</a:t>
            </a:r>
            <a:endParaRPr lang="en-SG" sz="1200"/>
          </a:p>
        </c:rich>
      </c:tx>
      <c:layout>
        <c:manualLayout>
          <c:xMode val="edge"/>
          <c:yMode val="edge"/>
          <c:x val="0.371965223097113"/>
          <c:y val="3.1386701662292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35073944913701"/>
          <c:y val="0.165645883367007"/>
          <c:w val="0.75478018372703404"/>
          <c:h val="0.6585309128025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'store vs region vs total amt'!$B$3:$B$4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amt'!$B$5:$B$8</c:f>
              <c:numCache>
                <c:formatCode>General</c:formatCode>
                <c:ptCount val="3"/>
                <c:pt idx="0">
                  <c:v>357939.15340510802</c:v>
                </c:pt>
                <c:pt idx="1">
                  <c:v>374732.28331647499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6-41F1-9D25-B7548DD28739}"/>
            </c:ext>
          </c:extLst>
        </c:ser>
        <c:ser>
          <c:idx val="1"/>
          <c:order val="1"/>
          <c:tx>
            <c:strRef>
              <c:f>'store vs region vs total amt'!$C$3:$C$4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amt'!$C$5:$C$8</c:f>
              <c:numCache>
                <c:formatCode>General</c:formatCode>
                <c:ptCount val="3"/>
                <c:pt idx="0">
                  <c:v>377549.41</c:v>
                </c:pt>
                <c:pt idx="1">
                  <c:v>138687.69</c:v>
                </c:pt>
                <c:pt idx="2">
                  <c:v>243732.84293318199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6-41F1-9D25-B7548DD28739}"/>
            </c:ext>
          </c:extLst>
        </c:ser>
        <c:ser>
          <c:idx val="2"/>
          <c:order val="2"/>
          <c:tx>
            <c:strRef>
              <c:f>'store vs region vs total amt'!$D$3:$D$4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amt'!$D$5:$D$8</c:f>
              <c:numCache>
                <c:formatCode>General</c:formatCode>
                <c:ptCount val="3"/>
                <c:pt idx="0">
                  <c:v>127402.25</c:v>
                </c:pt>
                <c:pt idx="1">
                  <c:v>378571.41200000001</c:v>
                </c:pt>
                <c:pt idx="2">
                  <c:v>239007.20811195899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6-41F1-9D25-B7548DD28739}"/>
            </c:ext>
          </c:extLst>
        </c:ser>
        <c:ser>
          <c:idx val="3"/>
          <c:order val="3"/>
          <c:tx>
            <c:strRef>
              <c:f>'store vs region vs total amt'!$E$3:$E$4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amt'!$E$5:$E$8</c:f>
              <c:numCache>
                <c:formatCode>General</c:formatCode>
                <c:ptCount val="3"/>
                <c:pt idx="0">
                  <c:v>131195.51999999999</c:v>
                </c:pt>
                <c:pt idx="1">
                  <c:v>185318.97637409301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6-41F1-9D25-B7548DD28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078064"/>
        <c:axId val="694089712"/>
      </c:barChart>
      <c:catAx>
        <c:axId val="6940780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GB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89712"/>
        <c:crosses val="autoZero"/>
        <c:auto val="1"/>
        <c:lblAlgn val="ctr"/>
        <c:lblOffset val="100"/>
        <c:noMultiLvlLbl val="0"/>
      </c:catAx>
      <c:valAx>
        <c:axId val="6940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ac9b59-c335-410e-b007-8d18513ac7c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 Total_Amount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forecast!$B$2:$B$915</c:f>
              <c:numCache>
                <c:formatCode>_ [$₹-4009]\ * #,##0.00_ ;_ [$₹-4009]\ * \-#,##0.00_ ;_ [$₹-4009]\ * "-"??_ ;_ @_ </c:formatCode>
                <c:ptCount val="914"/>
                <c:pt idx="0">
                  <c:v>1653.26</c:v>
                </c:pt>
                <c:pt idx="1">
                  <c:v>490.64</c:v>
                </c:pt>
                <c:pt idx="2">
                  <c:v>2380.2199999999998</c:v>
                </c:pt>
                <c:pt idx="3">
                  <c:v>1115.53</c:v>
                </c:pt>
                <c:pt idx="4">
                  <c:v>771.71400000000006</c:v>
                </c:pt>
                <c:pt idx="5">
                  <c:v>1755.2149999999999</c:v>
                </c:pt>
                <c:pt idx="6">
                  <c:v>583.86500000000001</c:v>
                </c:pt>
                <c:pt idx="7">
                  <c:v>577.51</c:v>
                </c:pt>
                <c:pt idx="8">
                  <c:v>2188.44</c:v>
                </c:pt>
                <c:pt idx="9">
                  <c:v>627.79</c:v>
                </c:pt>
                <c:pt idx="10">
                  <c:v>2574.83</c:v>
                </c:pt>
                <c:pt idx="11">
                  <c:v>932.94</c:v>
                </c:pt>
                <c:pt idx="12">
                  <c:v>730.12</c:v>
                </c:pt>
                <c:pt idx="13">
                  <c:v>552.20666666666705</c:v>
                </c:pt>
                <c:pt idx="14">
                  <c:v>374.29333333333301</c:v>
                </c:pt>
                <c:pt idx="15">
                  <c:v>2053.5</c:v>
                </c:pt>
                <c:pt idx="16">
                  <c:v>1241.4833333333299</c:v>
                </c:pt>
                <c:pt idx="17">
                  <c:v>956.56666666666695</c:v>
                </c:pt>
                <c:pt idx="18">
                  <c:v>1498.17</c:v>
                </c:pt>
                <c:pt idx="19">
                  <c:v>1932.5150000000001</c:v>
                </c:pt>
                <c:pt idx="20">
                  <c:v>1009.03666666667</c:v>
                </c:pt>
                <c:pt idx="21">
                  <c:v>1047.6600000000001</c:v>
                </c:pt>
                <c:pt idx="22">
                  <c:v>1713.92</c:v>
                </c:pt>
                <c:pt idx="23">
                  <c:v>1539.585</c:v>
                </c:pt>
                <c:pt idx="24">
                  <c:v>1252.8050000000001</c:v>
                </c:pt>
                <c:pt idx="25">
                  <c:v>539.30499999999995</c:v>
                </c:pt>
                <c:pt idx="26">
                  <c:v>1844.28</c:v>
                </c:pt>
                <c:pt idx="27">
                  <c:v>1271.405</c:v>
                </c:pt>
                <c:pt idx="28">
                  <c:v>1535.36</c:v>
                </c:pt>
                <c:pt idx="29">
                  <c:v>314.185</c:v>
                </c:pt>
                <c:pt idx="30">
                  <c:v>347.34333333333302</c:v>
                </c:pt>
                <c:pt idx="31">
                  <c:v>1128.9825000000001</c:v>
                </c:pt>
                <c:pt idx="32">
                  <c:v>894.495</c:v>
                </c:pt>
                <c:pt idx="33">
                  <c:v>660.00750000000005</c:v>
                </c:pt>
                <c:pt idx="34">
                  <c:v>425.52</c:v>
                </c:pt>
                <c:pt idx="35">
                  <c:v>1017.89</c:v>
                </c:pt>
                <c:pt idx="36">
                  <c:v>992.113333333333</c:v>
                </c:pt>
                <c:pt idx="37">
                  <c:v>1103.615</c:v>
                </c:pt>
                <c:pt idx="38">
                  <c:v>1440.7</c:v>
                </c:pt>
                <c:pt idx="39">
                  <c:v>2090.7350000000001</c:v>
                </c:pt>
                <c:pt idx="40">
                  <c:v>468.27</c:v>
                </c:pt>
                <c:pt idx="41">
                  <c:v>637.20000000000005</c:v>
                </c:pt>
                <c:pt idx="42">
                  <c:v>632.47249999999997</c:v>
                </c:pt>
                <c:pt idx="43">
                  <c:v>1044.2933333333301</c:v>
                </c:pt>
                <c:pt idx="44">
                  <c:v>1147.6420000000001</c:v>
                </c:pt>
                <c:pt idx="45">
                  <c:v>1267.0266666666701</c:v>
                </c:pt>
                <c:pt idx="46">
                  <c:v>969.14499999999998</c:v>
                </c:pt>
                <c:pt idx="47">
                  <c:v>331.01</c:v>
                </c:pt>
                <c:pt idx="48">
                  <c:v>789.86500000000001</c:v>
                </c:pt>
                <c:pt idx="49">
                  <c:v>687.54</c:v>
                </c:pt>
                <c:pt idx="50">
                  <c:v>585.21500000000003</c:v>
                </c:pt>
                <c:pt idx="51">
                  <c:v>994.5</c:v>
                </c:pt>
                <c:pt idx="52">
                  <c:v>1442.44333333333</c:v>
                </c:pt>
                <c:pt idx="53">
                  <c:v>955.2</c:v>
                </c:pt>
                <c:pt idx="54">
                  <c:v>1495.78</c:v>
                </c:pt>
                <c:pt idx="55">
                  <c:v>1151.3928571428601</c:v>
                </c:pt>
                <c:pt idx="56">
                  <c:v>1475.87</c:v>
                </c:pt>
                <c:pt idx="57">
                  <c:v>954.493333333333</c:v>
                </c:pt>
                <c:pt idx="58">
                  <c:v>1923.18</c:v>
                </c:pt>
                <c:pt idx="59">
                  <c:v>1629.9559999999999</c:v>
                </c:pt>
                <c:pt idx="60">
                  <c:v>2396.41</c:v>
                </c:pt>
                <c:pt idx="61">
                  <c:v>1688.94333333333</c:v>
                </c:pt>
                <c:pt idx="62">
                  <c:v>3049.92</c:v>
                </c:pt>
                <c:pt idx="63">
                  <c:v>1293.33666666667</c:v>
                </c:pt>
                <c:pt idx="64">
                  <c:v>777.97500000000002</c:v>
                </c:pt>
                <c:pt idx="65">
                  <c:v>1672.48</c:v>
                </c:pt>
                <c:pt idx="66">
                  <c:v>1097.6199999999999</c:v>
                </c:pt>
                <c:pt idx="67">
                  <c:v>1166.6199999999999</c:v>
                </c:pt>
                <c:pt idx="68">
                  <c:v>1014.23</c:v>
                </c:pt>
                <c:pt idx="69">
                  <c:v>673.92</c:v>
                </c:pt>
                <c:pt idx="70">
                  <c:v>1556.9</c:v>
                </c:pt>
                <c:pt idx="71">
                  <c:v>1866.67</c:v>
                </c:pt>
                <c:pt idx="72">
                  <c:v>764.62</c:v>
                </c:pt>
                <c:pt idx="73">
                  <c:v>937.89499999999998</c:v>
                </c:pt>
                <c:pt idx="74">
                  <c:v>442.22</c:v>
                </c:pt>
                <c:pt idx="75">
                  <c:v>1309.89333333333</c:v>
                </c:pt>
                <c:pt idx="76">
                  <c:v>2557.8150000000001</c:v>
                </c:pt>
                <c:pt idx="77">
                  <c:v>1543.87333333333</c:v>
                </c:pt>
                <c:pt idx="78">
                  <c:v>1202.25</c:v>
                </c:pt>
                <c:pt idx="79">
                  <c:v>421.73</c:v>
                </c:pt>
                <c:pt idx="80">
                  <c:v>897.54</c:v>
                </c:pt>
                <c:pt idx="81">
                  <c:v>720.44333333333304</c:v>
                </c:pt>
                <c:pt idx="82">
                  <c:v>1125.54</c:v>
                </c:pt>
                <c:pt idx="83">
                  <c:v>1296.952</c:v>
                </c:pt>
                <c:pt idx="84">
                  <c:v>2102.94</c:v>
                </c:pt>
                <c:pt idx="85">
                  <c:v>1442.855</c:v>
                </c:pt>
                <c:pt idx="86">
                  <c:v>782.77</c:v>
                </c:pt>
                <c:pt idx="87">
                  <c:v>533.16</c:v>
                </c:pt>
                <c:pt idx="88">
                  <c:v>1058.73</c:v>
                </c:pt>
                <c:pt idx="89">
                  <c:v>946.83097772744395</c:v>
                </c:pt>
                <c:pt idx="90">
                  <c:v>1375.48</c:v>
                </c:pt>
                <c:pt idx="91">
                  <c:v>1127.8</c:v>
                </c:pt>
                <c:pt idx="92">
                  <c:v>484.11</c:v>
                </c:pt>
                <c:pt idx="93">
                  <c:v>301.33</c:v>
                </c:pt>
                <c:pt idx="94">
                  <c:v>802.61500000000001</c:v>
                </c:pt>
                <c:pt idx="95">
                  <c:v>1331.8119999999999</c:v>
                </c:pt>
                <c:pt idx="96">
                  <c:v>2169.2849999999999</c:v>
                </c:pt>
                <c:pt idx="97">
                  <c:v>1052.99</c:v>
                </c:pt>
                <c:pt idx="98">
                  <c:v>1579.59666666667</c:v>
                </c:pt>
                <c:pt idx="99">
                  <c:v>693.76499999999999</c:v>
                </c:pt>
                <c:pt idx="100">
                  <c:v>1012.79333333333</c:v>
                </c:pt>
                <c:pt idx="101">
                  <c:v>616.99</c:v>
                </c:pt>
                <c:pt idx="102">
                  <c:v>1473.14</c:v>
                </c:pt>
                <c:pt idx="103">
                  <c:v>783.53750000000002</c:v>
                </c:pt>
                <c:pt idx="104">
                  <c:v>1973.36</c:v>
                </c:pt>
                <c:pt idx="105">
                  <c:v>1386.3</c:v>
                </c:pt>
                <c:pt idx="106">
                  <c:v>2214.5700000000002</c:v>
                </c:pt>
                <c:pt idx="107">
                  <c:v>1338.84</c:v>
                </c:pt>
                <c:pt idx="108">
                  <c:v>514.47</c:v>
                </c:pt>
                <c:pt idx="109">
                  <c:v>780.33</c:v>
                </c:pt>
                <c:pt idx="110">
                  <c:v>2017.25</c:v>
                </c:pt>
                <c:pt idx="111">
                  <c:v>2029.8883333333299</c:v>
                </c:pt>
                <c:pt idx="112">
                  <c:v>2042.5266666666701</c:v>
                </c:pt>
                <c:pt idx="113">
                  <c:v>751.64666666666699</c:v>
                </c:pt>
                <c:pt idx="114">
                  <c:v>930.61</c:v>
                </c:pt>
                <c:pt idx="115">
                  <c:v>243.18</c:v>
                </c:pt>
                <c:pt idx="116">
                  <c:v>482.21666666666698</c:v>
                </c:pt>
                <c:pt idx="117">
                  <c:v>1102.2566666666701</c:v>
                </c:pt>
                <c:pt idx="118">
                  <c:v>944.09333333333302</c:v>
                </c:pt>
                <c:pt idx="119">
                  <c:v>984.72</c:v>
                </c:pt>
                <c:pt idx="120">
                  <c:v>1045.5350000000001</c:v>
                </c:pt>
                <c:pt idx="121">
                  <c:v>752.35666666666702</c:v>
                </c:pt>
                <c:pt idx="122">
                  <c:v>449.255</c:v>
                </c:pt>
                <c:pt idx="123">
                  <c:v>870.62666666666701</c:v>
                </c:pt>
                <c:pt idx="124">
                  <c:v>1902.03</c:v>
                </c:pt>
                <c:pt idx="125">
                  <c:v>748.55888888888899</c:v>
                </c:pt>
                <c:pt idx="126">
                  <c:v>299.02999999999997</c:v>
                </c:pt>
                <c:pt idx="127">
                  <c:v>1890.8033333333301</c:v>
                </c:pt>
                <c:pt idx="128">
                  <c:v>1813.5266666666701</c:v>
                </c:pt>
                <c:pt idx="129">
                  <c:v>1654.8216666666699</c:v>
                </c:pt>
                <c:pt idx="130">
                  <c:v>1496.11666666667</c:v>
                </c:pt>
                <c:pt idx="131">
                  <c:v>1767.3140000000001</c:v>
                </c:pt>
                <c:pt idx="132">
                  <c:v>904.47333333333302</c:v>
                </c:pt>
                <c:pt idx="133">
                  <c:v>584.21500000000003</c:v>
                </c:pt>
                <c:pt idx="134">
                  <c:v>1645.4866666666701</c:v>
                </c:pt>
                <c:pt idx="135">
                  <c:v>1696.82666666667</c:v>
                </c:pt>
                <c:pt idx="136">
                  <c:v>1218.606</c:v>
                </c:pt>
                <c:pt idx="137">
                  <c:v>365.48500000000001</c:v>
                </c:pt>
                <c:pt idx="138">
                  <c:v>1127.56</c:v>
                </c:pt>
                <c:pt idx="139">
                  <c:v>3468.48</c:v>
                </c:pt>
                <c:pt idx="140">
                  <c:v>949.493333333333</c:v>
                </c:pt>
                <c:pt idx="141">
                  <c:v>1493.4275</c:v>
                </c:pt>
                <c:pt idx="142">
                  <c:v>899.78</c:v>
                </c:pt>
                <c:pt idx="143">
                  <c:v>2324.3074999999999</c:v>
                </c:pt>
                <c:pt idx="144">
                  <c:v>250.92</c:v>
                </c:pt>
                <c:pt idx="145">
                  <c:v>596.27750000000003</c:v>
                </c:pt>
                <c:pt idx="146">
                  <c:v>941.63499999999999</c:v>
                </c:pt>
                <c:pt idx="147">
                  <c:v>1146.81</c:v>
                </c:pt>
                <c:pt idx="148">
                  <c:v>1242.8140000000001</c:v>
                </c:pt>
                <c:pt idx="149">
                  <c:v>1852.8</c:v>
                </c:pt>
                <c:pt idx="150">
                  <c:v>2018.25</c:v>
                </c:pt>
                <c:pt idx="151">
                  <c:v>3312.44</c:v>
                </c:pt>
                <c:pt idx="152">
                  <c:v>785.20666666666705</c:v>
                </c:pt>
                <c:pt idx="153">
                  <c:v>1190.9783333333301</c:v>
                </c:pt>
                <c:pt idx="154">
                  <c:v>1596.75</c:v>
                </c:pt>
                <c:pt idx="155">
                  <c:v>2541.81</c:v>
                </c:pt>
                <c:pt idx="156">
                  <c:v>1727.74227215824</c:v>
                </c:pt>
                <c:pt idx="157">
                  <c:v>1871.07</c:v>
                </c:pt>
                <c:pt idx="158">
                  <c:v>1023.658</c:v>
                </c:pt>
                <c:pt idx="159">
                  <c:v>642.66999999999996</c:v>
                </c:pt>
                <c:pt idx="160">
                  <c:v>1453.4749999999999</c:v>
                </c:pt>
                <c:pt idx="161">
                  <c:v>876.95333333333303</c:v>
                </c:pt>
                <c:pt idx="162">
                  <c:v>708.04</c:v>
                </c:pt>
                <c:pt idx="163">
                  <c:v>1027.58</c:v>
                </c:pt>
                <c:pt idx="164">
                  <c:v>2254.11333333333</c:v>
                </c:pt>
                <c:pt idx="165">
                  <c:v>1810.9475</c:v>
                </c:pt>
                <c:pt idx="166">
                  <c:v>626.21571428571394</c:v>
                </c:pt>
                <c:pt idx="167">
                  <c:v>1342.8040000000001</c:v>
                </c:pt>
                <c:pt idx="168">
                  <c:v>1216.538</c:v>
                </c:pt>
                <c:pt idx="169">
                  <c:v>1090.2719999999999</c:v>
                </c:pt>
                <c:pt idx="170">
                  <c:v>1452.4649999999999</c:v>
                </c:pt>
                <c:pt idx="171">
                  <c:v>1041.1949999999999</c:v>
                </c:pt>
                <c:pt idx="172">
                  <c:v>2369.15</c:v>
                </c:pt>
                <c:pt idx="173">
                  <c:v>1171.25</c:v>
                </c:pt>
                <c:pt idx="174">
                  <c:v>1959.155</c:v>
                </c:pt>
                <c:pt idx="175">
                  <c:v>1773.9466666666699</c:v>
                </c:pt>
                <c:pt idx="176">
                  <c:v>703.65499999999997</c:v>
                </c:pt>
                <c:pt idx="177">
                  <c:v>567.09199999999998</c:v>
                </c:pt>
                <c:pt idx="178">
                  <c:v>630.74266666666699</c:v>
                </c:pt>
                <c:pt idx="179">
                  <c:v>694.39333333333298</c:v>
                </c:pt>
                <c:pt idx="180">
                  <c:v>1025.00966666667</c:v>
                </c:pt>
                <c:pt idx="181">
                  <c:v>1355.626</c:v>
                </c:pt>
                <c:pt idx="182">
                  <c:v>1377.0775000000001</c:v>
                </c:pt>
                <c:pt idx="183">
                  <c:v>2367.2249999999999</c:v>
                </c:pt>
                <c:pt idx="184">
                  <c:v>1042.2225000000001</c:v>
                </c:pt>
                <c:pt idx="185">
                  <c:v>1276.28</c:v>
                </c:pt>
                <c:pt idx="186">
                  <c:v>2275.44</c:v>
                </c:pt>
                <c:pt idx="187">
                  <c:v>568.62</c:v>
                </c:pt>
                <c:pt idx="188">
                  <c:v>1040.94</c:v>
                </c:pt>
                <c:pt idx="189">
                  <c:v>730.34</c:v>
                </c:pt>
                <c:pt idx="190">
                  <c:v>1828.17</c:v>
                </c:pt>
                <c:pt idx="191">
                  <c:v>2926</c:v>
                </c:pt>
                <c:pt idx="192">
                  <c:v>544.03750000000002</c:v>
                </c:pt>
                <c:pt idx="193">
                  <c:v>2306.645</c:v>
                </c:pt>
                <c:pt idx="194">
                  <c:v>2583.6849999999999</c:v>
                </c:pt>
                <c:pt idx="195">
                  <c:v>810.66499999999996</c:v>
                </c:pt>
                <c:pt idx="196">
                  <c:v>2500.1</c:v>
                </c:pt>
                <c:pt idx="197">
                  <c:v>2243.56</c:v>
                </c:pt>
                <c:pt idx="198">
                  <c:v>1987.02</c:v>
                </c:pt>
                <c:pt idx="199">
                  <c:v>2365</c:v>
                </c:pt>
                <c:pt idx="200">
                  <c:v>894.83333333333303</c:v>
                </c:pt>
                <c:pt idx="201">
                  <c:v>1962.87</c:v>
                </c:pt>
                <c:pt idx="202">
                  <c:v>478.17500000000001</c:v>
                </c:pt>
                <c:pt idx="203">
                  <c:v>372.22</c:v>
                </c:pt>
                <c:pt idx="204">
                  <c:v>457.308333333333</c:v>
                </c:pt>
                <c:pt idx="205">
                  <c:v>542.39666666666699</c:v>
                </c:pt>
                <c:pt idx="206">
                  <c:v>764.15833333333296</c:v>
                </c:pt>
                <c:pt idx="207">
                  <c:v>985.92</c:v>
                </c:pt>
                <c:pt idx="208">
                  <c:v>1357.5</c:v>
                </c:pt>
                <c:pt idx="209">
                  <c:v>73.84</c:v>
                </c:pt>
                <c:pt idx="210">
                  <c:v>1320.52</c:v>
                </c:pt>
                <c:pt idx="211">
                  <c:v>190.48500000000001</c:v>
                </c:pt>
                <c:pt idx="212">
                  <c:v>1409.88</c:v>
                </c:pt>
                <c:pt idx="213">
                  <c:v>1625.0250000000001</c:v>
                </c:pt>
                <c:pt idx="214">
                  <c:v>1344.31666666667</c:v>
                </c:pt>
                <c:pt idx="215">
                  <c:v>789.61</c:v>
                </c:pt>
                <c:pt idx="216">
                  <c:v>1085.07</c:v>
                </c:pt>
                <c:pt idx="217">
                  <c:v>339.6</c:v>
                </c:pt>
                <c:pt idx="218">
                  <c:v>1438.84</c:v>
                </c:pt>
                <c:pt idx="219">
                  <c:v>886.58333333333303</c:v>
                </c:pt>
                <c:pt idx="220">
                  <c:v>1594.26</c:v>
                </c:pt>
                <c:pt idx="221">
                  <c:v>973.52499999999998</c:v>
                </c:pt>
                <c:pt idx="222">
                  <c:v>1245.9466666666699</c:v>
                </c:pt>
                <c:pt idx="223">
                  <c:v>2285.0133333333301</c:v>
                </c:pt>
                <c:pt idx="224">
                  <c:v>3324.08</c:v>
                </c:pt>
                <c:pt idx="225">
                  <c:v>1076.43</c:v>
                </c:pt>
                <c:pt idx="226">
                  <c:v>569.33000000000004</c:v>
                </c:pt>
                <c:pt idx="227">
                  <c:v>62.23</c:v>
                </c:pt>
                <c:pt idx="228">
                  <c:v>1135.8333333333301</c:v>
                </c:pt>
                <c:pt idx="229">
                  <c:v>654.35666666666702</c:v>
                </c:pt>
                <c:pt idx="230">
                  <c:v>172.88</c:v>
                </c:pt>
                <c:pt idx="231">
                  <c:v>894.9</c:v>
                </c:pt>
                <c:pt idx="232">
                  <c:v>983.53666666666697</c:v>
                </c:pt>
                <c:pt idx="233">
                  <c:v>1254.4837500000001</c:v>
                </c:pt>
                <c:pt idx="234">
                  <c:v>1899.2987499999999</c:v>
                </c:pt>
                <c:pt idx="235">
                  <c:v>2200.5450000000001</c:v>
                </c:pt>
                <c:pt idx="236">
                  <c:v>386.68</c:v>
                </c:pt>
                <c:pt idx="237">
                  <c:v>183.3</c:v>
                </c:pt>
                <c:pt idx="238">
                  <c:v>744.48500000000001</c:v>
                </c:pt>
                <c:pt idx="239">
                  <c:v>2817.76</c:v>
                </c:pt>
                <c:pt idx="240">
                  <c:v>859.42666666666696</c:v>
                </c:pt>
                <c:pt idx="241">
                  <c:v>1633.502</c:v>
                </c:pt>
                <c:pt idx="242">
                  <c:v>1299.44</c:v>
                </c:pt>
                <c:pt idx="243">
                  <c:v>1506.16333333333</c:v>
                </c:pt>
                <c:pt idx="244">
                  <c:v>57.81</c:v>
                </c:pt>
                <c:pt idx="245">
                  <c:v>738.58</c:v>
                </c:pt>
                <c:pt idx="246">
                  <c:v>1761.9324999999999</c:v>
                </c:pt>
                <c:pt idx="247">
                  <c:v>1066.1099999999999</c:v>
                </c:pt>
                <c:pt idx="248">
                  <c:v>358.66500000000002</c:v>
                </c:pt>
                <c:pt idx="249">
                  <c:v>1525.192</c:v>
                </c:pt>
                <c:pt idx="250">
                  <c:v>1309.71133333333</c:v>
                </c:pt>
                <c:pt idx="251">
                  <c:v>1094.23066666667</c:v>
                </c:pt>
                <c:pt idx="252">
                  <c:v>878.75</c:v>
                </c:pt>
                <c:pt idx="253">
                  <c:v>808.72166666666703</c:v>
                </c:pt>
                <c:pt idx="254">
                  <c:v>1553.91</c:v>
                </c:pt>
                <c:pt idx="255">
                  <c:v>758.07</c:v>
                </c:pt>
                <c:pt idx="256">
                  <c:v>628.95000000000005</c:v>
                </c:pt>
                <c:pt idx="257">
                  <c:v>881.31</c:v>
                </c:pt>
                <c:pt idx="258">
                  <c:v>26.07</c:v>
                </c:pt>
                <c:pt idx="259">
                  <c:v>2197.9816666666702</c:v>
                </c:pt>
                <c:pt idx="260">
                  <c:v>1268.52</c:v>
                </c:pt>
                <c:pt idx="261">
                  <c:v>1153.6949999999999</c:v>
                </c:pt>
                <c:pt idx="262">
                  <c:v>1370.89</c:v>
                </c:pt>
                <c:pt idx="263">
                  <c:v>996.81624999999997</c:v>
                </c:pt>
                <c:pt idx="264">
                  <c:v>622.74249999999995</c:v>
                </c:pt>
                <c:pt idx="265">
                  <c:v>1099.3583333333299</c:v>
                </c:pt>
                <c:pt idx="266">
                  <c:v>827.256666666667</c:v>
                </c:pt>
                <c:pt idx="267">
                  <c:v>1147.3816666666701</c:v>
                </c:pt>
                <c:pt idx="268">
                  <c:v>2052.6866666666701</c:v>
                </c:pt>
                <c:pt idx="269">
                  <c:v>1756.2233333333299</c:v>
                </c:pt>
                <c:pt idx="270">
                  <c:v>1316.54</c:v>
                </c:pt>
                <c:pt idx="271">
                  <c:v>2390.4</c:v>
                </c:pt>
                <c:pt idx="272">
                  <c:v>640.29999999999995</c:v>
                </c:pt>
                <c:pt idx="273">
                  <c:v>822.16333333333296</c:v>
                </c:pt>
                <c:pt idx="274">
                  <c:v>2458.4</c:v>
                </c:pt>
                <c:pt idx="275">
                  <c:v>1554.42</c:v>
                </c:pt>
                <c:pt idx="276">
                  <c:v>1661.9775</c:v>
                </c:pt>
                <c:pt idx="277">
                  <c:v>440.1</c:v>
                </c:pt>
                <c:pt idx="278">
                  <c:v>1158.75</c:v>
                </c:pt>
                <c:pt idx="279">
                  <c:v>771.81</c:v>
                </c:pt>
                <c:pt idx="280">
                  <c:v>1906.4466666666699</c:v>
                </c:pt>
                <c:pt idx="281">
                  <c:v>1085.58</c:v>
                </c:pt>
                <c:pt idx="282">
                  <c:v>1377.8019999999999</c:v>
                </c:pt>
                <c:pt idx="283">
                  <c:v>989.93499999999995</c:v>
                </c:pt>
                <c:pt idx="284">
                  <c:v>1430.0619999999999</c:v>
                </c:pt>
                <c:pt idx="285">
                  <c:v>128.66999999999999</c:v>
                </c:pt>
                <c:pt idx="286">
                  <c:v>785.68499999999995</c:v>
                </c:pt>
                <c:pt idx="287">
                  <c:v>2752.1350000000002</c:v>
                </c:pt>
                <c:pt idx="288">
                  <c:v>740.87333333333299</c:v>
                </c:pt>
                <c:pt idx="289">
                  <c:v>1313.86666666667</c:v>
                </c:pt>
                <c:pt idx="290">
                  <c:v>1197.73</c:v>
                </c:pt>
                <c:pt idx="291">
                  <c:v>206.41499999999999</c:v>
                </c:pt>
                <c:pt idx="292">
                  <c:v>86.02</c:v>
                </c:pt>
                <c:pt idx="293">
                  <c:v>1292.2349999999999</c:v>
                </c:pt>
                <c:pt idx="294">
                  <c:v>1310.95</c:v>
                </c:pt>
                <c:pt idx="295">
                  <c:v>2606.2233333333302</c:v>
                </c:pt>
                <c:pt idx="296">
                  <c:v>445.245</c:v>
                </c:pt>
                <c:pt idx="297">
                  <c:v>2841.56</c:v>
                </c:pt>
                <c:pt idx="298">
                  <c:v>845.48</c:v>
                </c:pt>
                <c:pt idx="299">
                  <c:v>1137.46</c:v>
                </c:pt>
                <c:pt idx="300">
                  <c:v>1381.73</c:v>
                </c:pt>
                <c:pt idx="301">
                  <c:v>546.39</c:v>
                </c:pt>
                <c:pt idx="302">
                  <c:v>724.47</c:v>
                </c:pt>
                <c:pt idx="303">
                  <c:v>1114.04</c:v>
                </c:pt>
                <c:pt idx="304">
                  <c:v>738.52</c:v>
                </c:pt>
                <c:pt idx="305">
                  <c:v>1133.538</c:v>
                </c:pt>
                <c:pt idx="306">
                  <c:v>2654.58</c:v>
                </c:pt>
                <c:pt idx="307">
                  <c:v>1055.38857142857</c:v>
                </c:pt>
                <c:pt idx="308">
                  <c:v>254.72</c:v>
                </c:pt>
                <c:pt idx="309">
                  <c:v>1040.9449999999999</c:v>
                </c:pt>
                <c:pt idx="310">
                  <c:v>973.21666666666704</c:v>
                </c:pt>
                <c:pt idx="311">
                  <c:v>1231.75</c:v>
                </c:pt>
                <c:pt idx="312">
                  <c:v>1073.91333333333</c:v>
                </c:pt>
                <c:pt idx="313">
                  <c:v>1665.23</c:v>
                </c:pt>
                <c:pt idx="314">
                  <c:v>1269.0933333333301</c:v>
                </c:pt>
                <c:pt idx="315">
                  <c:v>1986.72</c:v>
                </c:pt>
                <c:pt idx="316">
                  <c:v>456.48</c:v>
                </c:pt>
                <c:pt idx="317">
                  <c:v>1627.0250000000001</c:v>
                </c:pt>
                <c:pt idx="318">
                  <c:v>1569.6075000000001</c:v>
                </c:pt>
                <c:pt idx="319">
                  <c:v>1749.1033333333301</c:v>
                </c:pt>
                <c:pt idx="320">
                  <c:v>1120.9175</c:v>
                </c:pt>
                <c:pt idx="321">
                  <c:v>857.15200000000004</c:v>
                </c:pt>
                <c:pt idx="322">
                  <c:v>652.74</c:v>
                </c:pt>
                <c:pt idx="323">
                  <c:v>2968.2</c:v>
                </c:pt>
                <c:pt idx="324">
                  <c:v>234.5</c:v>
                </c:pt>
                <c:pt idx="325">
                  <c:v>820.28</c:v>
                </c:pt>
                <c:pt idx="326">
                  <c:v>828.26250000000005</c:v>
                </c:pt>
                <c:pt idx="327">
                  <c:v>694.28125</c:v>
                </c:pt>
                <c:pt idx="328">
                  <c:v>560.29999999999995</c:v>
                </c:pt>
                <c:pt idx="329">
                  <c:v>1894.15333333333</c:v>
                </c:pt>
                <c:pt idx="330">
                  <c:v>1730.11333333333</c:v>
                </c:pt>
                <c:pt idx="331">
                  <c:v>1420.675</c:v>
                </c:pt>
                <c:pt idx="332">
                  <c:v>1762.876</c:v>
                </c:pt>
                <c:pt idx="333">
                  <c:v>1024.85666666667</c:v>
                </c:pt>
                <c:pt idx="334">
                  <c:v>2831.2933333333299</c:v>
                </c:pt>
                <c:pt idx="335">
                  <c:v>1396.075</c:v>
                </c:pt>
                <c:pt idx="336">
                  <c:v>1249.386</c:v>
                </c:pt>
                <c:pt idx="337">
                  <c:v>1021.128</c:v>
                </c:pt>
                <c:pt idx="338">
                  <c:v>792.87</c:v>
                </c:pt>
                <c:pt idx="339">
                  <c:v>1917.1783333333301</c:v>
                </c:pt>
                <c:pt idx="340">
                  <c:v>622.84</c:v>
                </c:pt>
                <c:pt idx="341">
                  <c:v>970.09249999999997</c:v>
                </c:pt>
                <c:pt idx="342">
                  <c:v>1527.17486329494</c:v>
                </c:pt>
                <c:pt idx="343">
                  <c:v>1133.3699999999999</c:v>
                </c:pt>
                <c:pt idx="344">
                  <c:v>2131.3000000000002</c:v>
                </c:pt>
                <c:pt idx="345">
                  <c:v>1413.71333333333</c:v>
                </c:pt>
                <c:pt idx="346">
                  <c:v>886.3</c:v>
                </c:pt>
                <c:pt idx="347">
                  <c:v>1252.3225</c:v>
                </c:pt>
                <c:pt idx="348">
                  <c:v>583.30499999999995</c:v>
                </c:pt>
                <c:pt idx="349">
                  <c:v>1771.16</c:v>
                </c:pt>
                <c:pt idx="350">
                  <c:v>988.5</c:v>
                </c:pt>
                <c:pt idx="351">
                  <c:v>1316.5166666666701</c:v>
                </c:pt>
                <c:pt idx="352">
                  <c:v>1897.075</c:v>
                </c:pt>
                <c:pt idx="353">
                  <c:v>3329.58</c:v>
                </c:pt>
                <c:pt idx="354">
                  <c:v>1536.43</c:v>
                </c:pt>
                <c:pt idx="355">
                  <c:v>820.65</c:v>
                </c:pt>
                <c:pt idx="356">
                  <c:v>1430.9683333333301</c:v>
                </c:pt>
                <c:pt idx="357">
                  <c:v>418.63</c:v>
                </c:pt>
                <c:pt idx="358">
                  <c:v>1249.45</c:v>
                </c:pt>
                <c:pt idx="359">
                  <c:v>1221.8699999999999</c:v>
                </c:pt>
                <c:pt idx="360">
                  <c:v>1535.825</c:v>
                </c:pt>
                <c:pt idx="361">
                  <c:v>1905.12</c:v>
                </c:pt>
                <c:pt idx="362">
                  <c:v>1348.002</c:v>
                </c:pt>
                <c:pt idx="363">
                  <c:v>2711.3933333333298</c:v>
                </c:pt>
                <c:pt idx="364">
                  <c:v>690.70249999999999</c:v>
                </c:pt>
                <c:pt idx="365">
                  <c:v>1258.84666666667</c:v>
                </c:pt>
                <c:pt idx="366">
                  <c:v>1755.5983333333299</c:v>
                </c:pt>
                <c:pt idx="367">
                  <c:v>1031.9766666666701</c:v>
                </c:pt>
                <c:pt idx="368">
                  <c:v>328.55500000000001</c:v>
                </c:pt>
                <c:pt idx="369">
                  <c:v>465.38</c:v>
                </c:pt>
                <c:pt idx="370">
                  <c:v>1513.645</c:v>
                </c:pt>
                <c:pt idx="371">
                  <c:v>1813.44</c:v>
                </c:pt>
                <c:pt idx="372">
                  <c:v>1324.83666666667</c:v>
                </c:pt>
                <c:pt idx="373">
                  <c:v>836.23333333333301</c:v>
                </c:pt>
                <c:pt idx="374">
                  <c:v>2255.6866666666701</c:v>
                </c:pt>
                <c:pt idx="375">
                  <c:v>435.38</c:v>
                </c:pt>
                <c:pt idx="376">
                  <c:v>703.54</c:v>
                </c:pt>
                <c:pt idx="377">
                  <c:v>2216.7533333333299</c:v>
                </c:pt>
                <c:pt idx="378">
                  <c:v>935.8</c:v>
                </c:pt>
                <c:pt idx="379">
                  <c:v>842.59</c:v>
                </c:pt>
                <c:pt idx="380">
                  <c:v>1089.79666666667</c:v>
                </c:pt>
                <c:pt idx="381">
                  <c:v>1084.2774999999999</c:v>
                </c:pt>
                <c:pt idx="382">
                  <c:v>2762.16</c:v>
                </c:pt>
                <c:pt idx="383">
                  <c:v>1359.5533333333301</c:v>
                </c:pt>
                <c:pt idx="384">
                  <c:v>1255</c:v>
                </c:pt>
                <c:pt idx="385">
                  <c:v>1971.2349999999999</c:v>
                </c:pt>
                <c:pt idx="386">
                  <c:v>1281.7925</c:v>
                </c:pt>
                <c:pt idx="387">
                  <c:v>592.35</c:v>
                </c:pt>
                <c:pt idx="388">
                  <c:v>1025.24</c:v>
                </c:pt>
                <c:pt idx="389">
                  <c:v>1767.2574999999999</c:v>
                </c:pt>
                <c:pt idx="390">
                  <c:v>1230.46</c:v>
                </c:pt>
                <c:pt idx="391">
                  <c:v>804.80499999999995</c:v>
                </c:pt>
                <c:pt idx="392">
                  <c:v>379.15</c:v>
                </c:pt>
                <c:pt idx="393">
                  <c:v>1678.8475000000001</c:v>
                </c:pt>
                <c:pt idx="394">
                  <c:v>1436.6683333333301</c:v>
                </c:pt>
                <c:pt idx="395">
                  <c:v>1738.7974999999999</c:v>
                </c:pt>
                <c:pt idx="396">
                  <c:v>1751.2</c:v>
                </c:pt>
                <c:pt idx="397">
                  <c:v>2037.62</c:v>
                </c:pt>
                <c:pt idx="398">
                  <c:v>1177.42</c:v>
                </c:pt>
                <c:pt idx="399">
                  <c:v>1953.46</c:v>
                </c:pt>
                <c:pt idx="400">
                  <c:v>2039.425</c:v>
                </c:pt>
                <c:pt idx="401">
                  <c:v>1518.2650000000001</c:v>
                </c:pt>
                <c:pt idx="402">
                  <c:v>1917.96</c:v>
                </c:pt>
                <c:pt idx="403">
                  <c:v>254.845</c:v>
                </c:pt>
                <c:pt idx="404">
                  <c:v>882.38250000000005</c:v>
                </c:pt>
                <c:pt idx="405">
                  <c:v>1805.0550000000001</c:v>
                </c:pt>
                <c:pt idx="406">
                  <c:v>2245.268</c:v>
                </c:pt>
                <c:pt idx="407">
                  <c:v>1417.7166666666701</c:v>
                </c:pt>
                <c:pt idx="408">
                  <c:v>1638.4649999999999</c:v>
                </c:pt>
                <c:pt idx="409">
                  <c:v>1485.16</c:v>
                </c:pt>
                <c:pt idx="410">
                  <c:v>1679.05</c:v>
                </c:pt>
                <c:pt idx="411">
                  <c:v>1554.9833333333299</c:v>
                </c:pt>
                <c:pt idx="412">
                  <c:v>1653.35</c:v>
                </c:pt>
                <c:pt idx="413">
                  <c:v>1959.5833333333301</c:v>
                </c:pt>
                <c:pt idx="414">
                  <c:v>870.96</c:v>
                </c:pt>
                <c:pt idx="415">
                  <c:v>1168.75</c:v>
                </c:pt>
                <c:pt idx="416">
                  <c:v>878.72</c:v>
                </c:pt>
                <c:pt idx="417">
                  <c:v>3691.96</c:v>
                </c:pt>
                <c:pt idx="418">
                  <c:v>784.32</c:v>
                </c:pt>
                <c:pt idx="419">
                  <c:v>1910.74</c:v>
                </c:pt>
                <c:pt idx="420">
                  <c:v>2182.5720000000001</c:v>
                </c:pt>
                <c:pt idx="421">
                  <c:v>1990.8109999999999</c:v>
                </c:pt>
                <c:pt idx="422">
                  <c:v>1799.05</c:v>
                </c:pt>
                <c:pt idx="423">
                  <c:v>1742.6</c:v>
                </c:pt>
                <c:pt idx="424">
                  <c:v>1234.45</c:v>
                </c:pt>
                <c:pt idx="425">
                  <c:v>991.37</c:v>
                </c:pt>
                <c:pt idx="426">
                  <c:v>1095.836</c:v>
                </c:pt>
                <c:pt idx="427">
                  <c:v>106.55500000000001</c:v>
                </c:pt>
                <c:pt idx="428">
                  <c:v>1193.7049999999999</c:v>
                </c:pt>
                <c:pt idx="429">
                  <c:v>372.95</c:v>
                </c:pt>
                <c:pt idx="430">
                  <c:v>721.15083333333303</c:v>
                </c:pt>
                <c:pt idx="431">
                  <c:v>1069.3516666666701</c:v>
                </c:pt>
                <c:pt idx="432">
                  <c:v>1818.7</c:v>
                </c:pt>
                <c:pt idx="433">
                  <c:v>1763.865</c:v>
                </c:pt>
                <c:pt idx="434">
                  <c:v>438.32</c:v>
                </c:pt>
                <c:pt idx="435">
                  <c:v>1417.71</c:v>
                </c:pt>
                <c:pt idx="436">
                  <c:v>1489.97</c:v>
                </c:pt>
                <c:pt idx="437">
                  <c:v>1098.29</c:v>
                </c:pt>
                <c:pt idx="438">
                  <c:v>911.97</c:v>
                </c:pt>
                <c:pt idx="439">
                  <c:v>1753.07666666667</c:v>
                </c:pt>
                <c:pt idx="440">
                  <c:v>664.27599999999995</c:v>
                </c:pt>
                <c:pt idx="441">
                  <c:v>1482.12</c:v>
                </c:pt>
                <c:pt idx="442">
                  <c:v>104.88</c:v>
                </c:pt>
                <c:pt idx="443">
                  <c:v>1101.0360000000001</c:v>
                </c:pt>
                <c:pt idx="444">
                  <c:v>540.78</c:v>
                </c:pt>
                <c:pt idx="445">
                  <c:v>2234.6799999999998</c:v>
                </c:pt>
                <c:pt idx="446">
                  <c:v>1042.22</c:v>
                </c:pt>
                <c:pt idx="447">
                  <c:v>1428.48</c:v>
                </c:pt>
                <c:pt idx="448">
                  <c:v>1118.7449999999999</c:v>
                </c:pt>
                <c:pt idx="449">
                  <c:v>2336.9699999999998</c:v>
                </c:pt>
                <c:pt idx="450">
                  <c:v>855.15</c:v>
                </c:pt>
                <c:pt idx="451">
                  <c:v>1096.5940000000001</c:v>
                </c:pt>
                <c:pt idx="452">
                  <c:v>510.86</c:v>
                </c:pt>
                <c:pt idx="453">
                  <c:v>1718.2266666666701</c:v>
                </c:pt>
                <c:pt idx="454">
                  <c:v>2251.2975000000001</c:v>
                </c:pt>
                <c:pt idx="455">
                  <c:v>2650.38</c:v>
                </c:pt>
                <c:pt idx="456">
                  <c:v>880</c:v>
                </c:pt>
                <c:pt idx="457">
                  <c:v>1789.76</c:v>
                </c:pt>
                <c:pt idx="458">
                  <c:v>1658.605</c:v>
                </c:pt>
                <c:pt idx="459">
                  <c:v>894.97666666666703</c:v>
                </c:pt>
                <c:pt idx="460">
                  <c:v>2675.6833333333302</c:v>
                </c:pt>
                <c:pt idx="461">
                  <c:v>1057.145</c:v>
                </c:pt>
                <c:pt idx="462">
                  <c:v>1838.84</c:v>
                </c:pt>
                <c:pt idx="463">
                  <c:v>1269.05</c:v>
                </c:pt>
                <c:pt idx="464">
                  <c:v>1132.556</c:v>
                </c:pt>
                <c:pt idx="465">
                  <c:v>935.75</c:v>
                </c:pt>
                <c:pt idx="466">
                  <c:v>1248.5419999999999</c:v>
                </c:pt>
                <c:pt idx="467">
                  <c:v>812.80600000000004</c:v>
                </c:pt>
                <c:pt idx="468">
                  <c:v>377.07</c:v>
                </c:pt>
                <c:pt idx="469">
                  <c:v>2459.3200000000002</c:v>
                </c:pt>
                <c:pt idx="470">
                  <c:v>1607.88</c:v>
                </c:pt>
                <c:pt idx="471">
                  <c:v>2536.65</c:v>
                </c:pt>
                <c:pt idx="472">
                  <c:v>1569.84</c:v>
                </c:pt>
                <c:pt idx="473">
                  <c:v>1169.4066666666699</c:v>
                </c:pt>
                <c:pt idx="474">
                  <c:v>1881.2974999999999</c:v>
                </c:pt>
                <c:pt idx="475">
                  <c:v>1126.5025000000001</c:v>
                </c:pt>
                <c:pt idx="476">
                  <c:v>739.37249999999995</c:v>
                </c:pt>
                <c:pt idx="477">
                  <c:v>935.86</c:v>
                </c:pt>
                <c:pt idx="478">
                  <c:v>1216.4475</c:v>
                </c:pt>
                <c:pt idx="479">
                  <c:v>860.77</c:v>
                </c:pt>
                <c:pt idx="480">
                  <c:v>966.72</c:v>
                </c:pt>
                <c:pt idx="481">
                  <c:v>607.52</c:v>
                </c:pt>
                <c:pt idx="482">
                  <c:v>1257.9359999999999</c:v>
                </c:pt>
                <c:pt idx="483">
                  <c:v>38.67</c:v>
                </c:pt>
                <c:pt idx="484">
                  <c:v>845.73500000000001</c:v>
                </c:pt>
                <c:pt idx="485">
                  <c:v>2112.3200000000002</c:v>
                </c:pt>
                <c:pt idx="486">
                  <c:v>636.70000000000005</c:v>
                </c:pt>
                <c:pt idx="487">
                  <c:v>1036.7366666666701</c:v>
                </c:pt>
                <c:pt idx="488">
                  <c:v>1472.65</c:v>
                </c:pt>
                <c:pt idx="489">
                  <c:v>1273.3579999999999</c:v>
                </c:pt>
                <c:pt idx="490">
                  <c:v>1235.4956666666701</c:v>
                </c:pt>
                <c:pt idx="491">
                  <c:v>1197.63333333333</c:v>
                </c:pt>
                <c:pt idx="492">
                  <c:v>1383.41</c:v>
                </c:pt>
                <c:pt idx="493">
                  <c:v>808.16</c:v>
                </c:pt>
                <c:pt idx="494">
                  <c:v>1070.51</c:v>
                </c:pt>
                <c:pt idx="495">
                  <c:v>1332.86</c:v>
                </c:pt>
                <c:pt idx="496">
                  <c:v>885.368333333333</c:v>
                </c:pt>
                <c:pt idx="497">
                  <c:v>1285.3165935233101</c:v>
                </c:pt>
                <c:pt idx="498">
                  <c:v>1559.9749999999999</c:v>
                </c:pt>
                <c:pt idx="499">
                  <c:v>669.33</c:v>
                </c:pt>
                <c:pt idx="500">
                  <c:v>1264.79</c:v>
                </c:pt>
                <c:pt idx="501">
                  <c:v>1046.52</c:v>
                </c:pt>
                <c:pt idx="502">
                  <c:v>1558.9749999999999</c:v>
                </c:pt>
                <c:pt idx="503">
                  <c:v>1152.335</c:v>
                </c:pt>
                <c:pt idx="504">
                  <c:v>941.08666666666704</c:v>
                </c:pt>
                <c:pt idx="505">
                  <c:v>1378.8679999999999</c:v>
                </c:pt>
                <c:pt idx="506">
                  <c:v>34.47</c:v>
                </c:pt>
                <c:pt idx="507">
                  <c:v>2086.9250000000002</c:v>
                </c:pt>
                <c:pt idx="508">
                  <c:v>1283.4939999999999</c:v>
                </c:pt>
                <c:pt idx="509">
                  <c:v>1988.28666666667</c:v>
                </c:pt>
                <c:pt idx="510">
                  <c:v>372.29</c:v>
                </c:pt>
                <c:pt idx="511">
                  <c:v>1327.36</c:v>
                </c:pt>
                <c:pt idx="512">
                  <c:v>1412.095</c:v>
                </c:pt>
                <c:pt idx="513">
                  <c:v>2161.8000000000002</c:v>
                </c:pt>
                <c:pt idx="514">
                  <c:v>873.73500000000001</c:v>
                </c:pt>
                <c:pt idx="515">
                  <c:v>1237.68</c:v>
                </c:pt>
                <c:pt idx="516">
                  <c:v>1081.5925</c:v>
                </c:pt>
                <c:pt idx="517">
                  <c:v>755.76666666666699</c:v>
                </c:pt>
                <c:pt idx="518">
                  <c:v>407.61</c:v>
                </c:pt>
                <c:pt idx="519">
                  <c:v>856.52499999999998</c:v>
                </c:pt>
                <c:pt idx="520">
                  <c:v>1305.44</c:v>
                </c:pt>
                <c:pt idx="521">
                  <c:v>1185.0033333333299</c:v>
                </c:pt>
                <c:pt idx="522">
                  <c:v>1124.92</c:v>
                </c:pt>
                <c:pt idx="523">
                  <c:v>1318.69</c:v>
                </c:pt>
                <c:pt idx="524">
                  <c:v>2032.23</c:v>
                </c:pt>
                <c:pt idx="525">
                  <c:v>2040.2633333333299</c:v>
                </c:pt>
                <c:pt idx="526">
                  <c:v>1839.9733333333299</c:v>
                </c:pt>
                <c:pt idx="527">
                  <c:v>903.54666666666697</c:v>
                </c:pt>
                <c:pt idx="528">
                  <c:v>912.22500000000002</c:v>
                </c:pt>
                <c:pt idx="529">
                  <c:v>2654.40571428571</c:v>
                </c:pt>
                <c:pt idx="530">
                  <c:v>1556.2645238095199</c:v>
                </c:pt>
                <c:pt idx="531">
                  <c:v>458.12333333333299</c:v>
                </c:pt>
                <c:pt idx="532">
                  <c:v>2048.2759999999998</c:v>
                </c:pt>
                <c:pt idx="533">
                  <c:v>1354.335</c:v>
                </c:pt>
                <c:pt idx="534">
                  <c:v>664.79</c:v>
                </c:pt>
                <c:pt idx="535">
                  <c:v>707.96</c:v>
                </c:pt>
                <c:pt idx="536">
                  <c:v>698.61666666666702</c:v>
                </c:pt>
                <c:pt idx="537">
                  <c:v>940.14</c:v>
                </c:pt>
                <c:pt idx="538">
                  <c:v>2547.9899999999998</c:v>
                </c:pt>
                <c:pt idx="539">
                  <c:v>1955.5875000000001</c:v>
                </c:pt>
                <c:pt idx="540">
                  <c:v>2534.2366666666699</c:v>
                </c:pt>
                <c:pt idx="541">
                  <c:v>880.21666666666704</c:v>
                </c:pt>
                <c:pt idx="542">
                  <c:v>2357.7874999999999</c:v>
                </c:pt>
                <c:pt idx="543">
                  <c:v>892.12599999999998</c:v>
                </c:pt>
                <c:pt idx="544">
                  <c:v>936.68499999999995</c:v>
                </c:pt>
                <c:pt idx="545">
                  <c:v>2374.3333333333298</c:v>
                </c:pt>
                <c:pt idx="546">
                  <c:v>224.16</c:v>
                </c:pt>
                <c:pt idx="547">
                  <c:v>1220.9775</c:v>
                </c:pt>
                <c:pt idx="548">
                  <c:v>1348.73</c:v>
                </c:pt>
                <c:pt idx="549">
                  <c:v>1895.59</c:v>
                </c:pt>
                <c:pt idx="550">
                  <c:v>1211.7375</c:v>
                </c:pt>
                <c:pt idx="551">
                  <c:v>935.72333333333302</c:v>
                </c:pt>
                <c:pt idx="552">
                  <c:v>351.90333333333302</c:v>
                </c:pt>
                <c:pt idx="553">
                  <c:v>85.58</c:v>
                </c:pt>
                <c:pt idx="554">
                  <c:v>649.19000000000005</c:v>
                </c:pt>
                <c:pt idx="555">
                  <c:v>1497.21</c:v>
                </c:pt>
                <c:pt idx="556">
                  <c:v>2042.9933333333299</c:v>
                </c:pt>
                <c:pt idx="557">
                  <c:v>3309.9166666666702</c:v>
                </c:pt>
                <c:pt idx="558">
                  <c:v>1248.915</c:v>
                </c:pt>
                <c:pt idx="559">
                  <c:v>1287.2919999999999</c:v>
                </c:pt>
                <c:pt idx="560">
                  <c:v>1421.796</c:v>
                </c:pt>
                <c:pt idx="561">
                  <c:v>838.68666666666695</c:v>
                </c:pt>
                <c:pt idx="562">
                  <c:v>2538.355</c:v>
                </c:pt>
                <c:pt idx="563">
                  <c:v>2374.4</c:v>
                </c:pt>
                <c:pt idx="564">
                  <c:v>496.755</c:v>
                </c:pt>
                <c:pt idx="565">
                  <c:v>1470.355</c:v>
                </c:pt>
                <c:pt idx="566">
                  <c:v>578.1</c:v>
                </c:pt>
                <c:pt idx="567">
                  <c:v>1838.4175</c:v>
                </c:pt>
                <c:pt idx="568">
                  <c:v>1136.3875</c:v>
                </c:pt>
                <c:pt idx="569">
                  <c:v>1195.7725</c:v>
                </c:pt>
                <c:pt idx="570">
                  <c:v>1255.1575</c:v>
                </c:pt>
                <c:pt idx="571">
                  <c:v>142.68</c:v>
                </c:pt>
                <c:pt idx="572">
                  <c:v>1028.6966666666699</c:v>
                </c:pt>
                <c:pt idx="573">
                  <c:v>383.68</c:v>
                </c:pt>
                <c:pt idx="574">
                  <c:v>460.51</c:v>
                </c:pt>
                <c:pt idx="575">
                  <c:v>1853.64</c:v>
                </c:pt>
                <c:pt idx="576">
                  <c:v>1459.4</c:v>
                </c:pt>
                <c:pt idx="577">
                  <c:v>223.89</c:v>
                </c:pt>
                <c:pt idx="578">
                  <c:v>242.68</c:v>
                </c:pt>
                <c:pt idx="579">
                  <c:v>1206.7449999999999</c:v>
                </c:pt>
                <c:pt idx="580">
                  <c:v>461.68</c:v>
                </c:pt>
                <c:pt idx="581">
                  <c:v>1850.37333333333</c:v>
                </c:pt>
                <c:pt idx="582">
                  <c:v>1033.0374999999999</c:v>
                </c:pt>
                <c:pt idx="583">
                  <c:v>1491.826</c:v>
                </c:pt>
                <c:pt idx="584">
                  <c:v>589.73666666666702</c:v>
                </c:pt>
                <c:pt idx="585">
                  <c:v>964.72833333333301</c:v>
                </c:pt>
                <c:pt idx="586">
                  <c:v>590.05999999999995</c:v>
                </c:pt>
                <c:pt idx="587">
                  <c:v>687.55</c:v>
                </c:pt>
                <c:pt idx="588">
                  <c:v>1277.5333333333299</c:v>
                </c:pt>
                <c:pt idx="589">
                  <c:v>1281.95966666667</c:v>
                </c:pt>
                <c:pt idx="590">
                  <c:v>1286.386</c:v>
                </c:pt>
                <c:pt idx="591">
                  <c:v>1831.9725000000001</c:v>
                </c:pt>
                <c:pt idx="592">
                  <c:v>1589.97</c:v>
                </c:pt>
                <c:pt idx="593">
                  <c:v>1047.4271428571401</c:v>
                </c:pt>
                <c:pt idx="594">
                  <c:v>889.005</c:v>
                </c:pt>
                <c:pt idx="595">
                  <c:v>854.26416666666705</c:v>
                </c:pt>
                <c:pt idx="596">
                  <c:v>819.52333333333297</c:v>
                </c:pt>
                <c:pt idx="597">
                  <c:v>499.33499999999998</c:v>
                </c:pt>
                <c:pt idx="598">
                  <c:v>1732.338</c:v>
                </c:pt>
                <c:pt idx="599">
                  <c:v>925.91</c:v>
                </c:pt>
                <c:pt idx="600">
                  <c:v>1197.95</c:v>
                </c:pt>
                <c:pt idx="601">
                  <c:v>1497.63666666667</c:v>
                </c:pt>
                <c:pt idx="602">
                  <c:v>1198.2</c:v>
                </c:pt>
                <c:pt idx="603">
                  <c:v>575.77</c:v>
                </c:pt>
                <c:pt idx="604">
                  <c:v>424.505</c:v>
                </c:pt>
                <c:pt idx="605">
                  <c:v>816.78</c:v>
                </c:pt>
                <c:pt idx="606">
                  <c:v>1215.1766666666699</c:v>
                </c:pt>
                <c:pt idx="607">
                  <c:v>1133.5899999999999</c:v>
                </c:pt>
                <c:pt idx="608">
                  <c:v>1052.0033333333299</c:v>
                </c:pt>
                <c:pt idx="609">
                  <c:v>1791.84</c:v>
                </c:pt>
                <c:pt idx="610">
                  <c:v>867.56857142857098</c:v>
                </c:pt>
                <c:pt idx="611">
                  <c:v>1722.6937499999999</c:v>
                </c:pt>
                <c:pt idx="612">
                  <c:v>189.21</c:v>
                </c:pt>
                <c:pt idx="613">
                  <c:v>1182.3</c:v>
                </c:pt>
                <c:pt idx="614">
                  <c:v>290.27999999999997</c:v>
                </c:pt>
                <c:pt idx="615">
                  <c:v>755.19749999999999</c:v>
                </c:pt>
                <c:pt idx="616">
                  <c:v>1220.115</c:v>
                </c:pt>
                <c:pt idx="617">
                  <c:v>1222.06</c:v>
                </c:pt>
                <c:pt idx="618">
                  <c:v>1693.41</c:v>
                </c:pt>
                <c:pt idx="619">
                  <c:v>618.14333333333298</c:v>
                </c:pt>
                <c:pt idx="620">
                  <c:v>570.386666666667</c:v>
                </c:pt>
                <c:pt idx="621">
                  <c:v>522.63</c:v>
                </c:pt>
                <c:pt idx="622">
                  <c:v>520.19000000000005</c:v>
                </c:pt>
                <c:pt idx="623">
                  <c:v>517.75</c:v>
                </c:pt>
                <c:pt idx="624">
                  <c:v>1725.79</c:v>
                </c:pt>
                <c:pt idx="625">
                  <c:v>542.46</c:v>
                </c:pt>
                <c:pt idx="626">
                  <c:v>727.54333333333295</c:v>
                </c:pt>
                <c:pt idx="627">
                  <c:v>2435.53666666667</c:v>
                </c:pt>
                <c:pt idx="628">
                  <c:v>2138.2849999999999</c:v>
                </c:pt>
                <c:pt idx="629">
                  <c:v>1027.98714285714</c:v>
                </c:pt>
                <c:pt idx="630">
                  <c:v>1829.8625</c:v>
                </c:pt>
                <c:pt idx="631">
                  <c:v>973.33</c:v>
                </c:pt>
                <c:pt idx="632">
                  <c:v>1592.01</c:v>
                </c:pt>
                <c:pt idx="633">
                  <c:v>260.5</c:v>
                </c:pt>
                <c:pt idx="634">
                  <c:v>443.31333333333299</c:v>
                </c:pt>
                <c:pt idx="635">
                  <c:v>789.23</c:v>
                </c:pt>
                <c:pt idx="636">
                  <c:v>725.39</c:v>
                </c:pt>
                <c:pt idx="637">
                  <c:v>1016.96333333333</c:v>
                </c:pt>
                <c:pt idx="638">
                  <c:v>1527.7633333333299</c:v>
                </c:pt>
                <c:pt idx="639">
                  <c:v>856.20166666666705</c:v>
                </c:pt>
                <c:pt idx="640">
                  <c:v>184.64</c:v>
                </c:pt>
                <c:pt idx="641">
                  <c:v>1024.3</c:v>
                </c:pt>
                <c:pt idx="642">
                  <c:v>2363.6666666666702</c:v>
                </c:pt>
                <c:pt idx="643">
                  <c:v>1523.4</c:v>
                </c:pt>
                <c:pt idx="644">
                  <c:v>1500.28</c:v>
                </c:pt>
                <c:pt idx="645">
                  <c:v>459.71</c:v>
                </c:pt>
                <c:pt idx="646">
                  <c:v>3382.08</c:v>
                </c:pt>
                <c:pt idx="647">
                  <c:v>1639.67</c:v>
                </c:pt>
                <c:pt idx="648">
                  <c:v>681.44</c:v>
                </c:pt>
                <c:pt idx="649">
                  <c:v>873.43600000000004</c:v>
                </c:pt>
                <c:pt idx="650">
                  <c:v>970.28</c:v>
                </c:pt>
                <c:pt idx="651">
                  <c:v>1875.09666666667</c:v>
                </c:pt>
                <c:pt idx="652">
                  <c:v>1781.6483333333299</c:v>
                </c:pt>
                <c:pt idx="653">
                  <c:v>1688.2</c:v>
                </c:pt>
                <c:pt idx="654">
                  <c:v>1428.14</c:v>
                </c:pt>
                <c:pt idx="655">
                  <c:v>1432.91</c:v>
                </c:pt>
                <c:pt idx="656">
                  <c:v>1173.8900000000001</c:v>
                </c:pt>
                <c:pt idx="657">
                  <c:v>512.14</c:v>
                </c:pt>
                <c:pt idx="658">
                  <c:v>1360.65</c:v>
                </c:pt>
                <c:pt idx="659">
                  <c:v>2916.9</c:v>
                </c:pt>
                <c:pt idx="660">
                  <c:v>1903.56</c:v>
                </c:pt>
                <c:pt idx="661">
                  <c:v>913.71</c:v>
                </c:pt>
                <c:pt idx="662">
                  <c:v>1783.0057142857099</c:v>
                </c:pt>
                <c:pt idx="663">
                  <c:v>940.91</c:v>
                </c:pt>
                <c:pt idx="664">
                  <c:v>844.86</c:v>
                </c:pt>
                <c:pt idx="665">
                  <c:v>1035.364</c:v>
                </c:pt>
                <c:pt idx="666">
                  <c:v>222.93</c:v>
                </c:pt>
                <c:pt idx="667">
                  <c:v>1446.704</c:v>
                </c:pt>
                <c:pt idx="668">
                  <c:v>1183.80666666667</c:v>
                </c:pt>
                <c:pt idx="669">
                  <c:v>1479.48</c:v>
                </c:pt>
                <c:pt idx="670">
                  <c:v>1129.1780000000001</c:v>
                </c:pt>
                <c:pt idx="671">
                  <c:v>1397.865</c:v>
                </c:pt>
                <c:pt idx="672">
                  <c:v>1059.5033333333299</c:v>
                </c:pt>
                <c:pt idx="673">
                  <c:v>1136.866</c:v>
                </c:pt>
                <c:pt idx="674">
                  <c:v>1175.97</c:v>
                </c:pt>
                <c:pt idx="675">
                  <c:v>1888.59</c:v>
                </c:pt>
                <c:pt idx="676">
                  <c:v>1699.454</c:v>
                </c:pt>
                <c:pt idx="677">
                  <c:v>715.98749999999995</c:v>
                </c:pt>
                <c:pt idx="678">
                  <c:v>2200.67333333333</c:v>
                </c:pt>
                <c:pt idx="679">
                  <c:v>3094.92</c:v>
                </c:pt>
                <c:pt idx="680">
                  <c:v>1557.605</c:v>
                </c:pt>
                <c:pt idx="681">
                  <c:v>1025.43665823736</c:v>
                </c:pt>
                <c:pt idx="682">
                  <c:v>1370.5725</c:v>
                </c:pt>
                <c:pt idx="683">
                  <c:v>1607.6529166666701</c:v>
                </c:pt>
                <c:pt idx="684">
                  <c:v>1844.7333333333299</c:v>
                </c:pt>
                <c:pt idx="685">
                  <c:v>891.76</c:v>
                </c:pt>
                <c:pt idx="686">
                  <c:v>230.47</c:v>
                </c:pt>
                <c:pt idx="687">
                  <c:v>1159.93</c:v>
                </c:pt>
                <c:pt idx="688">
                  <c:v>1032.26833333333</c:v>
                </c:pt>
                <c:pt idx="689">
                  <c:v>904.60666666666702</c:v>
                </c:pt>
                <c:pt idx="690">
                  <c:v>2259.66</c:v>
                </c:pt>
                <c:pt idx="691">
                  <c:v>1442.58</c:v>
                </c:pt>
                <c:pt idx="692">
                  <c:v>1780.7750000000001</c:v>
                </c:pt>
                <c:pt idx="693">
                  <c:v>1296.175</c:v>
                </c:pt>
                <c:pt idx="694">
                  <c:v>2422.13</c:v>
                </c:pt>
                <c:pt idx="695">
                  <c:v>590.56666666666695</c:v>
                </c:pt>
                <c:pt idx="696">
                  <c:v>1055.5650000000001</c:v>
                </c:pt>
                <c:pt idx="697">
                  <c:v>1156.4175</c:v>
                </c:pt>
                <c:pt idx="698">
                  <c:v>659.12</c:v>
                </c:pt>
                <c:pt idx="699">
                  <c:v>1062.6199999999999</c:v>
                </c:pt>
                <c:pt idx="700">
                  <c:v>903.46</c:v>
                </c:pt>
                <c:pt idx="701">
                  <c:v>1121.7560000000001</c:v>
                </c:pt>
                <c:pt idx="702">
                  <c:v>1228.1600000000001</c:v>
                </c:pt>
                <c:pt idx="703">
                  <c:v>2006.52</c:v>
                </c:pt>
                <c:pt idx="704">
                  <c:v>2316.35</c:v>
                </c:pt>
                <c:pt idx="705">
                  <c:v>1349.38666666667</c:v>
                </c:pt>
                <c:pt idx="706">
                  <c:v>1284.0050000000001</c:v>
                </c:pt>
                <c:pt idx="707">
                  <c:v>1179.26833333333</c:v>
                </c:pt>
                <c:pt idx="708">
                  <c:v>1074.5316666666699</c:v>
                </c:pt>
                <c:pt idx="709">
                  <c:v>372.63</c:v>
                </c:pt>
                <c:pt idx="710">
                  <c:v>811.88803731976304</c:v>
                </c:pt>
                <c:pt idx="711">
                  <c:v>928.40333333333297</c:v>
                </c:pt>
                <c:pt idx="712">
                  <c:v>1658.39</c:v>
                </c:pt>
                <c:pt idx="713">
                  <c:v>959.06</c:v>
                </c:pt>
                <c:pt idx="714">
                  <c:v>731.24666666666701</c:v>
                </c:pt>
                <c:pt idx="715">
                  <c:v>1845.51</c:v>
                </c:pt>
                <c:pt idx="716">
                  <c:v>1725.1575</c:v>
                </c:pt>
                <c:pt idx="717">
                  <c:v>2104.6799999999998</c:v>
                </c:pt>
                <c:pt idx="718">
                  <c:v>1366.5716666666699</c:v>
                </c:pt>
                <c:pt idx="719">
                  <c:v>628.46333333333303</c:v>
                </c:pt>
                <c:pt idx="720">
                  <c:v>1512.59</c:v>
                </c:pt>
                <c:pt idx="721">
                  <c:v>250.64</c:v>
                </c:pt>
                <c:pt idx="722">
                  <c:v>1646.26</c:v>
                </c:pt>
                <c:pt idx="723">
                  <c:v>1554.15333333333</c:v>
                </c:pt>
                <c:pt idx="724">
                  <c:v>1202.3516666666701</c:v>
                </c:pt>
                <c:pt idx="725">
                  <c:v>850.55</c:v>
                </c:pt>
                <c:pt idx="726">
                  <c:v>1905.07666666667</c:v>
                </c:pt>
                <c:pt idx="727">
                  <c:v>1512.07</c:v>
                </c:pt>
                <c:pt idx="728">
                  <c:v>872.02</c:v>
                </c:pt>
                <c:pt idx="729">
                  <c:v>1440.2375</c:v>
                </c:pt>
                <c:pt idx="730">
                  <c:v>1867.2719999999999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A-453F-91B9-3BB45D91754A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 Total_Amount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forecast!$C$2:$C$915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1775.2440956729099</c:v>
                </c:pt>
                <c:pt idx="732" formatCode="_ [$₹-4009]\ * #,##0.00_ ;_ [$₹-4009]\ * \-#,##0.00_ ;_ [$₹-4009]\ * &quot;-&quot;??_ ;_ @_ ">
                  <c:v>1924.03298968746</c:v>
                </c:pt>
                <c:pt idx="733" formatCode="_ [$₹-4009]\ * #,##0.00_ ;_ [$₹-4009]\ * \-#,##0.00_ ;_ [$₹-4009]\ * &quot;-&quot;??_ ;_ @_ ">
                  <c:v>1924.18119693569</c:v>
                </c:pt>
                <c:pt idx="734" formatCode="_ [$₹-4009]\ * #,##0.00_ ;_ [$₹-4009]\ * \-#,##0.00_ ;_ [$₹-4009]\ * &quot;-&quot;??_ ;_ @_ ">
                  <c:v>1804.98324184593</c:v>
                </c:pt>
                <c:pt idx="735" formatCode="_ [$₹-4009]\ * #,##0.00_ ;_ [$₹-4009]\ * \-#,##0.00_ ;_ [$₹-4009]\ * &quot;-&quot;??_ ;_ @_ ">
                  <c:v>1980.7352413948799</c:v>
                </c:pt>
                <c:pt idx="736" formatCode="_ [$₹-4009]\ * #,##0.00_ ;_ [$₹-4009]\ * \-#,##0.00_ ;_ [$₹-4009]\ * &quot;-&quot;??_ ;_ @_ ">
                  <c:v>1862.5485622276101</c:v>
                </c:pt>
                <c:pt idx="737" formatCode="_ [$₹-4009]\ * #,##0.00_ ;_ [$₹-4009]\ * \-#,##0.00_ ;_ [$₹-4009]\ * &quot;-&quot;??_ ;_ @_ ">
                  <c:v>1722.0505008713101</c:v>
                </c:pt>
                <c:pt idx="738" formatCode="_ [$₹-4009]\ * #,##0.00_ ;_ [$₹-4009]\ * \-#,##0.00_ ;_ [$₹-4009]\ * &quot;-&quot;??_ ;_ @_ ">
                  <c:v>1764.6216632974099</c:v>
                </c:pt>
                <c:pt idx="739" formatCode="_ [$₹-4009]\ * #,##0.00_ ;_ [$₹-4009]\ * \-#,##0.00_ ;_ [$₹-4009]\ * &quot;-&quot;??_ ;_ @_ ">
                  <c:v>1867.7966355514</c:v>
                </c:pt>
                <c:pt idx="740" formatCode="_ [$₹-4009]\ * #,##0.00_ ;_ [$₹-4009]\ * \-#,##0.00_ ;_ [$₹-4009]\ * &quot;-&quot;??_ ;_ @_ ">
                  <c:v>1775.7687312243099</c:v>
                </c:pt>
                <c:pt idx="741" formatCode="_ [$₹-4009]\ * #,##0.00_ ;_ [$₹-4009]\ * \-#,##0.00_ ;_ [$₹-4009]\ * &quot;-&quot;??_ ;_ @_ ">
                  <c:v>1924.5576252388601</c:v>
                </c:pt>
                <c:pt idx="742" formatCode="_ [$₹-4009]\ * #,##0.00_ ;_ [$₹-4009]\ * \-#,##0.00_ ;_ [$₹-4009]\ * &quot;-&quot;??_ ;_ @_ ">
                  <c:v>1924.70583248709</c:v>
                </c:pt>
                <c:pt idx="743" formatCode="_ [$₹-4009]\ * #,##0.00_ ;_ [$₹-4009]\ * \-#,##0.00_ ;_ [$₹-4009]\ * &quot;-&quot;??_ ;_ @_ ">
                  <c:v>1805.50787739733</c:v>
                </c:pt>
                <c:pt idx="744" formatCode="_ [$₹-4009]\ * #,##0.00_ ;_ [$₹-4009]\ * \-#,##0.00_ ;_ [$₹-4009]\ * &quot;-&quot;??_ ;_ @_ ">
                  <c:v>1981.25987694628</c:v>
                </c:pt>
                <c:pt idx="745" formatCode="_ [$₹-4009]\ * #,##0.00_ ;_ [$₹-4009]\ * \-#,##0.00_ ;_ [$₹-4009]\ * &quot;-&quot;??_ ;_ @_ ">
                  <c:v>1863.0731977790099</c:v>
                </c:pt>
                <c:pt idx="746" formatCode="_ [$₹-4009]\ * #,##0.00_ ;_ [$₹-4009]\ * \-#,##0.00_ ;_ [$₹-4009]\ * &quot;-&quot;??_ ;_ @_ ">
                  <c:v>1722.5751364227201</c:v>
                </c:pt>
                <c:pt idx="747" formatCode="_ [$₹-4009]\ * #,##0.00_ ;_ [$₹-4009]\ * \-#,##0.00_ ;_ [$₹-4009]\ * &quot;-&quot;??_ ;_ @_ ">
                  <c:v>1765.1462988488099</c:v>
                </c:pt>
                <c:pt idx="748" formatCode="_ [$₹-4009]\ * #,##0.00_ ;_ [$₹-4009]\ * \-#,##0.00_ ;_ [$₹-4009]\ * &quot;-&quot;??_ ;_ @_ ">
                  <c:v>1868.3212711028</c:v>
                </c:pt>
                <c:pt idx="749" formatCode="_ [$₹-4009]\ * #,##0.00_ ;_ [$₹-4009]\ * \-#,##0.00_ ;_ [$₹-4009]\ * &quot;-&quot;??_ ;_ @_ ">
                  <c:v>1776.29336677572</c:v>
                </c:pt>
                <c:pt idx="750" formatCode="_ [$₹-4009]\ * #,##0.00_ ;_ [$₹-4009]\ * \-#,##0.00_ ;_ [$₹-4009]\ * &quot;-&quot;??_ ;_ @_ ">
                  <c:v>1925.0822607902601</c:v>
                </c:pt>
                <c:pt idx="751" formatCode="_ [$₹-4009]\ * #,##0.00_ ;_ [$₹-4009]\ * \-#,##0.00_ ;_ [$₹-4009]\ * &quot;-&quot;??_ ;_ @_ ">
                  <c:v>1925.23046803849</c:v>
                </c:pt>
                <c:pt idx="752" formatCode="_ [$₹-4009]\ * #,##0.00_ ;_ [$₹-4009]\ * \-#,##0.00_ ;_ [$₹-4009]\ * &quot;-&quot;??_ ;_ @_ ">
                  <c:v>1806.0325129487301</c:v>
                </c:pt>
                <c:pt idx="753" formatCode="_ [$₹-4009]\ * #,##0.00_ ;_ [$₹-4009]\ * \-#,##0.00_ ;_ [$₹-4009]\ * &quot;-&quot;??_ ;_ @_ ">
                  <c:v>1981.78451249768</c:v>
                </c:pt>
                <c:pt idx="754" formatCode="_ [$₹-4009]\ * #,##0.00_ ;_ [$₹-4009]\ * \-#,##0.00_ ;_ [$₹-4009]\ * &quot;-&quot;??_ ;_ @_ ">
                  <c:v>1863.5978333304099</c:v>
                </c:pt>
                <c:pt idx="755" formatCode="_ [$₹-4009]\ * #,##0.00_ ;_ [$₹-4009]\ * \-#,##0.00_ ;_ [$₹-4009]\ * &quot;-&quot;??_ ;_ @_ ">
                  <c:v>1723.0997719741199</c:v>
                </c:pt>
                <c:pt idx="756" formatCode="_ [$₹-4009]\ * #,##0.00_ ;_ [$₹-4009]\ * \-#,##0.00_ ;_ [$₹-4009]\ * &quot;-&quot;??_ ;_ @_ ">
                  <c:v>1765.6709344002199</c:v>
                </c:pt>
                <c:pt idx="757" formatCode="_ [$₹-4009]\ * #,##0.00_ ;_ [$₹-4009]\ * \-#,##0.00_ ;_ [$₹-4009]\ * &quot;-&quot;??_ ;_ @_ ">
                  <c:v>1868.8459066542</c:v>
                </c:pt>
                <c:pt idx="758" formatCode="_ [$₹-4009]\ * #,##0.00_ ;_ [$₹-4009]\ * \-#,##0.00_ ;_ [$₹-4009]\ * &quot;-&quot;??_ ;_ @_ ">
                  <c:v>1776.81800232712</c:v>
                </c:pt>
                <c:pt idx="759" formatCode="_ [$₹-4009]\ * #,##0.00_ ;_ [$₹-4009]\ * \-#,##0.00_ ;_ [$₹-4009]\ * &quot;-&quot;??_ ;_ @_ ">
                  <c:v>1925.6068963416601</c:v>
                </c:pt>
                <c:pt idx="760" formatCode="_ [$₹-4009]\ * #,##0.00_ ;_ [$₹-4009]\ * \-#,##0.00_ ;_ [$₹-4009]\ * &quot;-&quot;??_ ;_ @_ ">
                  <c:v>1925.75510358989</c:v>
                </c:pt>
                <c:pt idx="761" formatCode="_ [$₹-4009]\ * #,##0.00_ ;_ [$₹-4009]\ * \-#,##0.00_ ;_ [$₹-4009]\ * &quot;-&quot;??_ ;_ @_ ">
                  <c:v>1806.5571485001301</c:v>
                </c:pt>
                <c:pt idx="762" formatCode="_ [$₹-4009]\ * #,##0.00_ ;_ [$₹-4009]\ * \-#,##0.00_ ;_ [$₹-4009]\ * &quot;-&quot;??_ ;_ @_ ">
                  <c:v>1982.30914804908</c:v>
                </c:pt>
                <c:pt idx="763" formatCode="_ [$₹-4009]\ * #,##0.00_ ;_ [$₹-4009]\ * \-#,##0.00_ ;_ [$₹-4009]\ * &quot;-&quot;??_ ;_ @_ ">
                  <c:v>1864.1224688818099</c:v>
                </c:pt>
                <c:pt idx="764" formatCode="_ [$₹-4009]\ * #,##0.00_ ;_ [$₹-4009]\ * \-#,##0.00_ ;_ [$₹-4009]\ * &quot;-&quot;??_ ;_ @_ ">
                  <c:v>1723.6244075255199</c:v>
                </c:pt>
                <c:pt idx="765" formatCode="_ [$₹-4009]\ * #,##0.00_ ;_ [$₹-4009]\ * \-#,##0.00_ ;_ [$₹-4009]\ * &quot;-&quot;??_ ;_ @_ ">
                  <c:v>1766.19556995162</c:v>
                </c:pt>
                <c:pt idx="766" formatCode="_ [$₹-4009]\ * #,##0.00_ ;_ [$₹-4009]\ * \-#,##0.00_ ;_ [$₹-4009]\ * &quot;-&quot;??_ ;_ @_ ">
                  <c:v>1869.37054220561</c:v>
                </c:pt>
                <c:pt idx="767" formatCode="_ [$₹-4009]\ * #,##0.00_ ;_ [$₹-4009]\ * \-#,##0.00_ ;_ [$₹-4009]\ * &quot;-&quot;??_ ;_ @_ ">
                  <c:v>1777.34263787852</c:v>
                </c:pt>
                <c:pt idx="768" formatCode="_ [$₹-4009]\ * #,##0.00_ ;_ [$₹-4009]\ * \-#,##0.00_ ;_ [$₹-4009]\ * &quot;-&quot;??_ ;_ @_ ">
                  <c:v>1926.1315318930699</c:v>
                </c:pt>
                <c:pt idx="769" formatCode="_ [$₹-4009]\ * #,##0.00_ ;_ [$₹-4009]\ * \-#,##0.00_ ;_ [$₹-4009]\ * &quot;-&quot;??_ ;_ @_ ">
                  <c:v>1926.2797391412901</c:v>
                </c:pt>
                <c:pt idx="770" formatCode="_ [$₹-4009]\ * #,##0.00_ ;_ [$₹-4009]\ * \-#,##0.00_ ;_ [$₹-4009]\ * &quot;-&quot;??_ ;_ @_ ">
                  <c:v>1807.0817840515299</c:v>
                </c:pt>
                <c:pt idx="771" formatCode="_ [$₹-4009]\ * #,##0.00_ ;_ [$₹-4009]\ * \-#,##0.00_ ;_ [$₹-4009]\ * &quot;-&quot;??_ ;_ @_ ">
                  <c:v>1982.8337836004901</c:v>
                </c:pt>
                <c:pt idx="772" formatCode="_ [$₹-4009]\ * #,##0.00_ ;_ [$₹-4009]\ * \-#,##0.00_ ;_ [$₹-4009]\ * &quot;-&quot;??_ ;_ @_ ">
                  <c:v>1864.64710443321</c:v>
                </c:pt>
                <c:pt idx="773" formatCode="_ [$₹-4009]\ * #,##0.00_ ;_ [$₹-4009]\ * \-#,##0.00_ ;_ [$₹-4009]\ * &quot;-&quot;??_ ;_ @_ ">
                  <c:v>1724.14904307692</c:v>
                </c:pt>
                <c:pt idx="774" formatCode="_ [$₹-4009]\ * #,##0.00_ ;_ [$₹-4009]\ * \-#,##0.00_ ;_ [$₹-4009]\ * &quot;-&quot;??_ ;_ @_ ">
                  <c:v>1766.72020550302</c:v>
                </c:pt>
                <c:pt idx="775" formatCode="_ [$₹-4009]\ * #,##0.00_ ;_ [$₹-4009]\ * \-#,##0.00_ ;_ [$₹-4009]\ * &quot;-&quot;??_ ;_ @_ ">
                  <c:v>1869.8951777570101</c:v>
                </c:pt>
                <c:pt idx="776" formatCode="_ [$₹-4009]\ * #,##0.00_ ;_ [$₹-4009]\ * \-#,##0.00_ ;_ [$₹-4009]\ * &quot;-&quot;??_ ;_ @_ ">
                  <c:v>1777.86727342992</c:v>
                </c:pt>
                <c:pt idx="777" formatCode="_ [$₹-4009]\ * #,##0.00_ ;_ [$₹-4009]\ * \-#,##0.00_ ;_ [$₹-4009]\ * &quot;-&quot;??_ ;_ @_ ">
                  <c:v>1926.6561674444699</c:v>
                </c:pt>
                <c:pt idx="778" formatCode="_ [$₹-4009]\ * #,##0.00_ ;_ [$₹-4009]\ * \-#,##0.00_ ;_ [$₹-4009]\ * &quot;-&quot;??_ ;_ @_ ">
                  <c:v>1926.8043746926901</c:v>
                </c:pt>
                <c:pt idx="779" formatCode="_ [$₹-4009]\ * #,##0.00_ ;_ [$₹-4009]\ * \-#,##0.00_ ;_ [$₹-4009]\ * &quot;-&quot;??_ ;_ @_ ">
                  <c:v>1807.6064196029299</c:v>
                </c:pt>
                <c:pt idx="780" formatCode="_ [$₹-4009]\ * #,##0.00_ ;_ [$₹-4009]\ * \-#,##0.00_ ;_ [$₹-4009]\ * &quot;-&quot;??_ ;_ @_ ">
                  <c:v>1983.3584191518901</c:v>
                </c:pt>
                <c:pt idx="781" formatCode="_ [$₹-4009]\ * #,##0.00_ ;_ [$₹-4009]\ * \-#,##0.00_ ;_ [$₹-4009]\ * &quot;-&quot;??_ ;_ @_ ">
                  <c:v>1865.17173998461</c:v>
                </c:pt>
                <c:pt idx="782" formatCode="_ [$₹-4009]\ * #,##0.00_ ;_ [$₹-4009]\ * \-#,##0.00_ ;_ [$₹-4009]\ * &quot;-&quot;??_ ;_ @_ ">
                  <c:v>1724.67367862832</c:v>
                </c:pt>
                <c:pt idx="783" formatCode="_ [$₹-4009]\ * #,##0.00_ ;_ [$₹-4009]\ * \-#,##0.00_ ;_ [$₹-4009]\ * &quot;-&quot;??_ ;_ @_ ">
                  <c:v>1767.24484105442</c:v>
                </c:pt>
                <c:pt idx="784" formatCode="_ [$₹-4009]\ * #,##0.00_ ;_ [$₹-4009]\ * \-#,##0.00_ ;_ [$₹-4009]\ * &quot;-&quot;??_ ;_ @_ ">
                  <c:v>1870.4198133084101</c:v>
                </c:pt>
                <c:pt idx="785" formatCode="_ [$₹-4009]\ * #,##0.00_ ;_ [$₹-4009]\ * \-#,##0.00_ ;_ [$₹-4009]\ * &quot;-&quot;??_ ;_ @_ ">
                  <c:v>1778.3919089813201</c:v>
                </c:pt>
                <c:pt idx="786" formatCode="_ [$₹-4009]\ * #,##0.00_ ;_ [$₹-4009]\ * \-#,##0.00_ ;_ [$₹-4009]\ * &quot;-&quot;??_ ;_ @_ ">
                  <c:v>1927.18080299587</c:v>
                </c:pt>
                <c:pt idx="787" formatCode="_ [$₹-4009]\ * #,##0.00_ ;_ [$₹-4009]\ * \-#,##0.00_ ;_ [$₹-4009]\ * &quot;-&quot;??_ ;_ @_ ">
                  <c:v>1927.3290102440899</c:v>
                </c:pt>
                <c:pt idx="788" formatCode="_ [$₹-4009]\ * #,##0.00_ ;_ [$₹-4009]\ * \-#,##0.00_ ;_ [$₹-4009]\ * &quot;-&quot;??_ ;_ @_ ">
                  <c:v>1808.1310551543299</c:v>
                </c:pt>
                <c:pt idx="789" formatCode="_ [$₹-4009]\ * #,##0.00_ ;_ [$₹-4009]\ * \-#,##0.00_ ;_ [$₹-4009]\ * &quot;-&quot;??_ ;_ @_ ">
                  <c:v>1983.8830547032901</c:v>
                </c:pt>
                <c:pt idx="790" formatCode="_ [$₹-4009]\ * #,##0.00_ ;_ [$₹-4009]\ * \-#,##0.00_ ;_ [$₹-4009]\ * &quot;-&quot;??_ ;_ @_ ">
                  <c:v>1865.69637553602</c:v>
                </c:pt>
                <c:pt idx="791" formatCode="_ [$₹-4009]\ * #,##0.00_ ;_ [$₹-4009]\ * \-#,##0.00_ ;_ [$₹-4009]\ * &quot;-&quot;??_ ;_ @_ ">
                  <c:v>1725.19831417972</c:v>
                </c:pt>
                <c:pt idx="792" formatCode="_ [$₹-4009]\ * #,##0.00_ ;_ [$₹-4009]\ * \-#,##0.00_ ;_ [$₹-4009]\ * &quot;-&quot;??_ ;_ @_ ">
                  <c:v>1767.76947660582</c:v>
                </c:pt>
                <c:pt idx="793" formatCode="_ [$₹-4009]\ * #,##0.00_ ;_ [$₹-4009]\ * \-#,##0.00_ ;_ [$₹-4009]\ * &quot;-&quot;??_ ;_ @_ ">
                  <c:v>1870.9444488598101</c:v>
                </c:pt>
                <c:pt idx="794" formatCode="_ [$₹-4009]\ * #,##0.00_ ;_ [$₹-4009]\ * \-#,##0.00_ ;_ [$₹-4009]\ * &quot;-&quot;??_ ;_ @_ ">
                  <c:v>1778.9165445327201</c:v>
                </c:pt>
                <c:pt idx="795" formatCode="_ [$₹-4009]\ * #,##0.00_ ;_ [$₹-4009]\ * \-#,##0.00_ ;_ [$₹-4009]\ * &quot;-&quot;??_ ;_ @_ ">
                  <c:v>1927.70543854727</c:v>
                </c:pt>
                <c:pt idx="796" formatCode="_ [$₹-4009]\ * #,##0.00_ ;_ [$₹-4009]\ * \-#,##0.00_ ;_ [$₹-4009]\ * &quot;-&quot;??_ ;_ @_ ">
                  <c:v>1927.8536457954999</c:v>
                </c:pt>
                <c:pt idx="797" formatCode="_ [$₹-4009]\ * #,##0.00_ ;_ [$₹-4009]\ * \-#,##0.00_ ;_ [$₹-4009]\ * &quot;-&quot;??_ ;_ @_ ">
                  <c:v>1808.65569070574</c:v>
                </c:pt>
                <c:pt idx="798" formatCode="_ [$₹-4009]\ * #,##0.00_ ;_ [$₹-4009]\ * \-#,##0.00_ ;_ [$₹-4009]\ * &quot;-&quot;??_ ;_ @_ ">
                  <c:v>1984.4076902546899</c:v>
                </c:pt>
                <c:pt idx="799" formatCode="_ [$₹-4009]\ * #,##0.00_ ;_ [$₹-4009]\ * \-#,##0.00_ ;_ [$₹-4009]\ * &quot;-&quot;??_ ;_ @_ ">
                  <c:v>1866.22101108742</c:v>
                </c:pt>
                <c:pt idx="800" formatCode="_ [$₹-4009]\ * #,##0.00_ ;_ [$₹-4009]\ * \-#,##0.00_ ;_ [$₹-4009]\ * &quot;-&quot;??_ ;_ @_ ">
                  <c:v>1725.72294973112</c:v>
                </c:pt>
                <c:pt idx="801" formatCode="_ [$₹-4009]\ * #,##0.00_ ;_ [$₹-4009]\ * \-#,##0.00_ ;_ [$₹-4009]\ * &quot;-&quot;??_ ;_ @_ ">
                  <c:v>1768.2941121572201</c:v>
                </c:pt>
                <c:pt idx="802" formatCode="_ [$₹-4009]\ * #,##0.00_ ;_ [$₹-4009]\ * \-#,##0.00_ ;_ [$₹-4009]\ * &quot;-&quot;??_ ;_ @_ ">
                  <c:v>1871.4690844112099</c:v>
                </c:pt>
                <c:pt idx="803" formatCode="_ [$₹-4009]\ * #,##0.00_ ;_ [$₹-4009]\ * \-#,##0.00_ ;_ [$₹-4009]\ * &quot;-&quot;??_ ;_ @_ ">
                  <c:v>1779.4411800841201</c:v>
                </c:pt>
                <c:pt idx="804" formatCode="_ [$₹-4009]\ * #,##0.00_ ;_ [$₹-4009]\ * \-#,##0.00_ ;_ [$₹-4009]\ * &quot;-&quot;??_ ;_ @_ ">
                  <c:v>1928.23007409867</c:v>
                </c:pt>
                <c:pt idx="805" formatCode="_ [$₹-4009]\ * #,##0.00_ ;_ [$₹-4009]\ * \-#,##0.00_ ;_ [$₹-4009]\ * &quot;-&quot;??_ ;_ @_ ">
                  <c:v>1928.3782813468999</c:v>
                </c:pt>
                <c:pt idx="806" formatCode="_ [$₹-4009]\ * #,##0.00_ ;_ [$₹-4009]\ * \-#,##0.00_ ;_ [$₹-4009]\ * &quot;-&quot;??_ ;_ @_ ">
                  <c:v>1809.18032625714</c:v>
                </c:pt>
                <c:pt idx="807" formatCode="_ [$₹-4009]\ * #,##0.00_ ;_ [$₹-4009]\ * \-#,##0.00_ ;_ [$₹-4009]\ * &quot;-&quot;??_ ;_ @_ ">
                  <c:v>1984.9323258060899</c:v>
                </c:pt>
                <c:pt idx="808" formatCode="_ [$₹-4009]\ * #,##0.00_ ;_ [$₹-4009]\ * \-#,##0.00_ ;_ [$₹-4009]\ * &quot;-&quot;??_ ;_ @_ ">
                  <c:v>1866.7456466388201</c:v>
                </c:pt>
                <c:pt idx="809" formatCode="_ [$₹-4009]\ * #,##0.00_ ;_ [$₹-4009]\ * \-#,##0.00_ ;_ [$₹-4009]\ * &quot;-&quot;??_ ;_ @_ ">
                  <c:v>1726.24758528252</c:v>
                </c:pt>
                <c:pt idx="810" formatCode="_ [$₹-4009]\ * #,##0.00_ ;_ [$₹-4009]\ * \-#,##0.00_ ;_ [$₹-4009]\ * &quot;-&quot;??_ ;_ @_ ">
                  <c:v>1768.8187477086201</c:v>
                </c:pt>
                <c:pt idx="811" formatCode="_ [$₹-4009]\ * #,##0.00_ ;_ [$₹-4009]\ * \-#,##0.00_ ;_ [$₹-4009]\ * &quot;-&quot;??_ ;_ @_ ">
                  <c:v>1871.9937199626099</c:v>
                </c:pt>
                <c:pt idx="812" formatCode="_ [$₹-4009]\ * #,##0.00_ ;_ [$₹-4009]\ * \-#,##0.00_ ;_ [$₹-4009]\ * &quot;-&quot;??_ ;_ @_ ">
                  <c:v>1779.9658156355299</c:v>
                </c:pt>
                <c:pt idx="813" formatCode="_ [$₹-4009]\ * #,##0.00_ ;_ [$₹-4009]\ * \-#,##0.00_ ;_ [$₹-4009]\ * &quot;-&quot;??_ ;_ @_ ">
                  <c:v>1928.75470965007</c:v>
                </c:pt>
                <c:pt idx="814" formatCode="_ [$₹-4009]\ * #,##0.00_ ;_ [$₹-4009]\ * \-#,##0.00_ ;_ [$₹-4009]\ * &quot;-&quot;??_ ;_ @_ ">
                  <c:v>1928.9029168983</c:v>
                </c:pt>
                <c:pt idx="815" formatCode="_ [$₹-4009]\ * #,##0.00_ ;_ [$₹-4009]\ * \-#,##0.00_ ;_ [$₹-4009]\ * &quot;-&quot;??_ ;_ @_ ">
                  <c:v>1809.70496180854</c:v>
                </c:pt>
                <c:pt idx="816" formatCode="_ [$₹-4009]\ * #,##0.00_ ;_ [$₹-4009]\ * \-#,##0.00_ ;_ [$₹-4009]\ * &quot;-&quot;??_ ;_ @_ ">
                  <c:v>1985.4569613574899</c:v>
                </c:pt>
                <c:pt idx="817" formatCode="_ [$₹-4009]\ * #,##0.00_ ;_ [$₹-4009]\ * \-#,##0.00_ ;_ [$₹-4009]\ * &quot;-&quot;??_ ;_ @_ ">
                  <c:v>1867.2702821902201</c:v>
                </c:pt>
                <c:pt idx="818" formatCode="_ [$₹-4009]\ * #,##0.00_ ;_ [$₹-4009]\ * \-#,##0.00_ ;_ [$₹-4009]\ * &quot;-&quot;??_ ;_ @_ ">
                  <c:v>1726.7722208339301</c:v>
                </c:pt>
                <c:pt idx="819" formatCode="_ [$₹-4009]\ * #,##0.00_ ;_ [$₹-4009]\ * \-#,##0.00_ ;_ [$₹-4009]\ * &quot;-&quot;??_ ;_ @_ ">
                  <c:v>1769.3433832600199</c:v>
                </c:pt>
                <c:pt idx="820" formatCode="_ [$₹-4009]\ * #,##0.00_ ;_ [$₹-4009]\ * \-#,##0.00_ ;_ [$₹-4009]\ * &quot;-&quot;??_ ;_ @_ ">
                  <c:v>1872.51835551401</c:v>
                </c:pt>
                <c:pt idx="821" formatCode="_ [$₹-4009]\ * #,##0.00_ ;_ [$₹-4009]\ * \-#,##0.00_ ;_ [$₹-4009]\ * &quot;-&quot;??_ ;_ @_ ">
                  <c:v>1780.4904511869299</c:v>
                </c:pt>
                <c:pt idx="822" formatCode="_ [$₹-4009]\ * #,##0.00_ ;_ [$₹-4009]\ * \-#,##0.00_ ;_ [$₹-4009]\ * &quot;-&quot;??_ ;_ @_ ">
                  <c:v>1929.2793452014701</c:v>
                </c:pt>
                <c:pt idx="823" formatCode="_ [$₹-4009]\ * #,##0.00_ ;_ [$₹-4009]\ * \-#,##0.00_ ;_ [$₹-4009]\ * &quot;-&quot;??_ ;_ @_ ">
                  <c:v>1929.4275524497</c:v>
                </c:pt>
                <c:pt idx="824" formatCode="_ [$₹-4009]\ * #,##0.00_ ;_ [$₹-4009]\ * \-#,##0.00_ ;_ [$₹-4009]\ * &quot;-&quot;??_ ;_ @_ ">
                  <c:v>1810.22959735994</c:v>
                </c:pt>
                <c:pt idx="825" formatCode="_ [$₹-4009]\ * #,##0.00_ ;_ [$₹-4009]\ * \-#,##0.00_ ;_ [$₹-4009]\ * &quot;-&quot;??_ ;_ @_ ">
                  <c:v>1985.98159690889</c:v>
                </c:pt>
                <c:pt idx="826" formatCode="_ [$₹-4009]\ * #,##0.00_ ;_ [$₹-4009]\ * \-#,##0.00_ ;_ [$₹-4009]\ * &quot;-&quot;??_ ;_ @_ ">
                  <c:v>1867.7949177416201</c:v>
                </c:pt>
                <c:pt idx="827" formatCode="_ [$₹-4009]\ * #,##0.00_ ;_ [$₹-4009]\ * \-#,##0.00_ ;_ [$₹-4009]\ * &quot;-&quot;??_ ;_ @_ ">
                  <c:v>1727.2968563853301</c:v>
                </c:pt>
                <c:pt idx="828" formatCode="_ [$₹-4009]\ * #,##0.00_ ;_ [$₹-4009]\ * \-#,##0.00_ ;_ [$₹-4009]\ * &quot;-&quot;??_ ;_ @_ ">
                  <c:v>1769.8680188114299</c:v>
                </c:pt>
                <c:pt idx="829" formatCode="_ [$₹-4009]\ * #,##0.00_ ;_ [$₹-4009]\ * \-#,##0.00_ ;_ [$₹-4009]\ * &quot;-&quot;??_ ;_ @_ ">
                  <c:v>1873.04299106541</c:v>
                </c:pt>
                <c:pt idx="830" formatCode="_ [$₹-4009]\ * #,##0.00_ ;_ [$₹-4009]\ * \-#,##0.00_ ;_ [$₹-4009]\ * &quot;-&quot;??_ ;_ @_ ">
                  <c:v>1781.01508673833</c:v>
                </c:pt>
                <c:pt idx="831" formatCode="_ [$₹-4009]\ * #,##0.00_ ;_ [$₹-4009]\ * \-#,##0.00_ ;_ [$₹-4009]\ * &quot;-&quot;??_ ;_ @_ ">
                  <c:v>1929.8039807528701</c:v>
                </c:pt>
                <c:pt idx="832" formatCode="_ [$₹-4009]\ * #,##0.00_ ;_ [$₹-4009]\ * \-#,##0.00_ ;_ [$₹-4009]\ * &quot;-&quot;??_ ;_ @_ ">
                  <c:v>1929.9521880011</c:v>
                </c:pt>
                <c:pt idx="833" formatCode="_ [$₹-4009]\ * #,##0.00_ ;_ [$₹-4009]\ * \-#,##0.00_ ;_ [$₹-4009]\ * &quot;-&quot;??_ ;_ @_ ">
                  <c:v>1810.7542329113401</c:v>
                </c:pt>
                <c:pt idx="834" formatCode="_ [$₹-4009]\ * #,##0.00_ ;_ [$₹-4009]\ * \-#,##0.00_ ;_ [$₹-4009]\ * &quot;-&quot;??_ ;_ @_ ">
                  <c:v>1986.50623246029</c:v>
                </c:pt>
                <c:pt idx="835" formatCode="_ [$₹-4009]\ * #,##0.00_ ;_ [$₹-4009]\ * \-#,##0.00_ ;_ [$₹-4009]\ * &quot;-&quot;??_ ;_ @_ ">
                  <c:v>1868.3195532930199</c:v>
                </c:pt>
                <c:pt idx="836" formatCode="_ [$₹-4009]\ * #,##0.00_ ;_ [$₹-4009]\ * \-#,##0.00_ ;_ [$₹-4009]\ * &quot;-&quot;??_ ;_ @_ ">
                  <c:v>1727.8214919367299</c:v>
                </c:pt>
                <c:pt idx="837" formatCode="_ [$₹-4009]\ * #,##0.00_ ;_ [$₹-4009]\ * \-#,##0.00_ ;_ [$₹-4009]\ * &quot;-&quot;??_ ;_ @_ ">
                  <c:v>1770.3926543628299</c:v>
                </c:pt>
                <c:pt idx="838" formatCode="_ [$₹-4009]\ * #,##0.00_ ;_ [$₹-4009]\ * \-#,##0.00_ ;_ [$₹-4009]\ * &quot;-&quot;??_ ;_ @_ ">
                  <c:v>1873.56762661682</c:v>
                </c:pt>
                <c:pt idx="839" formatCode="_ [$₹-4009]\ * #,##0.00_ ;_ [$₹-4009]\ * \-#,##0.00_ ;_ [$₹-4009]\ * &quot;-&quot;??_ ;_ @_ ">
                  <c:v>1781.53972228973</c:v>
                </c:pt>
                <c:pt idx="840" formatCode="_ [$₹-4009]\ * #,##0.00_ ;_ [$₹-4009]\ * \-#,##0.00_ ;_ [$₹-4009]\ * &quot;-&quot;??_ ;_ @_ ">
                  <c:v>1930.3286163042801</c:v>
                </c:pt>
                <c:pt idx="841" formatCode="_ [$₹-4009]\ * #,##0.00_ ;_ [$₹-4009]\ * \-#,##0.00_ ;_ [$₹-4009]\ * &quot;-&quot;??_ ;_ @_ ">
                  <c:v>1930.4768235525</c:v>
                </c:pt>
                <c:pt idx="842" formatCode="_ [$₹-4009]\ * #,##0.00_ ;_ [$₹-4009]\ * \-#,##0.00_ ;_ [$₹-4009]\ * &quot;-&quot;??_ ;_ @_ ">
                  <c:v>1811.2788684627401</c:v>
                </c:pt>
                <c:pt idx="843" formatCode="_ [$₹-4009]\ * #,##0.00_ ;_ [$₹-4009]\ * \-#,##0.00_ ;_ [$₹-4009]\ * &quot;-&quot;??_ ;_ @_ ">
                  <c:v>1987.0308680117</c:v>
                </c:pt>
                <c:pt idx="844" formatCode="_ [$₹-4009]\ * #,##0.00_ ;_ [$₹-4009]\ * \-#,##0.00_ ;_ [$₹-4009]\ * &quot;-&quot;??_ ;_ @_ ">
                  <c:v>1868.8441888444199</c:v>
                </c:pt>
                <c:pt idx="845" formatCode="_ [$₹-4009]\ * #,##0.00_ ;_ [$₹-4009]\ * \-#,##0.00_ ;_ [$₹-4009]\ * &quot;-&quot;??_ ;_ @_ ">
                  <c:v>1728.3461274881299</c:v>
                </c:pt>
                <c:pt idx="846" formatCode="_ [$₹-4009]\ * #,##0.00_ ;_ [$₹-4009]\ * \-#,##0.00_ ;_ [$₹-4009]\ * &quot;-&quot;??_ ;_ @_ ">
                  <c:v>1770.91728991423</c:v>
                </c:pt>
                <c:pt idx="847" formatCode="_ [$₹-4009]\ * #,##0.00_ ;_ [$₹-4009]\ * \-#,##0.00_ ;_ [$₹-4009]\ * &quot;-&quot;??_ ;_ @_ ">
                  <c:v>1874.09226216822</c:v>
                </c:pt>
                <c:pt idx="848" formatCode="_ [$₹-4009]\ * #,##0.00_ ;_ [$₹-4009]\ * \-#,##0.00_ ;_ [$₹-4009]\ * &quot;-&quot;??_ ;_ @_ ">
                  <c:v>1782.06435784113</c:v>
                </c:pt>
                <c:pt idx="849" formatCode="_ [$₹-4009]\ * #,##0.00_ ;_ [$₹-4009]\ * \-#,##0.00_ ;_ [$₹-4009]\ * &quot;-&quot;??_ ;_ @_ ">
                  <c:v>1930.8532518556799</c:v>
                </c:pt>
                <c:pt idx="850" formatCode="_ [$₹-4009]\ * #,##0.00_ ;_ [$₹-4009]\ * \-#,##0.00_ ;_ [$₹-4009]\ * &quot;-&quot;??_ ;_ @_ ">
                  <c:v>1931.0014591039001</c:v>
                </c:pt>
                <c:pt idx="851" formatCode="_ [$₹-4009]\ * #,##0.00_ ;_ [$₹-4009]\ * \-#,##0.00_ ;_ [$₹-4009]\ * &quot;-&quot;??_ ;_ @_ ">
                  <c:v>1811.8035040141399</c:v>
                </c:pt>
                <c:pt idx="852" formatCode="_ [$₹-4009]\ * #,##0.00_ ;_ [$₹-4009]\ * \-#,##0.00_ ;_ [$₹-4009]\ * &quot;-&quot;??_ ;_ @_ ">
                  <c:v>1987.5555035631</c:v>
                </c:pt>
                <c:pt idx="853" formatCode="_ [$₹-4009]\ * #,##0.00_ ;_ [$₹-4009]\ * \-#,##0.00_ ;_ [$₹-4009]\ * &quot;-&quot;??_ ;_ @_ ">
                  <c:v>1869.36882439582</c:v>
                </c:pt>
                <c:pt idx="854" formatCode="_ [$₹-4009]\ * #,##0.00_ ;_ [$₹-4009]\ * \-#,##0.00_ ;_ [$₹-4009]\ * &quot;-&quot;??_ ;_ @_ ">
                  <c:v>1728.8707630395299</c:v>
                </c:pt>
                <c:pt idx="855" formatCode="_ [$₹-4009]\ * #,##0.00_ ;_ [$₹-4009]\ * \-#,##0.00_ ;_ [$₹-4009]\ * &quot;-&quot;??_ ;_ @_ ">
                  <c:v>1771.44192546563</c:v>
                </c:pt>
                <c:pt idx="856" formatCode="_ [$₹-4009]\ * #,##0.00_ ;_ [$₹-4009]\ * \-#,##0.00_ ;_ [$₹-4009]\ * &quot;-&quot;??_ ;_ @_ ">
                  <c:v>1874.6168977196201</c:v>
                </c:pt>
                <c:pt idx="857" formatCode="_ [$₹-4009]\ * #,##0.00_ ;_ [$₹-4009]\ * \-#,##0.00_ ;_ [$₹-4009]\ * &quot;-&quot;??_ ;_ @_ ">
                  <c:v>1782.58899339253</c:v>
                </c:pt>
                <c:pt idx="858" formatCode="_ [$₹-4009]\ * #,##0.00_ ;_ [$₹-4009]\ * \-#,##0.00_ ;_ [$₹-4009]\ * &quot;-&quot;??_ ;_ @_ ">
                  <c:v>1931.3778874070799</c:v>
                </c:pt>
                <c:pt idx="859" formatCode="_ [$₹-4009]\ * #,##0.00_ ;_ [$₹-4009]\ * \-#,##0.00_ ;_ [$₹-4009]\ * &quot;-&quot;??_ ;_ @_ ">
                  <c:v>1931.5260946553001</c:v>
                </c:pt>
                <c:pt idx="860" formatCode="_ [$₹-4009]\ * #,##0.00_ ;_ [$₹-4009]\ * \-#,##0.00_ ;_ [$₹-4009]\ * &quot;-&quot;??_ ;_ @_ ">
                  <c:v>1812.3281395655399</c:v>
                </c:pt>
                <c:pt idx="861" formatCode="_ [$₹-4009]\ * #,##0.00_ ;_ [$₹-4009]\ * \-#,##0.00_ ;_ [$₹-4009]\ * &quot;-&quot;??_ ;_ @_ ">
                  <c:v>1988.0801391145001</c:v>
                </c:pt>
                <c:pt idx="862" formatCode="_ [$₹-4009]\ * #,##0.00_ ;_ [$₹-4009]\ * \-#,##0.00_ ;_ [$₹-4009]\ * &quot;-&quot;??_ ;_ @_ ">
                  <c:v>1869.89345994723</c:v>
                </c:pt>
                <c:pt idx="863" formatCode="_ [$₹-4009]\ * #,##0.00_ ;_ [$₹-4009]\ * \-#,##0.00_ ;_ [$₹-4009]\ * &quot;-&quot;??_ ;_ @_ ">
                  <c:v>1729.39539859093</c:v>
                </c:pt>
                <c:pt idx="864" formatCode="_ [$₹-4009]\ * #,##0.00_ ;_ [$₹-4009]\ * \-#,##0.00_ ;_ [$₹-4009]\ * &quot;-&quot;??_ ;_ @_ ">
                  <c:v>1771.96656101703</c:v>
                </c:pt>
                <c:pt idx="865" formatCode="_ [$₹-4009]\ * #,##0.00_ ;_ [$₹-4009]\ * \-#,##0.00_ ;_ [$₹-4009]\ * &quot;-&quot;??_ ;_ @_ ">
                  <c:v>1875.1415332710201</c:v>
                </c:pt>
                <c:pt idx="866" formatCode="_ [$₹-4009]\ * #,##0.00_ ;_ [$₹-4009]\ * \-#,##0.00_ ;_ [$₹-4009]\ * &quot;-&quot;??_ ;_ @_ ">
                  <c:v>1783.1136289439301</c:v>
                </c:pt>
                <c:pt idx="867" formatCode="_ [$₹-4009]\ * #,##0.00_ ;_ [$₹-4009]\ * \-#,##0.00_ ;_ [$₹-4009]\ * &quot;-&quot;??_ ;_ @_ ">
                  <c:v>1931.9025229584799</c:v>
                </c:pt>
                <c:pt idx="868" formatCode="_ [$₹-4009]\ * #,##0.00_ ;_ [$₹-4009]\ * \-#,##0.00_ ;_ [$₹-4009]\ * &quot;-&quot;??_ ;_ @_ ">
                  <c:v>1932.0507302067101</c:v>
                </c:pt>
                <c:pt idx="869" formatCode="_ [$₹-4009]\ * #,##0.00_ ;_ [$₹-4009]\ * \-#,##0.00_ ;_ [$₹-4009]\ * &quot;-&quot;??_ ;_ @_ ">
                  <c:v>1812.8527751169499</c:v>
                </c:pt>
                <c:pt idx="870" formatCode="_ [$₹-4009]\ * #,##0.00_ ;_ [$₹-4009]\ * \-#,##0.00_ ;_ [$₹-4009]\ * &quot;-&quot;??_ ;_ @_ ">
                  <c:v>1988.6047746659001</c:v>
                </c:pt>
                <c:pt idx="871" formatCode="_ [$₹-4009]\ * #,##0.00_ ;_ [$₹-4009]\ * \-#,##0.00_ ;_ [$₹-4009]\ * &quot;-&quot;??_ ;_ @_ ">
                  <c:v>1870.41809549863</c:v>
                </c:pt>
                <c:pt idx="872" formatCode="_ [$₹-4009]\ * #,##0.00_ ;_ [$₹-4009]\ * \-#,##0.00_ ;_ [$₹-4009]\ * &quot;-&quot;??_ ;_ @_ ">
                  <c:v>1729.92003414233</c:v>
                </c:pt>
                <c:pt idx="873" formatCode="_ [$₹-4009]\ * #,##0.00_ ;_ [$₹-4009]\ * \-#,##0.00_ ;_ [$₹-4009]\ * &quot;-&quot;??_ ;_ @_ ">
                  <c:v>1772.49119656843</c:v>
                </c:pt>
                <c:pt idx="874" formatCode="_ [$₹-4009]\ * #,##0.00_ ;_ [$₹-4009]\ * \-#,##0.00_ ;_ [$₹-4009]\ * &quot;-&quot;??_ ;_ @_ ">
                  <c:v>1875.6661688224201</c:v>
                </c:pt>
                <c:pt idx="875" formatCode="_ [$₹-4009]\ * #,##0.00_ ;_ [$₹-4009]\ * \-#,##0.00_ ;_ [$₹-4009]\ * &quot;-&quot;??_ ;_ @_ ">
                  <c:v>1783.6382644953301</c:v>
                </c:pt>
                <c:pt idx="876" formatCode="_ [$₹-4009]\ * #,##0.00_ ;_ [$₹-4009]\ * \-#,##0.00_ ;_ [$₹-4009]\ * &quot;-&quot;??_ ;_ @_ ">
                  <c:v>1932.42715850988</c:v>
                </c:pt>
                <c:pt idx="877" formatCode="_ [$₹-4009]\ * #,##0.00_ ;_ [$₹-4009]\ * \-#,##0.00_ ;_ [$₹-4009]\ * &quot;-&quot;??_ ;_ @_ ">
                  <c:v>1932.5753657581099</c:v>
                </c:pt>
                <c:pt idx="878" formatCode="_ [$₹-4009]\ * #,##0.00_ ;_ [$₹-4009]\ * \-#,##0.00_ ;_ [$₹-4009]\ * &quot;-&quot;??_ ;_ @_ ">
                  <c:v>1813.37741066835</c:v>
                </c:pt>
                <c:pt idx="879" formatCode="_ [$₹-4009]\ * #,##0.00_ ;_ [$₹-4009]\ * \-#,##0.00_ ;_ [$₹-4009]\ * &quot;-&quot;??_ ;_ @_ ">
                  <c:v>1989.1294102172999</c:v>
                </c:pt>
                <c:pt idx="880" formatCode="_ [$₹-4009]\ * #,##0.00_ ;_ [$₹-4009]\ * \-#,##0.00_ ;_ [$₹-4009]\ * &quot;-&quot;??_ ;_ @_ ">
                  <c:v>1870.94273105003</c:v>
                </c:pt>
                <c:pt idx="881" formatCode="_ [$₹-4009]\ * #,##0.00_ ;_ [$₹-4009]\ * \-#,##0.00_ ;_ [$₹-4009]\ * &quot;-&quot;??_ ;_ @_ ">
                  <c:v>1730.44466969373</c:v>
                </c:pt>
                <c:pt idx="882" formatCode="_ [$₹-4009]\ * #,##0.00_ ;_ [$₹-4009]\ * \-#,##0.00_ ;_ [$₹-4009]\ * &quot;-&quot;??_ ;_ @_ ">
                  <c:v>1773.0158321198301</c:v>
                </c:pt>
                <c:pt idx="883" formatCode="_ [$₹-4009]\ * #,##0.00_ ;_ [$₹-4009]\ * \-#,##0.00_ ;_ [$₹-4009]\ * &quot;-&quot;??_ ;_ @_ ">
                  <c:v>1876.1908043738199</c:v>
                </c:pt>
                <c:pt idx="884" formatCode="_ [$₹-4009]\ * #,##0.00_ ;_ [$₹-4009]\ * \-#,##0.00_ ;_ [$₹-4009]\ * &quot;-&quot;??_ ;_ @_ ">
                  <c:v>1784.1629000467401</c:v>
                </c:pt>
                <c:pt idx="885" formatCode="_ [$₹-4009]\ * #,##0.00_ ;_ [$₹-4009]\ * \-#,##0.00_ ;_ [$₹-4009]\ * &quot;-&quot;??_ ;_ @_ ">
                  <c:v>1932.95179406128</c:v>
                </c:pt>
                <c:pt idx="886" formatCode="_ [$₹-4009]\ * #,##0.00_ ;_ [$₹-4009]\ * \-#,##0.00_ ;_ [$₹-4009]\ * &quot;-&quot;??_ ;_ @_ ">
                  <c:v>1933.1000013095099</c:v>
                </c:pt>
                <c:pt idx="887" formatCode="_ [$₹-4009]\ * #,##0.00_ ;_ [$₹-4009]\ * \-#,##0.00_ ;_ [$₹-4009]\ * &quot;-&quot;??_ ;_ @_ ">
                  <c:v>1813.90204621975</c:v>
                </c:pt>
                <c:pt idx="888" formatCode="_ [$₹-4009]\ * #,##0.00_ ;_ [$₹-4009]\ * \-#,##0.00_ ;_ [$₹-4009]\ * &quot;-&quot;??_ ;_ @_ ">
                  <c:v>1989.6540457686999</c:v>
                </c:pt>
                <c:pt idx="889" formatCode="_ [$₹-4009]\ * #,##0.00_ ;_ [$₹-4009]\ * \-#,##0.00_ ;_ [$₹-4009]\ * &quot;-&quot;??_ ;_ @_ ">
                  <c:v>1871.4673666014301</c:v>
                </c:pt>
                <c:pt idx="890" formatCode="_ [$₹-4009]\ * #,##0.00_ ;_ [$₹-4009]\ * \-#,##0.00_ ;_ [$₹-4009]\ * &quot;-&quot;??_ ;_ @_ ">
                  <c:v>1730.96930524514</c:v>
                </c:pt>
                <c:pt idx="891" formatCode="_ [$₹-4009]\ * #,##0.00_ ;_ [$₹-4009]\ * \-#,##0.00_ ;_ [$₹-4009]\ * &quot;-&quot;??_ ;_ @_ ">
                  <c:v>1773.5404676712301</c:v>
                </c:pt>
                <c:pt idx="892" formatCode="_ [$₹-4009]\ * #,##0.00_ ;_ [$₹-4009]\ * \-#,##0.00_ ;_ [$₹-4009]\ * &quot;-&quot;??_ ;_ @_ ">
                  <c:v>1876.7154399252199</c:v>
                </c:pt>
                <c:pt idx="893" formatCode="_ [$₹-4009]\ * #,##0.00_ ;_ [$₹-4009]\ * \-#,##0.00_ ;_ [$₹-4009]\ * &quot;-&quot;??_ ;_ @_ ">
                  <c:v>1784.6875355981399</c:v>
                </c:pt>
                <c:pt idx="894" formatCode="_ [$₹-4009]\ * #,##0.00_ ;_ [$₹-4009]\ * \-#,##0.00_ ;_ [$₹-4009]\ * &quot;-&quot;??_ ;_ @_ ">
                  <c:v>1933.47642961268</c:v>
                </c:pt>
                <c:pt idx="895" formatCode="_ [$₹-4009]\ * #,##0.00_ ;_ [$₹-4009]\ * \-#,##0.00_ ;_ [$₹-4009]\ * &quot;-&quot;??_ ;_ @_ ">
                  <c:v>1933.62463686091</c:v>
                </c:pt>
                <c:pt idx="896" formatCode="_ [$₹-4009]\ * #,##0.00_ ;_ [$₹-4009]\ * \-#,##0.00_ ;_ [$₹-4009]\ * &quot;-&quot;??_ ;_ @_ ">
                  <c:v>1814.42668177115</c:v>
                </c:pt>
                <c:pt idx="897" formatCode="_ [$₹-4009]\ * #,##0.00_ ;_ [$₹-4009]\ * \-#,##0.00_ ;_ [$₹-4009]\ * &quot;-&quot;??_ ;_ @_ ">
                  <c:v>1990.1786813200999</c:v>
                </c:pt>
                <c:pt idx="898" formatCode="_ [$₹-4009]\ * #,##0.00_ ;_ [$₹-4009]\ * \-#,##0.00_ ;_ [$₹-4009]\ * &quot;-&quot;??_ ;_ @_ ">
                  <c:v>1871.9920021528301</c:v>
                </c:pt>
                <c:pt idx="899" formatCode="_ [$₹-4009]\ * #,##0.00_ ;_ [$₹-4009]\ * \-#,##0.00_ ;_ [$₹-4009]\ * &quot;-&quot;??_ ;_ @_ ">
                  <c:v>1731.4939407965401</c:v>
                </c:pt>
                <c:pt idx="900" formatCode="_ [$₹-4009]\ * #,##0.00_ ;_ [$₹-4009]\ * \-#,##0.00_ ;_ [$₹-4009]\ * &quot;-&quot;??_ ;_ @_ ">
                  <c:v>1774.0651032226399</c:v>
                </c:pt>
                <c:pt idx="901" formatCode="_ [$₹-4009]\ * #,##0.00_ ;_ [$₹-4009]\ * \-#,##0.00_ ;_ [$₹-4009]\ * &quot;-&quot;??_ ;_ @_ ">
                  <c:v>1877.2400754766199</c:v>
                </c:pt>
                <c:pt idx="902" formatCode="_ [$₹-4009]\ * #,##0.00_ ;_ [$₹-4009]\ * \-#,##0.00_ ;_ [$₹-4009]\ * &quot;-&quot;??_ ;_ @_ ">
                  <c:v>1785.2121711495399</c:v>
                </c:pt>
                <c:pt idx="903" formatCode="_ [$₹-4009]\ * #,##0.00_ ;_ [$₹-4009]\ * \-#,##0.00_ ;_ [$₹-4009]\ * &quot;-&quot;??_ ;_ @_ ">
                  <c:v>1934.00106516408</c:v>
                </c:pt>
                <c:pt idx="904" formatCode="_ [$₹-4009]\ * #,##0.00_ ;_ [$₹-4009]\ * \-#,##0.00_ ;_ [$₹-4009]\ * &quot;-&quot;??_ ;_ @_ ">
                  <c:v>1934.14927241231</c:v>
                </c:pt>
                <c:pt idx="905" formatCode="_ [$₹-4009]\ * #,##0.00_ ;_ [$₹-4009]\ * \-#,##0.00_ ;_ [$₹-4009]\ * &quot;-&quot;??_ ;_ @_ ">
                  <c:v>1814.95131732255</c:v>
                </c:pt>
                <c:pt idx="906" formatCode="_ [$₹-4009]\ * #,##0.00_ ;_ [$₹-4009]\ * \-#,##0.00_ ;_ [$₹-4009]\ * &quot;-&quot;??_ ;_ @_ ">
                  <c:v>1990.7033168715</c:v>
                </c:pt>
                <c:pt idx="907" formatCode="_ [$₹-4009]\ * #,##0.00_ ;_ [$₹-4009]\ * \-#,##0.00_ ;_ [$₹-4009]\ * &quot;-&quot;??_ ;_ @_ ">
                  <c:v>1872.5166377042301</c:v>
                </c:pt>
                <c:pt idx="908" formatCode="_ [$₹-4009]\ * #,##0.00_ ;_ [$₹-4009]\ * \-#,##0.00_ ;_ [$₹-4009]\ * &quot;-&quot;??_ ;_ @_ ">
                  <c:v>1732.0185763479401</c:v>
                </c:pt>
                <c:pt idx="909" formatCode="_ [$₹-4009]\ * #,##0.00_ ;_ [$₹-4009]\ * \-#,##0.00_ ;_ [$₹-4009]\ * &quot;-&quot;??_ ;_ @_ ">
                  <c:v>1774.5897387740399</c:v>
                </c:pt>
                <c:pt idx="910" formatCode="_ [$₹-4009]\ * #,##0.00_ ;_ [$₹-4009]\ * \-#,##0.00_ ;_ [$₹-4009]\ * &quot;-&quot;??_ ;_ @_ ">
                  <c:v>1877.76471102803</c:v>
                </c:pt>
                <c:pt idx="911" formatCode="_ [$₹-4009]\ * #,##0.00_ ;_ [$₹-4009]\ * \-#,##0.00_ ;_ [$₹-4009]\ * &quot;-&quot;??_ ;_ @_ ">
                  <c:v>1785.73680670094</c:v>
                </c:pt>
                <c:pt idx="912" formatCode="_ [$₹-4009]\ * #,##0.00_ ;_ [$₹-4009]\ * \-#,##0.00_ ;_ [$₹-4009]\ * &quot;-&quot;??_ ;_ @_ ">
                  <c:v>1934.5257007154901</c:v>
                </c:pt>
                <c:pt idx="913" formatCode="_ [$₹-4009]\ * #,##0.00_ ;_ [$₹-4009]\ * \-#,##0.00_ ;_ [$₹-4009]\ * &quot;-&quot;??_ ;_ @_ ">
                  <c:v>1934.67390796371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A-453F-91B9-3BB45D91754A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 Total_Amount 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forecast!$D$2:$D$915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426.07773158151502</c:v>
                </c:pt>
                <c:pt idx="732" formatCode="_ [$₹-4009]\ * #,##0.00_ ;_ [$₹-4009]\ * \-#,##0.00_ ;_ [$₹-4009]\ * &quot;-&quot;??_ ;_ @_ ">
                  <c:v>574.86055436108404</c:v>
                </c:pt>
                <c:pt idx="733" formatCode="_ [$₹-4009]\ * #,##0.00_ ;_ [$₹-4009]\ * \-#,##0.00_ ;_ [$₹-4009]\ * &quot;-&quot;??_ ;_ @_ ">
                  <c:v>574.99796837014003</c:v>
                </c:pt>
                <c:pt idx="734" formatCode="_ [$₹-4009]\ * #,##0.00_ ;_ [$₹-4009]\ * \-#,##0.00_ ;_ [$₹-4009]\ * &quot;-&quot;??_ ;_ @_ ">
                  <c:v>455.78314901702998</c:v>
                </c:pt>
                <c:pt idx="735" formatCode="_ [$₹-4009]\ * #,##0.00_ ;_ [$₹-4009]\ * \-#,##0.00_ ;_ [$₹-4009]\ * &quot;-&quot;??_ ;_ @_ ">
                  <c:v>631.51086439707694</c:v>
                </c:pt>
                <c:pt idx="736" formatCode="_ [$₹-4009]\ * #,##0.00_ ;_ [$₹-4009]\ * \-#,##0.00_ ;_ [$₹-4009]\ * &quot;-&quot;??_ ;_ @_ ">
                  <c:v>513.29113247999601</c:v>
                </c:pt>
                <c:pt idx="737" formatCode="_ [$₹-4009]\ * #,##0.00_ ;_ [$₹-4009]\ * \-#,##0.00_ ;_ [$₹-4009]\ * &quot;-&quot;??_ ;_ @_ ">
                  <c:v>372.749901404566</c:v>
                </c:pt>
                <c:pt idx="738" formatCode="_ [$₹-4009]\ * #,##0.00_ ;_ [$₹-4009]\ * \-#,##0.00_ ;_ [$₹-4009]\ * &quot;-&quot;??_ ;_ @_ ">
                  <c:v>415.26642913502099</c:v>
                </c:pt>
                <c:pt idx="739" formatCode="_ [$₹-4009]\ * #,##0.00_ ;_ [$₹-4009]\ * \-#,##0.00_ ;_ [$₹-4009]\ * &quot;-&quot;??_ ;_ @_ ">
                  <c:v>518.37395419865197</c:v>
                </c:pt>
                <c:pt idx="740" formatCode="_ [$₹-4009]\ * #,##0.00_ ;_ [$₹-4009]\ * \-#,##0.00_ ;_ [$₹-4009]\ * &quot;-&quot;??_ ;_ @_ ">
                  <c:v>413.928463537737</c:v>
                </c:pt>
                <c:pt idx="741" formatCode="_ [$₹-4009]\ * #,##0.00_ ;_ [$₹-4009]\ * \-#,##0.00_ ;_ [$₹-4009]\ * &quot;-&quot;??_ ;_ @_ ">
                  <c:v>562.62112500286298</c:v>
                </c:pt>
                <c:pt idx="742" formatCode="_ [$₹-4009]\ * #,##0.00_ ;_ [$₹-4009]\ * \-#,##0.00_ ;_ [$₹-4009]\ * &quot;-&quot;??_ ;_ @_ ">
                  <c:v>562.65640133399597</c:v>
                </c:pt>
                <c:pt idx="743" formatCode="_ [$₹-4009]\ * #,##0.00_ ;_ [$₹-4009]\ * \-#,##0.00_ ;_ [$₹-4009]\ * &quot;-&quot;??_ ;_ @_ ">
                  <c:v>443.32748483526001</c:v>
                </c:pt>
                <c:pt idx="744" formatCode="_ [$₹-4009]\ * #,##0.00_ ;_ [$₹-4009]\ * \-#,##0.00_ ;_ [$₹-4009]\ * &quot;-&quot;??_ ;_ @_ ">
                  <c:v>618.92916155332</c:v>
                </c:pt>
                <c:pt idx="745" formatCode="_ [$₹-4009]\ * #,##0.00_ ;_ [$₹-4009]\ * \-#,##0.00_ ;_ [$₹-4009]\ * &quot;-&quot;??_ ;_ @_ ">
                  <c:v>500.57146857942303</c:v>
                </c:pt>
                <c:pt idx="746" formatCode="_ [$₹-4009]\ * #,##0.00_ ;_ [$₹-4009]\ * \-#,##0.00_ ;_ [$₹-4009]\ * &quot;-&quot;??_ ;_ @_ ">
                  <c:v>359.88037445780498</c:v>
                </c:pt>
                <c:pt idx="747" formatCode="_ [$₹-4009]\ * #,##0.00_ ;_ [$₹-4009]\ * \-#,##0.00_ ;_ [$₹-4009]\ * &quot;-&quot;??_ ;_ @_ ">
                  <c:v>402.23515895484502</c:v>
                </c:pt>
                <c:pt idx="748" formatCode="_ [$₹-4009]\ * #,##0.00_ ;_ [$₹-4009]\ * \-#,##0.00_ ;_ [$₹-4009]\ * &quot;-&quot;??_ ;_ @_ ">
                  <c:v>505.16908390834499</c:v>
                </c:pt>
                <c:pt idx="749" formatCode="_ [$₹-4009]\ * #,##0.00_ ;_ [$₹-4009]\ * \-#,##0.00_ ;_ [$₹-4009]\ * &quot;-&quot;??_ ;_ @_ ">
                  <c:v>399.17512960873597</c:v>
                </c:pt>
                <c:pt idx="750" formatCode="_ [$₹-4009]\ * #,##0.00_ ;_ [$₹-4009]\ * \-#,##0.00_ ;_ [$₹-4009]\ * &quot;-&quot;??_ ;_ @_ ">
                  <c:v>547.67260156244697</c:v>
                </c:pt>
                <c:pt idx="751" formatCode="_ [$₹-4009]\ * #,##0.00_ ;_ [$₹-4009]\ * \-#,##0.00_ ;_ [$₹-4009]\ * &quot;-&quot;??_ ;_ @_ ">
                  <c:v>547.50104239823099</c:v>
                </c:pt>
                <c:pt idx="752" formatCode="_ [$₹-4009]\ * #,##0.00_ ;_ [$₹-4009]\ * \-#,##0.00_ ;_ [$₹-4009]\ * &quot;-&quot;??_ ;_ @_ ">
                  <c:v>427.95367541420802</c:v>
                </c:pt>
                <c:pt idx="753" formatCode="_ [$₹-4009]\ * #,##0.00_ ;_ [$₹-4009]\ * \-#,##0.00_ ;_ [$₹-4009]\ * &quot;-&quot;??_ ;_ @_ ">
                  <c:v>603.32531963406404</c:v>
                </c:pt>
                <c:pt idx="754" formatCode="_ [$₹-4009]\ * #,##0.00_ ;_ [$₹-4009]\ * \-#,##0.00_ ;_ [$₹-4009]\ * &quot;-&quot;??_ ;_ @_ ">
                  <c:v>484.726047208159</c:v>
                </c:pt>
                <c:pt idx="755" formatCode="_ [$₹-4009]\ * #,##0.00_ ;_ [$₹-4009]\ * \-#,##0.00_ ;_ [$₹-4009]\ * &quot;-&quot;??_ ;_ @_ ">
                  <c:v>343.78186391901801</c:v>
                </c:pt>
                <c:pt idx="756" formatCode="_ [$₹-4009]\ * #,##0.00_ ;_ [$₹-4009]\ * \-#,##0.00_ ;_ [$₹-4009]\ * &quot;-&quot;??_ ;_ @_ ">
                  <c:v>385.87208904537403</c:v>
                </c:pt>
                <c:pt idx="757" formatCode="_ [$₹-4009]\ * #,##0.00_ ;_ [$₹-4009]\ * \-#,##0.00_ ;_ [$₹-4009]\ * &quot;-&quot;??_ ;_ @_ ">
                  <c:v>488.53002630402102</c:v>
                </c:pt>
                <c:pt idx="758" formatCode="_ [$₹-4009]\ * #,##0.00_ ;_ [$₹-4009]\ * \-#,##0.00_ ;_ [$₹-4009]\ * &quot;-&quot;??_ ;_ @_ ">
                  <c:v>380.95232983085498</c:v>
                </c:pt>
                <c:pt idx="759" formatCode="_ [$₹-4009]\ * #,##0.00_ ;_ [$₹-4009]\ * \-#,##0.00_ ;_ [$₹-4009]\ * &quot;-&quot;??_ ;_ @_ ">
                  <c:v>529.15453390904599</c:v>
                </c:pt>
                <c:pt idx="760" formatCode="_ [$₹-4009]\ * #,##0.00_ ;_ [$₹-4009]\ * \-#,##0.00_ ;_ [$₹-4009]\ * &quot;-&quot;??_ ;_ @_ ">
                  <c:v>528.676558669673</c:v>
                </c:pt>
                <c:pt idx="761" formatCode="_ [$₹-4009]\ * #,##0.00_ ;_ [$₹-4009]\ * \-#,##0.00_ ;_ [$₹-4009]\ * &quot;-&quot;??_ ;_ @_ ">
                  <c:v>408.81167934222202</c:v>
                </c:pt>
                <c:pt idx="762" formatCode="_ [$₹-4009]\ * #,##0.00_ ;_ [$₹-4009]\ * \-#,##0.00_ ;_ [$₹-4009]\ * &quot;-&quot;??_ ;_ @_ ">
                  <c:v>583.85476957669403</c:v>
                </c:pt>
                <c:pt idx="763" formatCode="_ [$₹-4009]\ * #,##0.00_ ;_ [$₹-4009]\ * \-#,##0.00_ ;_ [$₹-4009]\ * &quot;-&quot;??_ ;_ @_ ">
                  <c:v>464.91595891712399</c:v>
                </c:pt>
                <c:pt idx="764" formatCode="_ [$₹-4009]\ * #,##0.00_ ;_ [$₹-4009]\ * \-#,##0.00_ ;_ [$₹-4009]\ * &quot;-&quot;??_ ;_ @_ ">
                  <c:v>323.621313376042</c:v>
                </c:pt>
                <c:pt idx="765" formatCode="_ [$₹-4009]\ * #,##0.00_ ;_ [$₹-4009]\ * \-#,##0.00_ ;_ [$₹-4009]\ * &quot;-&quot;??_ ;_ @_ ">
                  <c:v>365.350215363899</c:v>
                </c:pt>
                <c:pt idx="766" formatCode="_ [$₹-4009]\ * #,##0.00_ ;_ [$₹-4009]\ * \-#,##0.00_ ;_ [$₹-4009]\ * &quot;-&quot;??_ ;_ @_ ">
                  <c:v>467.63603469251501</c:v>
                </c:pt>
                <c:pt idx="767" formatCode="_ [$₹-4009]\ * #,##0.00_ ;_ [$₹-4009]\ * \-#,##0.00_ ;_ [$₹-4009]\ * &quot;-&quot;??_ ;_ @_ ">
                  <c:v>358.46214658919598</c:v>
                </c:pt>
                <c:pt idx="768" formatCode="_ [$₹-4009]\ * #,##0.00_ ;_ [$₹-4009]\ * \-#,##0.00_ ;_ [$₹-4009]\ * &quot;-&quot;??_ ;_ @_ ">
                  <c:v>506.27574744667999</c:v>
                </c:pt>
                <c:pt idx="769" formatCode="_ [$₹-4009]\ * #,##0.00_ ;_ [$₹-4009]\ * \-#,##0.00_ ;_ [$₹-4009]\ * &quot;-&quot;??_ ;_ @_ ">
                  <c:v>505.39872778578302</c:v>
                </c:pt>
                <c:pt idx="770" formatCode="_ [$₹-4009]\ * #,##0.00_ ;_ [$₹-4009]\ * \-#,##0.00_ ;_ [$₹-4009]\ * &quot;-&quot;??_ ;_ @_ ">
                  <c:v>385.12443993900001</c:v>
                </c:pt>
                <c:pt idx="771" formatCode="_ [$₹-4009]\ * #,##0.00_ ;_ [$₹-4009]\ * \-#,##0.00_ ;_ [$₹-4009]\ * &quot;-&quot;??_ ;_ @_ ">
                  <c:v>559.74783775591095</c:v>
                </c:pt>
                <c:pt idx="772" formatCode="_ [$₹-4009]\ * #,##0.00_ ;_ [$₹-4009]\ * \-#,##0.00_ ;_ [$₹-4009]\ * &quot;-&quot;??_ ;_ @_ ">
                  <c:v>440.379134111349</c:v>
                </c:pt>
                <c:pt idx="773" formatCode="_ [$₹-4009]\ * #,##0.00_ ;_ [$₹-4009]\ * \-#,##0.00_ ;_ [$₹-4009]\ * &quot;-&quot;??_ ;_ @_ ">
                  <c:v>298.644481509836</c:v>
                </c:pt>
                <c:pt idx="774" formatCode="_ [$₹-4009]\ * #,##0.00_ ;_ [$₹-4009]\ * \-#,##0.00_ ;_ [$₹-4009]\ * &quot;-&quot;??_ ;_ @_ ">
                  <c:v>339.92335204016302</c:v>
                </c:pt>
                <c:pt idx="775" formatCode="_ [$₹-4009]\ * #,##0.00_ ;_ [$₹-4009]\ * \-#,##0.00_ ;_ [$₹-4009]\ * &quot;-&quot;??_ ;_ @_ ">
                  <c:v>441.74920839906201</c:v>
                </c:pt>
                <c:pt idx="776" formatCode="_ [$₹-4009]\ * #,##0.00_ ;_ [$₹-4009]\ * \-#,##0.00_ ;_ [$₹-4009]\ * &quot;-&quot;??_ ;_ @_ ">
                  <c:v>330.99091997605098</c:v>
                </c:pt>
                <c:pt idx="777" formatCode="_ [$₹-4009]\ * #,##0.00_ ;_ [$₹-4009]\ * \-#,##0.00_ ;_ [$₹-4009]\ * &quot;-&quot;??_ ;_ @_ ">
                  <c:v>478.331259869213</c:v>
                </c:pt>
                <c:pt idx="778" formatCode="_ [$₹-4009]\ * #,##0.00_ ;_ [$₹-4009]\ * \-#,##0.00_ ;_ [$₹-4009]\ * &quot;-&quot;??_ ;_ @_ ">
                  <c:v>476.97146781689298</c:v>
                </c:pt>
                <c:pt idx="779" formatCode="_ [$₹-4009]\ * #,##0.00_ ;_ [$₹-4009]\ * \-#,##0.00_ ;_ [$₹-4009]\ * &quot;-&quot;??_ ;_ @_ ">
                  <c:v>356.20499940419199</c:v>
                </c:pt>
                <c:pt idx="780" formatCode="_ [$₹-4009]\ * #,##0.00_ ;_ [$₹-4009]\ * \-#,##0.00_ ;_ [$₹-4009]\ * &quot;-&quot;??_ ;_ @_ ">
                  <c:v>530.326914852139</c:v>
                </c:pt>
                <c:pt idx="781" formatCode="_ [$₹-4009]\ * #,##0.00_ ;_ [$₹-4009]\ * \-#,##0.00_ ;_ [$₹-4009]\ * &quot;-&quot;??_ ;_ @_ ">
                  <c:v>410.447536515899</c:v>
                </c:pt>
                <c:pt idx="782" formatCode="_ [$₹-4009]\ * #,##0.00_ ;_ [$₹-4009]\ * \-#,##0.00_ ;_ [$₹-4009]\ * &quot;-&quot;??_ ;_ @_ ">
                  <c:v>268.19312947396298</c:v>
                </c:pt>
                <c:pt idx="783" formatCode="_ [$₹-4009]\ * #,##0.00_ ;_ [$₹-4009]\ * \-#,##0.00_ ;_ [$₹-4009]\ * &quot;-&quot;??_ ;_ @_ ">
                  <c:v>308.94328146215997</c:v>
                </c:pt>
                <c:pt idx="784" formatCode="_ [$₹-4009]\ * #,##0.00_ ;_ [$₹-4009]\ * \-#,##0.00_ ;_ [$₹-4009]\ * &quot;-&quot;??_ ;_ @_ ">
                  <c:v>410.23157387139901</c:v>
                </c:pt>
                <c:pt idx="785" formatCode="_ [$₹-4009]\ * #,##0.00_ ;_ [$₹-4009]\ * \-#,##0.00_ ;_ [$₹-4009]\ * &quot;-&quot;??_ ;_ @_ ">
                  <c:v>297.92478646790198</c:v>
                </c:pt>
                <c:pt idx="786" formatCode="_ [$₹-4009]\ * #,##0.00_ ;_ [$₹-4009]\ * \-#,##0.00_ ;_ [$₹-4009]\ * &quot;-&quot;??_ ;_ @_ ">
                  <c:v>444.71768618763798</c:v>
                </c:pt>
                <c:pt idx="787" formatCode="_ [$₹-4009]\ * #,##0.00_ ;_ [$₹-4009]\ * \-#,##0.00_ ;_ [$₹-4009]\ * &quot;-&quot;??_ ;_ @_ ">
                  <c:v>442.802077754707</c:v>
                </c:pt>
                <c:pt idx="788" formatCode="_ [$₹-4009]\ * #,##0.00_ ;_ [$₹-4009]\ * \-#,##0.00_ ;_ [$₹-4009]\ * &quot;-&quot;??_ ;_ @_ ">
                  <c:v>321.47154366165398</c:v>
                </c:pt>
                <c:pt idx="789" formatCode="_ [$₹-4009]\ * #,##0.00_ ;_ [$₹-4009]\ * \-#,##0.00_ ;_ [$₹-4009]\ * &quot;-&quot;??_ ;_ @_ ">
                  <c:v>495.021273787263</c:v>
                </c:pt>
                <c:pt idx="790" formatCode="_ [$₹-4009]\ * #,##0.00_ ;_ [$₹-4009]\ * \-#,##0.00_ ;_ [$₹-4009]\ * &quot;-&quot;??_ ;_ @_ ">
                  <c:v>374.56172284080799</c:v>
                </c:pt>
                <c:pt idx="791" formatCode="_ [$₹-4009]\ * #,##0.00_ ;_ [$₹-4009]\ * \-#,##0.00_ ;_ [$₹-4009]\ * &quot;-&quot;??_ ;_ @_ ">
                  <c:v>231.719290892326</c:v>
                </c:pt>
                <c:pt idx="792" formatCode="_ [$₹-4009]\ * #,##0.00_ ;_ [$₹-4009]\ * \-#,##0.00_ ;_ [$₹-4009]\ * &quot;-&quot;??_ ;_ @_ ">
                  <c:v>271.873703242837</c:v>
                </c:pt>
                <c:pt idx="793" formatCode="_ [$₹-4009]\ * #,##0.00_ ;_ [$₹-4009]\ * \-#,##0.00_ ;_ [$₹-4009]\ * &quot;-&quot;??_ ;_ @_ ">
                  <c:v>372.55868135348697</c:v>
                </c:pt>
                <c:pt idx="794" formatCode="_ [$₹-4009]\ * #,##0.00_ ;_ [$₹-4009]\ * \-#,##0.00_ ;_ [$₹-4009]\ * &quot;-&quot;??_ ;_ @_ ">
                  <c:v>258.76164161619801</c:v>
                </c:pt>
                <c:pt idx="795" formatCode="_ [$₹-4009]\ * #,##0.00_ ;_ [$₹-4009]\ * \-#,##0.00_ ;_ [$₹-4009]\ * &quot;-&quot;??_ ;_ @_ ">
                  <c:v>404.94480820194201</c:v>
                </c:pt>
                <c:pt idx="796" formatCode="_ [$₹-4009]\ * #,##0.00_ ;_ [$₹-4009]\ * \-#,##0.00_ ;_ [$₹-4009]\ * &quot;-&quot;??_ ;_ @_ ">
                  <c:v>402.41238536229901</c:v>
                </c:pt>
                <c:pt idx="797" formatCode="_ [$₹-4009]\ * #,##0.00_ ;_ [$₹-4009]\ * \-#,##0.00_ ;_ [$₹-4009]\ * &quot;-&quot;??_ ;_ @_ ">
                  <c:v>280.45810057942202</c:v>
                </c:pt>
                <c:pt idx="798" formatCode="_ [$₹-4009]\ * #,##0.00_ ;_ [$₹-4009]\ * \-#,##0.00_ ;_ [$₹-4009]\ * &quot;-&quot;??_ ;_ @_ ">
                  <c:v>453.37729077301702</c:v>
                </c:pt>
                <c:pt idx="799" formatCode="_ [$₹-4009]\ * #,##0.00_ ;_ [$₹-4009]\ * \-#,##0.00_ ;_ [$₹-4009]\ * &quot;-&quot;??_ ;_ @_ ">
                  <c:v>332.28055965548901</c:v>
                </c:pt>
                <c:pt idx="800" formatCode="_ [$₹-4009]\ * #,##0.00_ ;_ [$₹-4009]\ * \-#,##0.00_ ;_ [$₹-4009]\ * &quot;-&quot;??_ ;_ @_ ">
                  <c:v>188.79445816941001</c:v>
                </c:pt>
                <c:pt idx="801" formatCode="_ [$₹-4009]\ * #,##0.00_ ;_ [$₹-4009]\ * \-#,##0.00_ ;_ [$₹-4009]\ * &quot;-&quot;??_ ;_ @_ ">
                  <c:v>228.29886426140601</c:v>
                </c:pt>
                <c:pt idx="802" formatCode="_ [$₹-4009]\ * #,##0.00_ ;_ [$₹-4009]\ * \-#,##0.00_ ;_ [$₹-4009]\ * &quot;-&quot;??_ ;_ @_ ">
                  <c:v>328.32765371163498</c:v>
                </c:pt>
                <c:pt idx="803" formatCode="_ [$₹-4009]\ * #,##0.00_ ;_ [$₹-4009]\ * \-#,##0.00_ ;_ [$₹-4009]\ * &quot;-&quot;??_ ;_ @_ ">
                  <c:v>213.117717142949</c:v>
                </c:pt>
                <c:pt idx="804" formatCode="_ [$₹-4009]\ * #,##0.00_ ;_ [$₹-4009]\ * \-#,##0.00_ ;_ [$₹-4009]\ * &quot;-&quot;??_ ;_ @_ ">
                  <c:v>358.64156237855701</c:v>
                </c:pt>
                <c:pt idx="805" formatCode="_ [$₹-4009]\ * #,##0.00_ ;_ [$₹-4009]\ * \-#,##0.00_ ;_ [$₹-4009]\ * &quot;-&quot;??_ ;_ @_ ">
                  <c:v>355.44412524910803</c:v>
                </c:pt>
                <c:pt idx="806" formatCode="_ [$₹-4009]\ * #,##0.00_ ;_ [$₹-4009]\ * \-#,##0.00_ ;_ [$₹-4009]\ * &quot;-&quot;??_ ;_ @_ ">
                  <c:v>232.81928863101601</c:v>
                </c:pt>
                <c:pt idx="807" formatCode="_ [$₹-4009]\ * #,##0.00_ ;_ [$₹-4009]\ * \-#,##0.00_ ;_ [$₹-4009]\ * &quot;-&quot;??_ ;_ @_ ">
                  <c:v>405.06254598136599</c:v>
                </c:pt>
                <c:pt idx="808" formatCode="_ [$₹-4009]\ * #,##0.00_ ;_ [$₹-4009]\ * \-#,##0.00_ ;_ [$₹-4009]\ * &quot;-&quot;??_ ;_ @_ ">
                  <c:v>283.28465858385698</c:v>
                </c:pt>
                <c:pt idx="809" formatCode="_ [$₹-4009]\ * #,##0.00_ ;_ [$₹-4009]\ * \-#,##0.00_ ;_ [$₹-4009]\ * &quot;-&quot;??_ ;_ @_ ">
                  <c:v>139.11233587522599</c:v>
                </c:pt>
                <c:pt idx="810" formatCode="_ [$₹-4009]\ * #,##0.00_ ;_ [$₹-4009]\ * \-#,##0.00_ ;_ [$₹-4009]\ * &quot;-&quot;??_ ;_ @_ ">
                  <c:v>177.925615106468</c:v>
                </c:pt>
                <c:pt idx="811" formatCode="_ [$₹-4009]\ * #,##0.00_ ;_ [$₹-4009]\ * \-#,##0.00_ ;_ [$₹-4009]\ * &quot;-&quot;??_ ;_ @_ ">
                  <c:v>277.25853205825598</c:v>
                </c:pt>
                <c:pt idx="812" formatCode="_ [$₹-4009]\ * #,##0.00_ ;_ [$₹-4009]\ * \-#,##0.00_ ;_ [$₹-4009]\ * &quot;-&quot;??_ ;_ @_ ">
                  <c:v>160.72784354435001</c:v>
                </c:pt>
                <c:pt idx="813" formatCode="_ [$₹-4009]\ * #,##0.00_ ;_ [$₹-4009]\ * \-#,##0.00_ ;_ [$₹-4009]\ * &quot;-&quot;??_ ;_ @_ ">
                  <c:v>305.55561730154602</c:v>
                </c:pt>
                <c:pt idx="814" formatCode="_ [$₹-4009]\ * #,##0.00_ ;_ [$₹-4009]\ * \-#,##0.00_ ;_ [$₹-4009]\ * &quot;-&quot;??_ ;_ @_ ">
                  <c:v>301.65782203102702</c:v>
                </c:pt>
                <c:pt idx="815" formatCode="_ [$₹-4009]\ * #,##0.00_ ;_ [$₹-4009]\ * \-#,##0.00_ ;_ [$₹-4009]\ * &quot;-&quot;??_ ;_ @_ ">
                  <c:v>178.32849793906999</c:v>
                </c:pt>
                <c:pt idx="816" formatCode="_ [$₹-4009]\ * #,##0.00_ ;_ [$₹-4009]\ * \-#,##0.00_ ;_ [$₹-4009]\ * &quot;-&quot;??_ ;_ @_ ">
                  <c:v>349.86329598892002</c:v>
                </c:pt>
                <c:pt idx="817" formatCode="_ [$₹-4009]\ * #,##0.00_ ;_ [$₹-4009]\ * \-#,##0.00_ ;_ [$₹-4009]\ * &quot;-&quot;??_ ;_ @_ ">
                  <c:v>227.37313503464401</c:v>
                </c:pt>
                <c:pt idx="818" formatCode="_ [$₹-4009]\ * #,##0.00_ ;_ [$₹-4009]\ * \-#,##0.00_ ;_ [$₹-4009]\ * &quot;-&quot;??_ ;_ @_ ">
                  <c:v>82.484882035563302</c:v>
                </c:pt>
                <c:pt idx="819" formatCode="_ [$₹-4009]\ * #,##0.00_ ;_ [$₹-4009]\ * \-#,##0.00_ ;_ [$₹-4009]\ * &quot;-&quot;??_ ;_ @_ ">
                  <c:v>120.578731605833</c:v>
                </c:pt>
                <c:pt idx="820" formatCode="_ [$₹-4009]\ * #,##0.00_ ;_ [$₹-4009]\ * \-#,##0.00_ ;_ [$₹-4009]\ * &quot;-&quot;??_ ;_ @_ ">
                  <c:v>219.18887661875999</c:v>
                </c:pt>
                <c:pt idx="821" formatCode="_ [$₹-4009]\ * #,##0.00_ ;_ [$₹-4009]\ * \-#,##0.00_ ;_ [$₹-4009]\ * &quot;-&quot;??_ ;_ @_ ">
                  <c:v>101.439495352357</c:v>
                </c:pt>
                <c:pt idx="822" formatCode="_ [$₹-4009]\ * #,##0.00_ ;_ [$₹-4009]\ * \-#,##0.00_ ;_ [$₹-4009]\ * &quot;-&quot;??_ ;_ @_ ">
                  <c:v>245.54674960211</c:v>
                </c:pt>
                <c:pt idx="823" formatCode="_ [$₹-4009]\ * #,##0.00_ ;_ [$₹-4009]\ * \-#,##0.00_ ;_ [$₹-4009]\ * &quot;-&quot;??_ ;_ @_ ">
                  <c:v>240.925499917416</c:v>
                </c:pt>
                <c:pt idx="824" formatCode="_ [$₹-4009]\ * #,##0.00_ ;_ [$₹-4009]\ * \-#,##0.00_ ;_ [$₹-4009]\ * &quot;-&quot;??_ ;_ @_ ">
                  <c:v>116.86993782076</c:v>
                </c:pt>
                <c:pt idx="825" formatCode="_ [$₹-4009]\ * #,##0.00_ ;_ [$₹-4009]\ * \-#,##0.00_ ;_ [$₹-4009]\ * &quot;-&quot;??_ ;_ @_ ">
                  <c:v>287.675864883516</c:v>
                </c:pt>
                <c:pt idx="826" formatCode="_ [$₹-4009]\ * #,##0.00_ ;_ [$₹-4009]\ * \-#,##0.00_ ;_ [$₹-4009]\ * &quot;-&quot;??_ ;_ @_ ">
                  <c:v>164.454349759894</c:v>
                </c:pt>
                <c:pt idx="827" formatCode="_ [$₹-4009]\ * #,##0.00_ ;_ [$₹-4009]\ * \-#,##0.00_ ;_ [$₹-4009]\ * &quot;-&quot;??_ ;_ @_ ">
                  <c:v>18.832408303195098</c:v>
                </c:pt>
                <c:pt idx="828" formatCode="_ [$₹-4009]\ * #,##0.00_ ;_ [$₹-4009]\ * \-#,##0.00_ ;_ [$₹-4009]\ * &quot;-&quot;??_ ;_ @_ ">
                  <c:v>56.190383019087001</c:v>
                </c:pt>
                <c:pt idx="829" formatCode="_ [$₹-4009]\ * #,##0.00_ ;_ [$₹-4009]\ * \-#,##0.00_ ;_ [$₹-4009]\ * &quot;-&quot;??_ ;_ @_ ">
                  <c:v>154.062613575672</c:v>
                </c:pt>
                <c:pt idx="830" formatCode="_ [$₹-4009]\ * #,##0.00_ ;_ [$₹-4009]\ * \-#,##0.00_ ;_ [$₹-4009]\ * &quot;-&quot;??_ ;_ @_ ">
                  <c:v>35.201631364793897</c:v>
                </c:pt>
                <c:pt idx="831" formatCode="_ [$₹-4009]\ * #,##0.00_ ;_ [$₹-4009]\ * \-#,##0.00_ ;_ [$₹-4009]\ * &quot;-&quot;??_ ;_ @_ ">
                  <c:v>178.57512629268601</c:v>
                </c:pt>
                <c:pt idx="832" formatCode="_ [$₹-4009]\ * #,##0.00_ ;_ [$₹-4009]\ * \-#,##0.00_ ;_ [$₹-4009]\ * &quot;-&quot;??_ ;_ @_ ">
                  <c:v>173.21841999594301</c:v>
                </c:pt>
                <c:pt idx="833" formatCode="_ [$₹-4009]\ * #,##0.00_ ;_ [$₹-4009]\ * \-#,##0.00_ ;_ [$₹-4009]\ * &quot;-&quot;??_ ;_ @_ ">
                  <c:v>48.425842874455398</c:v>
                </c:pt>
                <c:pt idx="834" formatCode="_ [$₹-4009]\ * #,##0.00_ ;_ [$₹-4009]\ * \-#,##0.00_ ;_ [$₹-4009]\ * &quot;-&quot;??_ ;_ @_ ">
                  <c:v>218.49333396806301</c:v>
                </c:pt>
                <c:pt idx="835" formatCode="_ [$₹-4009]\ * #,##0.00_ ;_ [$₹-4009]\ * \-#,##0.00_ ;_ [$₹-4009]\ * &quot;-&quot;??_ ;_ @_ ">
                  <c:v>94.532097912851896</c:v>
                </c:pt>
                <c:pt idx="836" formatCode="_ [$₹-4009]\ * #,##0.00_ ;_ [$₹-4009]\ * \-#,##0.00_ ;_ [$₹-4009]\ * &quot;-&quot;??_ ;_ @_ ">
                  <c:v>-51.830715017549402</c:v>
                </c:pt>
                <c:pt idx="837" formatCode="_ [$₹-4009]\ * #,##0.00_ ;_ [$₹-4009]\ * \-#,##0.00_ ;_ [$₹-4009]\ * &quot;-&quot;??_ ;_ @_ ">
                  <c:v>-15.2146295308553</c:v>
                </c:pt>
                <c:pt idx="838" formatCode="_ [$₹-4009]\ * #,##0.00_ ;_ [$₹-4009]\ * \-#,##0.00_ ;_ [$₹-4009]\ * &quot;-&quot;??_ ;_ @_ ">
                  <c:v>81.914825124674294</c:v>
                </c:pt>
                <c:pt idx="839" formatCode="_ [$₹-4009]\ * #,##0.00_ ;_ [$₹-4009]\ * \-#,##0.00_ ;_ [$₹-4009]\ * &quot;-&quot;??_ ;_ @_ ">
                  <c:v>-37.950058007743998</c:v>
                </c:pt>
                <c:pt idx="840" formatCode="_ [$₹-4009]\ * #,##0.00_ ;_ [$₹-4009]\ * \-#,##0.00_ ;_ [$₹-4009]\ * &quot;-&quot;??_ ;_ @_ ">
                  <c:v>104.686165178171</c:v>
                </c:pt>
                <c:pt idx="841" formatCode="_ [$₹-4009]\ * #,##0.00_ ;_ [$₹-4009]\ * \-#,##0.00_ ;_ [$₹-4009]\ * &quot;-&quot;??_ ;_ @_ ">
                  <c:v>98.591572281750402</c:v>
                </c:pt>
                <c:pt idx="842" formatCode="_ [$₹-4009]\ * #,##0.00_ ;_ [$₹-4009]\ * \-#,##0.00_ ;_ [$₹-4009]\ * &quot;-&quot;??_ ;_ @_ ">
                  <c:v>-26.9393842252878</c:v>
                </c:pt>
                <c:pt idx="843" formatCode="_ [$₹-4009]\ * #,##0.00_ ;_ [$₹-4009]\ * \-#,##0.00_ ;_ [$₹-4009]\ * &quot;-&quot;??_ ;_ @_ ">
                  <c:v>142.389354890552</c:v>
                </c:pt>
                <c:pt idx="844" formatCode="_ [$₹-4009]\ * #,##0.00_ ;_ [$₹-4009]\ * \-#,##0.00_ ;_ [$₹-4009]\ * &quot;-&quot;??_ ;_ @_ ">
                  <c:v>17.6891125295422</c:v>
                </c:pt>
                <c:pt idx="845" formatCode="_ [$₹-4009]\ * #,##0.00_ ;_ [$₹-4009]\ * \-#,##0.00_ ;_ [$₹-4009]\ * &quot;-&quot;??_ ;_ @_ ">
                  <c:v>-129.412844748222</c:v>
                </c:pt>
                <c:pt idx="846" formatCode="_ [$₹-4009]\ * #,##0.00_ ;_ [$₹-4009]\ * \-#,##0.00_ ;_ [$₹-4009]\ * &quot;-&quot;??_ ;_ @_ ">
                  <c:v>-93.535927386904902</c:v>
                </c:pt>
                <c:pt idx="847" formatCode="_ [$₹-4009]\ * #,##0.00_ ;_ [$₹-4009]\ * \-#,##0.00_ ;_ [$₹-4009]\ * &quot;-&quot;??_ ;_ @_ ">
                  <c:v>2.8544475637352198</c:v>
                </c:pt>
                <c:pt idx="848" formatCode="_ [$₹-4009]\ * #,##0.00_ ;_ [$₹-4009]\ * \-#,##0.00_ ;_ [$₹-4009]\ * &quot;-&quot;??_ ;_ @_ ">
                  <c:v>-117.90968291366499</c:v>
                </c:pt>
                <c:pt idx="849" formatCode="_ [$₹-4009]\ * #,##0.00_ ;_ [$₹-4009]\ * \-#,##0.00_ ;_ [$₹-4009]\ * &quot;-&quot;??_ ;_ @_ ">
                  <c:v>23.993804023918301</c:v>
                </c:pt>
                <c:pt idx="850" formatCode="_ [$₹-4009]\ * #,##0.00_ ;_ [$₹-4009]\ * \-#,##0.00_ ;_ [$₹-4009]\ * &quot;-&quot;??_ ;_ @_ ">
                  <c:v>17.166766072926698</c:v>
                </c:pt>
                <c:pt idx="851" formatCode="_ [$₹-4009]\ * #,##0.00_ ;_ [$₹-4009]\ * \-#,##0.00_ ;_ [$₹-4009]\ * &quot;-&quot;??_ ;_ @_ ">
                  <c:v>-109.096241270097</c:v>
                </c:pt>
                <c:pt idx="852" formatCode="_ [$₹-4009]\ * #,##0.00_ ;_ [$₹-4009]\ * \-#,##0.00_ ;_ [$₹-4009]\ * &quot;-&quot;??_ ;_ @_ ">
                  <c:v>59.500942136669202</c:v>
                </c:pt>
                <c:pt idx="853" formatCode="_ [$₹-4009]\ * #,##0.00_ ;_ [$₹-4009]\ * \-#,##0.00_ ;_ [$₹-4009]\ * &quot;-&quot;??_ ;_ @_ ">
                  <c:v>-65.930262040510996</c:v>
                </c:pt>
                <c:pt idx="854" formatCode="_ [$₹-4009]\ * #,##0.00_ ;_ [$₹-4009]\ * \-#,##0.00_ ;_ [$₹-4009]\ * &quot;-&quot;??_ ;_ @_ ">
                  <c:v>-213.76249064089501</c:v>
                </c:pt>
                <c:pt idx="855" formatCode="_ [$₹-4009]\ * #,##0.00_ ;_ [$₹-4009]\ * \-#,##0.00_ ;_ [$₹-4009]\ * &quot;-&quot;??_ ;_ @_ ">
                  <c:v>-178.61505969353701</c:v>
                </c:pt>
                <c:pt idx="856" formatCode="_ [$₹-4009]\ * #,##0.00_ ;_ [$₹-4009]\ * \-#,##0.00_ ;_ [$₹-4009]\ * &quot;-&quot;??_ ;_ @_ ">
                  <c:v>-82.953294036030698</c:v>
                </c:pt>
                <c:pt idx="857" formatCode="_ [$₹-4009]\ * #,##0.00_ ;_ [$₹-4009]\ * \-#,##0.00_ ;_ [$₹-4009]\ * &quot;-&quot;??_ ;_ @_ ">
                  <c:v>-204.51780547130099</c:v>
                </c:pt>
                <c:pt idx="858" formatCode="_ [$₹-4009]\ * #,##0.00_ ;_ [$₹-4009]\ * \-#,##0.00_ ;_ [$₹-4009]\ * &quot;-&quot;??_ ;_ @_ ">
                  <c:v>-63.336179398135101</c:v>
                </c:pt>
                <c:pt idx="859" formatCode="_ [$₹-4009]\ * #,##0.00_ ;_ [$₹-4009]\ * \-#,##0.00_ ;_ [$₹-4009]\ * &quot;-&quot;??_ ;_ @_ ">
                  <c:v>-70.884060944370702</c:v>
                </c:pt>
                <c:pt idx="860" formatCode="_ [$₹-4009]\ * #,##0.00_ ;_ [$₹-4009]\ * \-#,##0.00_ ;_ [$₹-4009]\ * &quot;-&quot;??_ ;_ @_ ">
                  <c:v>-197.86681103128799</c:v>
                </c:pt>
                <c:pt idx="861" formatCode="_ [$₹-4009]\ * #,##0.00_ ;_ [$₹-4009]\ * \-#,##0.00_ ;_ [$₹-4009]\ * &quot;-&quot;??_ ;_ @_ ">
                  <c:v>-29.988188093278499</c:v>
                </c:pt>
                <c:pt idx="862" formatCode="_ [$₹-4009]\ * #,##0.00_ ;_ [$₹-4009]\ * \-#,##0.00_ ;_ [$₹-4009]\ * &quot;-&quot;??_ ;_ @_ ">
                  <c:v>-156.136691203309</c:v>
                </c:pt>
                <c:pt idx="863" formatCode="_ [$₹-4009]\ * #,##0.00_ ;_ [$₹-4009]\ * \-#,##0.00_ ;_ [$₹-4009]\ * &quot;-&quot;??_ ;_ @_ ">
                  <c:v>-304.68488010515398</c:v>
                </c:pt>
                <c:pt idx="864" formatCode="_ [$₹-4009]\ * #,##0.00_ ;_ [$₹-4009]\ * \-#,##0.00_ ;_ [$₹-4009]\ * &quot;-&quot;??_ ;_ @_ ">
                  <c:v>-270.25199589768403</c:v>
                </c:pt>
                <c:pt idx="865" formatCode="_ [$₹-4009]\ * #,##0.00_ ;_ [$₹-4009]\ * \-#,##0.00_ ;_ [$₹-4009]\ * &quot;-&quot;??_ ;_ @_ ">
                  <c:v>-175.303290651396</c:v>
                </c:pt>
                <c:pt idx="866" formatCode="_ [$₹-4009]\ * #,##0.00_ ;_ [$₹-4009]\ * \-#,##0.00_ ;_ [$₹-4009]\ * &quot;-&quot;??_ ;_ @_ ">
                  <c:v>-297.576931561246</c:v>
                </c:pt>
                <c:pt idx="867" formatCode="_ [$₹-4009]\ * #,##0.00_ ;_ [$₹-4009]\ * \-#,##0.00_ ;_ [$₹-4009]\ * &quot;-&quot;??_ ;_ @_ ">
                  <c:v>-157.10155727973401</c:v>
                </c:pt>
                <c:pt idx="868" formatCode="_ [$₹-4009]\ * #,##0.00_ ;_ [$₹-4009]\ * \-#,##0.00_ ;_ [$₹-4009]\ * &quot;-&quot;??_ ;_ @_ ">
                  <c:v>-165.35411749071801</c:v>
                </c:pt>
                <c:pt idx="869" formatCode="_ [$₹-4009]\ * #,##0.00_ ;_ [$₹-4009]\ * \-#,##0.00_ ;_ [$₹-4009]\ * &quot;-&quot;??_ ;_ @_ ">
                  <c:v>-293.03990798762499</c:v>
                </c:pt>
                <c:pt idx="870" formatCode="_ [$₹-4009]\ * #,##0.00_ ;_ [$₹-4009]\ * \-#,##0.00_ ;_ [$₹-4009]\ * &quot;-&quot;??_ ;_ @_ ">
                  <c:v>-125.86262413167999</c:v>
                </c:pt>
                <c:pt idx="871" formatCode="_ [$₹-4009]\ * #,##0.00_ ;_ [$₹-4009]\ * \-#,##0.00_ ;_ [$₹-4009]\ * &quot;-&quot;??_ ;_ @_ ">
                  <c:v>-252.710703966376</c:v>
                </c:pt>
                <c:pt idx="872" formatCode="_ [$₹-4009]\ * #,##0.00_ ;_ [$₹-4009]\ * \-#,##0.00_ ;_ [$₹-4009]\ * &quot;-&quot;??_ ;_ @_ ">
                  <c:v>-401.95664823702901</c:v>
                </c:pt>
                <c:pt idx="873" formatCode="_ [$₹-4009]\ * #,##0.00_ ;_ [$₹-4009]\ * \-#,##0.00_ ;_ [$₹-4009]\ * &quot;-&quot;??_ ;_ @_ ">
                  <c:v>-368.21964106073199</c:v>
                </c:pt>
                <c:pt idx="874" formatCode="_ [$₹-4009]\ * #,##0.00_ ;_ [$₹-4009]\ * \-#,##0.00_ ;_ [$₹-4009]\ * &quot;-&quot;??_ ;_ @_ ">
                  <c:v>-273.96487952699601</c:v>
                </c:pt>
                <c:pt idx="875" formatCode="_ [$₹-4009]\ * #,##0.00_ ;_ [$₹-4009]\ * \-#,##0.00_ ;_ [$₹-4009]\ * &quot;-&quot;??_ ;_ @_ ">
                  <c:v>-396.86502954429801</c:v>
                </c:pt>
                <c:pt idx="876" formatCode="_ [$₹-4009]\ * #,##0.00_ ;_ [$₹-4009]\ * \-#,##0.00_ ;_ [$₹-4009]\ * &quot;-&quot;??_ ;_ @_ ">
                  <c:v>-257.07698511060897</c:v>
                </c:pt>
                <c:pt idx="877" formatCode="_ [$₹-4009]\ * #,##0.00_ ;_ [$₹-4009]\ * \-#,##0.00_ ;_ [$₹-4009]\ * &quot;-&quot;??_ ;_ @_ ">
                  <c:v>-266.014898083454</c:v>
                </c:pt>
                <c:pt idx="878" formatCode="_ [$₹-4009]\ * #,##0.00_ ;_ [$₹-4009]\ * \-#,##0.00_ ;_ [$₹-4009]\ * &quot;-&quot;??_ ;_ @_ ">
                  <c:v>-394.38401570912498</c:v>
                </c:pt>
                <c:pt idx="879" formatCode="_ [$₹-4009]\ * #,##0.00_ ;_ [$₹-4009]\ * \-#,##0.00_ ;_ [$₹-4009]\ * &quot;-&quot;??_ ;_ @_ ">
                  <c:v>-227.88798665968099</c:v>
                </c:pt>
                <c:pt idx="880" formatCode="_ [$₹-4009]\ * #,##0.00_ ;_ [$₹-4009]\ * \-#,##0.00_ ;_ [$₹-4009]\ * &quot;-&quot;??_ ;_ @_ ">
                  <c:v>-355.41520412647202</c:v>
                </c:pt>
                <c:pt idx="881" formatCode="_ [$₹-4009]\ * #,##0.00_ ;_ [$₹-4009]\ * \-#,##0.00_ ;_ [$₹-4009]\ * &quot;-&quot;??_ ;_ @_ ">
                  <c:v>-505.33812581762299</c:v>
                </c:pt>
                <c:pt idx="882" formatCode="_ [$₹-4009]\ * #,##0.00_ ;_ [$₹-4009]\ * \-#,##0.00_ ;_ [$₹-4009]\ * &quot;-&quot;??_ ;_ @_ ">
                  <c:v>-472.27589460490998</c:v>
                </c:pt>
                <c:pt idx="883" formatCode="_ [$₹-4009]\ * #,##0.00_ ;_ [$₹-4009]\ * \-#,##0.00_ ;_ [$₹-4009]\ * &quot;-&quot;??_ ;_ @_ ">
                  <c:v>-378.69366810035001</c:v>
                </c:pt>
                <c:pt idx="884" formatCode="_ [$₹-4009]\ * #,##0.00_ ;_ [$₹-4009]\ * \-#,##0.00_ ;_ [$₹-4009]\ * &quot;-&quot;??_ ;_ @_ ">
                  <c:v>-502.14669723880701</c:v>
                </c:pt>
                <c:pt idx="885" formatCode="_ [$₹-4009]\ * #,##0.00_ ;_ [$₹-4009]\ * \-#,##0.00_ ;_ [$₹-4009]\ * &quot;-&quot;??_ ;_ @_ ">
                  <c:v>-363.02494268299102</c:v>
                </c:pt>
                <c:pt idx="886" formatCode="_ [$₹-4009]\ * #,##0.00_ ;_ [$₹-4009]\ * \-#,##0.00_ ;_ [$₹-4009]\ * &quot;-&quot;??_ ;_ @_ ">
                  <c:v>-372.62689381783701</c:v>
                </c:pt>
                <c:pt idx="887" formatCode="_ [$₹-4009]\ * #,##0.00_ ;_ [$₹-4009]\ * \-#,##0.00_ ;_ [$₹-4009]\ * &quot;-&quot;??_ ;_ @_ ">
                  <c:v>-501.657763603327</c:v>
                </c:pt>
                <c:pt idx="888" formatCode="_ [$₹-4009]\ * #,##0.00_ ;_ [$₹-4009]\ * \-#,##0.00_ ;_ [$₹-4009]\ * &quot;-&quot;??_ ;_ @_ ">
                  <c:v>-335.82116803889301</c:v>
                </c:pt>
                <c:pt idx="889" formatCode="_ [$₹-4009]\ * #,##0.00_ ;_ [$₹-4009]\ * \-#,##0.00_ ;_ [$₹-4009]\ * &quot;-&quot;??_ ;_ @_ ">
                  <c:v>-464.00546923078502</c:v>
                </c:pt>
                <c:pt idx="890" formatCode="_ [$₹-4009]\ * #,##0.00_ ;_ [$₹-4009]\ * \-#,##0.00_ ;_ [$₹-4009]\ * &quot;-&quot;??_ ;_ @_ ">
                  <c:v>-614.58309536280899</c:v>
                </c:pt>
                <c:pt idx="891" formatCode="_ [$₹-4009]\ * #,##0.00_ ;_ [$₹-4009]\ * \-#,##0.00_ ;_ [$₹-4009]\ * &quot;-&quot;??_ ;_ @_ ">
                  <c:v>-582.17316131591599</c:v>
                </c:pt>
                <c:pt idx="892" formatCode="_ [$₹-4009]\ * #,##0.00_ ;_ [$₹-4009]\ * \-#,##0.00_ ;_ [$₹-4009]\ * &quot;-&quot;??_ ;_ @_ ">
                  <c:v>-489.24079821703799</c:v>
                </c:pt>
                <c:pt idx="893" formatCode="_ [$₹-4009]\ * #,##0.00_ ;_ [$₹-4009]\ * \-#,##0.00_ ;_ [$₹-4009]\ * &quot;-&quot;??_ ;_ @_ ">
                  <c:v>-613.181937676909</c:v>
                </c:pt>
                <c:pt idx="894" formatCode="_ [$₹-4009]\ * #,##0.00_ ;_ [$₹-4009]\ * \-#,##0.00_ ;_ [$₹-4009]\ * &quot;-&quot;??_ ;_ @_ ">
                  <c:v>-474.70427660368699</c:v>
                </c:pt>
                <c:pt idx="895" formatCode="_ [$₹-4009]\ * #,##0.00_ ;_ [$₹-4009]\ * \-#,##0.00_ ;_ [$₹-4009]\ * &quot;-&quot;??_ ;_ @_ ">
                  <c:v>-484.947900697313</c:v>
                </c:pt>
                <c:pt idx="896" formatCode="_ [$₹-4009]\ * #,##0.00_ ;_ [$₹-4009]\ * \-#,##0.00_ ;_ [$₹-4009]\ * &quot;-&quot;??_ ;_ @_ ">
                  <c:v>-614.61800046057999</c:v>
                </c:pt>
                <c:pt idx="897" formatCode="_ [$₹-4009]\ * #,##0.00_ ;_ [$₹-4009]\ * \-#,##0.00_ ;_ [$₹-4009]\ * &quot;-&quot;??_ ;_ @_ ">
                  <c:v>-449.41817079189798</c:v>
                </c:pt>
                <c:pt idx="898" formatCode="_ [$₹-4009]\ * #,##0.00_ ;_ [$₹-4009]\ * \-#,##0.00_ ;_ [$₹-4009]\ * &quot;-&quot;??_ ;_ @_ ">
                  <c:v>-578.23675402489005</c:v>
                </c:pt>
                <c:pt idx="899" formatCode="_ [$₹-4009]\ * #,##0.00_ ;_ [$₹-4009]\ * \-#,##0.00_ ;_ [$₹-4009]\ * &quot;-&quot;??_ ;_ @_ ">
                  <c:v>-729.44615987115196</c:v>
                </c:pt>
                <c:pt idx="900" formatCode="_ [$₹-4009]\ * #,##0.00_ ;_ [$₹-4009]\ * \-#,##0.00_ ;_ [$₹-4009]\ * &quot;-&quot;??_ ;_ @_ ">
                  <c:v>-697.66548601170996</c:v>
                </c:pt>
                <c:pt idx="901" formatCode="_ [$₹-4009]\ * #,##0.00_ ;_ [$₹-4009]\ * \-#,##0.00_ ;_ [$₹-4009]\ * &quot;-&quot;??_ ;_ @_ ">
                  <c:v>-605.359847617588</c:v>
                </c:pt>
                <c:pt idx="902" formatCode="_ [$₹-4009]\ * #,##0.00_ ;_ [$₹-4009]\ * \-#,##0.00_ ;_ [$₹-4009]\ * &quot;-&quot;??_ ;_ @_ ">
                  <c:v>-729.73272850788999</c:v>
                </c:pt>
                <c:pt idx="903" formatCode="_ [$₹-4009]\ * #,##0.00_ ;_ [$₹-4009]\ * \-#,##0.00_ ;_ [$₹-4009]\ * &quot;-&quot;??_ ;_ @_ ">
                  <c:v>-591.87655135242096</c:v>
                </c:pt>
                <c:pt idx="904" formatCode="_ [$₹-4009]\ * #,##0.00_ ;_ [$₹-4009]\ * \-#,##0.00_ ;_ [$₹-4009]\ * &quot;-&quot;??_ ;_ @_ ">
                  <c:v>-602.73915361921604</c:v>
                </c:pt>
                <c:pt idx="905" formatCode="_ [$₹-4009]\ * #,##0.00_ ;_ [$₹-4009]\ * \-#,##0.00_ ;_ [$₹-4009]\ * &quot;-&quot;??_ ;_ @_ ">
                  <c:v>-733.025712863065</c:v>
                </c:pt>
                <c:pt idx="906" formatCode="_ [$₹-4009]\ * #,##0.00_ ;_ [$₹-4009]\ * \-#,##0.00_ ;_ [$₹-4009]\ * &quot;-&quot;??_ ;_ @_ ">
                  <c:v>-568.43981214282098</c:v>
                </c:pt>
                <c:pt idx="907" formatCode="_ [$₹-4009]\ * #,##0.00_ ;_ [$₹-4009]\ * \-#,##0.00_ ;_ [$₹-4009]\ * &quot;-&quot;??_ ;_ @_ ">
                  <c:v>-697.86978303402805</c:v>
                </c:pt>
                <c:pt idx="908" formatCode="_ [$₹-4009]\ * #,##0.00_ ;_ [$₹-4009]\ * \-#,##0.00_ ;_ [$₹-4009]\ * &quot;-&quot;??_ ;_ @_ ">
                  <c:v>-849.688025544791</c:v>
                </c:pt>
                <c:pt idx="909" formatCode="_ [$₹-4009]\ * #,##0.00_ ;_ [$₹-4009]\ * \-#,##0.00_ ;_ [$₹-4009]\ * &quot;-&quot;??_ ;_ @_ ">
                  <c:v>-818.51362868040405</c:v>
                </c:pt>
                <c:pt idx="910" formatCode="_ [$₹-4009]\ * #,##0.00_ ;_ [$₹-4009]\ * \-#,##0.00_ ;_ [$₹-4009]\ * &quot;-&quot;??_ ;_ @_ ">
                  <c:v>-726.81169993721596</c:v>
                </c:pt>
                <c:pt idx="911" formatCode="_ [$₹-4009]\ * #,##0.00_ ;_ [$₹-4009]\ * \-#,##0.00_ ;_ [$₹-4009]\ * &quot;-&quot;??_ ;_ @_ ">
                  <c:v>-851.567690566637</c:v>
                </c:pt>
                <c:pt idx="912" formatCode="_ [$₹-4009]\ * #,##0.00_ ;_ [$₹-4009]\ * \-#,##0.00_ ;_ [$₹-4009]\ * &quot;-&quot;??_ ;_ @_ ">
                  <c:v>-714.31052666286598</c:v>
                </c:pt>
                <c:pt idx="913" formatCode="_ [$₹-4009]\ * #,##0.00_ ;_ [$₹-4009]\ * \-#,##0.00_ ;_ [$₹-4009]\ * &quot;-&quot;??_ ;_ @_ ">
                  <c:v>-725.76961508679506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A-453F-91B9-3BB45D91754A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 Total_Amount 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forecast!$E$2:$E$915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3124.41045976431</c:v>
                </c:pt>
                <c:pt idx="732" formatCode="_ [$₹-4009]\ * #,##0.00_ ;_ [$₹-4009]\ * \-#,##0.00_ ;_ [$₹-4009]\ * &quot;-&quot;??_ ;_ @_ ">
                  <c:v>3273.2054250138399</c:v>
                </c:pt>
                <c:pt idx="733" formatCode="_ [$₹-4009]\ * #,##0.00_ ;_ [$₹-4009]\ * \-#,##0.00_ ;_ [$₹-4009]\ * &quot;-&quot;??_ ;_ @_ ">
                  <c:v>3273.36442550123</c:v>
                </c:pt>
                <c:pt idx="734" formatCode="_ [$₹-4009]\ * #,##0.00_ ;_ [$₹-4009]\ * \-#,##0.00_ ;_ [$₹-4009]\ * &quot;-&quot;??_ ;_ @_ ">
                  <c:v>3154.1833346748199</c:v>
                </c:pt>
                <c:pt idx="735" formatCode="_ [$₹-4009]\ * #,##0.00_ ;_ [$₹-4009]\ * \-#,##0.00_ ;_ [$₹-4009]\ * &quot;-&quot;??_ ;_ @_ ">
                  <c:v>3329.9596183926801</c:v>
                </c:pt>
                <c:pt idx="736" formatCode="_ [$₹-4009]\ * #,##0.00_ ;_ [$₹-4009]\ * \-#,##0.00_ ;_ [$₹-4009]\ * &quot;-&quot;??_ ;_ @_ ">
                  <c:v>3211.80599197522</c:v>
                </c:pt>
                <c:pt idx="737" formatCode="_ [$₹-4009]\ * #,##0.00_ ;_ [$₹-4009]\ * \-#,##0.00_ ;_ [$₹-4009]\ * &quot;-&quot;??_ ;_ @_ ">
                  <c:v>3071.35110033806</c:v>
                </c:pt>
                <c:pt idx="738" formatCode="_ [$₹-4009]\ * #,##0.00_ ;_ [$₹-4009]\ * \-#,##0.00_ ;_ [$₹-4009]\ * &quot;-&quot;??_ ;_ @_ ">
                  <c:v>3113.9768974598001</c:v>
                </c:pt>
                <c:pt idx="739" formatCode="_ [$₹-4009]\ * #,##0.00_ ;_ [$₹-4009]\ * \-#,##0.00_ ;_ [$₹-4009]\ * &quot;-&quot;??_ ;_ @_ ">
                  <c:v>3217.2193169041502</c:v>
                </c:pt>
                <c:pt idx="740" formatCode="_ [$₹-4009]\ * #,##0.00_ ;_ [$₹-4009]\ * \-#,##0.00_ ;_ [$₹-4009]\ * &quot;-&quot;??_ ;_ @_ ">
                  <c:v>3137.60899891089</c:v>
                </c:pt>
                <c:pt idx="741" formatCode="_ [$₹-4009]\ * #,##0.00_ ;_ [$₹-4009]\ * \-#,##0.00_ ;_ [$₹-4009]\ * &quot;-&quot;??_ ;_ @_ ">
                  <c:v>3286.4941254748601</c:v>
                </c:pt>
                <c:pt idx="742" formatCode="_ [$₹-4009]\ * #,##0.00_ ;_ [$₹-4009]\ * \-#,##0.00_ ;_ [$₹-4009]\ * &quot;-&quot;??_ ;_ @_ ">
                  <c:v>3286.7552636401801</c:v>
                </c:pt>
                <c:pt idx="743" formatCode="_ [$₹-4009]\ * #,##0.00_ ;_ [$₹-4009]\ * \-#,##0.00_ ;_ [$₹-4009]\ * &quot;-&quot;??_ ;_ @_ ">
                  <c:v>3167.6882699593998</c:v>
                </c:pt>
                <c:pt idx="744" formatCode="_ [$₹-4009]\ * #,##0.00_ ;_ [$₹-4009]\ * \-#,##0.00_ ;_ [$₹-4009]\ * &quot;-&quot;??_ ;_ @_ ">
                  <c:v>3343.5905923392402</c:v>
                </c:pt>
                <c:pt idx="745" formatCode="_ [$₹-4009]\ * #,##0.00_ ;_ [$₹-4009]\ * \-#,##0.00_ ;_ [$₹-4009]\ * &quot;-&quot;??_ ;_ @_ ">
                  <c:v>3225.5749269786002</c:v>
                </c:pt>
                <c:pt idx="746" formatCode="_ [$₹-4009]\ * #,##0.00_ ;_ [$₹-4009]\ * \-#,##0.00_ ;_ [$₹-4009]\ * &quot;-&quot;??_ ;_ @_ ">
                  <c:v>3085.2698983876298</c:v>
                </c:pt>
                <c:pt idx="747" formatCode="_ [$₹-4009]\ * #,##0.00_ ;_ [$₹-4009]\ * \-#,##0.00_ ;_ [$₹-4009]\ * &quot;-&quot;??_ ;_ @_ ">
                  <c:v>3128.0574387427801</c:v>
                </c:pt>
                <c:pt idx="748" formatCode="_ [$₹-4009]\ * #,##0.00_ ;_ [$₹-4009]\ * \-#,##0.00_ ;_ [$₹-4009]\ * &quot;-&quot;??_ ;_ @_ ">
                  <c:v>3231.4734582972601</c:v>
                </c:pt>
                <c:pt idx="749" formatCode="_ [$₹-4009]\ * #,##0.00_ ;_ [$₹-4009]\ * \-#,##0.00_ ;_ [$₹-4009]\ * &quot;-&quot;??_ ;_ @_ ">
                  <c:v>3153.4116039426999</c:v>
                </c:pt>
                <c:pt idx="750" formatCode="_ [$₹-4009]\ * #,##0.00_ ;_ [$₹-4009]\ * \-#,##0.00_ ;_ [$₹-4009]\ * &quot;-&quot;??_ ;_ @_ ">
                  <c:v>3302.4919200180798</c:v>
                </c:pt>
                <c:pt idx="751" formatCode="_ [$₹-4009]\ * #,##0.00_ ;_ [$₹-4009]\ * \-#,##0.00_ ;_ [$₹-4009]\ * &quot;-&quot;??_ ;_ @_ ">
                  <c:v>3302.9598936787502</c:v>
                </c:pt>
                <c:pt idx="752" formatCode="_ [$₹-4009]\ * #,##0.00_ ;_ [$₹-4009]\ * \-#,##0.00_ ;_ [$₹-4009]\ * &quot;-&quot;??_ ;_ @_ ">
                  <c:v>3184.1113504832501</c:v>
                </c:pt>
                <c:pt idx="753" formatCode="_ [$₹-4009]\ * #,##0.00_ ;_ [$₹-4009]\ * \-#,##0.00_ ;_ [$₹-4009]\ * &quot;-&quot;??_ ;_ @_ ">
                  <c:v>3360.2437053612998</c:v>
                </c:pt>
                <c:pt idx="754" formatCode="_ [$₹-4009]\ * #,##0.00_ ;_ [$₹-4009]\ * \-#,##0.00_ ;_ [$₹-4009]\ * &quot;-&quot;??_ ;_ @_ ">
                  <c:v>3242.46961945266</c:v>
                </c:pt>
                <c:pt idx="755" formatCode="_ [$₹-4009]\ * #,##0.00_ ;_ [$₹-4009]\ * \-#,##0.00_ ;_ [$₹-4009]\ * &quot;-&quot;??_ ;_ @_ ">
                  <c:v>3102.4176800292198</c:v>
                </c:pt>
                <c:pt idx="756" formatCode="_ [$₹-4009]\ * #,##0.00_ ;_ [$₹-4009]\ * \-#,##0.00_ ;_ [$₹-4009]\ * &quot;-&quot;??_ ;_ @_ ">
                  <c:v>3145.4697797550598</c:v>
                </c:pt>
                <c:pt idx="757" formatCode="_ [$₹-4009]\ * #,##0.00_ ;_ [$₹-4009]\ * \-#,##0.00_ ;_ [$₹-4009]\ * &quot;-&quot;??_ ;_ @_ ">
                  <c:v>3249.1617870043901</c:v>
                </c:pt>
                <c:pt idx="758" formatCode="_ [$₹-4009]\ * #,##0.00_ ;_ [$₹-4009]\ * \-#,##0.00_ ;_ [$₹-4009]\ * &quot;-&quot;??_ ;_ @_ ">
                  <c:v>3172.68367482338</c:v>
                </c:pt>
                <c:pt idx="759" formatCode="_ [$₹-4009]\ * #,##0.00_ ;_ [$₹-4009]\ * \-#,##0.00_ ;_ [$₹-4009]\ * &quot;-&quot;??_ ;_ @_ ">
                  <c:v>3322.0592587742799</c:v>
                </c:pt>
                <c:pt idx="760" formatCode="_ [$₹-4009]\ * #,##0.00_ ;_ [$₹-4009]\ * \-#,##0.00_ ;_ [$₹-4009]\ * &quot;-&quot;??_ ;_ @_ ">
                  <c:v>3322.8336485101099</c:v>
                </c:pt>
                <c:pt idx="761" formatCode="_ [$₹-4009]\ * #,##0.00_ ;_ [$₹-4009]\ * \-#,##0.00_ ;_ [$₹-4009]\ * &quot;-&quot;??_ ;_ @_ ">
                  <c:v>3204.3026176580402</c:v>
                </c:pt>
                <c:pt idx="762" formatCode="_ [$₹-4009]\ * #,##0.00_ ;_ [$₹-4009]\ * \-#,##0.00_ ;_ [$₹-4009]\ * &quot;-&quot;??_ ;_ @_ ">
                  <c:v>3380.7635265214699</c:v>
                </c:pt>
                <c:pt idx="763" formatCode="_ [$₹-4009]\ * #,##0.00_ ;_ [$₹-4009]\ * \-#,##0.00_ ;_ [$₹-4009]\ * &quot;-&quot;??_ ;_ @_ ">
                  <c:v>3263.3289788464999</c:v>
                </c:pt>
                <c:pt idx="764" formatCode="_ [$₹-4009]\ * #,##0.00_ ;_ [$₹-4009]\ * \-#,##0.00_ ;_ [$₹-4009]\ * &quot;-&quot;??_ ;_ @_ ">
                  <c:v>3123.6275016749901</c:v>
                </c:pt>
                <c:pt idx="765" formatCode="_ [$₹-4009]\ * #,##0.00_ ;_ [$₹-4009]\ * \-#,##0.00_ ;_ [$₹-4009]\ * &quot;-&quot;??_ ;_ @_ ">
                  <c:v>3167.0409245393298</c:v>
                </c:pt>
                <c:pt idx="766" formatCode="_ [$₹-4009]\ * #,##0.00_ ;_ [$₹-4009]\ * \-#,##0.00_ ;_ [$₹-4009]\ * &quot;-&quot;??_ ;_ @_ ">
                  <c:v>3271.1050497186998</c:v>
                </c:pt>
                <c:pt idx="767" formatCode="_ [$₹-4009]\ * #,##0.00_ ;_ [$₹-4009]\ * \-#,##0.00_ ;_ [$₹-4009]\ * &quot;-&quot;??_ ;_ @_ ">
                  <c:v>3196.2231291678399</c:v>
                </c:pt>
                <c:pt idx="768" formatCode="_ [$₹-4009]\ * #,##0.00_ ;_ [$₹-4009]\ * \-#,##0.00_ ;_ [$₹-4009]\ * &quot;-&quot;??_ ;_ @_ ">
                  <c:v>3345.98731633945</c:v>
                </c:pt>
                <c:pt idx="769" formatCode="_ [$₹-4009]\ * #,##0.00_ ;_ [$₹-4009]\ * \-#,##0.00_ ;_ [$₹-4009]\ * &quot;-&quot;??_ ;_ @_ ">
                  <c:v>3347.1607504968001</c:v>
                </c:pt>
                <c:pt idx="770" formatCode="_ [$₹-4009]\ * #,##0.00_ ;_ [$₹-4009]\ * \-#,##0.00_ ;_ [$₹-4009]\ * &quot;-&quot;??_ ;_ @_ ">
                  <c:v>3229.03912816406</c:v>
                </c:pt>
                <c:pt idx="771" formatCode="_ [$₹-4009]\ * #,##0.00_ ;_ [$₹-4009]\ * \-#,##0.00_ ;_ [$₹-4009]\ * &quot;-&quot;??_ ;_ @_ ">
                  <c:v>3405.9197294450601</c:v>
                </c:pt>
                <c:pt idx="772" formatCode="_ [$₹-4009]\ * #,##0.00_ ;_ [$₹-4009]\ * \-#,##0.00_ ;_ [$₹-4009]\ * &quot;-&quot;??_ ;_ @_ ">
                  <c:v>3288.9150747550798</c:v>
                </c:pt>
                <c:pt idx="773" formatCode="_ [$₹-4009]\ * #,##0.00_ ;_ [$₹-4009]\ * \-#,##0.00_ ;_ [$₹-4009]\ * &quot;-&quot;??_ ;_ @_ ">
                  <c:v>3149.6536046440001</c:v>
                </c:pt>
                <c:pt idx="774" formatCode="_ [$₹-4009]\ * #,##0.00_ ;_ [$₹-4009]\ * \-#,##0.00_ ;_ [$₹-4009]\ * &quot;-&quot;??_ ;_ @_ ">
                  <c:v>3193.5170589658701</c:v>
                </c:pt>
                <c:pt idx="775" formatCode="_ [$₹-4009]\ * #,##0.00_ ;_ [$₹-4009]\ * \-#,##0.00_ ;_ [$₹-4009]\ * &quot;-&quot;??_ ;_ @_ ">
                  <c:v>3298.04114711495</c:v>
                </c:pt>
                <c:pt idx="776" formatCode="_ [$₹-4009]\ * #,##0.00_ ;_ [$₹-4009]\ * \-#,##0.00_ ;_ [$₹-4009]\ * &quot;-&quot;??_ ;_ @_ ">
                  <c:v>3224.7436268837901</c:v>
                </c:pt>
                <c:pt idx="777" formatCode="_ [$₹-4009]\ * #,##0.00_ ;_ [$₹-4009]\ * \-#,##0.00_ ;_ [$₹-4009]\ * &quot;-&quot;??_ ;_ @_ ">
                  <c:v>3374.9810750197198</c:v>
                </c:pt>
                <c:pt idx="778" formatCode="_ [$₹-4009]\ * #,##0.00_ ;_ [$₹-4009]\ * \-#,##0.00_ ;_ [$₹-4009]\ * &quot;-&quot;??_ ;_ @_ ">
                  <c:v>3376.6372815684899</c:v>
                </c:pt>
                <c:pt idx="779" formatCode="_ [$₹-4009]\ * #,##0.00_ ;_ [$₹-4009]\ * \-#,##0.00_ ;_ [$₹-4009]\ * &quot;-&quot;??_ ;_ @_ ">
                  <c:v>3259.0078398016699</c:v>
                </c:pt>
                <c:pt idx="780" formatCode="_ [$₹-4009]\ * #,##0.00_ ;_ [$₹-4009]\ * \-#,##0.00_ ;_ [$₹-4009]\ * &quot;-&quot;??_ ;_ @_ ">
                  <c:v>3436.3899234516298</c:v>
                </c:pt>
                <c:pt idx="781" formatCode="_ [$₹-4009]\ * #,##0.00_ ;_ [$₹-4009]\ * \-#,##0.00_ ;_ [$₹-4009]\ * &quot;-&quot;??_ ;_ @_ ">
                  <c:v>3319.8959434533299</c:v>
                </c:pt>
                <c:pt idx="782" formatCode="_ [$₹-4009]\ * #,##0.00_ ;_ [$₹-4009]\ * \-#,##0.00_ ;_ [$₹-4009]\ * &quot;-&quot;??_ ;_ @_ ">
                  <c:v>3181.1542277826802</c:v>
                </c:pt>
                <c:pt idx="783" formatCode="_ [$₹-4009]\ * #,##0.00_ ;_ [$₹-4009]\ * \-#,##0.00_ ;_ [$₹-4009]\ * &quot;-&quot;??_ ;_ @_ ">
                  <c:v>3225.54640064668</c:v>
                </c:pt>
                <c:pt idx="784" formatCode="_ [$₹-4009]\ * #,##0.00_ ;_ [$₹-4009]\ * \-#,##0.00_ ;_ [$₹-4009]\ * &quot;-&quot;??_ ;_ @_ ">
                  <c:v>3330.6080527454201</c:v>
                </c:pt>
                <c:pt idx="785" formatCode="_ [$₹-4009]\ * #,##0.00_ ;_ [$₹-4009]\ * \-#,##0.00_ ;_ [$₹-4009]\ * &quot;-&quot;??_ ;_ @_ ">
                  <c:v>3258.8590314947401</c:v>
                </c:pt>
                <c:pt idx="786" formatCode="_ [$₹-4009]\ * #,##0.00_ ;_ [$₹-4009]\ * \-#,##0.00_ ;_ [$₹-4009]\ * &quot;-&quot;??_ ;_ @_ ">
                  <c:v>3409.6439198040998</c:v>
                </c:pt>
                <c:pt idx="787" formatCode="_ [$₹-4009]\ * #,##0.00_ ;_ [$₹-4009]\ * \-#,##0.00_ ;_ [$₹-4009]\ * &quot;-&quot;??_ ;_ @_ ">
                  <c:v>3411.8559427334799</c:v>
                </c:pt>
                <c:pt idx="788" formatCode="_ [$₹-4009]\ * #,##0.00_ ;_ [$₹-4009]\ * \-#,##0.00_ ;_ [$₹-4009]\ * &quot;-&quot;??_ ;_ @_ ">
                  <c:v>3294.7905666470101</c:v>
                </c:pt>
                <c:pt idx="789" formatCode="_ [$₹-4009]\ * #,##0.00_ ;_ [$₹-4009]\ * \-#,##0.00_ ;_ [$₹-4009]\ * &quot;-&quot;??_ ;_ @_ ">
                  <c:v>3472.7448356193099</c:v>
                </c:pt>
                <c:pt idx="790" formatCode="_ [$₹-4009]\ * #,##0.00_ ;_ [$₹-4009]\ * \-#,##0.00_ ;_ [$₹-4009]\ * &quot;-&quot;??_ ;_ @_ ">
                  <c:v>3356.83102823122</c:v>
                </c:pt>
                <c:pt idx="791" formatCode="_ [$₹-4009]\ * #,##0.00_ ;_ [$₹-4009]\ * \-#,##0.00_ ;_ [$₹-4009]\ * &quot;-&quot;??_ ;_ @_ ">
                  <c:v>3218.6773374671202</c:v>
                </c:pt>
                <c:pt idx="792" formatCode="_ [$₹-4009]\ * #,##0.00_ ;_ [$₹-4009]\ * \-#,##0.00_ ;_ [$₹-4009]\ * &quot;-&quot;??_ ;_ @_ ">
                  <c:v>3263.6652499687998</c:v>
                </c:pt>
                <c:pt idx="793" formatCode="_ [$₹-4009]\ * #,##0.00_ ;_ [$₹-4009]\ * \-#,##0.00_ ;_ [$₹-4009]\ * &quot;-&quot;??_ ;_ @_ ">
                  <c:v>3369.3302163661301</c:v>
                </c:pt>
                <c:pt idx="794" formatCode="_ [$₹-4009]\ * #,##0.00_ ;_ [$₹-4009]\ * \-#,##0.00_ ;_ [$₹-4009]\ * &quot;-&quot;??_ ;_ @_ ">
                  <c:v>3299.0714474492502</c:v>
                </c:pt>
                <c:pt idx="795" formatCode="_ [$₹-4009]\ * #,##0.00_ ;_ [$₹-4009]\ * \-#,##0.00_ ;_ [$₹-4009]\ * &quot;-&quot;??_ ;_ @_ ">
                  <c:v>3450.4660688926001</c:v>
                </c:pt>
                <c:pt idx="796" formatCode="_ [$₹-4009]\ * #,##0.00_ ;_ [$₹-4009]\ * \-#,##0.00_ ;_ [$₹-4009]\ * &quot;-&quot;??_ ;_ @_ ">
                  <c:v>3453.2949062286898</c:v>
                </c:pt>
                <c:pt idx="797" formatCode="_ [$₹-4009]\ * #,##0.00_ ;_ [$₹-4009]\ * \-#,##0.00_ ;_ [$₹-4009]\ * &quot;-&quot;??_ ;_ @_ ">
                  <c:v>3336.8532808320501</c:v>
                </c:pt>
                <c:pt idx="798" formatCode="_ [$₹-4009]\ * #,##0.00_ ;_ [$₹-4009]\ * \-#,##0.00_ ;_ [$₹-4009]\ * &quot;-&quot;??_ ;_ @_ ">
                  <c:v>3515.4380897363599</c:v>
                </c:pt>
                <c:pt idx="799" formatCode="_ [$₹-4009]\ * #,##0.00_ ;_ [$₹-4009]\ * \-#,##0.00_ ;_ [$₹-4009]\ * &quot;-&quot;??_ ;_ @_ ">
                  <c:v>3400.1614625193502</c:v>
                </c:pt>
                <c:pt idx="800" formatCode="_ [$₹-4009]\ * #,##0.00_ ;_ [$₹-4009]\ * \-#,##0.00_ ;_ [$₹-4009]\ * &quot;-&quot;??_ ;_ @_ ">
                  <c:v>3262.65144129284</c:v>
                </c:pt>
                <c:pt idx="801" formatCode="_ [$₹-4009]\ * #,##0.00_ ;_ [$₹-4009]\ * \-#,##0.00_ ;_ [$₹-4009]\ * &quot;-&quot;??_ ;_ @_ ">
                  <c:v>3308.2893600530401</c:v>
                </c:pt>
                <c:pt idx="802" formatCode="_ [$₹-4009]\ * #,##0.00_ ;_ [$₹-4009]\ * \-#,##0.00_ ;_ [$₹-4009]\ * &quot;-&quot;??_ ;_ @_ ">
                  <c:v>3414.6105151107799</c:v>
                </c:pt>
                <c:pt idx="803" formatCode="_ [$₹-4009]\ * #,##0.00_ ;_ [$₹-4009]\ * \-#,##0.00_ ;_ [$₹-4009]\ * &quot;-&quot;??_ ;_ @_ ">
                  <c:v>3345.7646430252998</c:v>
                </c:pt>
                <c:pt idx="804" formatCode="_ [$₹-4009]\ * #,##0.00_ ;_ [$₹-4009]\ * \-#,##0.00_ ;_ [$₹-4009]\ * &quot;-&quot;??_ ;_ @_ ">
                  <c:v>3497.8185858187799</c:v>
                </c:pt>
                <c:pt idx="805" formatCode="_ [$₹-4009]\ * #,##0.00_ ;_ [$₹-4009]\ * \-#,##0.00_ ;_ [$₹-4009]\ * &quot;-&quot;??_ ;_ @_ ">
                  <c:v>3501.3124374446902</c:v>
                </c:pt>
                <c:pt idx="806" formatCode="_ [$₹-4009]\ * #,##0.00_ ;_ [$₹-4009]\ * \-#,##0.00_ ;_ [$₹-4009]\ * &quot;-&quot;??_ ;_ @_ ">
                  <c:v>3385.5413638832601</c:v>
                </c:pt>
                <c:pt idx="807" formatCode="_ [$₹-4009]\ * #,##0.00_ ;_ [$₹-4009]\ * \-#,##0.00_ ;_ [$₹-4009]\ * &quot;-&quot;??_ ;_ @_ ">
                  <c:v>3564.8021056308198</c:v>
                </c:pt>
                <c:pt idx="808" formatCode="_ [$₹-4009]\ * #,##0.00_ ;_ [$₹-4009]\ * \-#,##0.00_ ;_ [$₹-4009]\ * &quot;-&quot;??_ ;_ @_ ">
                  <c:v>3450.20663469378</c:v>
                </c:pt>
                <c:pt idx="809" formatCode="_ [$₹-4009]\ * #,##0.00_ ;_ [$₹-4009]\ * \-#,##0.00_ ;_ [$₹-4009]\ * &quot;-&quot;??_ ;_ @_ ">
                  <c:v>3313.3828346898199</c:v>
                </c:pt>
                <c:pt idx="810" formatCode="_ [$₹-4009]\ * #,##0.00_ ;_ [$₹-4009]\ * \-#,##0.00_ ;_ [$₹-4009]\ * &quot;-&quot;??_ ;_ @_ ">
                  <c:v>3359.7118803107801</c:v>
                </c:pt>
                <c:pt idx="811" formatCode="_ [$₹-4009]\ * #,##0.00_ ;_ [$₹-4009]\ * \-#,##0.00_ ;_ [$₹-4009]\ * &quot;-&quot;??_ ;_ @_ ">
                  <c:v>3466.7289078669701</c:v>
                </c:pt>
                <c:pt idx="812" formatCode="_ [$₹-4009]\ * #,##0.00_ ;_ [$₹-4009]\ * \-#,##0.00_ ;_ [$₹-4009]\ * &quot;-&quot;??_ ;_ @_ ">
                  <c:v>3399.2037877266998</c:v>
                </c:pt>
                <c:pt idx="813" formatCode="_ [$₹-4009]\ * #,##0.00_ ;_ [$₹-4009]\ * \-#,##0.00_ ;_ [$₹-4009]\ * &quot;-&quot;??_ ;_ @_ ">
                  <c:v>3551.9538019985998</c:v>
                </c:pt>
                <c:pt idx="814" formatCode="_ [$₹-4009]\ * #,##0.00_ ;_ [$₹-4009]\ * \-#,##0.00_ ;_ [$₹-4009]\ * &quot;-&quot;??_ ;_ @_ ">
                  <c:v>3556.1480117655701</c:v>
                </c:pt>
                <c:pt idx="815" formatCode="_ [$₹-4009]\ * #,##0.00_ ;_ [$₹-4009]\ * \-#,##0.00_ ;_ [$₹-4009]\ * &quot;-&quot;??_ ;_ @_ ">
                  <c:v>3441.08142567801</c:v>
                </c:pt>
                <c:pt idx="816" formatCode="_ [$₹-4009]\ * #,##0.00_ ;_ [$₹-4009]\ * \-#,##0.00_ ;_ [$₹-4009]\ * &quot;-&quot;??_ ;_ @_ ">
                  <c:v>3621.0506267260598</c:v>
                </c:pt>
                <c:pt idx="817" formatCode="_ [$₹-4009]\ * #,##0.00_ ;_ [$₹-4009]\ * \-#,##0.00_ ;_ [$₹-4009]\ * &quot;-&quot;??_ ;_ @_ ">
                  <c:v>3507.1674293458</c:v>
                </c:pt>
                <c:pt idx="818" formatCode="_ [$₹-4009]\ * #,##0.00_ ;_ [$₹-4009]\ * \-#,##0.00_ ;_ [$₹-4009]\ * &quot;-&quot;??_ ;_ @_ ">
                  <c:v>3371.0595596322901</c:v>
                </c:pt>
                <c:pt idx="819" formatCode="_ [$₹-4009]\ * #,##0.00_ ;_ [$₹-4009]\ * \-#,##0.00_ ;_ [$₹-4009]\ * &quot;-&quot;??_ ;_ @_ ">
                  <c:v>3418.1080349142098</c:v>
                </c:pt>
                <c:pt idx="820" formatCode="_ [$₹-4009]\ * #,##0.00_ ;_ [$₹-4009]\ * \-#,##0.00_ ;_ [$₹-4009]\ * &quot;-&quot;??_ ;_ @_ ">
                  <c:v>3525.84783440927</c:v>
                </c:pt>
                <c:pt idx="821" formatCode="_ [$₹-4009]\ * #,##0.00_ ;_ [$₹-4009]\ * \-#,##0.00_ ;_ [$₹-4009]\ * &quot;-&quot;??_ ;_ @_ ">
                  <c:v>3459.5414070215002</c:v>
                </c:pt>
                <c:pt idx="822" formatCode="_ [$₹-4009]\ * #,##0.00_ ;_ [$₹-4009]\ * \-#,##0.00_ ;_ [$₹-4009]\ * &quot;-&quot;??_ ;_ @_ ">
                  <c:v>3613.01194080083</c:v>
                </c:pt>
                <c:pt idx="823" formatCode="_ [$₹-4009]\ * #,##0.00_ ;_ [$₹-4009]\ * \-#,##0.00_ ;_ [$₹-4009]\ * &quot;-&quot;??_ ;_ @_ ">
                  <c:v>3617.92960498198</c:v>
                </c:pt>
                <c:pt idx="824" formatCode="_ [$₹-4009]\ * #,##0.00_ ;_ [$₹-4009]\ * \-#,##0.00_ ;_ [$₹-4009]\ * &quot;-&quot;??_ ;_ @_ ">
                  <c:v>3503.5892568991198</c:v>
                </c:pt>
                <c:pt idx="825" formatCode="_ [$₹-4009]\ * #,##0.00_ ;_ [$₹-4009]\ * \-#,##0.00_ ;_ [$₹-4009]\ * &quot;-&quot;??_ ;_ @_ ">
                  <c:v>3684.2873289342701</c:v>
                </c:pt>
                <c:pt idx="826" formatCode="_ [$₹-4009]\ * #,##0.00_ ;_ [$₹-4009]\ * \-#,##0.00_ ;_ [$₹-4009]\ * &quot;-&quot;??_ ;_ @_ ">
                  <c:v>3571.13548572335</c:v>
                </c:pt>
                <c:pt idx="827" formatCode="_ [$₹-4009]\ * #,##0.00_ ;_ [$₹-4009]\ * \-#,##0.00_ ;_ [$₹-4009]\ * &quot;-&quot;??_ ;_ @_ ">
                  <c:v>3435.7613044674599</c:v>
                </c:pt>
                <c:pt idx="828" formatCode="_ [$₹-4009]\ * #,##0.00_ ;_ [$₹-4009]\ * \-#,##0.00_ ;_ [$₹-4009]\ * &quot;-&quot;??_ ;_ @_ ">
                  <c:v>3483.5456546037599</c:v>
                </c:pt>
                <c:pt idx="829" formatCode="_ [$₹-4009]\ * #,##0.00_ ;_ [$₹-4009]\ * \-#,##0.00_ ;_ [$₹-4009]\ * &quot;-&quot;??_ ;_ @_ ">
                  <c:v>3592.0233685551598</c:v>
                </c:pt>
                <c:pt idx="830" formatCode="_ [$₹-4009]\ * #,##0.00_ ;_ [$₹-4009]\ * \-#,##0.00_ ;_ [$₹-4009]\ * &quot;-&quot;??_ ;_ @_ ">
                  <c:v>3526.8285421118599</c:v>
                </c:pt>
                <c:pt idx="831" formatCode="_ [$₹-4009]\ * #,##0.00_ ;_ [$₹-4009]\ * \-#,##0.00_ ;_ [$₹-4009]\ * &quot;-&quot;??_ ;_ @_ ">
                  <c:v>3681.03283521306</c:v>
                </c:pt>
                <c:pt idx="832" formatCode="_ [$₹-4009]\ * #,##0.00_ ;_ [$₹-4009]\ * \-#,##0.00_ ;_ [$₹-4009]\ * &quot;-&quot;??_ ;_ @_ ">
                  <c:v>3686.6859560062599</c:v>
                </c:pt>
                <c:pt idx="833" formatCode="_ [$₹-4009]\ * #,##0.00_ ;_ [$₹-4009]\ * \-#,##0.00_ ;_ [$₹-4009]\ * &quot;-&quot;??_ ;_ @_ ">
                  <c:v>3573.08262294823</c:v>
                </c:pt>
                <c:pt idx="834" formatCode="_ [$₹-4009]\ * #,##0.00_ ;_ [$₹-4009]\ * \-#,##0.00_ ;_ [$₹-4009]\ * &quot;-&quot;??_ ;_ @_ ">
                  <c:v>3754.5191309525298</c:v>
                </c:pt>
                <c:pt idx="835" formatCode="_ [$₹-4009]\ * #,##0.00_ ;_ [$₹-4009]\ * \-#,##0.00_ ;_ [$₹-4009]\ * &quot;-&quot;??_ ;_ @_ ">
                  <c:v>3642.1070086731902</c:v>
                </c:pt>
                <c:pt idx="836" formatCode="_ [$₹-4009]\ * #,##0.00_ ;_ [$₹-4009]\ * \-#,##0.00_ ;_ [$₹-4009]\ * &quot;-&quot;??_ ;_ @_ ">
                  <c:v>3507.4736988910099</c:v>
                </c:pt>
                <c:pt idx="837" formatCode="_ [$₹-4009]\ * #,##0.00_ ;_ [$₹-4009]\ * \-#,##0.00_ ;_ [$₹-4009]\ * &quot;-&quot;??_ ;_ @_ ">
                  <c:v>3555.9999382565102</c:v>
                </c:pt>
                <c:pt idx="838" formatCode="_ [$₹-4009]\ * #,##0.00_ ;_ [$₹-4009]\ * \-#,##0.00_ ;_ [$₹-4009]\ * &quot;-&quot;??_ ;_ @_ ">
                  <c:v>3665.2204281089598</c:v>
                </c:pt>
                <c:pt idx="839" formatCode="_ [$₹-4009]\ * #,##0.00_ ;_ [$₹-4009]\ * \-#,##0.00_ ;_ [$₹-4009]\ * &quot;-&quot;??_ ;_ @_ ">
                  <c:v>3601.0295025872001</c:v>
                </c:pt>
                <c:pt idx="840" formatCode="_ [$₹-4009]\ * #,##0.00_ ;_ [$₹-4009]\ * \-#,##0.00_ ;_ [$₹-4009]\ * &quot;-&quot;??_ ;_ @_ ">
                  <c:v>3755.9710674303801</c:v>
                </c:pt>
                <c:pt idx="841" formatCode="_ [$₹-4009]\ * #,##0.00_ ;_ [$₹-4009]\ * \-#,##0.00_ ;_ [$₹-4009]\ * &quot;-&quot;??_ ;_ @_ ">
                  <c:v>3762.3620748232502</c:v>
                </c:pt>
                <c:pt idx="842" formatCode="_ [$₹-4009]\ * #,##0.00_ ;_ [$₹-4009]\ * \-#,##0.00_ ;_ [$₹-4009]\ * &quot;-&quot;??_ ;_ @_ ">
                  <c:v>3649.49712115077</c:v>
                </c:pt>
                <c:pt idx="843" formatCode="_ [$₹-4009]\ * #,##0.00_ ;_ [$₹-4009]\ * \-#,##0.00_ ;_ [$₹-4009]\ * &quot;-&quot;??_ ;_ @_ ">
                  <c:v>3831.6723811328402</c:v>
                </c:pt>
                <c:pt idx="844" formatCode="_ [$₹-4009]\ * #,##0.00_ ;_ [$₹-4009]\ * \-#,##0.00_ ;_ [$₹-4009]\ * &quot;-&quot;??_ ;_ @_ ">
                  <c:v>3719.9992651593002</c:v>
                </c:pt>
                <c:pt idx="845" formatCode="_ [$₹-4009]\ * #,##0.00_ ;_ [$₹-4009]\ * \-#,##0.00_ ;_ [$₹-4009]\ * &quot;-&quot;??_ ;_ @_ ">
                  <c:v>3586.1050997244802</c:v>
                </c:pt>
                <c:pt idx="846" formatCode="_ [$₹-4009]\ * #,##0.00_ ;_ [$₹-4009]\ * \-#,##0.00_ ;_ [$₹-4009]\ * &quot;-&quot;??_ ;_ @_ ">
                  <c:v>3635.3705072153598</c:v>
                </c:pt>
                <c:pt idx="847" formatCode="_ [$₹-4009]\ * #,##0.00_ ;_ [$₹-4009]\ * \-#,##0.00_ ;_ [$₹-4009]\ * &quot;-&quot;??_ ;_ @_ ">
                  <c:v>3745.3300767727001</c:v>
                </c:pt>
                <c:pt idx="848" formatCode="_ [$₹-4009]\ * #,##0.00_ ;_ [$₹-4009]\ * \-#,##0.00_ ;_ [$₹-4009]\ * &quot;-&quot;??_ ;_ @_ ">
                  <c:v>3682.0383985959202</c:v>
                </c:pt>
                <c:pt idx="849" formatCode="_ [$₹-4009]\ * #,##0.00_ ;_ [$₹-4009]\ * \-#,##0.00_ ;_ [$₹-4009]\ * &quot;-&quot;??_ ;_ @_ ">
                  <c:v>3837.7126996874299</c:v>
                </c:pt>
                <c:pt idx="850" formatCode="_ [$₹-4009]\ * #,##0.00_ ;_ [$₹-4009]\ * \-#,##0.00_ ;_ [$₹-4009]\ * &quot;-&quot;??_ ;_ @_ ">
                  <c:v>3844.8361521348802</c:v>
                </c:pt>
                <c:pt idx="851" formatCode="_ [$₹-4009]\ * #,##0.00_ ;_ [$₹-4009]\ * \-#,##0.00_ ;_ [$₹-4009]\ * &quot;-&quot;??_ ;_ @_ ">
                  <c:v>3732.7032492983799</c:v>
                </c:pt>
                <c:pt idx="852" formatCode="_ [$₹-4009]\ * #,##0.00_ ;_ [$₹-4009]\ * \-#,##0.00_ ;_ [$₹-4009]\ * &quot;-&quot;??_ ;_ @_ ">
                  <c:v>3915.6100649895302</c:v>
                </c:pt>
                <c:pt idx="853" formatCode="_ [$₹-4009]\ * #,##0.00_ ;_ [$₹-4009]\ * \-#,##0.00_ ;_ [$₹-4009]\ * &quot;-&quot;??_ ;_ @_ ">
                  <c:v>3804.66791083216</c:v>
                </c:pt>
                <c:pt idx="854" formatCode="_ [$₹-4009]\ * #,##0.00_ ;_ [$₹-4009]\ * \-#,##0.00_ ;_ [$₹-4009]\ * &quot;-&quot;??_ ;_ @_ ">
                  <c:v>3671.50401671996</c:v>
                </c:pt>
                <c:pt idx="855" formatCode="_ [$₹-4009]\ * #,##0.00_ ;_ [$₹-4009]\ * \-#,##0.00_ ;_ [$₹-4009]\ * &quot;-&quot;??_ ;_ @_ ">
                  <c:v>3721.4989106247899</c:v>
                </c:pt>
                <c:pt idx="856" formatCode="_ [$₹-4009]\ * #,##0.00_ ;_ [$₹-4009]\ * \-#,##0.00_ ;_ [$₹-4009]\ * &quot;-&quot;??_ ;_ @_ ">
                  <c:v>3832.1870894752701</c:v>
                </c:pt>
                <c:pt idx="857" formatCode="_ [$₹-4009]\ * #,##0.00_ ;_ [$₹-4009]\ * \-#,##0.00_ ;_ [$₹-4009]\ * &quot;-&quot;??_ ;_ @_ ">
                  <c:v>3769.6957922563602</c:v>
                </c:pt>
                <c:pt idx="858" formatCode="_ [$₹-4009]\ * #,##0.00_ ;_ [$₹-4009]\ * \-#,##0.00_ ;_ [$₹-4009]\ * &quot;-&quot;??_ ;_ @_ ">
                  <c:v>3926.0919542122901</c:v>
                </c:pt>
                <c:pt idx="859" formatCode="_ [$₹-4009]\ * #,##0.00_ ;_ [$₹-4009]\ * \-#,##0.00_ ;_ [$₹-4009]\ * &quot;-&quot;??_ ;_ @_ ">
                  <c:v>3933.9362502549802</c:v>
                </c:pt>
                <c:pt idx="860" formatCode="_ [$₹-4009]\ * #,##0.00_ ;_ [$₹-4009]\ * \-#,##0.00_ ;_ [$₹-4009]\ * &quot;-&quot;??_ ;_ @_ ">
                  <c:v>3822.52309016238</c:v>
                </c:pt>
                <c:pt idx="861" formatCode="_ [$₹-4009]\ * #,##0.00_ ;_ [$₹-4009]\ * \-#,##0.00_ ;_ [$₹-4009]\ * &quot;-&quot;??_ ;_ @_ ">
                  <c:v>4006.14846632227</c:v>
                </c:pt>
                <c:pt idx="862" formatCode="_ [$₹-4009]\ * #,##0.00_ ;_ [$₹-4009]\ * \-#,##0.00_ ;_ [$₹-4009]\ * &quot;-&quot;??_ ;_ @_ ">
                  <c:v>3895.9236110977599</c:v>
                </c:pt>
                <c:pt idx="863" formatCode="_ [$₹-4009]\ * #,##0.00_ ;_ [$₹-4009]\ * \-#,##0.00_ ;_ [$₹-4009]\ * &quot;-&quot;??_ ;_ @_ ">
                  <c:v>3763.4756772870201</c:v>
                </c:pt>
                <c:pt idx="864" formatCode="_ [$₹-4009]\ * #,##0.00_ ;_ [$₹-4009]\ * \-#,##0.00_ ;_ [$₹-4009]\ * &quot;-&quot;??_ ;_ @_ ">
                  <c:v>3814.18511793174</c:v>
                </c:pt>
                <c:pt idx="865" formatCode="_ [$₹-4009]\ * #,##0.00_ ;_ [$₹-4009]\ * \-#,##0.00_ ;_ [$₹-4009]\ * &quot;-&quot;??_ ;_ @_ ">
                  <c:v>3925.5863571934301</c:v>
                </c:pt>
                <c:pt idx="866" formatCode="_ [$₹-4009]\ * #,##0.00_ ;_ [$₹-4009]\ * \-#,##0.00_ ;_ [$₹-4009]\ * &quot;-&quot;??_ ;_ @_ ">
                  <c:v>3863.8041894491098</c:v>
                </c:pt>
                <c:pt idx="867" formatCode="_ [$₹-4009]\ * #,##0.00_ ;_ [$₹-4009]\ * \-#,##0.00_ ;_ [$₹-4009]\ * &quot;-&quot;??_ ;_ @_ ">
                  <c:v>4020.90660319669</c:v>
                </c:pt>
                <c:pt idx="868" formatCode="_ [$₹-4009]\ * #,##0.00_ ;_ [$₹-4009]\ * \-#,##0.00_ ;_ [$₹-4009]\ * &quot;-&quot;??_ ;_ @_ ">
                  <c:v>4029.4555779041302</c:v>
                </c:pt>
                <c:pt idx="869" formatCode="_ [$₹-4009]\ * #,##0.00_ ;_ [$₹-4009]\ * \-#,##0.00_ ;_ [$₹-4009]\ * &quot;-&quot;??_ ;_ @_ ">
                  <c:v>3918.74545822152</c:v>
                </c:pt>
                <c:pt idx="870" formatCode="_ [$₹-4009]\ * #,##0.00_ ;_ [$₹-4009]\ * \-#,##0.00_ ;_ [$₹-4009]\ * &quot;-&quot;??_ ;_ @_ ">
                  <c:v>4103.0721734634799</c:v>
                </c:pt>
                <c:pt idx="871" formatCode="_ [$₹-4009]\ * #,##0.00_ ;_ [$₹-4009]\ * \-#,##0.00_ ;_ [$₹-4009]\ * &quot;-&quot;??_ ;_ @_ ">
                  <c:v>3993.5468949636302</c:v>
                </c:pt>
                <c:pt idx="872" formatCode="_ [$₹-4009]\ * #,##0.00_ ;_ [$₹-4009]\ * \-#,##0.00_ ;_ [$₹-4009]\ * &quot;-&quot;??_ ;_ @_ ">
                  <c:v>3861.7967165217001</c:v>
                </c:pt>
                <c:pt idx="873" formatCode="_ [$₹-4009]\ * #,##0.00_ ;_ [$₹-4009]\ * \-#,##0.00_ ;_ [$₹-4009]\ * &quot;-&quot;??_ ;_ @_ ">
                  <c:v>3913.2020341975899</c:v>
                </c:pt>
                <c:pt idx="874" formatCode="_ [$₹-4009]\ * #,##0.00_ ;_ [$₹-4009]\ * \-#,##0.00_ ;_ [$₹-4009]\ * &quot;-&quot;??_ ;_ @_ ">
                  <c:v>4025.2972171718402</c:v>
                </c:pt>
                <c:pt idx="875" formatCode="_ [$₹-4009]\ * #,##0.00_ ;_ [$₹-4009]\ * \-#,##0.00_ ;_ [$₹-4009]\ * &quot;-&quot;??_ ;_ @_ ">
                  <c:v>3964.14155853497</c:v>
                </c:pt>
                <c:pt idx="876" formatCode="_ [$₹-4009]\ * #,##0.00_ ;_ [$₹-4009]\ * \-#,##0.00_ ;_ [$₹-4009]\ * &quot;-&quot;??_ ;_ @_ ">
                  <c:v>4121.9313021303697</c:v>
                </c:pt>
                <c:pt idx="877" formatCode="_ [$₹-4009]\ * #,##0.00_ ;_ [$₹-4009]\ * \-#,##0.00_ ;_ [$₹-4009]\ * &quot;-&quot;??_ ;_ @_ ">
                  <c:v>4131.16562959967</c:v>
                </c:pt>
                <c:pt idx="878" formatCode="_ [$₹-4009]\ * #,##0.00_ ;_ [$₹-4009]\ * \-#,##0.00_ ;_ [$₹-4009]\ * &quot;-&quot;??_ ;_ @_ ">
                  <c:v>4021.1388370458199</c:v>
                </c:pt>
                <c:pt idx="879" formatCode="_ [$₹-4009]\ * #,##0.00_ ;_ [$₹-4009]\ * \-#,##0.00_ ;_ [$₹-4009]\ * &quot;-&quot;??_ ;_ @_ ">
                  <c:v>4206.1468070942801</c:v>
                </c:pt>
                <c:pt idx="880" formatCode="_ [$₹-4009]\ * #,##0.00_ ;_ [$₹-4009]\ * \-#,##0.00_ ;_ [$₹-4009]\ * &quot;-&quot;??_ ;_ @_ ">
                  <c:v>4097.3006662265298</c:v>
                </c:pt>
                <c:pt idx="881" formatCode="_ [$₹-4009]\ * #,##0.00_ ;_ [$₹-4009]\ * \-#,##0.00_ ;_ [$₹-4009]\ * &quot;-&quot;??_ ;_ @_ ">
                  <c:v>3966.2274652050901</c:v>
                </c:pt>
                <c:pt idx="882" formatCode="_ [$₹-4009]\ * #,##0.00_ ;_ [$₹-4009]\ * \-#,##0.00_ ;_ [$₹-4009]\ * &quot;-&quot;??_ ;_ @_ ">
                  <c:v>4018.3075588445799</c:v>
                </c:pt>
                <c:pt idx="883" formatCode="_ [$₹-4009]\ * #,##0.00_ ;_ [$₹-4009]\ * \-#,##0.00_ ;_ [$₹-4009]\ * &quot;-&quot;??_ ;_ @_ ">
                  <c:v>4131.0752768479897</c:v>
                </c:pt>
                <c:pt idx="884" formatCode="_ [$₹-4009]\ * #,##0.00_ ;_ [$₹-4009]\ * \-#,##0.00_ ;_ [$₹-4009]\ * &quot;-&quot;??_ ;_ @_ ">
                  <c:v>4070.47249733228</c:v>
                </c:pt>
                <c:pt idx="885" formatCode="_ [$₹-4009]\ * #,##0.00_ ;_ [$₹-4009]\ * \-#,##0.00_ ;_ [$₹-4009]\ * &quot;-&quot;??_ ;_ @_ ">
                  <c:v>4228.9285308055496</c:v>
                </c:pt>
                <c:pt idx="886" formatCode="_ [$₹-4009]\ * #,##0.00_ ;_ [$₹-4009]\ * \-#,##0.00_ ;_ [$₹-4009]\ * &quot;-&quot;??_ ;_ @_ ">
                  <c:v>4238.8268964368499</c:v>
                </c:pt>
                <c:pt idx="887" formatCode="_ [$₹-4009]\ * #,##0.00_ ;_ [$₹-4009]\ * \-#,##0.00_ ;_ [$₹-4009]\ * &quot;-&quot;??_ ;_ @_ ">
                  <c:v>4129.4618560428198</c:v>
                </c:pt>
                <c:pt idx="888" formatCode="_ [$₹-4009]\ * #,##0.00_ ;_ [$₹-4009]\ * \-#,##0.00_ ;_ [$₹-4009]\ * &quot;-&quot;??_ ;_ @_ ">
                  <c:v>4315.1292595762998</c:v>
                </c:pt>
                <c:pt idx="889" formatCode="_ [$₹-4009]\ * #,##0.00_ ;_ [$₹-4009]\ * \-#,##0.00_ ;_ [$₹-4009]\ * &quot;-&quot;??_ ;_ @_ ">
                  <c:v>4206.9402024336496</c:v>
                </c:pt>
                <c:pt idx="890" formatCode="_ [$₹-4009]\ * #,##0.00_ ;_ [$₹-4009]\ * \-#,##0.00_ ;_ [$₹-4009]\ * &quot;-&quot;??_ ;_ @_ ">
                  <c:v>4076.5217058530802</c:v>
                </c:pt>
                <c:pt idx="891" formatCode="_ [$₹-4009]\ * #,##0.00_ ;_ [$₹-4009]\ * \-#,##0.00_ ;_ [$₹-4009]\ * &quot;-&quot;??_ ;_ @_ ">
                  <c:v>4129.2540966583801</c:v>
                </c:pt>
                <c:pt idx="892" formatCode="_ [$₹-4009]\ * #,##0.00_ ;_ [$₹-4009]\ * \-#,##0.00_ ;_ [$₹-4009]\ * &quot;-&quot;??_ ;_ @_ ">
                  <c:v>4242.6716780674797</c:v>
                </c:pt>
                <c:pt idx="893" formatCode="_ [$₹-4009]\ * #,##0.00_ ;_ [$₹-4009]\ * \-#,##0.00_ ;_ [$₹-4009]\ * &quot;-&quot;??_ ;_ @_ ">
                  <c:v>4182.5570088731802</c:v>
                </c:pt>
                <c:pt idx="894" formatCode="_ [$₹-4009]\ * #,##0.00_ ;_ [$₹-4009]\ * \-#,##0.00_ ;_ [$₹-4009]\ * &quot;-&quot;??_ ;_ @_ ">
                  <c:v>4341.6571358290503</c:v>
                </c:pt>
                <c:pt idx="895" formatCode="_ [$₹-4009]\ * #,##0.00_ ;_ [$₹-4009]\ * \-#,##0.00_ ;_ [$₹-4009]\ * &quot;-&quot;??_ ;_ @_ ">
                  <c:v>4352.1971744191296</c:v>
                </c:pt>
                <c:pt idx="896" formatCode="_ [$₹-4009]\ * #,##0.00_ ;_ [$₹-4009]\ * \-#,##0.00_ ;_ [$₹-4009]\ * &quot;-&quot;??_ ;_ @_ ">
                  <c:v>4243.4713640028804</c:v>
                </c:pt>
                <c:pt idx="897" formatCode="_ [$₹-4009]\ * #,##0.00_ ;_ [$₹-4009]\ * \-#,##0.00_ ;_ [$₹-4009]\ * &quot;-&quot;??_ ;_ @_ ">
                  <c:v>4429.7755334321</c:v>
                </c:pt>
                <c:pt idx="898" formatCode="_ [$₹-4009]\ * #,##0.00_ ;_ [$₹-4009]\ * \-#,##0.00_ ;_ [$₹-4009]\ * &quot;-&quot;??_ ;_ @_ ">
                  <c:v>4322.2207583305499</c:v>
                </c:pt>
                <c:pt idx="899" formatCode="_ [$₹-4009]\ * #,##0.00_ ;_ [$₹-4009]\ * \-#,##0.00_ ;_ [$₹-4009]\ * &quot;-&quot;??_ ;_ @_ ">
                  <c:v>4192.4340414642302</c:v>
                </c:pt>
                <c:pt idx="900" formatCode="_ [$₹-4009]\ * #,##0.00_ ;_ [$₹-4009]\ * \-#,##0.00_ ;_ [$₹-4009]\ * &quot;-&quot;??_ ;_ @_ ">
                  <c:v>4245.7956924569799</c:v>
                </c:pt>
                <c:pt idx="901" formatCode="_ [$₹-4009]\ * #,##0.00_ ;_ [$₹-4009]\ * \-#,##0.00_ ;_ [$₹-4009]\ * &quot;-&quot;??_ ;_ @_ ">
                  <c:v>4359.8399985708402</c:v>
                </c:pt>
                <c:pt idx="902" formatCode="_ [$₹-4009]\ * #,##0.00_ ;_ [$₹-4009]\ * \-#,##0.00_ ;_ [$₹-4009]\ * &quot;-&quot;??_ ;_ @_ ">
                  <c:v>4300.1570708069603</c:v>
                </c:pt>
                <c:pt idx="903" formatCode="_ [$₹-4009]\ * #,##0.00_ ;_ [$₹-4009]\ * \-#,##0.00_ ;_ [$₹-4009]\ * &quot;-&quot;??_ ;_ @_ ">
                  <c:v>4459.8786816805896</c:v>
                </c:pt>
                <c:pt idx="904" formatCode="_ [$₹-4009]\ * #,##0.00_ ;_ [$₹-4009]\ * \-#,##0.00_ ;_ [$₹-4009]\ * &quot;-&quot;??_ ;_ @_ ">
                  <c:v>4471.0376984438399</c:v>
                </c:pt>
                <c:pt idx="905" formatCode="_ [$₹-4009]\ * #,##0.00_ ;_ [$₹-4009]\ * \-#,##0.00_ ;_ [$₹-4009]\ * &quot;-&quot;??_ ;_ @_ ">
                  <c:v>4362.9283475081702</c:v>
                </c:pt>
                <c:pt idx="906" formatCode="_ [$₹-4009]\ * #,##0.00_ ;_ [$₹-4009]\ * \-#,##0.00_ ;_ [$₹-4009]\ * &quot;-&quot;??_ ;_ @_ ">
                  <c:v>4549.8464458858298</c:v>
                </c:pt>
                <c:pt idx="907" formatCode="_ [$₹-4009]\ * #,##0.00_ ;_ [$₹-4009]\ * \-#,##0.00_ ;_ [$₹-4009]\ * &quot;-&quot;??_ ;_ @_ ">
                  <c:v>4442.90305844249</c:v>
                </c:pt>
                <c:pt idx="908" formatCode="_ [$₹-4009]\ * #,##0.00_ ;_ [$₹-4009]\ * \-#,##0.00_ ;_ [$₹-4009]\ * &quot;-&quot;??_ ;_ @_ ">
                  <c:v>4313.7251782406702</c:v>
                </c:pt>
                <c:pt idx="909" formatCode="_ [$₹-4009]\ * #,##0.00_ ;_ [$₹-4009]\ * \-#,##0.00_ ;_ [$₹-4009]\ * &quot;-&quot;??_ ;_ @_ ">
                  <c:v>4367.6931062284802</c:v>
                </c:pt>
                <c:pt idx="910" formatCode="_ [$₹-4009]\ * #,##0.00_ ;_ [$₹-4009]\ * \-#,##0.00_ ;_ [$₹-4009]\ * &quot;-&quot;??_ ;_ @_ ">
                  <c:v>4482.3411219932696</c:v>
                </c:pt>
                <c:pt idx="911" formatCode="_ [$₹-4009]\ * #,##0.00_ ;_ [$₹-4009]\ * \-#,##0.00_ ;_ [$₹-4009]\ * &quot;-&quot;??_ ;_ @_ ">
                  <c:v>4423.04130396852</c:v>
                </c:pt>
                <c:pt idx="912" formatCode="_ [$₹-4009]\ * #,##0.00_ ;_ [$₹-4009]\ * \-#,##0.00_ ;_ [$₹-4009]\ * &quot;-&quot;??_ ;_ @_ ">
                  <c:v>4583.3619280938401</c:v>
                </c:pt>
                <c:pt idx="913" formatCode="_ [$₹-4009]\ * #,##0.00_ ;_ [$₹-4009]\ * \-#,##0.00_ ;_ [$₹-4009]\ * &quot;-&quot;??_ ;_ @_ ">
                  <c:v>4595.1174310142196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FA-453F-91B9-3BB45D917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810415"/>
        <c:axId val="1715852383"/>
      </c:lineChart>
      <c:catAx>
        <c:axId val="18168104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852383"/>
        <c:crosses val="autoZero"/>
        <c:auto val="1"/>
        <c:lblAlgn val="ctr"/>
        <c:lblOffset val="100"/>
        <c:noMultiLvlLbl val="1"/>
      </c:catAx>
      <c:valAx>
        <c:axId val="171585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94d276-f7e0-4482-b77a-e003b8843d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[Ecommerce_Sales_Dataset.xlsx]store vs region vs total amt!PivotTable3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 sz="1200"/>
              <a:t>Store</a:t>
            </a:r>
            <a:r>
              <a:rPr lang="en-SG" sz="1200" baseline="0"/>
              <a:t> vs Region Total</a:t>
            </a:r>
            <a:endParaRPr lang="en-SG" sz="1200"/>
          </a:p>
        </c:rich>
      </c:tx>
      <c:layout>
        <c:manualLayout>
          <c:xMode val="edge"/>
          <c:yMode val="edge"/>
          <c:x val="0.37752077865266798"/>
          <c:y val="3.1386701662292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8092738407701"/>
          <c:y val="0.16564596092155101"/>
          <c:w val="0.75478018372703404"/>
          <c:h val="0.6585309128025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'store vs region vs total amt'!$B$3:$B$4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amt'!$B$5:$B$8</c:f>
              <c:numCache>
                <c:formatCode>General</c:formatCode>
                <c:ptCount val="3"/>
                <c:pt idx="0">
                  <c:v>357939.15340510802</c:v>
                </c:pt>
                <c:pt idx="1">
                  <c:v>374732.28331647499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D-4C15-B6F3-D2A3BA6B7E0F}"/>
            </c:ext>
          </c:extLst>
        </c:ser>
        <c:ser>
          <c:idx val="1"/>
          <c:order val="1"/>
          <c:tx>
            <c:strRef>
              <c:f>'store vs region vs total amt'!$C$3:$C$4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amt'!$C$5:$C$8</c:f>
              <c:numCache>
                <c:formatCode>General</c:formatCode>
                <c:ptCount val="3"/>
                <c:pt idx="0">
                  <c:v>377549.41</c:v>
                </c:pt>
                <c:pt idx="1">
                  <c:v>138687.69</c:v>
                </c:pt>
                <c:pt idx="2">
                  <c:v>243732.84293318199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D-4C15-B6F3-D2A3BA6B7E0F}"/>
            </c:ext>
          </c:extLst>
        </c:ser>
        <c:ser>
          <c:idx val="2"/>
          <c:order val="2"/>
          <c:tx>
            <c:strRef>
              <c:f>'store vs region vs total amt'!$D$3:$D$4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amt'!$D$5:$D$8</c:f>
              <c:numCache>
                <c:formatCode>General</c:formatCode>
                <c:ptCount val="3"/>
                <c:pt idx="0">
                  <c:v>127402.25</c:v>
                </c:pt>
                <c:pt idx="1">
                  <c:v>378571.41200000001</c:v>
                </c:pt>
                <c:pt idx="2">
                  <c:v>239007.20811195899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D-4C15-B6F3-D2A3BA6B7E0F}"/>
            </c:ext>
          </c:extLst>
        </c:ser>
        <c:ser>
          <c:idx val="3"/>
          <c:order val="3"/>
          <c:tx>
            <c:strRef>
              <c:f>'store vs region vs total amt'!$E$3:$E$4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'store vs region vs total amt'!$A$5:$A$8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vs region vs total amt'!$E$5:$E$8</c:f>
              <c:numCache>
                <c:formatCode>General</c:formatCode>
                <c:ptCount val="3"/>
                <c:pt idx="0">
                  <c:v>131195.51999999999</c:v>
                </c:pt>
                <c:pt idx="1">
                  <c:v>185318.97637409301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D-4C15-B6F3-D2A3BA6B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4078064"/>
        <c:axId val="694089712"/>
      </c:barChart>
      <c:catAx>
        <c:axId val="6940780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GB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89712"/>
        <c:crosses val="autoZero"/>
        <c:auto val="1"/>
        <c:lblAlgn val="ctr"/>
        <c:lblOffset val="100"/>
        <c:noMultiLvlLbl val="0"/>
      </c:catAx>
      <c:valAx>
        <c:axId val="6940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cd07f8-fe03-4514-a979-75414f2ba97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[Ecommerce_Sales_Dataset.xlsx]category vs gender vs total!PivotTable7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Gender</a:t>
            </a:r>
            <a:r>
              <a:rPr lang="en-US" sz="1200" baseline="0"/>
              <a:t> wise category Total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vs gender vs total'!$B$3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'category vs gender vs total'!$A$4:$A$19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  <c:pt idx="6">
                    <c:v>Home</c:v>
                  </c:pt>
                  <c:pt idx="8">
                    <c:v>Sports</c:v>
                  </c:pt>
                </c:lvl>
              </c:multiLvlStrCache>
            </c:multiLvlStrRef>
          </c:cat>
          <c:val>
            <c:numRef>
              <c:f>'category vs gender vs total'!$B$4:$B$19</c:f>
              <c:numCache>
                <c:formatCode>General</c:formatCode>
                <c:ptCount val="10"/>
                <c:pt idx="0">
                  <c:v>212708.88240510799</c:v>
                </c:pt>
                <c:pt idx="1">
                  <c:v>168752.35</c:v>
                </c:pt>
                <c:pt idx="2">
                  <c:v>259410.76</c:v>
                </c:pt>
                <c:pt idx="3">
                  <c:v>182848.14</c:v>
                </c:pt>
                <c:pt idx="4">
                  <c:v>335606.05042843398</c:v>
                </c:pt>
                <c:pt idx="5">
                  <c:v>257852.11637409299</c:v>
                </c:pt>
                <c:pt idx="6">
                  <c:v>256323.57</c:v>
                </c:pt>
                <c:pt idx="7">
                  <c:v>245303.60693318301</c:v>
                </c:pt>
                <c:pt idx="8">
                  <c:v>380920.94</c:v>
                </c:pt>
                <c:pt idx="9">
                  <c:v>254410.33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1-4345-A158-B31EFE8B8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5112160"/>
        <c:axId val="905125888"/>
      </c:barChart>
      <c:catAx>
        <c:axId val="90511216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5888"/>
        <c:crosses val="autoZero"/>
        <c:auto val="1"/>
        <c:lblAlgn val="ctr"/>
        <c:lblOffset val="100"/>
        <c:noMultiLvlLbl val="0"/>
      </c:catAx>
      <c:valAx>
        <c:axId val="90512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12160"/>
        <c:crosses val="autoZero"/>
        <c:crossBetween val="between"/>
      </c:valAx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fbe6a5-7975-4cda-9bb5-dbe478f30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[Ecommerce_Sales_Dataset.xlsx]product brand vs category vs to!PivotTable9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Sum of Product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brand vs category vs 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E14-4716-BDFF-9F2A75306D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E14-4716-BDFF-9F2A75306D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E14-4716-BDFF-9F2A75306D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E14-4716-BDFF-9F2A75306D9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CE14-4716-BDFF-9F2A75306D91}"/>
              </c:ext>
            </c:extLst>
          </c:dPt>
          <c:cat>
            <c:strRef>
              <c:f>'product brand vs category vs to'!$A$4:$A$9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brand vs category vs to'!$B$4:$B$9</c:f>
              <c:numCache>
                <c:formatCode>General</c:formatCode>
                <c:ptCount val="5"/>
                <c:pt idx="0">
                  <c:v>381461.232405107</c:v>
                </c:pt>
                <c:pt idx="1">
                  <c:v>442258.9</c:v>
                </c:pt>
                <c:pt idx="2">
                  <c:v>593458.16680252703</c:v>
                </c:pt>
                <c:pt idx="3">
                  <c:v>501627.176933182</c:v>
                </c:pt>
                <c:pt idx="4">
                  <c:v>635331.27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14-4716-BDFF-9F2A7530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eb13a70-543c-436e-bb2e-4719a7b650a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[Ecommerce_Sales_Dataset.xlsx]year vs category,gender vs tota!PivotTable10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SG" sz="1200"/>
              <a:t>Year</a:t>
            </a:r>
            <a:r>
              <a:rPr lang="en-SG" sz="1200" baseline="0"/>
              <a:t> Wise category Total amount</a:t>
            </a:r>
            <a:endParaRPr lang="en-SG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'year vs category,gender vs tota'!$B$3:$B$4</c:f>
              <c:strCache>
                <c:ptCount val="1"/>
                <c:pt idx="0">
                  <c:v>Beauty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tota'!$B$5:$B$8</c:f>
              <c:numCache>
                <c:formatCode>General</c:formatCode>
                <c:ptCount val="3"/>
                <c:pt idx="0">
                  <c:v>43555.57</c:v>
                </c:pt>
                <c:pt idx="1">
                  <c:v>205298.129088633</c:v>
                </c:pt>
                <c:pt idx="2">
                  <c:v>132607.53331647499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8-4357-8039-99D930E9CECD}"/>
            </c:ext>
          </c:extLst>
        </c:ser>
        <c:ser>
          <c:idx val="1"/>
          <c:order val="1"/>
          <c:tx>
            <c:strRef>
              <c:f>'year vs category,gender vs tota'!$C$3:$C$4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tota'!$C$5:$C$8</c:f>
              <c:numCache>
                <c:formatCode>General</c:formatCode>
                <c:ptCount val="3"/>
                <c:pt idx="0">
                  <c:v>47156.11</c:v>
                </c:pt>
                <c:pt idx="1">
                  <c:v>244526.87</c:v>
                </c:pt>
                <c:pt idx="2">
                  <c:v>150575.92000000001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8-4357-8039-99D930E9CECD}"/>
            </c:ext>
          </c:extLst>
        </c:ser>
        <c:ser>
          <c:idx val="2"/>
          <c:order val="2"/>
          <c:tx>
            <c:strRef>
              <c:f>'year vs category,gender vs tota'!$D$3:$D$4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tota'!$D$5:$D$8</c:f>
              <c:numCache>
                <c:formatCode>General</c:formatCode>
                <c:ptCount val="3"/>
                <c:pt idx="0">
                  <c:v>53442.05</c:v>
                </c:pt>
                <c:pt idx="1">
                  <c:v>252244.896316475</c:v>
                </c:pt>
                <c:pt idx="2">
                  <c:v>287771.22048605297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8-4357-8039-99D930E9CECD}"/>
            </c:ext>
          </c:extLst>
        </c:ser>
        <c:ser>
          <c:idx val="3"/>
          <c:order val="3"/>
          <c:tx>
            <c:strRef>
              <c:f>'year vs category,gender vs tota'!$E$3:$E$4</c:f>
              <c:strCache>
                <c:ptCount val="1"/>
                <c:pt idx="0">
                  <c:v>Home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tota'!$E$5:$E$8</c:f>
              <c:numCache>
                <c:formatCode>General</c:formatCode>
                <c:ptCount val="3"/>
                <c:pt idx="0">
                  <c:v>63108.63</c:v>
                </c:pt>
                <c:pt idx="1">
                  <c:v>247705.072933182</c:v>
                </c:pt>
                <c:pt idx="2">
                  <c:v>190813.47399999999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8-4357-8039-99D930E9CECD}"/>
            </c:ext>
          </c:extLst>
        </c:ser>
        <c:ser>
          <c:idx val="4"/>
          <c:order val="4"/>
          <c:tx>
            <c:strRef>
              <c:f>'year vs category,gender vs tota'!$F$3:$F$4</c:f>
              <c:strCache>
                <c:ptCount val="1"/>
                <c:pt idx="0">
                  <c:v>Sports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'year vs category,gender vs tota'!$A$5:$A$8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category,gender vs tota'!$F$5:$F$8</c:f>
              <c:numCache>
                <c:formatCode>General</c:formatCode>
                <c:ptCount val="3"/>
                <c:pt idx="0">
                  <c:v>57259.07</c:v>
                </c:pt>
                <c:pt idx="1">
                  <c:v>335626.47</c:v>
                </c:pt>
                <c:pt idx="2">
                  <c:v>242445.73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F8-4357-8039-99D930E9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395600"/>
        <c:axId val="999396848"/>
      </c:lineChart>
      <c:catAx>
        <c:axId val="99939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6848"/>
        <c:crosses val="autoZero"/>
        <c:auto val="1"/>
        <c:lblAlgn val="ctr"/>
        <c:lblOffset val="100"/>
        <c:noMultiLvlLbl val="0"/>
      </c:catAx>
      <c:valAx>
        <c:axId val="9993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4cc915f-4b11-4a02-8c10-998ae9483c92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[Ecommerce_Sales_Dataset.xlsx]category vs total vs dis!PivotTable11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category</a:t>
            </a:r>
            <a:r>
              <a:rPr lang="en-US" sz="1200" baseline="0"/>
              <a:t> Wise Total &amp; Average Discount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total vs dis'!$B$3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'category vs total vs dis'!$A$4:$A$9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'category vs total vs dis'!$B$4:$B$9</c:f>
              <c:numCache>
                <c:formatCode>General</c:formatCode>
                <c:ptCount val="5"/>
                <c:pt idx="0">
                  <c:v>381461.232405107</c:v>
                </c:pt>
                <c:pt idx="1">
                  <c:v>442258.9</c:v>
                </c:pt>
                <c:pt idx="2">
                  <c:v>593458.16680252703</c:v>
                </c:pt>
                <c:pt idx="3">
                  <c:v>501627.176933182</c:v>
                </c:pt>
                <c:pt idx="4">
                  <c:v>635331.27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2-4FA2-934B-EACA522B66F8}"/>
            </c:ext>
          </c:extLst>
        </c:ser>
        <c:ser>
          <c:idx val="1"/>
          <c:order val="1"/>
          <c:tx>
            <c:strRef>
              <c:f>'category vs total vs dis'!$C$3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'category vs total vs dis'!$A$4:$A$9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'category vs total vs dis'!$C$4:$C$9</c:f>
              <c:numCache>
                <c:formatCode>General</c:formatCode>
                <c:ptCount val="5"/>
                <c:pt idx="0">
                  <c:v>0.152851973684211</c:v>
                </c:pt>
                <c:pt idx="1">
                  <c:v>0.14488023952095799</c:v>
                </c:pt>
                <c:pt idx="2">
                  <c:v>0.14930136414672901</c:v>
                </c:pt>
                <c:pt idx="3">
                  <c:v>0.148796422948375</c:v>
                </c:pt>
                <c:pt idx="4">
                  <c:v>0.14564257028112401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2-4FA2-934B-EACA522B6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05122144"/>
        <c:axId val="905123392"/>
      </c:barChart>
      <c:catAx>
        <c:axId val="9051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3392"/>
        <c:crosses val="autoZero"/>
        <c:auto val="1"/>
        <c:lblAlgn val="ctr"/>
        <c:lblOffset val="100"/>
        <c:noMultiLvlLbl val="0"/>
      </c:catAx>
      <c:valAx>
        <c:axId val="9051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2b2c62-1475-4b9e-93ca-3d1ca4e92c4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551873156807"/>
          <c:y val="1.90217131949415E-2"/>
          <c:w val="0.78909401553796399"/>
          <c:h val="0.52483539557555303"/>
        </c:manualLayout>
      </c:layout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 Total_Amount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forecast!$B$2:$B$915</c:f>
              <c:numCache>
                <c:formatCode>_ [$₹-4009]\ * #,##0.00_ ;_ [$₹-4009]\ * \-#,##0.00_ ;_ [$₹-4009]\ * "-"??_ ;_ @_ </c:formatCode>
                <c:ptCount val="914"/>
                <c:pt idx="0">
                  <c:v>1653.26</c:v>
                </c:pt>
                <c:pt idx="1">
                  <c:v>490.64</c:v>
                </c:pt>
                <c:pt idx="2">
                  <c:v>2380.2199999999998</c:v>
                </c:pt>
                <c:pt idx="3">
                  <c:v>1115.53</c:v>
                </c:pt>
                <c:pt idx="4">
                  <c:v>771.71400000000006</c:v>
                </c:pt>
                <c:pt idx="5">
                  <c:v>1755.2149999999999</c:v>
                </c:pt>
                <c:pt idx="6">
                  <c:v>583.86500000000001</c:v>
                </c:pt>
                <c:pt idx="7">
                  <c:v>577.51</c:v>
                </c:pt>
                <c:pt idx="8">
                  <c:v>2188.44</c:v>
                </c:pt>
                <c:pt idx="9">
                  <c:v>627.79</c:v>
                </c:pt>
                <c:pt idx="10">
                  <c:v>2574.83</c:v>
                </c:pt>
                <c:pt idx="11">
                  <c:v>932.94</c:v>
                </c:pt>
                <c:pt idx="12">
                  <c:v>730.12</c:v>
                </c:pt>
                <c:pt idx="13">
                  <c:v>552.20666666666705</c:v>
                </c:pt>
                <c:pt idx="14">
                  <c:v>374.29333333333301</c:v>
                </c:pt>
                <c:pt idx="15">
                  <c:v>2053.5</c:v>
                </c:pt>
                <c:pt idx="16">
                  <c:v>1241.4833333333299</c:v>
                </c:pt>
                <c:pt idx="17">
                  <c:v>956.56666666666695</c:v>
                </c:pt>
                <c:pt idx="18">
                  <c:v>1498.17</c:v>
                </c:pt>
                <c:pt idx="19">
                  <c:v>1932.5150000000001</c:v>
                </c:pt>
                <c:pt idx="20">
                  <c:v>1009.03666666667</c:v>
                </c:pt>
                <c:pt idx="21">
                  <c:v>1047.6600000000001</c:v>
                </c:pt>
                <c:pt idx="22">
                  <c:v>1713.92</c:v>
                </c:pt>
                <c:pt idx="23">
                  <c:v>1539.585</c:v>
                </c:pt>
                <c:pt idx="24">
                  <c:v>1252.8050000000001</c:v>
                </c:pt>
                <c:pt idx="25">
                  <c:v>539.30499999999995</c:v>
                </c:pt>
                <c:pt idx="26">
                  <c:v>1844.28</c:v>
                </c:pt>
                <c:pt idx="27">
                  <c:v>1271.405</c:v>
                </c:pt>
                <c:pt idx="28">
                  <c:v>1535.36</c:v>
                </c:pt>
                <c:pt idx="29">
                  <c:v>314.185</c:v>
                </c:pt>
                <c:pt idx="30">
                  <c:v>347.34333333333302</c:v>
                </c:pt>
                <c:pt idx="31">
                  <c:v>1128.9825000000001</c:v>
                </c:pt>
                <c:pt idx="32">
                  <c:v>894.495</c:v>
                </c:pt>
                <c:pt idx="33">
                  <c:v>660.00750000000005</c:v>
                </c:pt>
                <c:pt idx="34">
                  <c:v>425.52</c:v>
                </c:pt>
                <c:pt idx="35">
                  <c:v>1017.89</c:v>
                </c:pt>
                <c:pt idx="36">
                  <c:v>992.113333333333</c:v>
                </c:pt>
                <c:pt idx="37">
                  <c:v>1103.615</c:v>
                </c:pt>
                <c:pt idx="38">
                  <c:v>1440.7</c:v>
                </c:pt>
                <c:pt idx="39">
                  <c:v>2090.7350000000001</c:v>
                </c:pt>
                <c:pt idx="40">
                  <c:v>468.27</c:v>
                </c:pt>
                <c:pt idx="41">
                  <c:v>637.20000000000005</c:v>
                </c:pt>
                <c:pt idx="42">
                  <c:v>632.47249999999997</c:v>
                </c:pt>
                <c:pt idx="43">
                  <c:v>1044.2933333333301</c:v>
                </c:pt>
                <c:pt idx="44">
                  <c:v>1147.6420000000001</c:v>
                </c:pt>
                <c:pt idx="45">
                  <c:v>1267.0266666666701</c:v>
                </c:pt>
                <c:pt idx="46">
                  <c:v>969.14499999999998</c:v>
                </c:pt>
                <c:pt idx="47">
                  <c:v>331.01</c:v>
                </c:pt>
                <c:pt idx="48">
                  <c:v>789.86500000000001</c:v>
                </c:pt>
                <c:pt idx="49">
                  <c:v>687.54</c:v>
                </c:pt>
                <c:pt idx="50">
                  <c:v>585.21500000000003</c:v>
                </c:pt>
                <c:pt idx="51">
                  <c:v>994.5</c:v>
                </c:pt>
                <c:pt idx="52">
                  <c:v>1442.44333333333</c:v>
                </c:pt>
                <c:pt idx="53">
                  <c:v>955.2</c:v>
                </c:pt>
                <c:pt idx="54">
                  <c:v>1495.78</c:v>
                </c:pt>
                <c:pt idx="55">
                  <c:v>1151.3928571428601</c:v>
                </c:pt>
                <c:pt idx="56">
                  <c:v>1475.87</c:v>
                </c:pt>
                <c:pt idx="57">
                  <c:v>954.493333333333</c:v>
                </c:pt>
                <c:pt idx="58">
                  <c:v>1923.18</c:v>
                </c:pt>
                <c:pt idx="59">
                  <c:v>1629.9559999999999</c:v>
                </c:pt>
                <c:pt idx="60">
                  <c:v>2396.41</c:v>
                </c:pt>
                <c:pt idx="61">
                  <c:v>1688.94333333333</c:v>
                </c:pt>
                <c:pt idx="62">
                  <c:v>3049.92</c:v>
                </c:pt>
                <c:pt idx="63">
                  <c:v>1293.33666666667</c:v>
                </c:pt>
                <c:pt idx="64">
                  <c:v>777.97500000000002</c:v>
                </c:pt>
                <c:pt idx="65">
                  <c:v>1672.48</c:v>
                </c:pt>
                <c:pt idx="66">
                  <c:v>1097.6199999999999</c:v>
                </c:pt>
                <c:pt idx="67">
                  <c:v>1166.6199999999999</c:v>
                </c:pt>
                <c:pt idx="68">
                  <c:v>1014.23</c:v>
                </c:pt>
                <c:pt idx="69">
                  <c:v>673.92</c:v>
                </c:pt>
                <c:pt idx="70">
                  <c:v>1556.9</c:v>
                </c:pt>
                <c:pt idx="71">
                  <c:v>1866.67</c:v>
                </c:pt>
                <c:pt idx="72">
                  <c:v>764.62</c:v>
                </c:pt>
                <c:pt idx="73">
                  <c:v>937.89499999999998</c:v>
                </c:pt>
                <c:pt idx="74">
                  <c:v>442.22</c:v>
                </c:pt>
                <c:pt idx="75">
                  <c:v>1309.89333333333</c:v>
                </c:pt>
                <c:pt idx="76">
                  <c:v>2557.8150000000001</c:v>
                </c:pt>
                <c:pt idx="77">
                  <c:v>1543.87333333333</c:v>
                </c:pt>
                <c:pt idx="78">
                  <c:v>1202.25</c:v>
                </c:pt>
                <c:pt idx="79">
                  <c:v>421.73</c:v>
                </c:pt>
                <c:pt idx="80">
                  <c:v>897.54</c:v>
                </c:pt>
                <c:pt idx="81">
                  <c:v>720.44333333333304</c:v>
                </c:pt>
                <c:pt idx="82">
                  <c:v>1125.54</c:v>
                </c:pt>
                <c:pt idx="83">
                  <c:v>1296.952</c:v>
                </c:pt>
                <c:pt idx="84">
                  <c:v>2102.94</c:v>
                </c:pt>
                <c:pt idx="85">
                  <c:v>1442.855</c:v>
                </c:pt>
                <c:pt idx="86">
                  <c:v>782.77</c:v>
                </c:pt>
                <c:pt idx="87">
                  <c:v>533.16</c:v>
                </c:pt>
                <c:pt idx="88">
                  <c:v>1058.73</c:v>
                </c:pt>
                <c:pt idx="89">
                  <c:v>946.83097772744395</c:v>
                </c:pt>
                <c:pt idx="90">
                  <c:v>1375.48</c:v>
                </c:pt>
                <c:pt idx="91">
                  <c:v>1127.8</c:v>
                </c:pt>
                <c:pt idx="92">
                  <c:v>484.11</c:v>
                </c:pt>
                <c:pt idx="93">
                  <c:v>301.33</c:v>
                </c:pt>
                <c:pt idx="94">
                  <c:v>802.61500000000001</c:v>
                </c:pt>
                <c:pt idx="95">
                  <c:v>1331.8119999999999</c:v>
                </c:pt>
                <c:pt idx="96">
                  <c:v>2169.2849999999999</c:v>
                </c:pt>
                <c:pt idx="97">
                  <c:v>1052.99</c:v>
                </c:pt>
                <c:pt idx="98">
                  <c:v>1579.59666666667</c:v>
                </c:pt>
                <c:pt idx="99">
                  <c:v>693.76499999999999</c:v>
                </c:pt>
                <c:pt idx="100">
                  <c:v>1012.79333333333</c:v>
                </c:pt>
                <c:pt idx="101">
                  <c:v>616.99</c:v>
                </c:pt>
                <c:pt idx="102">
                  <c:v>1473.14</c:v>
                </c:pt>
                <c:pt idx="103">
                  <c:v>783.53750000000002</c:v>
                </c:pt>
                <c:pt idx="104">
                  <c:v>1973.36</c:v>
                </c:pt>
                <c:pt idx="105">
                  <c:v>1386.3</c:v>
                </c:pt>
                <c:pt idx="106">
                  <c:v>2214.5700000000002</c:v>
                </c:pt>
                <c:pt idx="107">
                  <c:v>1338.84</c:v>
                </c:pt>
                <c:pt idx="108">
                  <c:v>514.47</c:v>
                </c:pt>
                <c:pt idx="109">
                  <c:v>780.33</c:v>
                </c:pt>
                <c:pt idx="110">
                  <c:v>2017.25</c:v>
                </c:pt>
                <c:pt idx="111">
                  <c:v>2029.8883333333299</c:v>
                </c:pt>
                <c:pt idx="112">
                  <c:v>2042.5266666666701</c:v>
                </c:pt>
                <c:pt idx="113">
                  <c:v>751.64666666666699</c:v>
                </c:pt>
                <c:pt idx="114">
                  <c:v>930.61</c:v>
                </c:pt>
                <c:pt idx="115">
                  <c:v>243.18</c:v>
                </c:pt>
                <c:pt idx="116">
                  <c:v>482.21666666666698</c:v>
                </c:pt>
                <c:pt idx="117">
                  <c:v>1102.2566666666701</c:v>
                </c:pt>
                <c:pt idx="118">
                  <c:v>944.09333333333302</c:v>
                </c:pt>
                <c:pt idx="119">
                  <c:v>984.72</c:v>
                </c:pt>
                <c:pt idx="120">
                  <c:v>1045.5350000000001</c:v>
                </c:pt>
                <c:pt idx="121">
                  <c:v>752.35666666666702</c:v>
                </c:pt>
                <c:pt idx="122">
                  <c:v>449.255</c:v>
                </c:pt>
                <c:pt idx="123">
                  <c:v>870.62666666666701</c:v>
                </c:pt>
                <c:pt idx="124">
                  <c:v>1902.03</c:v>
                </c:pt>
                <c:pt idx="125">
                  <c:v>748.55888888888899</c:v>
                </c:pt>
                <c:pt idx="126">
                  <c:v>299.02999999999997</c:v>
                </c:pt>
                <c:pt idx="127">
                  <c:v>1890.8033333333301</c:v>
                </c:pt>
                <c:pt idx="128">
                  <c:v>1813.5266666666701</c:v>
                </c:pt>
                <c:pt idx="129">
                  <c:v>1654.8216666666699</c:v>
                </c:pt>
                <c:pt idx="130">
                  <c:v>1496.11666666667</c:v>
                </c:pt>
                <c:pt idx="131">
                  <c:v>1767.3140000000001</c:v>
                </c:pt>
                <c:pt idx="132">
                  <c:v>904.47333333333302</c:v>
                </c:pt>
                <c:pt idx="133">
                  <c:v>584.21500000000003</c:v>
                </c:pt>
                <c:pt idx="134">
                  <c:v>1645.4866666666701</c:v>
                </c:pt>
                <c:pt idx="135">
                  <c:v>1696.82666666667</c:v>
                </c:pt>
                <c:pt idx="136">
                  <c:v>1218.606</c:v>
                </c:pt>
                <c:pt idx="137">
                  <c:v>365.48500000000001</c:v>
                </c:pt>
                <c:pt idx="138">
                  <c:v>1127.56</c:v>
                </c:pt>
                <c:pt idx="139">
                  <c:v>3468.48</c:v>
                </c:pt>
                <c:pt idx="140">
                  <c:v>949.493333333333</c:v>
                </c:pt>
                <c:pt idx="141">
                  <c:v>1493.4275</c:v>
                </c:pt>
                <c:pt idx="142">
                  <c:v>899.78</c:v>
                </c:pt>
                <c:pt idx="143">
                  <c:v>2324.3074999999999</c:v>
                </c:pt>
                <c:pt idx="144">
                  <c:v>250.92</c:v>
                </c:pt>
                <c:pt idx="145">
                  <c:v>596.27750000000003</c:v>
                </c:pt>
                <c:pt idx="146">
                  <c:v>941.63499999999999</c:v>
                </c:pt>
                <c:pt idx="147">
                  <c:v>1146.81</c:v>
                </c:pt>
                <c:pt idx="148">
                  <c:v>1242.8140000000001</c:v>
                </c:pt>
                <c:pt idx="149">
                  <c:v>1852.8</c:v>
                </c:pt>
                <c:pt idx="150">
                  <c:v>2018.25</c:v>
                </c:pt>
                <c:pt idx="151">
                  <c:v>3312.44</c:v>
                </c:pt>
                <c:pt idx="152">
                  <c:v>785.20666666666705</c:v>
                </c:pt>
                <c:pt idx="153">
                  <c:v>1190.9783333333301</c:v>
                </c:pt>
                <c:pt idx="154">
                  <c:v>1596.75</c:v>
                </c:pt>
                <c:pt idx="155">
                  <c:v>2541.81</c:v>
                </c:pt>
                <c:pt idx="156">
                  <c:v>1727.74227215824</c:v>
                </c:pt>
                <c:pt idx="157">
                  <c:v>1871.07</c:v>
                </c:pt>
                <c:pt idx="158">
                  <c:v>1023.658</c:v>
                </c:pt>
                <c:pt idx="159">
                  <c:v>642.66999999999996</c:v>
                </c:pt>
                <c:pt idx="160">
                  <c:v>1453.4749999999999</c:v>
                </c:pt>
                <c:pt idx="161">
                  <c:v>876.95333333333303</c:v>
                </c:pt>
                <c:pt idx="162">
                  <c:v>708.04</c:v>
                </c:pt>
                <c:pt idx="163">
                  <c:v>1027.58</c:v>
                </c:pt>
                <c:pt idx="164">
                  <c:v>2254.11333333333</c:v>
                </c:pt>
                <c:pt idx="165">
                  <c:v>1810.9475</c:v>
                </c:pt>
                <c:pt idx="166">
                  <c:v>626.21571428571394</c:v>
                </c:pt>
                <c:pt idx="167">
                  <c:v>1342.8040000000001</c:v>
                </c:pt>
                <c:pt idx="168">
                  <c:v>1216.538</c:v>
                </c:pt>
                <c:pt idx="169">
                  <c:v>1090.2719999999999</c:v>
                </c:pt>
                <c:pt idx="170">
                  <c:v>1452.4649999999999</c:v>
                </c:pt>
                <c:pt idx="171">
                  <c:v>1041.1949999999999</c:v>
                </c:pt>
                <c:pt idx="172">
                  <c:v>2369.15</c:v>
                </c:pt>
                <c:pt idx="173">
                  <c:v>1171.25</c:v>
                </c:pt>
                <c:pt idx="174">
                  <c:v>1959.155</c:v>
                </c:pt>
                <c:pt idx="175">
                  <c:v>1773.9466666666699</c:v>
                </c:pt>
                <c:pt idx="176">
                  <c:v>703.65499999999997</c:v>
                </c:pt>
                <c:pt idx="177">
                  <c:v>567.09199999999998</c:v>
                </c:pt>
                <c:pt idx="178">
                  <c:v>630.74266666666699</c:v>
                </c:pt>
                <c:pt idx="179">
                  <c:v>694.39333333333298</c:v>
                </c:pt>
                <c:pt idx="180">
                  <c:v>1025.00966666667</c:v>
                </c:pt>
                <c:pt idx="181">
                  <c:v>1355.626</c:v>
                </c:pt>
                <c:pt idx="182">
                  <c:v>1377.0775000000001</c:v>
                </c:pt>
                <c:pt idx="183">
                  <c:v>2367.2249999999999</c:v>
                </c:pt>
                <c:pt idx="184">
                  <c:v>1042.2225000000001</c:v>
                </c:pt>
                <c:pt idx="185">
                  <c:v>1276.28</c:v>
                </c:pt>
                <c:pt idx="186">
                  <c:v>2275.44</c:v>
                </c:pt>
                <c:pt idx="187">
                  <c:v>568.62</c:v>
                </c:pt>
                <c:pt idx="188">
                  <c:v>1040.94</c:v>
                </c:pt>
                <c:pt idx="189">
                  <c:v>730.34</c:v>
                </c:pt>
                <c:pt idx="190">
                  <c:v>1828.17</c:v>
                </c:pt>
                <c:pt idx="191">
                  <c:v>2926</c:v>
                </c:pt>
                <c:pt idx="192">
                  <c:v>544.03750000000002</c:v>
                </c:pt>
                <c:pt idx="193">
                  <c:v>2306.645</c:v>
                </c:pt>
                <c:pt idx="194">
                  <c:v>2583.6849999999999</c:v>
                </c:pt>
                <c:pt idx="195">
                  <c:v>810.66499999999996</c:v>
                </c:pt>
                <c:pt idx="196">
                  <c:v>2500.1</c:v>
                </c:pt>
                <c:pt idx="197">
                  <c:v>2243.56</c:v>
                </c:pt>
                <c:pt idx="198">
                  <c:v>1987.02</c:v>
                </c:pt>
                <c:pt idx="199">
                  <c:v>2365</c:v>
                </c:pt>
                <c:pt idx="200">
                  <c:v>894.83333333333303</c:v>
                </c:pt>
                <c:pt idx="201">
                  <c:v>1962.87</c:v>
                </c:pt>
                <c:pt idx="202">
                  <c:v>478.17500000000001</c:v>
                </c:pt>
                <c:pt idx="203">
                  <c:v>372.22</c:v>
                </c:pt>
                <c:pt idx="204">
                  <c:v>457.308333333333</c:v>
                </c:pt>
                <c:pt idx="205">
                  <c:v>542.39666666666699</c:v>
                </c:pt>
                <c:pt idx="206">
                  <c:v>764.15833333333296</c:v>
                </c:pt>
                <c:pt idx="207">
                  <c:v>985.92</c:v>
                </c:pt>
                <c:pt idx="208">
                  <c:v>1357.5</c:v>
                </c:pt>
                <c:pt idx="209">
                  <c:v>73.84</c:v>
                </c:pt>
                <c:pt idx="210">
                  <c:v>1320.52</c:v>
                </c:pt>
                <c:pt idx="211">
                  <c:v>190.48500000000001</c:v>
                </c:pt>
                <c:pt idx="212">
                  <c:v>1409.88</c:v>
                </c:pt>
                <c:pt idx="213">
                  <c:v>1625.0250000000001</c:v>
                </c:pt>
                <c:pt idx="214">
                  <c:v>1344.31666666667</c:v>
                </c:pt>
                <c:pt idx="215">
                  <c:v>789.61</c:v>
                </c:pt>
                <c:pt idx="216">
                  <c:v>1085.07</c:v>
                </c:pt>
                <c:pt idx="217">
                  <c:v>339.6</c:v>
                </c:pt>
                <c:pt idx="218">
                  <c:v>1438.84</c:v>
                </c:pt>
                <c:pt idx="219">
                  <c:v>886.58333333333303</c:v>
                </c:pt>
                <c:pt idx="220">
                  <c:v>1594.26</c:v>
                </c:pt>
                <c:pt idx="221">
                  <c:v>973.52499999999998</c:v>
                </c:pt>
                <c:pt idx="222">
                  <c:v>1245.9466666666699</c:v>
                </c:pt>
                <c:pt idx="223">
                  <c:v>2285.0133333333301</c:v>
                </c:pt>
                <c:pt idx="224">
                  <c:v>3324.08</c:v>
                </c:pt>
                <c:pt idx="225">
                  <c:v>1076.43</c:v>
                </c:pt>
                <c:pt idx="226">
                  <c:v>569.33000000000004</c:v>
                </c:pt>
                <c:pt idx="227">
                  <c:v>62.23</c:v>
                </c:pt>
                <c:pt idx="228">
                  <c:v>1135.8333333333301</c:v>
                </c:pt>
                <c:pt idx="229">
                  <c:v>654.35666666666702</c:v>
                </c:pt>
                <c:pt idx="230">
                  <c:v>172.88</c:v>
                </c:pt>
                <c:pt idx="231">
                  <c:v>894.9</c:v>
                </c:pt>
                <c:pt idx="232">
                  <c:v>983.53666666666697</c:v>
                </c:pt>
                <c:pt idx="233">
                  <c:v>1254.4837500000001</c:v>
                </c:pt>
                <c:pt idx="234">
                  <c:v>1899.2987499999999</c:v>
                </c:pt>
                <c:pt idx="235">
                  <c:v>2200.5450000000001</c:v>
                </c:pt>
                <c:pt idx="236">
                  <c:v>386.68</c:v>
                </c:pt>
                <c:pt idx="237">
                  <c:v>183.3</c:v>
                </c:pt>
                <c:pt idx="238">
                  <c:v>744.48500000000001</c:v>
                </c:pt>
                <c:pt idx="239">
                  <c:v>2817.76</c:v>
                </c:pt>
                <c:pt idx="240">
                  <c:v>859.42666666666696</c:v>
                </c:pt>
                <c:pt idx="241">
                  <c:v>1633.502</c:v>
                </c:pt>
                <c:pt idx="242">
                  <c:v>1299.44</c:v>
                </c:pt>
                <c:pt idx="243">
                  <c:v>1506.16333333333</c:v>
                </c:pt>
                <c:pt idx="244">
                  <c:v>57.81</c:v>
                </c:pt>
                <c:pt idx="245">
                  <c:v>738.58</c:v>
                </c:pt>
                <c:pt idx="246">
                  <c:v>1761.9324999999999</c:v>
                </c:pt>
                <c:pt idx="247">
                  <c:v>1066.1099999999999</c:v>
                </c:pt>
                <c:pt idx="248">
                  <c:v>358.66500000000002</c:v>
                </c:pt>
                <c:pt idx="249">
                  <c:v>1525.192</c:v>
                </c:pt>
                <c:pt idx="250">
                  <c:v>1309.71133333333</c:v>
                </c:pt>
                <c:pt idx="251">
                  <c:v>1094.23066666667</c:v>
                </c:pt>
                <c:pt idx="252">
                  <c:v>878.75</c:v>
                </c:pt>
                <c:pt idx="253">
                  <c:v>808.72166666666703</c:v>
                </c:pt>
                <c:pt idx="254">
                  <c:v>1553.91</c:v>
                </c:pt>
                <c:pt idx="255">
                  <c:v>758.07</c:v>
                </c:pt>
                <c:pt idx="256">
                  <c:v>628.95000000000005</c:v>
                </c:pt>
                <c:pt idx="257">
                  <c:v>881.31</c:v>
                </c:pt>
                <c:pt idx="258">
                  <c:v>26.07</c:v>
                </c:pt>
                <c:pt idx="259">
                  <c:v>2197.9816666666702</c:v>
                </c:pt>
                <c:pt idx="260">
                  <c:v>1268.52</c:v>
                </c:pt>
                <c:pt idx="261">
                  <c:v>1153.6949999999999</c:v>
                </c:pt>
                <c:pt idx="262">
                  <c:v>1370.89</c:v>
                </c:pt>
                <c:pt idx="263">
                  <c:v>996.81624999999997</c:v>
                </c:pt>
                <c:pt idx="264">
                  <c:v>622.74249999999995</c:v>
                </c:pt>
                <c:pt idx="265">
                  <c:v>1099.3583333333299</c:v>
                </c:pt>
                <c:pt idx="266">
                  <c:v>827.256666666667</c:v>
                </c:pt>
                <c:pt idx="267">
                  <c:v>1147.3816666666701</c:v>
                </c:pt>
                <c:pt idx="268">
                  <c:v>2052.6866666666701</c:v>
                </c:pt>
                <c:pt idx="269">
                  <c:v>1756.2233333333299</c:v>
                </c:pt>
                <c:pt idx="270">
                  <c:v>1316.54</c:v>
                </c:pt>
                <c:pt idx="271">
                  <c:v>2390.4</c:v>
                </c:pt>
                <c:pt idx="272">
                  <c:v>640.29999999999995</c:v>
                </c:pt>
                <c:pt idx="273">
                  <c:v>822.16333333333296</c:v>
                </c:pt>
                <c:pt idx="274">
                  <c:v>2458.4</c:v>
                </c:pt>
                <c:pt idx="275">
                  <c:v>1554.42</c:v>
                </c:pt>
                <c:pt idx="276">
                  <c:v>1661.9775</c:v>
                </c:pt>
                <c:pt idx="277">
                  <c:v>440.1</c:v>
                </c:pt>
                <c:pt idx="278">
                  <c:v>1158.75</c:v>
                </c:pt>
                <c:pt idx="279">
                  <c:v>771.81</c:v>
                </c:pt>
                <c:pt idx="280">
                  <c:v>1906.4466666666699</c:v>
                </c:pt>
                <c:pt idx="281">
                  <c:v>1085.58</c:v>
                </c:pt>
                <c:pt idx="282">
                  <c:v>1377.8019999999999</c:v>
                </c:pt>
                <c:pt idx="283">
                  <c:v>989.93499999999995</c:v>
                </c:pt>
                <c:pt idx="284">
                  <c:v>1430.0619999999999</c:v>
                </c:pt>
                <c:pt idx="285">
                  <c:v>128.66999999999999</c:v>
                </c:pt>
                <c:pt idx="286">
                  <c:v>785.68499999999995</c:v>
                </c:pt>
                <c:pt idx="287">
                  <c:v>2752.1350000000002</c:v>
                </c:pt>
                <c:pt idx="288">
                  <c:v>740.87333333333299</c:v>
                </c:pt>
                <c:pt idx="289">
                  <c:v>1313.86666666667</c:v>
                </c:pt>
                <c:pt idx="290">
                  <c:v>1197.73</c:v>
                </c:pt>
                <c:pt idx="291">
                  <c:v>206.41499999999999</c:v>
                </c:pt>
                <c:pt idx="292">
                  <c:v>86.02</c:v>
                </c:pt>
                <c:pt idx="293">
                  <c:v>1292.2349999999999</c:v>
                </c:pt>
                <c:pt idx="294">
                  <c:v>1310.95</c:v>
                </c:pt>
                <c:pt idx="295">
                  <c:v>2606.2233333333302</c:v>
                </c:pt>
                <c:pt idx="296">
                  <c:v>445.245</c:v>
                </c:pt>
                <c:pt idx="297">
                  <c:v>2841.56</c:v>
                </c:pt>
                <c:pt idx="298">
                  <c:v>845.48</c:v>
                </c:pt>
                <c:pt idx="299">
                  <c:v>1137.46</c:v>
                </c:pt>
                <c:pt idx="300">
                  <c:v>1381.73</c:v>
                </c:pt>
                <c:pt idx="301">
                  <c:v>546.39</c:v>
                </c:pt>
                <c:pt idx="302">
                  <c:v>724.47</c:v>
                </c:pt>
                <c:pt idx="303">
                  <c:v>1114.04</c:v>
                </c:pt>
                <c:pt idx="304">
                  <c:v>738.52</c:v>
                </c:pt>
                <c:pt idx="305">
                  <c:v>1133.538</c:v>
                </c:pt>
                <c:pt idx="306">
                  <c:v>2654.58</c:v>
                </c:pt>
                <c:pt idx="307">
                  <c:v>1055.38857142857</c:v>
                </c:pt>
                <c:pt idx="308">
                  <c:v>254.72</c:v>
                </c:pt>
                <c:pt idx="309">
                  <c:v>1040.9449999999999</c:v>
                </c:pt>
                <c:pt idx="310">
                  <c:v>973.21666666666704</c:v>
                </c:pt>
                <c:pt idx="311">
                  <c:v>1231.75</c:v>
                </c:pt>
                <c:pt idx="312">
                  <c:v>1073.91333333333</c:v>
                </c:pt>
                <c:pt idx="313">
                  <c:v>1665.23</c:v>
                </c:pt>
                <c:pt idx="314">
                  <c:v>1269.0933333333301</c:v>
                </c:pt>
                <c:pt idx="315">
                  <c:v>1986.72</c:v>
                </c:pt>
                <c:pt idx="316">
                  <c:v>456.48</c:v>
                </c:pt>
                <c:pt idx="317">
                  <c:v>1627.0250000000001</c:v>
                </c:pt>
                <c:pt idx="318">
                  <c:v>1569.6075000000001</c:v>
                </c:pt>
                <c:pt idx="319">
                  <c:v>1749.1033333333301</c:v>
                </c:pt>
                <c:pt idx="320">
                  <c:v>1120.9175</c:v>
                </c:pt>
                <c:pt idx="321">
                  <c:v>857.15200000000004</c:v>
                </c:pt>
                <c:pt idx="322">
                  <c:v>652.74</c:v>
                </c:pt>
                <c:pt idx="323">
                  <c:v>2968.2</c:v>
                </c:pt>
                <c:pt idx="324">
                  <c:v>234.5</c:v>
                </c:pt>
                <c:pt idx="325">
                  <c:v>820.28</c:v>
                </c:pt>
                <c:pt idx="326">
                  <c:v>828.26250000000005</c:v>
                </c:pt>
                <c:pt idx="327">
                  <c:v>694.28125</c:v>
                </c:pt>
                <c:pt idx="328">
                  <c:v>560.29999999999995</c:v>
                </c:pt>
                <c:pt idx="329">
                  <c:v>1894.15333333333</c:v>
                </c:pt>
                <c:pt idx="330">
                  <c:v>1730.11333333333</c:v>
                </c:pt>
                <c:pt idx="331">
                  <c:v>1420.675</c:v>
                </c:pt>
                <c:pt idx="332">
                  <c:v>1762.876</c:v>
                </c:pt>
                <c:pt idx="333">
                  <c:v>1024.85666666667</c:v>
                </c:pt>
                <c:pt idx="334">
                  <c:v>2831.2933333333299</c:v>
                </c:pt>
                <c:pt idx="335">
                  <c:v>1396.075</c:v>
                </c:pt>
                <c:pt idx="336">
                  <c:v>1249.386</c:v>
                </c:pt>
                <c:pt idx="337">
                  <c:v>1021.128</c:v>
                </c:pt>
                <c:pt idx="338">
                  <c:v>792.87</c:v>
                </c:pt>
                <c:pt idx="339">
                  <c:v>1917.1783333333301</c:v>
                </c:pt>
                <c:pt idx="340">
                  <c:v>622.84</c:v>
                </c:pt>
                <c:pt idx="341">
                  <c:v>970.09249999999997</c:v>
                </c:pt>
                <c:pt idx="342">
                  <c:v>1527.17486329494</c:v>
                </c:pt>
                <c:pt idx="343">
                  <c:v>1133.3699999999999</c:v>
                </c:pt>
                <c:pt idx="344">
                  <c:v>2131.3000000000002</c:v>
                </c:pt>
                <c:pt idx="345">
                  <c:v>1413.71333333333</c:v>
                </c:pt>
                <c:pt idx="346">
                  <c:v>886.3</c:v>
                </c:pt>
                <c:pt idx="347">
                  <c:v>1252.3225</c:v>
                </c:pt>
                <c:pt idx="348">
                  <c:v>583.30499999999995</c:v>
                </c:pt>
                <c:pt idx="349">
                  <c:v>1771.16</c:v>
                </c:pt>
                <c:pt idx="350">
                  <c:v>988.5</c:v>
                </c:pt>
                <c:pt idx="351">
                  <c:v>1316.5166666666701</c:v>
                </c:pt>
                <c:pt idx="352">
                  <c:v>1897.075</c:v>
                </c:pt>
                <c:pt idx="353">
                  <c:v>3329.58</c:v>
                </c:pt>
                <c:pt idx="354">
                  <c:v>1536.43</c:v>
                </c:pt>
                <c:pt idx="355">
                  <c:v>820.65</c:v>
                </c:pt>
                <c:pt idx="356">
                  <c:v>1430.9683333333301</c:v>
                </c:pt>
                <c:pt idx="357">
                  <c:v>418.63</c:v>
                </c:pt>
                <c:pt idx="358">
                  <c:v>1249.45</c:v>
                </c:pt>
                <c:pt idx="359">
                  <c:v>1221.8699999999999</c:v>
                </c:pt>
                <c:pt idx="360">
                  <c:v>1535.825</c:v>
                </c:pt>
                <c:pt idx="361">
                  <c:v>1905.12</c:v>
                </c:pt>
                <c:pt idx="362">
                  <c:v>1348.002</c:v>
                </c:pt>
                <c:pt idx="363">
                  <c:v>2711.3933333333298</c:v>
                </c:pt>
                <c:pt idx="364">
                  <c:v>690.70249999999999</c:v>
                </c:pt>
                <c:pt idx="365">
                  <c:v>1258.84666666667</c:v>
                </c:pt>
                <c:pt idx="366">
                  <c:v>1755.5983333333299</c:v>
                </c:pt>
                <c:pt idx="367">
                  <c:v>1031.9766666666701</c:v>
                </c:pt>
                <c:pt idx="368">
                  <c:v>328.55500000000001</c:v>
                </c:pt>
                <c:pt idx="369">
                  <c:v>465.38</c:v>
                </c:pt>
                <c:pt idx="370">
                  <c:v>1513.645</c:v>
                </c:pt>
                <c:pt idx="371">
                  <c:v>1813.44</c:v>
                </c:pt>
                <c:pt idx="372">
                  <c:v>1324.83666666667</c:v>
                </c:pt>
                <c:pt idx="373">
                  <c:v>836.23333333333301</c:v>
                </c:pt>
                <c:pt idx="374">
                  <c:v>2255.6866666666701</c:v>
                </c:pt>
                <c:pt idx="375">
                  <c:v>435.38</c:v>
                </c:pt>
                <c:pt idx="376">
                  <c:v>703.54</c:v>
                </c:pt>
                <c:pt idx="377">
                  <c:v>2216.7533333333299</c:v>
                </c:pt>
                <c:pt idx="378">
                  <c:v>935.8</c:v>
                </c:pt>
                <c:pt idx="379">
                  <c:v>842.59</c:v>
                </c:pt>
                <c:pt idx="380">
                  <c:v>1089.79666666667</c:v>
                </c:pt>
                <c:pt idx="381">
                  <c:v>1084.2774999999999</c:v>
                </c:pt>
                <c:pt idx="382">
                  <c:v>2762.16</c:v>
                </c:pt>
                <c:pt idx="383">
                  <c:v>1359.5533333333301</c:v>
                </c:pt>
                <c:pt idx="384">
                  <c:v>1255</c:v>
                </c:pt>
                <c:pt idx="385">
                  <c:v>1971.2349999999999</c:v>
                </c:pt>
                <c:pt idx="386">
                  <c:v>1281.7925</c:v>
                </c:pt>
                <c:pt idx="387">
                  <c:v>592.35</c:v>
                </c:pt>
                <c:pt idx="388">
                  <c:v>1025.24</c:v>
                </c:pt>
                <c:pt idx="389">
                  <c:v>1767.2574999999999</c:v>
                </c:pt>
                <c:pt idx="390">
                  <c:v>1230.46</c:v>
                </c:pt>
                <c:pt idx="391">
                  <c:v>804.80499999999995</c:v>
                </c:pt>
                <c:pt idx="392">
                  <c:v>379.15</c:v>
                </c:pt>
                <c:pt idx="393">
                  <c:v>1678.8475000000001</c:v>
                </c:pt>
                <c:pt idx="394">
                  <c:v>1436.6683333333301</c:v>
                </c:pt>
                <c:pt idx="395">
                  <c:v>1738.7974999999999</c:v>
                </c:pt>
                <c:pt idx="396">
                  <c:v>1751.2</c:v>
                </c:pt>
                <c:pt idx="397">
                  <c:v>2037.62</c:v>
                </c:pt>
                <c:pt idx="398">
                  <c:v>1177.42</c:v>
                </c:pt>
                <c:pt idx="399">
                  <c:v>1953.46</c:v>
                </c:pt>
                <c:pt idx="400">
                  <c:v>2039.425</c:v>
                </c:pt>
                <c:pt idx="401">
                  <c:v>1518.2650000000001</c:v>
                </c:pt>
                <c:pt idx="402">
                  <c:v>1917.96</c:v>
                </c:pt>
                <c:pt idx="403">
                  <c:v>254.845</c:v>
                </c:pt>
                <c:pt idx="404">
                  <c:v>882.38250000000005</c:v>
                </c:pt>
                <c:pt idx="405">
                  <c:v>1805.0550000000001</c:v>
                </c:pt>
                <c:pt idx="406">
                  <c:v>2245.268</c:v>
                </c:pt>
                <c:pt idx="407">
                  <c:v>1417.7166666666701</c:v>
                </c:pt>
                <c:pt idx="408">
                  <c:v>1638.4649999999999</c:v>
                </c:pt>
                <c:pt idx="409">
                  <c:v>1485.16</c:v>
                </c:pt>
                <c:pt idx="410">
                  <c:v>1679.05</c:v>
                </c:pt>
                <c:pt idx="411">
                  <c:v>1554.9833333333299</c:v>
                </c:pt>
                <c:pt idx="412">
                  <c:v>1653.35</c:v>
                </c:pt>
                <c:pt idx="413">
                  <c:v>1959.5833333333301</c:v>
                </c:pt>
                <c:pt idx="414">
                  <c:v>870.96</c:v>
                </c:pt>
                <c:pt idx="415">
                  <c:v>1168.75</c:v>
                </c:pt>
                <c:pt idx="416">
                  <c:v>878.72</c:v>
                </c:pt>
                <c:pt idx="417">
                  <c:v>3691.96</c:v>
                </c:pt>
                <c:pt idx="418">
                  <c:v>784.32</c:v>
                </c:pt>
                <c:pt idx="419">
                  <c:v>1910.74</c:v>
                </c:pt>
                <c:pt idx="420">
                  <c:v>2182.5720000000001</c:v>
                </c:pt>
                <c:pt idx="421">
                  <c:v>1990.8109999999999</c:v>
                </c:pt>
                <c:pt idx="422">
                  <c:v>1799.05</c:v>
                </c:pt>
                <c:pt idx="423">
                  <c:v>1742.6</c:v>
                </c:pt>
                <c:pt idx="424">
                  <c:v>1234.45</c:v>
                </c:pt>
                <c:pt idx="425">
                  <c:v>991.37</c:v>
                </c:pt>
                <c:pt idx="426">
                  <c:v>1095.836</c:v>
                </c:pt>
                <c:pt idx="427">
                  <c:v>106.55500000000001</c:v>
                </c:pt>
                <c:pt idx="428">
                  <c:v>1193.7049999999999</c:v>
                </c:pt>
                <c:pt idx="429">
                  <c:v>372.95</c:v>
                </c:pt>
                <c:pt idx="430">
                  <c:v>721.15083333333303</c:v>
                </c:pt>
                <c:pt idx="431">
                  <c:v>1069.3516666666701</c:v>
                </c:pt>
                <c:pt idx="432">
                  <c:v>1818.7</c:v>
                </c:pt>
                <c:pt idx="433">
                  <c:v>1763.865</c:v>
                </c:pt>
                <c:pt idx="434">
                  <c:v>438.32</c:v>
                </c:pt>
                <c:pt idx="435">
                  <c:v>1417.71</c:v>
                </c:pt>
                <c:pt idx="436">
                  <c:v>1489.97</c:v>
                </c:pt>
                <c:pt idx="437">
                  <c:v>1098.29</c:v>
                </c:pt>
                <c:pt idx="438">
                  <c:v>911.97</c:v>
                </c:pt>
                <c:pt idx="439">
                  <c:v>1753.07666666667</c:v>
                </c:pt>
                <c:pt idx="440">
                  <c:v>664.27599999999995</c:v>
                </c:pt>
                <c:pt idx="441">
                  <c:v>1482.12</c:v>
                </c:pt>
                <c:pt idx="442">
                  <c:v>104.88</c:v>
                </c:pt>
                <c:pt idx="443">
                  <c:v>1101.0360000000001</c:v>
                </c:pt>
                <c:pt idx="444">
                  <c:v>540.78</c:v>
                </c:pt>
                <c:pt idx="445">
                  <c:v>2234.6799999999998</c:v>
                </c:pt>
                <c:pt idx="446">
                  <c:v>1042.22</c:v>
                </c:pt>
                <c:pt idx="447">
                  <c:v>1428.48</c:v>
                </c:pt>
                <c:pt idx="448">
                  <c:v>1118.7449999999999</c:v>
                </c:pt>
                <c:pt idx="449">
                  <c:v>2336.9699999999998</c:v>
                </c:pt>
                <c:pt idx="450">
                  <c:v>855.15</c:v>
                </c:pt>
                <c:pt idx="451">
                  <c:v>1096.5940000000001</c:v>
                </c:pt>
                <c:pt idx="452">
                  <c:v>510.86</c:v>
                </c:pt>
                <c:pt idx="453">
                  <c:v>1718.2266666666701</c:v>
                </c:pt>
                <c:pt idx="454">
                  <c:v>2251.2975000000001</c:v>
                </c:pt>
                <c:pt idx="455">
                  <c:v>2650.38</c:v>
                </c:pt>
                <c:pt idx="456">
                  <c:v>880</c:v>
                </c:pt>
                <c:pt idx="457">
                  <c:v>1789.76</c:v>
                </c:pt>
                <c:pt idx="458">
                  <c:v>1658.605</c:v>
                </c:pt>
                <c:pt idx="459">
                  <c:v>894.97666666666703</c:v>
                </c:pt>
                <c:pt idx="460">
                  <c:v>2675.6833333333302</c:v>
                </c:pt>
                <c:pt idx="461">
                  <c:v>1057.145</c:v>
                </c:pt>
                <c:pt idx="462">
                  <c:v>1838.84</c:v>
                </c:pt>
                <c:pt idx="463">
                  <c:v>1269.05</c:v>
                </c:pt>
                <c:pt idx="464">
                  <c:v>1132.556</c:v>
                </c:pt>
                <c:pt idx="465">
                  <c:v>935.75</c:v>
                </c:pt>
                <c:pt idx="466">
                  <c:v>1248.5419999999999</c:v>
                </c:pt>
                <c:pt idx="467">
                  <c:v>812.80600000000004</c:v>
                </c:pt>
                <c:pt idx="468">
                  <c:v>377.07</c:v>
                </c:pt>
                <c:pt idx="469">
                  <c:v>2459.3200000000002</c:v>
                </c:pt>
                <c:pt idx="470">
                  <c:v>1607.88</c:v>
                </c:pt>
                <c:pt idx="471">
                  <c:v>2536.65</c:v>
                </c:pt>
                <c:pt idx="472">
                  <c:v>1569.84</c:v>
                </c:pt>
                <c:pt idx="473">
                  <c:v>1169.4066666666699</c:v>
                </c:pt>
                <c:pt idx="474">
                  <c:v>1881.2974999999999</c:v>
                </c:pt>
                <c:pt idx="475">
                  <c:v>1126.5025000000001</c:v>
                </c:pt>
                <c:pt idx="476">
                  <c:v>739.37249999999995</c:v>
                </c:pt>
                <c:pt idx="477">
                  <c:v>935.86</c:v>
                </c:pt>
                <c:pt idx="478">
                  <c:v>1216.4475</c:v>
                </c:pt>
                <c:pt idx="479">
                  <c:v>860.77</c:v>
                </c:pt>
                <c:pt idx="480">
                  <c:v>966.72</c:v>
                </c:pt>
                <c:pt idx="481">
                  <c:v>607.52</c:v>
                </c:pt>
                <c:pt idx="482">
                  <c:v>1257.9359999999999</c:v>
                </c:pt>
                <c:pt idx="483">
                  <c:v>38.67</c:v>
                </c:pt>
                <c:pt idx="484">
                  <c:v>845.73500000000001</c:v>
                </c:pt>
                <c:pt idx="485">
                  <c:v>2112.3200000000002</c:v>
                </c:pt>
                <c:pt idx="486">
                  <c:v>636.70000000000005</c:v>
                </c:pt>
                <c:pt idx="487">
                  <c:v>1036.7366666666701</c:v>
                </c:pt>
                <c:pt idx="488">
                  <c:v>1472.65</c:v>
                </c:pt>
                <c:pt idx="489">
                  <c:v>1273.3579999999999</c:v>
                </c:pt>
                <c:pt idx="490">
                  <c:v>1235.4956666666701</c:v>
                </c:pt>
                <c:pt idx="491">
                  <c:v>1197.63333333333</c:v>
                </c:pt>
                <c:pt idx="492">
                  <c:v>1383.41</c:v>
                </c:pt>
                <c:pt idx="493">
                  <c:v>808.16</c:v>
                </c:pt>
                <c:pt idx="494">
                  <c:v>1070.51</c:v>
                </c:pt>
                <c:pt idx="495">
                  <c:v>1332.86</c:v>
                </c:pt>
                <c:pt idx="496">
                  <c:v>885.368333333333</c:v>
                </c:pt>
                <c:pt idx="497">
                  <c:v>1285.3165935233101</c:v>
                </c:pt>
                <c:pt idx="498">
                  <c:v>1559.9749999999999</c:v>
                </c:pt>
                <c:pt idx="499">
                  <c:v>669.33</c:v>
                </c:pt>
                <c:pt idx="500">
                  <c:v>1264.79</c:v>
                </c:pt>
                <c:pt idx="501">
                  <c:v>1046.52</c:v>
                </c:pt>
                <c:pt idx="502">
                  <c:v>1558.9749999999999</c:v>
                </c:pt>
                <c:pt idx="503">
                  <c:v>1152.335</c:v>
                </c:pt>
                <c:pt idx="504">
                  <c:v>941.08666666666704</c:v>
                </c:pt>
                <c:pt idx="505">
                  <c:v>1378.8679999999999</c:v>
                </c:pt>
                <c:pt idx="506">
                  <c:v>34.47</c:v>
                </c:pt>
                <c:pt idx="507">
                  <c:v>2086.9250000000002</c:v>
                </c:pt>
                <c:pt idx="508">
                  <c:v>1283.4939999999999</c:v>
                </c:pt>
                <c:pt idx="509">
                  <c:v>1988.28666666667</c:v>
                </c:pt>
                <c:pt idx="510">
                  <c:v>372.29</c:v>
                </c:pt>
                <c:pt idx="511">
                  <c:v>1327.36</c:v>
                </c:pt>
                <c:pt idx="512">
                  <c:v>1412.095</c:v>
                </c:pt>
                <c:pt idx="513">
                  <c:v>2161.8000000000002</c:v>
                </c:pt>
                <c:pt idx="514">
                  <c:v>873.73500000000001</c:v>
                </c:pt>
                <c:pt idx="515">
                  <c:v>1237.68</c:v>
                </c:pt>
                <c:pt idx="516">
                  <c:v>1081.5925</c:v>
                </c:pt>
                <c:pt idx="517">
                  <c:v>755.76666666666699</c:v>
                </c:pt>
                <c:pt idx="518">
                  <c:v>407.61</c:v>
                </c:pt>
                <c:pt idx="519">
                  <c:v>856.52499999999998</c:v>
                </c:pt>
                <c:pt idx="520">
                  <c:v>1305.44</c:v>
                </c:pt>
                <c:pt idx="521">
                  <c:v>1185.0033333333299</c:v>
                </c:pt>
                <c:pt idx="522">
                  <c:v>1124.92</c:v>
                </c:pt>
                <c:pt idx="523">
                  <c:v>1318.69</c:v>
                </c:pt>
                <c:pt idx="524">
                  <c:v>2032.23</c:v>
                </c:pt>
                <c:pt idx="525">
                  <c:v>2040.2633333333299</c:v>
                </c:pt>
                <c:pt idx="526">
                  <c:v>1839.9733333333299</c:v>
                </c:pt>
                <c:pt idx="527">
                  <c:v>903.54666666666697</c:v>
                </c:pt>
                <c:pt idx="528">
                  <c:v>912.22500000000002</c:v>
                </c:pt>
                <c:pt idx="529">
                  <c:v>2654.40571428571</c:v>
                </c:pt>
                <c:pt idx="530">
                  <c:v>1556.2645238095199</c:v>
                </c:pt>
                <c:pt idx="531">
                  <c:v>458.12333333333299</c:v>
                </c:pt>
                <c:pt idx="532">
                  <c:v>2048.2759999999998</c:v>
                </c:pt>
                <c:pt idx="533">
                  <c:v>1354.335</c:v>
                </c:pt>
                <c:pt idx="534">
                  <c:v>664.79</c:v>
                </c:pt>
                <c:pt idx="535">
                  <c:v>707.96</c:v>
                </c:pt>
                <c:pt idx="536">
                  <c:v>698.61666666666702</c:v>
                </c:pt>
                <c:pt idx="537">
                  <c:v>940.14</c:v>
                </c:pt>
                <c:pt idx="538">
                  <c:v>2547.9899999999998</c:v>
                </c:pt>
                <c:pt idx="539">
                  <c:v>1955.5875000000001</c:v>
                </c:pt>
                <c:pt idx="540">
                  <c:v>2534.2366666666699</c:v>
                </c:pt>
                <c:pt idx="541">
                  <c:v>880.21666666666704</c:v>
                </c:pt>
                <c:pt idx="542">
                  <c:v>2357.7874999999999</c:v>
                </c:pt>
                <c:pt idx="543">
                  <c:v>892.12599999999998</c:v>
                </c:pt>
                <c:pt idx="544">
                  <c:v>936.68499999999995</c:v>
                </c:pt>
                <c:pt idx="545">
                  <c:v>2374.3333333333298</c:v>
                </c:pt>
                <c:pt idx="546">
                  <c:v>224.16</c:v>
                </c:pt>
                <c:pt idx="547">
                  <c:v>1220.9775</c:v>
                </c:pt>
                <c:pt idx="548">
                  <c:v>1348.73</c:v>
                </c:pt>
                <c:pt idx="549">
                  <c:v>1895.59</c:v>
                </c:pt>
                <c:pt idx="550">
                  <c:v>1211.7375</c:v>
                </c:pt>
                <c:pt idx="551">
                  <c:v>935.72333333333302</c:v>
                </c:pt>
                <c:pt idx="552">
                  <c:v>351.90333333333302</c:v>
                </c:pt>
                <c:pt idx="553">
                  <c:v>85.58</c:v>
                </c:pt>
                <c:pt idx="554">
                  <c:v>649.19000000000005</c:v>
                </c:pt>
                <c:pt idx="555">
                  <c:v>1497.21</c:v>
                </c:pt>
                <c:pt idx="556">
                  <c:v>2042.9933333333299</c:v>
                </c:pt>
                <c:pt idx="557">
                  <c:v>3309.9166666666702</c:v>
                </c:pt>
                <c:pt idx="558">
                  <c:v>1248.915</c:v>
                </c:pt>
                <c:pt idx="559">
                  <c:v>1287.2919999999999</c:v>
                </c:pt>
                <c:pt idx="560">
                  <c:v>1421.796</c:v>
                </c:pt>
                <c:pt idx="561">
                  <c:v>838.68666666666695</c:v>
                </c:pt>
                <c:pt idx="562">
                  <c:v>2538.355</c:v>
                </c:pt>
                <c:pt idx="563">
                  <c:v>2374.4</c:v>
                </c:pt>
                <c:pt idx="564">
                  <c:v>496.755</c:v>
                </c:pt>
                <c:pt idx="565">
                  <c:v>1470.355</c:v>
                </c:pt>
                <c:pt idx="566">
                  <c:v>578.1</c:v>
                </c:pt>
                <c:pt idx="567">
                  <c:v>1838.4175</c:v>
                </c:pt>
                <c:pt idx="568">
                  <c:v>1136.3875</c:v>
                </c:pt>
                <c:pt idx="569">
                  <c:v>1195.7725</c:v>
                </c:pt>
                <c:pt idx="570">
                  <c:v>1255.1575</c:v>
                </c:pt>
                <c:pt idx="571">
                  <c:v>142.68</c:v>
                </c:pt>
                <c:pt idx="572">
                  <c:v>1028.6966666666699</c:v>
                </c:pt>
                <c:pt idx="573">
                  <c:v>383.68</c:v>
                </c:pt>
                <c:pt idx="574">
                  <c:v>460.51</c:v>
                </c:pt>
                <c:pt idx="575">
                  <c:v>1853.64</c:v>
                </c:pt>
                <c:pt idx="576">
                  <c:v>1459.4</c:v>
                </c:pt>
                <c:pt idx="577">
                  <c:v>223.89</c:v>
                </c:pt>
                <c:pt idx="578">
                  <c:v>242.68</c:v>
                </c:pt>
                <c:pt idx="579">
                  <c:v>1206.7449999999999</c:v>
                </c:pt>
                <c:pt idx="580">
                  <c:v>461.68</c:v>
                </c:pt>
                <c:pt idx="581">
                  <c:v>1850.37333333333</c:v>
                </c:pt>
                <c:pt idx="582">
                  <c:v>1033.0374999999999</c:v>
                </c:pt>
                <c:pt idx="583">
                  <c:v>1491.826</c:v>
                </c:pt>
                <c:pt idx="584">
                  <c:v>589.73666666666702</c:v>
                </c:pt>
                <c:pt idx="585">
                  <c:v>964.72833333333301</c:v>
                </c:pt>
                <c:pt idx="586">
                  <c:v>590.05999999999995</c:v>
                </c:pt>
                <c:pt idx="587">
                  <c:v>687.55</c:v>
                </c:pt>
                <c:pt idx="588">
                  <c:v>1277.5333333333299</c:v>
                </c:pt>
                <c:pt idx="589">
                  <c:v>1281.95966666667</c:v>
                </c:pt>
                <c:pt idx="590">
                  <c:v>1286.386</c:v>
                </c:pt>
                <c:pt idx="591">
                  <c:v>1831.9725000000001</c:v>
                </c:pt>
                <c:pt idx="592">
                  <c:v>1589.97</c:v>
                </c:pt>
                <c:pt idx="593">
                  <c:v>1047.4271428571401</c:v>
                </c:pt>
                <c:pt idx="594">
                  <c:v>889.005</c:v>
                </c:pt>
                <c:pt idx="595">
                  <c:v>854.26416666666705</c:v>
                </c:pt>
                <c:pt idx="596">
                  <c:v>819.52333333333297</c:v>
                </c:pt>
                <c:pt idx="597">
                  <c:v>499.33499999999998</c:v>
                </c:pt>
                <c:pt idx="598">
                  <c:v>1732.338</c:v>
                </c:pt>
                <c:pt idx="599">
                  <c:v>925.91</c:v>
                </c:pt>
                <c:pt idx="600">
                  <c:v>1197.95</c:v>
                </c:pt>
                <c:pt idx="601">
                  <c:v>1497.63666666667</c:v>
                </c:pt>
                <c:pt idx="602">
                  <c:v>1198.2</c:v>
                </c:pt>
                <c:pt idx="603">
                  <c:v>575.77</c:v>
                </c:pt>
                <c:pt idx="604">
                  <c:v>424.505</c:v>
                </c:pt>
                <c:pt idx="605">
                  <c:v>816.78</c:v>
                </c:pt>
                <c:pt idx="606">
                  <c:v>1215.1766666666699</c:v>
                </c:pt>
                <c:pt idx="607">
                  <c:v>1133.5899999999999</c:v>
                </c:pt>
                <c:pt idx="608">
                  <c:v>1052.0033333333299</c:v>
                </c:pt>
                <c:pt idx="609">
                  <c:v>1791.84</c:v>
                </c:pt>
                <c:pt idx="610">
                  <c:v>867.56857142857098</c:v>
                </c:pt>
                <c:pt idx="611">
                  <c:v>1722.6937499999999</c:v>
                </c:pt>
                <c:pt idx="612">
                  <c:v>189.21</c:v>
                </c:pt>
                <c:pt idx="613">
                  <c:v>1182.3</c:v>
                </c:pt>
                <c:pt idx="614">
                  <c:v>290.27999999999997</c:v>
                </c:pt>
                <c:pt idx="615">
                  <c:v>755.19749999999999</c:v>
                </c:pt>
                <c:pt idx="616">
                  <c:v>1220.115</c:v>
                </c:pt>
                <c:pt idx="617">
                  <c:v>1222.06</c:v>
                </c:pt>
                <c:pt idx="618">
                  <c:v>1693.41</c:v>
                </c:pt>
                <c:pt idx="619">
                  <c:v>618.14333333333298</c:v>
                </c:pt>
                <c:pt idx="620">
                  <c:v>570.386666666667</c:v>
                </c:pt>
                <c:pt idx="621">
                  <c:v>522.63</c:v>
                </c:pt>
                <c:pt idx="622">
                  <c:v>520.19000000000005</c:v>
                </c:pt>
                <c:pt idx="623">
                  <c:v>517.75</c:v>
                </c:pt>
                <c:pt idx="624">
                  <c:v>1725.79</c:v>
                </c:pt>
                <c:pt idx="625">
                  <c:v>542.46</c:v>
                </c:pt>
                <c:pt idx="626">
                  <c:v>727.54333333333295</c:v>
                </c:pt>
                <c:pt idx="627">
                  <c:v>2435.53666666667</c:v>
                </c:pt>
                <c:pt idx="628">
                  <c:v>2138.2849999999999</c:v>
                </c:pt>
                <c:pt idx="629">
                  <c:v>1027.98714285714</c:v>
                </c:pt>
                <c:pt idx="630">
                  <c:v>1829.8625</c:v>
                </c:pt>
                <c:pt idx="631">
                  <c:v>973.33</c:v>
                </c:pt>
                <c:pt idx="632">
                  <c:v>1592.01</c:v>
                </c:pt>
                <c:pt idx="633">
                  <c:v>260.5</c:v>
                </c:pt>
                <c:pt idx="634">
                  <c:v>443.31333333333299</c:v>
                </c:pt>
                <c:pt idx="635">
                  <c:v>789.23</c:v>
                </c:pt>
                <c:pt idx="636">
                  <c:v>725.39</c:v>
                </c:pt>
                <c:pt idx="637">
                  <c:v>1016.96333333333</c:v>
                </c:pt>
                <c:pt idx="638">
                  <c:v>1527.7633333333299</c:v>
                </c:pt>
                <c:pt idx="639">
                  <c:v>856.20166666666705</c:v>
                </c:pt>
                <c:pt idx="640">
                  <c:v>184.64</c:v>
                </c:pt>
                <c:pt idx="641">
                  <c:v>1024.3</c:v>
                </c:pt>
                <c:pt idx="642">
                  <c:v>2363.6666666666702</c:v>
                </c:pt>
                <c:pt idx="643">
                  <c:v>1523.4</c:v>
                </c:pt>
                <c:pt idx="644">
                  <c:v>1500.28</c:v>
                </c:pt>
                <c:pt idx="645">
                  <c:v>459.71</c:v>
                </c:pt>
                <c:pt idx="646">
                  <c:v>3382.08</c:v>
                </c:pt>
                <c:pt idx="647">
                  <c:v>1639.67</c:v>
                </c:pt>
                <c:pt idx="648">
                  <c:v>681.44</c:v>
                </c:pt>
                <c:pt idx="649">
                  <c:v>873.43600000000004</c:v>
                </c:pt>
                <c:pt idx="650">
                  <c:v>970.28</c:v>
                </c:pt>
                <c:pt idx="651">
                  <c:v>1875.09666666667</c:v>
                </c:pt>
                <c:pt idx="652">
                  <c:v>1781.6483333333299</c:v>
                </c:pt>
                <c:pt idx="653">
                  <c:v>1688.2</c:v>
                </c:pt>
                <c:pt idx="654">
                  <c:v>1428.14</c:v>
                </c:pt>
                <c:pt idx="655">
                  <c:v>1432.91</c:v>
                </c:pt>
                <c:pt idx="656">
                  <c:v>1173.8900000000001</c:v>
                </c:pt>
                <c:pt idx="657">
                  <c:v>512.14</c:v>
                </c:pt>
                <c:pt idx="658">
                  <c:v>1360.65</c:v>
                </c:pt>
                <c:pt idx="659">
                  <c:v>2916.9</c:v>
                </c:pt>
                <c:pt idx="660">
                  <c:v>1903.56</c:v>
                </c:pt>
                <c:pt idx="661">
                  <c:v>913.71</c:v>
                </c:pt>
                <c:pt idx="662">
                  <c:v>1783.0057142857099</c:v>
                </c:pt>
                <c:pt idx="663">
                  <c:v>940.91</c:v>
                </c:pt>
                <c:pt idx="664">
                  <c:v>844.86</c:v>
                </c:pt>
                <c:pt idx="665">
                  <c:v>1035.364</c:v>
                </c:pt>
                <c:pt idx="666">
                  <c:v>222.93</c:v>
                </c:pt>
                <c:pt idx="667">
                  <c:v>1446.704</c:v>
                </c:pt>
                <c:pt idx="668">
                  <c:v>1183.80666666667</c:v>
                </c:pt>
                <c:pt idx="669">
                  <c:v>1479.48</c:v>
                </c:pt>
                <c:pt idx="670">
                  <c:v>1129.1780000000001</c:v>
                </c:pt>
                <c:pt idx="671">
                  <c:v>1397.865</c:v>
                </c:pt>
                <c:pt idx="672">
                  <c:v>1059.5033333333299</c:v>
                </c:pt>
                <c:pt idx="673">
                  <c:v>1136.866</c:v>
                </c:pt>
                <c:pt idx="674">
                  <c:v>1175.97</c:v>
                </c:pt>
                <c:pt idx="675">
                  <c:v>1888.59</c:v>
                </c:pt>
                <c:pt idx="676">
                  <c:v>1699.454</c:v>
                </c:pt>
                <c:pt idx="677">
                  <c:v>715.98749999999995</c:v>
                </c:pt>
                <c:pt idx="678">
                  <c:v>2200.67333333333</c:v>
                </c:pt>
                <c:pt idx="679">
                  <c:v>3094.92</c:v>
                </c:pt>
                <c:pt idx="680">
                  <c:v>1557.605</c:v>
                </c:pt>
                <c:pt idx="681">
                  <c:v>1025.43665823736</c:v>
                </c:pt>
                <c:pt idx="682">
                  <c:v>1370.5725</c:v>
                </c:pt>
                <c:pt idx="683">
                  <c:v>1607.6529166666701</c:v>
                </c:pt>
                <c:pt idx="684">
                  <c:v>1844.7333333333299</c:v>
                </c:pt>
                <c:pt idx="685">
                  <c:v>891.76</c:v>
                </c:pt>
                <c:pt idx="686">
                  <c:v>230.47</c:v>
                </c:pt>
                <c:pt idx="687">
                  <c:v>1159.93</c:v>
                </c:pt>
                <c:pt idx="688">
                  <c:v>1032.26833333333</c:v>
                </c:pt>
                <c:pt idx="689">
                  <c:v>904.60666666666702</c:v>
                </c:pt>
                <c:pt idx="690">
                  <c:v>2259.66</c:v>
                </c:pt>
                <c:pt idx="691">
                  <c:v>1442.58</c:v>
                </c:pt>
                <c:pt idx="692">
                  <c:v>1780.7750000000001</c:v>
                </c:pt>
                <c:pt idx="693">
                  <c:v>1296.175</c:v>
                </c:pt>
                <c:pt idx="694">
                  <c:v>2422.13</c:v>
                </c:pt>
                <c:pt idx="695">
                  <c:v>590.56666666666695</c:v>
                </c:pt>
                <c:pt idx="696">
                  <c:v>1055.5650000000001</c:v>
                </c:pt>
                <c:pt idx="697">
                  <c:v>1156.4175</c:v>
                </c:pt>
                <c:pt idx="698">
                  <c:v>659.12</c:v>
                </c:pt>
                <c:pt idx="699">
                  <c:v>1062.6199999999999</c:v>
                </c:pt>
                <c:pt idx="700">
                  <c:v>903.46</c:v>
                </c:pt>
                <c:pt idx="701">
                  <c:v>1121.7560000000001</c:v>
                </c:pt>
                <c:pt idx="702">
                  <c:v>1228.1600000000001</c:v>
                </c:pt>
                <c:pt idx="703">
                  <c:v>2006.52</c:v>
                </c:pt>
                <c:pt idx="704">
                  <c:v>2316.35</c:v>
                </c:pt>
                <c:pt idx="705">
                  <c:v>1349.38666666667</c:v>
                </c:pt>
                <c:pt idx="706">
                  <c:v>1284.0050000000001</c:v>
                </c:pt>
                <c:pt idx="707">
                  <c:v>1179.26833333333</c:v>
                </c:pt>
                <c:pt idx="708">
                  <c:v>1074.5316666666699</c:v>
                </c:pt>
                <c:pt idx="709">
                  <c:v>372.63</c:v>
                </c:pt>
                <c:pt idx="710">
                  <c:v>811.88803731976304</c:v>
                </c:pt>
                <c:pt idx="711">
                  <c:v>928.40333333333297</c:v>
                </c:pt>
                <c:pt idx="712">
                  <c:v>1658.39</c:v>
                </c:pt>
                <c:pt idx="713">
                  <c:v>959.06</c:v>
                </c:pt>
                <c:pt idx="714">
                  <c:v>731.24666666666701</c:v>
                </c:pt>
                <c:pt idx="715">
                  <c:v>1845.51</c:v>
                </c:pt>
                <c:pt idx="716">
                  <c:v>1725.1575</c:v>
                </c:pt>
                <c:pt idx="717">
                  <c:v>2104.6799999999998</c:v>
                </c:pt>
                <c:pt idx="718">
                  <c:v>1366.5716666666699</c:v>
                </c:pt>
                <c:pt idx="719">
                  <c:v>628.46333333333303</c:v>
                </c:pt>
                <c:pt idx="720">
                  <c:v>1512.59</c:v>
                </c:pt>
                <c:pt idx="721">
                  <c:v>250.64</c:v>
                </c:pt>
                <c:pt idx="722">
                  <c:v>1646.26</c:v>
                </c:pt>
                <c:pt idx="723">
                  <c:v>1554.15333333333</c:v>
                </c:pt>
                <c:pt idx="724">
                  <c:v>1202.3516666666701</c:v>
                </c:pt>
                <c:pt idx="725">
                  <c:v>850.55</c:v>
                </c:pt>
                <c:pt idx="726">
                  <c:v>1905.07666666667</c:v>
                </c:pt>
                <c:pt idx="727">
                  <c:v>1512.07</c:v>
                </c:pt>
                <c:pt idx="728">
                  <c:v>872.02</c:v>
                </c:pt>
                <c:pt idx="729">
                  <c:v>1440.2375</c:v>
                </c:pt>
                <c:pt idx="730">
                  <c:v>1867.2719999999999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2-4686-BE26-60BCD0317E35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 Total_Amount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forecast!$C$2:$C$915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1775.2440956729099</c:v>
                </c:pt>
                <c:pt idx="732" formatCode="_ [$₹-4009]\ * #,##0.00_ ;_ [$₹-4009]\ * \-#,##0.00_ ;_ [$₹-4009]\ * &quot;-&quot;??_ ;_ @_ ">
                  <c:v>1924.03298968746</c:v>
                </c:pt>
                <c:pt idx="733" formatCode="_ [$₹-4009]\ * #,##0.00_ ;_ [$₹-4009]\ * \-#,##0.00_ ;_ [$₹-4009]\ * &quot;-&quot;??_ ;_ @_ ">
                  <c:v>1924.18119693569</c:v>
                </c:pt>
                <c:pt idx="734" formatCode="_ [$₹-4009]\ * #,##0.00_ ;_ [$₹-4009]\ * \-#,##0.00_ ;_ [$₹-4009]\ * &quot;-&quot;??_ ;_ @_ ">
                  <c:v>1804.98324184593</c:v>
                </c:pt>
                <c:pt idx="735" formatCode="_ [$₹-4009]\ * #,##0.00_ ;_ [$₹-4009]\ * \-#,##0.00_ ;_ [$₹-4009]\ * &quot;-&quot;??_ ;_ @_ ">
                  <c:v>1980.7352413948799</c:v>
                </c:pt>
                <c:pt idx="736" formatCode="_ [$₹-4009]\ * #,##0.00_ ;_ [$₹-4009]\ * \-#,##0.00_ ;_ [$₹-4009]\ * &quot;-&quot;??_ ;_ @_ ">
                  <c:v>1862.5485622276101</c:v>
                </c:pt>
                <c:pt idx="737" formatCode="_ [$₹-4009]\ * #,##0.00_ ;_ [$₹-4009]\ * \-#,##0.00_ ;_ [$₹-4009]\ * &quot;-&quot;??_ ;_ @_ ">
                  <c:v>1722.0505008713101</c:v>
                </c:pt>
                <c:pt idx="738" formatCode="_ [$₹-4009]\ * #,##0.00_ ;_ [$₹-4009]\ * \-#,##0.00_ ;_ [$₹-4009]\ * &quot;-&quot;??_ ;_ @_ ">
                  <c:v>1764.6216632974099</c:v>
                </c:pt>
                <c:pt idx="739" formatCode="_ [$₹-4009]\ * #,##0.00_ ;_ [$₹-4009]\ * \-#,##0.00_ ;_ [$₹-4009]\ * &quot;-&quot;??_ ;_ @_ ">
                  <c:v>1867.7966355514</c:v>
                </c:pt>
                <c:pt idx="740" formatCode="_ [$₹-4009]\ * #,##0.00_ ;_ [$₹-4009]\ * \-#,##0.00_ ;_ [$₹-4009]\ * &quot;-&quot;??_ ;_ @_ ">
                  <c:v>1775.7687312243099</c:v>
                </c:pt>
                <c:pt idx="741" formatCode="_ [$₹-4009]\ * #,##0.00_ ;_ [$₹-4009]\ * \-#,##0.00_ ;_ [$₹-4009]\ * &quot;-&quot;??_ ;_ @_ ">
                  <c:v>1924.5576252388601</c:v>
                </c:pt>
                <c:pt idx="742" formatCode="_ [$₹-4009]\ * #,##0.00_ ;_ [$₹-4009]\ * \-#,##0.00_ ;_ [$₹-4009]\ * &quot;-&quot;??_ ;_ @_ ">
                  <c:v>1924.70583248709</c:v>
                </c:pt>
                <c:pt idx="743" formatCode="_ [$₹-4009]\ * #,##0.00_ ;_ [$₹-4009]\ * \-#,##0.00_ ;_ [$₹-4009]\ * &quot;-&quot;??_ ;_ @_ ">
                  <c:v>1805.50787739733</c:v>
                </c:pt>
                <c:pt idx="744" formatCode="_ [$₹-4009]\ * #,##0.00_ ;_ [$₹-4009]\ * \-#,##0.00_ ;_ [$₹-4009]\ * &quot;-&quot;??_ ;_ @_ ">
                  <c:v>1981.25987694628</c:v>
                </c:pt>
                <c:pt idx="745" formatCode="_ [$₹-4009]\ * #,##0.00_ ;_ [$₹-4009]\ * \-#,##0.00_ ;_ [$₹-4009]\ * &quot;-&quot;??_ ;_ @_ ">
                  <c:v>1863.0731977790099</c:v>
                </c:pt>
                <c:pt idx="746" formatCode="_ [$₹-4009]\ * #,##0.00_ ;_ [$₹-4009]\ * \-#,##0.00_ ;_ [$₹-4009]\ * &quot;-&quot;??_ ;_ @_ ">
                  <c:v>1722.5751364227201</c:v>
                </c:pt>
                <c:pt idx="747" formatCode="_ [$₹-4009]\ * #,##0.00_ ;_ [$₹-4009]\ * \-#,##0.00_ ;_ [$₹-4009]\ * &quot;-&quot;??_ ;_ @_ ">
                  <c:v>1765.1462988488099</c:v>
                </c:pt>
                <c:pt idx="748" formatCode="_ [$₹-4009]\ * #,##0.00_ ;_ [$₹-4009]\ * \-#,##0.00_ ;_ [$₹-4009]\ * &quot;-&quot;??_ ;_ @_ ">
                  <c:v>1868.3212711028</c:v>
                </c:pt>
                <c:pt idx="749" formatCode="_ [$₹-4009]\ * #,##0.00_ ;_ [$₹-4009]\ * \-#,##0.00_ ;_ [$₹-4009]\ * &quot;-&quot;??_ ;_ @_ ">
                  <c:v>1776.29336677572</c:v>
                </c:pt>
                <c:pt idx="750" formatCode="_ [$₹-4009]\ * #,##0.00_ ;_ [$₹-4009]\ * \-#,##0.00_ ;_ [$₹-4009]\ * &quot;-&quot;??_ ;_ @_ ">
                  <c:v>1925.0822607902601</c:v>
                </c:pt>
                <c:pt idx="751" formatCode="_ [$₹-4009]\ * #,##0.00_ ;_ [$₹-4009]\ * \-#,##0.00_ ;_ [$₹-4009]\ * &quot;-&quot;??_ ;_ @_ ">
                  <c:v>1925.23046803849</c:v>
                </c:pt>
                <c:pt idx="752" formatCode="_ [$₹-4009]\ * #,##0.00_ ;_ [$₹-4009]\ * \-#,##0.00_ ;_ [$₹-4009]\ * &quot;-&quot;??_ ;_ @_ ">
                  <c:v>1806.0325129487301</c:v>
                </c:pt>
                <c:pt idx="753" formatCode="_ [$₹-4009]\ * #,##0.00_ ;_ [$₹-4009]\ * \-#,##0.00_ ;_ [$₹-4009]\ * &quot;-&quot;??_ ;_ @_ ">
                  <c:v>1981.78451249768</c:v>
                </c:pt>
                <c:pt idx="754" formatCode="_ [$₹-4009]\ * #,##0.00_ ;_ [$₹-4009]\ * \-#,##0.00_ ;_ [$₹-4009]\ * &quot;-&quot;??_ ;_ @_ ">
                  <c:v>1863.5978333304099</c:v>
                </c:pt>
                <c:pt idx="755" formatCode="_ [$₹-4009]\ * #,##0.00_ ;_ [$₹-4009]\ * \-#,##0.00_ ;_ [$₹-4009]\ * &quot;-&quot;??_ ;_ @_ ">
                  <c:v>1723.0997719741199</c:v>
                </c:pt>
                <c:pt idx="756" formatCode="_ [$₹-4009]\ * #,##0.00_ ;_ [$₹-4009]\ * \-#,##0.00_ ;_ [$₹-4009]\ * &quot;-&quot;??_ ;_ @_ ">
                  <c:v>1765.6709344002199</c:v>
                </c:pt>
                <c:pt idx="757" formatCode="_ [$₹-4009]\ * #,##0.00_ ;_ [$₹-4009]\ * \-#,##0.00_ ;_ [$₹-4009]\ * &quot;-&quot;??_ ;_ @_ ">
                  <c:v>1868.8459066542</c:v>
                </c:pt>
                <c:pt idx="758" formatCode="_ [$₹-4009]\ * #,##0.00_ ;_ [$₹-4009]\ * \-#,##0.00_ ;_ [$₹-4009]\ * &quot;-&quot;??_ ;_ @_ ">
                  <c:v>1776.81800232712</c:v>
                </c:pt>
                <c:pt idx="759" formatCode="_ [$₹-4009]\ * #,##0.00_ ;_ [$₹-4009]\ * \-#,##0.00_ ;_ [$₹-4009]\ * &quot;-&quot;??_ ;_ @_ ">
                  <c:v>1925.6068963416601</c:v>
                </c:pt>
                <c:pt idx="760" formatCode="_ [$₹-4009]\ * #,##0.00_ ;_ [$₹-4009]\ * \-#,##0.00_ ;_ [$₹-4009]\ * &quot;-&quot;??_ ;_ @_ ">
                  <c:v>1925.75510358989</c:v>
                </c:pt>
                <c:pt idx="761" formatCode="_ [$₹-4009]\ * #,##0.00_ ;_ [$₹-4009]\ * \-#,##0.00_ ;_ [$₹-4009]\ * &quot;-&quot;??_ ;_ @_ ">
                  <c:v>1806.5571485001301</c:v>
                </c:pt>
                <c:pt idx="762" formatCode="_ [$₹-4009]\ * #,##0.00_ ;_ [$₹-4009]\ * \-#,##0.00_ ;_ [$₹-4009]\ * &quot;-&quot;??_ ;_ @_ ">
                  <c:v>1982.30914804908</c:v>
                </c:pt>
                <c:pt idx="763" formatCode="_ [$₹-4009]\ * #,##0.00_ ;_ [$₹-4009]\ * \-#,##0.00_ ;_ [$₹-4009]\ * &quot;-&quot;??_ ;_ @_ ">
                  <c:v>1864.1224688818099</c:v>
                </c:pt>
                <c:pt idx="764" formatCode="_ [$₹-4009]\ * #,##0.00_ ;_ [$₹-4009]\ * \-#,##0.00_ ;_ [$₹-4009]\ * &quot;-&quot;??_ ;_ @_ ">
                  <c:v>1723.6244075255199</c:v>
                </c:pt>
                <c:pt idx="765" formatCode="_ [$₹-4009]\ * #,##0.00_ ;_ [$₹-4009]\ * \-#,##0.00_ ;_ [$₹-4009]\ * &quot;-&quot;??_ ;_ @_ ">
                  <c:v>1766.19556995162</c:v>
                </c:pt>
                <c:pt idx="766" formatCode="_ [$₹-4009]\ * #,##0.00_ ;_ [$₹-4009]\ * \-#,##0.00_ ;_ [$₹-4009]\ * &quot;-&quot;??_ ;_ @_ ">
                  <c:v>1869.37054220561</c:v>
                </c:pt>
                <c:pt idx="767" formatCode="_ [$₹-4009]\ * #,##0.00_ ;_ [$₹-4009]\ * \-#,##0.00_ ;_ [$₹-4009]\ * &quot;-&quot;??_ ;_ @_ ">
                  <c:v>1777.34263787852</c:v>
                </c:pt>
                <c:pt idx="768" formatCode="_ [$₹-4009]\ * #,##0.00_ ;_ [$₹-4009]\ * \-#,##0.00_ ;_ [$₹-4009]\ * &quot;-&quot;??_ ;_ @_ ">
                  <c:v>1926.1315318930699</c:v>
                </c:pt>
                <c:pt idx="769" formatCode="_ [$₹-4009]\ * #,##0.00_ ;_ [$₹-4009]\ * \-#,##0.00_ ;_ [$₹-4009]\ * &quot;-&quot;??_ ;_ @_ ">
                  <c:v>1926.2797391412901</c:v>
                </c:pt>
                <c:pt idx="770" formatCode="_ [$₹-4009]\ * #,##0.00_ ;_ [$₹-4009]\ * \-#,##0.00_ ;_ [$₹-4009]\ * &quot;-&quot;??_ ;_ @_ ">
                  <c:v>1807.0817840515299</c:v>
                </c:pt>
                <c:pt idx="771" formatCode="_ [$₹-4009]\ * #,##0.00_ ;_ [$₹-4009]\ * \-#,##0.00_ ;_ [$₹-4009]\ * &quot;-&quot;??_ ;_ @_ ">
                  <c:v>1982.8337836004901</c:v>
                </c:pt>
                <c:pt idx="772" formatCode="_ [$₹-4009]\ * #,##0.00_ ;_ [$₹-4009]\ * \-#,##0.00_ ;_ [$₹-4009]\ * &quot;-&quot;??_ ;_ @_ ">
                  <c:v>1864.64710443321</c:v>
                </c:pt>
                <c:pt idx="773" formatCode="_ [$₹-4009]\ * #,##0.00_ ;_ [$₹-4009]\ * \-#,##0.00_ ;_ [$₹-4009]\ * &quot;-&quot;??_ ;_ @_ ">
                  <c:v>1724.14904307692</c:v>
                </c:pt>
                <c:pt idx="774" formatCode="_ [$₹-4009]\ * #,##0.00_ ;_ [$₹-4009]\ * \-#,##0.00_ ;_ [$₹-4009]\ * &quot;-&quot;??_ ;_ @_ ">
                  <c:v>1766.72020550302</c:v>
                </c:pt>
                <c:pt idx="775" formatCode="_ [$₹-4009]\ * #,##0.00_ ;_ [$₹-4009]\ * \-#,##0.00_ ;_ [$₹-4009]\ * &quot;-&quot;??_ ;_ @_ ">
                  <c:v>1869.8951777570101</c:v>
                </c:pt>
                <c:pt idx="776" formatCode="_ [$₹-4009]\ * #,##0.00_ ;_ [$₹-4009]\ * \-#,##0.00_ ;_ [$₹-4009]\ * &quot;-&quot;??_ ;_ @_ ">
                  <c:v>1777.86727342992</c:v>
                </c:pt>
                <c:pt idx="777" formatCode="_ [$₹-4009]\ * #,##0.00_ ;_ [$₹-4009]\ * \-#,##0.00_ ;_ [$₹-4009]\ * &quot;-&quot;??_ ;_ @_ ">
                  <c:v>1926.6561674444699</c:v>
                </c:pt>
                <c:pt idx="778" formatCode="_ [$₹-4009]\ * #,##0.00_ ;_ [$₹-4009]\ * \-#,##0.00_ ;_ [$₹-4009]\ * &quot;-&quot;??_ ;_ @_ ">
                  <c:v>1926.8043746926901</c:v>
                </c:pt>
                <c:pt idx="779" formatCode="_ [$₹-4009]\ * #,##0.00_ ;_ [$₹-4009]\ * \-#,##0.00_ ;_ [$₹-4009]\ * &quot;-&quot;??_ ;_ @_ ">
                  <c:v>1807.6064196029299</c:v>
                </c:pt>
                <c:pt idx="780" formatCode="_ [$₹-4009]\ * #,##0.00_ ;_ [$₹-4009]\ * \-#,##0.00_ ;_ [$₹-4009]\ * &quot;-&quot;??_ ;_ @_ ">
                  <c:v>1983.3584191518901</c:v>
                </c:pt>
                <c:pt idx="781" formatCode="_ [$₹-4009]\ * #,##0.00_ ;_ [$₹-4009]\ * \-#,##0.00_ ;_ [$₹-4009]\ * &quot;-&quot;??_ ;_ @_ ">
                  <c:v>1865.17173998461</c:v>
                </c:pt>
                <c:pt idx="782" formatCode="_ [$₹-4009]\ * #,##0.00_ ;_ [$₹-4009]\ * \-#,##0.00_ ;_ [$₹-4009]\ * &quot;-&quot;??_ ;_ @_ ">
                  <c:v>1724.67367862832</c:v>
                </c:pt>
                <c:pt idx="783" formatCode="_ [$₹-4009]\ * #,##0.00_ ;_ [$₹-4009]\ * \-#,##0.00_ ;_ [$₹-4009]\ * &quot;-&quot;??_ ;_ @_ ">
                  <c:v>1767.24484105442</c:v>
                </c:pt>
                <c:pt idx="784" formatCode="_ [$₹-4009]\ * #,##0.00_ ;_ [$₹-4009]\ * \-#,##0.00_ ;_ [$₹-4009]\ * &quot;-&quot;??_ ;_ @_ ">
                  <c:v>1870.4198133084101</c:v>
                </c:pt>
                <c:pt idx="785" formatCode="_ [$₹-4009]\ * #,##0.00_ ;_ [$₹-4009]\ * \-#,##0.00_ ;_ [$₹-4009]\ * &quot;-&quot;??_ ;_ @_ ">
                  <c:v>1778.3919089813201</c:v>
                </c:pt>
                <c:pt idx="786" formatCode="_ [$₹-4009]\ * #,##0.00_ ;_ [$₹-4009]\ * \-#,##0.00_ ;_ [$₹-4009]\ * &quot;-&quot;??_ ;_ @_ ">
                  <c:v>1927.18080299587</c:v>
                </c:pt>
                <c:pt idx="787" formatCode="_ [$₹-4009]\ * #,##0.00_ ;_ [$₹-4009]\ * \-#,##0.00_ ;_ [$₹-4009]\ * &quot;-&quot;??_ ;_ @_ ">
                  <c:v>1927.3290102440899</c:v>
                </c:pt>
                <c:pt idx="788" formatCode="_ [$₹-4009]\ * #,##0.00_ ;_ [$₹-4009]\ * \-#,##0.00_ ;_ [$₹-4009]\ * &quot;-&quot;??_ ;_ @_ ">
                  <c:v>1808.1310551543299</c:v>
                </c:pt>
                <c:pt idx="789" formatCode="_ [$₹-4009]\ * #,##0.00_ ;_ [$₹-4009]\ * \-#,##0.00_ ;_ [$₹-4009]\ * &quot;-&quot;??_ ;_ @_ ">
                  <c:v>1983.8830547032901</c:v>
                </c:pt>
                <c:pt idx="790" formatCode="_ [$₹-4009]\ * #,##0.00_ ;_ [$₹-4009]\ * \-#,##0.00_ ;_ [$₹-4009]\ * &quot;-&quot;??_ ;_ @_ ">
                  <c:v>1865.69637553602</c:v>
                </c:pt>
                <c:pt idx="791" formatCode="_ [$₹-4009]\ * #,##0.00_ ;_ [$₹-4009]\ * \-#,##0.00_ ;_ [$₹-4009]\ * &quot;-&quot;??_ ;_ @_ ">
                  <c:v>1725.19831417972</c:v>
                </c:pt>
                <c:pt idx="792" formatCode="_ [$₹-4009]\ * #,##0.00_ ;_ [$₹-4009]\ * \-#,##0.00_ ;_ [$₹-4009]\ * &quot;-&quot;??_ ;_ @_ ">
                  <c:v>1767.76947660582</c:v>
                </c:pt>
                <c:pt idx="793" formatCode="_ [$₹-4009]\ * #,##0.00_ ;_ [$₹-4009]\ * \-#,##0.00_ ;_ [$₹-4009]\ * &quot;-&quot;??_ ;_ @_ ">
                  <c:v>1870.9444488598101</c:v>
                </c:pt>
                <c:pt idx="794" formatCode="_ [$₹-4009]\ * #,##0.00_ ;_ [$₹-4009]\ * \-#,##0.00_ ;_ [$₹-4009]\ * &quot;-&quot;??_ ;_ @_ ">
                  <c:v>1778.9165445327201</c:v>
                </c:pt>
                <c:pt idx="795" formatCode="_ [$₹-4009]\ * #,##0.00_ ;_ [$₹-4009]\ * \-#,##0.00_ ;_ [$₹-4009]\ * &quot;-&quot;??_ ;_ @_ ">
                  <c:v>1927.70543854727</c:v>
                </c:pt>
                <c:pt idx="796" formatCode="_ [$₹-4009]\ * #,##0.00_ ;_ [$₹-4009]\ * \-#,##0.00_ ;_ [$₹-4009]\ * &quot;-&quot;??_ ;_ @_ ">
                  <c:v>1927.8536457954999</c:v>
                </c:pt>
                <c:pt idx="797" formatCode="_ [$₹-4009]\ * #,##0.00_ ;_ [$₹-4009]\ * \-#,##0.00_ ;_ [$₹-4009]\ * &quot;-&quot;??_ ;_ @_ ">
                  <c:v>1808.65569070574</c:v>
                </c:pt>
                <c:pt idx="798" formatCode="_ [$₹-4009]\ * #,##0.00_ ;_ [$₹-4009]\ * \-#,##0.00_ ;_ [$₹-4009]\ * &quot;-&quot;??_ ;_ @_ ">
                  <c:v>1984.4076902546899</c:v>
                </c:pt>
                <c:pt idx="799" formatCode="_ [$₹-4009]\ * #,##0.00_ ;_ [$₹-4009]\ * \-#,##0.00_ ;_ [$₹-4009]\ * &quot;-&quot;??_ ;_ @_ ">
                  <c:v>1866.22101108742</c:v>
                </c:pt>
                <c:pt idx="800" formatCode="_ [$₹-4009]\ * #,##0.00_ ;_ [$₹-4009]\ * \-#,##0.00_ ;_ [$₹-4009]\ * &quot;-&quot;??_ ;_ @_ ">
                  <c:v>1725.72294973112</c:v>
                </c:pt>
                <c:pt idx="801" formatCode="_ [$₹-4009]\ * #,##0.00_ ;_ [$₹-4009]\ * \-#,##0.00_ ;_ [$₹-4009]\ * &quot;-&quot;??_ ;_ @_ ">
                  <c:v>1768.2941121572201</c:v>
                </c:pt>
                <c:pt idx="802" formatCode="_ [$₹-4009]\ * #,##0.00_ ;_ [$₹-4009]\ * \-#,##0.00_ ;_ [$₹-4009]\ * &quot;-&quot;??_ ;_ @_ ">
                  <c:v>1871.4690844112099</c:v>
                </c:pt>
                <c:pt idx="803" formatCode="_ [$₹-4009]\ * #,##0.00_ ;_ [$₹-4009]\ * \-#,##0.00_ ;_ [$₹-4009]\ * &quot;-&quot;??_ ;_ @_ ">
                  <c:v>1779.4411800841201</c:v>
                </c:pt>
                <c:pt idx="804" formatCode="_ [$₹-4009]\ * #,##0.00_ ;_ [$₹-4009]\ * \-#,##0.00_ ;_ [$₹-4009]\ * &quot;-&quot;??_ ;_ @_ ">
                  <c:v>1928.23007409867</c:v>
                </c:pt>
                <c:pt idx="805" formatCode="_ [$₹-4009]\ * #,##0.00_ ;_ [$₹-4009]\ * \-#,##0.00_ ;_ [$₹-4009]\ * &quot;-&quot;??_ ;_ @_ ">
                  <c:v>1928.3782813468999</c:v>
                </c:pt>
                <c:pt idx="806" formatCode="_ [$₹-4009]\ * #,##0.00_ ;_ [$₹-4009]\ * \-#,##0.00_ ;_ [$₹-4009]\ * &quot;-&quot;??_ ;_ @_ ">
                  <c:v>1809.18032625714</c:v>
                </c:pt>
                <c:pt idx="807" formatCode="_ [$₹-4009]\ * #,##0.00_ ;_ [$₹-4009]\ * \-#,##0.00_ ;_ [$₹-4009]\ * &quot;-&quot;??_ ;_ @_ ">
                  <c:v>1984.9323258060899</c:v>
                </c:pt>
                <c:pt idx="808" formatCode="_ [$₹-4009]\ * #,##0.00_ ;_ [$₹-4009]\ * \-#,##0.00_ ;_ [$₹-4009]\ * &quot;-&quot;??_ ;_ @_ ">
                  <c:v>1866.7456466388201</c:v>
                </c:pt>
                <c:pt idx="809" formatCode="_ [$₹-4009]\ * #,##0.00_ ;_ [$₹-4009]\ * \-#,##0.00_ ;_ [$₹-4009]\ * &quot;-&quot;??_ ;_ @_ ">
                  <c:v>1726.24758528252</c:v>
                </c:pt>
                <c:pt idx="810" formatCode="_ [$₹-4009]\ * #,##0.00_ ;_ [$₹-4009]\ * \-#,##0.00_ ;_ [$₹-4009]\ * &quot;-&quot;??_ ;_ @_ ">
                  <c:v>1768.8187477086201</c:v>
                </c:pt>
                <c:pt idx="811" formatCode="_ [$₹-4009]\ * #,##0.00_ ;_ [$₹-4009]\ * \-#,##0.00_ ;_ [$₹-4009]\ * &quot;-&quot;??_ ;_ @_ ">
                  <c:v>1871.9937199626099</c:v>
                </c:pt>
                <c:pt idx="812" formatCode="_ [$₹-4009]\ * #,##0.00_ ;_ [$₹-4009]\ * \-#,##0.00_ ;_ [$₹-4009]\ * &quot;-&quot;??_ ;_ @_ ">
                  <c:v>1779.9658156355299</c:v>
                </c:pt>
                <c:pt idx="813" formatCode="_ [$₹-4009]\ * #,##0.00_ ;_ [$₹-4009]\ * \-#,##0.00_ ;_ [$₹-4009]\ * &quot;-&quot;??_ ;_ @_ ">
                  <c:v>1928.75470965007</c:v>
                </c:pt>
                <c:pt idx="814" formatCode="_ [$₹-4009]\ * #,##0.00_ ;_ [$₹-4009]\ * \-#,##0.00_ ;_ [$₹-4009]\ * &quot;-&quot;??_ ;_ @_ ">
                  <c:v>1928.9029168983</c:v>
                </c:pt>
                <c:pt idx="815" formatCode="_ [$₹-4009]\ * #,##0.00_ ;_ [$₹-4009]\ * \-#,##0.00_ ;_ [$₹-4009]\ * &quot;-&quot;??_ ;_ @_ ">
                  <c:v>1809.70496180854</c:v>
                </c:pt>
                <c:pt idx="816" formatCode="_ [$₹-4009]\ * #,##0.00_ ;_ [$₹-4009]\ * \-#,##0.00_ ;_ [$₹-4009]\ * &quot;-&quot;??_ ;_ @_ ">
                  <c:v>1985.4569613574899</c:v>
                </c:pt>
                <c:pt idx="817" formatCode="_ [$₹-4009]\ * #,##0.00_ ;_ [$₹-4009]\ * \-#,##0.00_ ;_ [$₹-4009]\ * &quot;-&quot;??_ ;_ @_ ">
                  <c:v>1867.2702821902201</c:v>
                </c:pt>
                <c:pt idx="818" formatCode="_ [$₹-4009]\ * #,##0.00_ ;_ [$₹-4009]\ * \-#,##0.00_ ;_ [$₹-4009]\ * &quot;-&quot;??_ ;_ @_ ">
                  <c:v>1726.7722208339301</c:v>
                </c:pt>
                <c:pt idx="819" formatCode="_ [$₹-4009]\ * #,##0.00_ ;_ [$₹-4009]\ * \-#,##0.00_ ;_ [$₹-4009]\ * &quot;-&quot;??_ ;_ @_ ">
                  <c:v>1769.3433832600199</c:v>
                </c:pt>
                <c:pt idx="820" formatCode="_ [$₹-4009]\ * #,##0.00_ ;_ [$₹-4009]\ * \-#,##0.00_ ;_ [$₹-4009]\ * &quot;-&quot;??_ ;_ @_ ">
                  <c:v>1872.51835551401</c:v>
                </c:pt>
                <c:pt idx="821" formatCode="_ [$₹-4009]\ * #,##0.00_ ;_ [$₹-4009]\ * \-#,##0.00_ ;_ [$₹-4009]\ * &quot;-&quot;??_ ;_ @_ ">
                  <c:v>1780.4904511869299</c:v>
                </c:pt>
                <c:pt idx="822" formatCode="_ [$₹-4009]\ * #,##0.00_ ;_ [$₹-4009]\ * \-#,##0.00_ ;_ [$₹-4009]\ * &quot;-&quot;??_ ;_ @_ ">
                  <c:v>1929.2793452014701</c:v>
                </c:pt>
                <c:pt idx="823" formatCode="_ [$₹-4009]\ * #,##0.00_ ;_ [$₹-4009]\ * \-#,##0.00_ ;_ [$₹-4009]\ * &quot;-&quot;??_ ;_ @_ ">
                  <c:v>1929.4275524497</c:v>
                </c:pt>
                <c:pt idx="824" formatCode="_ [$₹-4009]\ * #,##0.00_ ;_ [$₹-4009]\ * \-#,##0.00_ ;_ [$₹-4009]\ * &quot;-&quot;??_ ;_ @_ ">
                  <c:v>1810.22959735994</c:v>
                </c:pt>
                <c:pt idx="825" formatCode="_ [$₹-4009]\ * #,##0.00_ ;_ [$₹-4009]\ * \-#,##0.00_ ;_ [$₹-4009]\ * &quot;-&quot;??_ ;_ @_ ">
                  <c:v>1985.98159690889</c:v>
                </c:pt>
                <c:pt idx="826" formatCode="_ [$₹-4009]\ * #,##0.00_ ;_ [$₹-4009]\ * \-#,##0.00_ ;_ [$₹-4009]\ * &quot;-&quot;??_ ;_ @_ ">
                  <c:v>1867.7949177416201</c:v>
                </c:pt>
                <c:pt idx="827" formatCode="_ [$₹-4009]\ * #,##0.00_ ;_ [$₹-4009]\ * \-#,##0.00_ ;_ [$₹-4009]\ * &quot;-&quot;??_ ;_ @_ ">
                  <c:v>1727.2968563853301</c:v>
                </c:pt>
                <c:pt idx="828" formatCode="_ [$₹-4009]\ * #,##0.00_ ;_ [$₹-4009]\ * \-#,##0.00_ ;_ [$₹-4009]\ * &quot;-&quot;??_ ;_ @_ ">
                  <c:v>1769.8680188114299</c:v>
                </c:pt>
                <c:pt idx="829" formatCode="_ [$₹-4009]\ * #,##0.00_ ;_ [$₹-4009]\ * \-#,##0.00_ ;_ [$₹-4009]\ * &quot;-&quot;??_ ;_ @_ ">
                  <c:v>1873.04299106541</c:v>
                </c:pt>
                <c:pt idx="830" formatCode="_ [$₹-4009]\ * #,##0.00_ ;_ [$₹-4009]\ * \-#,##0.00_ ;_ [$₹-4009]\ * &quot;-&quot;??_ ;_ @_ ">
                  <c:v>1781.01508673833</c:v>
                </c:pt>
                <c:pt idx="831" formatCode="_ [$₹-4009]\ * #,##0.00_ ;_ [$₹-4009]\ * \-#,##0.00_ ;_ [$₹-4009]\ * &quot;-&quot;??_ ;_ @_ ">
                  <c:v>1929.8039807528701</c:v>
                </c:pt>
                <c:pt idx="832" formatCode="_ [$₹-4009]\ * #,##0.00_ ;_ [$₹-4009]\ * \-#,##0.00_ ;_ [$₹-4009]\ * &quot;-&quot;??_ ;_ @_ ">
                  <c:v>1929.9521880011</c:v>
                </c:pt>
                <c:pt idx="833" formatCode="_ [$₹-4009]\ * #,##0.00_ ;_ [$₹-4009]\ * \-#,##0.00_ ;_ [$₹-4009]\ * &quot;-&quot;??_ ;_ @_ ">
                  <c:v>1810.7542329113401</c:v>
                </c:pt>
                <c:pt idx="834" formatCode="_ [$₹-4009]\ * #,##0.00_ ;_ [$₹-4009]\ * \-#,##0.00_ ;_ [$₹-4009]\ * &quot;-&quot;??_ ;_ @_ ">
                  <c:v>1986.50623246029</c:v>
                </c:pt>
                <c:pt idx="835" formatCode="_ [$₹-4009]\ * #,##0.00_ ;_ [$₹-4009]\ * \-#,##0.00_ ;_ [$₹-4009]\ * &quot;-&quot;??_ ;_ @_ ">
                  <c:v>1868.3195532930199</c:v>
                </c:pt>
                <c:pt idx="836" formatCode="_ [$₹-4009]\ * #,##0.00_ ;_ [$₹-4009]\ * \-#,##0.00_ ;_ [$₹-4009]\ * &quot;-&quot;??_ ;_ @_ ">
                  <c:v>1727.8214919367299</c:v>
                </c:pt>
                <c:pt idx="837" formatCode="_ [$₹-4009]\ * #,##0.00_ ;_ [$₹-4009]\ * \-#,##0.00_ ;_ [$₹-4009]\ * &quot;-&quot;??_ ;_ @_ ">
                  <c:v>1770.3926543628299</c:v>
                </c:pt>
                <c:pt idx="838" formatCode="_ [$₹-4009]\ * #,##0.00_ ;_ [$₹-4009]\ * \-#,##0.00_ ;_ [$₹-4009]\ * &quot;-&quot;??_ ;_ @_ ">
                  <c:v>1873.56762661682</c:v>
                </c:pt>
                <c:pt idx="839" formatCode="_ [$₹-4009]\ * #,##0.00_ ;_ [$₹-4009]\ * \-#,##0.00_ ;_ [$₹-4009]\ * &quot;-&quot;??_ ;_ @_ ">
                  <c:v>1781.53972228973</c:v>
                </c:pt>
                <c:pt idx="840" formatCode="_ [$₹-4009]\ * #,##0.00_ ;_ [$₹-4009]\ * \-#,##0.00_ ;_ [$₹-4009]\ * &quot;-&quot;??_ ;_ @_ ">
                  <c:v>1930.3286163042801</c:v>
                </c:pt>
                <c:pt idx="841" formatCode="_ [$₹-4009]\ * #,##0.00_ ;_ [$₹-4009]\ * \-#,##0.00_ ;_ [$₹-4009]\ * &quot;-&quot;??_ ;_ @_ ">
                  <c:v>1930.4768235525</c:v>
                </c:pt>
                <c:pt idx="842" formatCode="_ [$₹-4009]\ * #,##0.00_ ;_ [$₹-4009]\ * \-#,##0.00_ ;_ [$₹-4009]\ * &quot;-&quot;??_ ;_ @_ ">
                  <c:v>1811.2788684627401</c:v>
                </c:pt>
                <c:pt idx="843" formatCode="_ [$₹-4009]\ * #,##0.00_ ;_ [$₹-4009]\ * \-#,##0.00_ ;_ [$₹-4009]\ * &quot;-&quot;??_ ;_ @_ ">
                  <c:v>1987.0308680117</c:v>
                </c:pt>
                <c:pt idx="844" formatCode="_ [$₹-4009]\ * #,##0.00_ ;_ [$₹-4009]\ * \-#,##0.00_ ;_ [$₹-4009]\ * &quot;-&quot;??_ ;_ @_ ">
                  <c:v>1868.8441888444199</c:v>
                </c:pt>
                <c:pt idx="845" formatCode="_ [$₹-4009]\ * #,##0.00_ ;_ [$₹-4009]\ * \-#,##0.00_ ;_ [$₹-4009]\ * &quot;-&quot;??_ ;_ @_ ">
                  <c:v>1728.3461274881299</c:v>
                </c:pt>
                <c:pt idx="846" formatCode="_ [$₹-4009]\ * #,##0.00_ ;_ [$₹-4009]\ * \-#,##0.00_ ;_ [$₹-4009]\ * &quot;-&quot;??_ ;_ @_ ">
                  <c:v>1770.91728991423</c:v>
                </c:pt>
                <c:pt idx="847" formatCode="_ [$₹-4009]\ * #,##0.00_ ;_ [$₹-4009]\ * \-#,##0.00_ ;_ [$₹-4009]\ * &quot;-&quot;??_ ;_ @_ ">
                  <c:v>1874.09226216822</c:v>
                </c:pt>
                <c:pt idx="848" formatCode="_ [$₹-4009]\ * #,##0.00_ ;_ [$₹-4009]\ * \-#,##0.00_ ;_ [$₹-4009]\ * &quot;-&quot;??_ ;_ @_ ">
                  <c:v>1782.06435784113</c:v>
                </c:pt>
                <c:pt idx="849" formatCode="_ [$₹-4009]\ * #,##0.00_ ;_ [$₹-4009]\ * \-#,##0.00_ ;_ [$₹-4009]\ * &quot;-&quot;??_ ;_ @_ ">
                  <c:v>1930.8532518556799</c:v>
                </c:pt>
                <c:pt idx="850" formatCode="_ [$₹-4009]\ * #,##0.00_ ;_ [$₹-4009]\ * \-#,##0.00_ ;_ [$₹-4009]\ * &quot;-&quot;??_ ;_ @_ ">
                  <c:v>1931.0014591039001</c:v>
                </c:pt>
                <c:pt idx="851" formatCode="_ [$₹-4009]\ * #,##0.00_ ;_ [$₹-4009]\ * \-#,##0.00_ ;_ [$₹-4009]\ * &quot;-&quot;??_ ;_ @_ ">
                  <c:v>1811.8035040141399</c:v>
                </c:pt>
                <c:pt idx="852" formatCode="_ [$₹-4009]\ * #,##0.00_ ;_ [$₹-4009]\ * \-#,##0.00_ ;_ [$₹-4009]\ * &quot;-&quot;??_ ;_ @_ ">
                  <c:v>1987.5555035631</c:v>
                </c:pt>
                <c:pt idx="853" formatCode="_ [$₹-4009]\ * #,##0.00_ ;_ [$₹-4009]\ * \-#,##0.00_ ;_ [$₹-4009]\ * &quot;-&quot;??_ ;_ @_ ">
                  <c:v>1869.36882439582</c:v>
                </c:pt>
                <c:pt idx="854" formatCode="_ [$₹-4009]\ * #,##0.00_ ;_ [$₹-4009]\ * \-#,##0.00_ ;_ [$₹-4009]\ * &quot;-&quot;??_ ;_ @_ ">
                  <c:v>1728.8707630395299</c:v>
                </c:pt>
                <c:pt idx="855" formatCode="_ [$₹-4009]\ * #,##0.00_ ;_ [$₹-4009]\ * \-#,##0.00_ ;_ [$₹-4009]\ * &quot;-&quot;??_ ;_ @_ ">
                  <c:v>1771.44192546563</c:v>
                </c:pt>
                <c:pt idx="856" formatCode="_ [$₹-4009]\ * #,##0.00_ ;_ [$₹-4009]\ * \-#,##0.00_ ;_ [$₹-4009]\ * &quot;-&quot;??_ ;_ @_ ">
                  <c:v>1874.6168977196201</c:v>
                </c:pt>
                <c:pt idx="857" formatCode="_ [$₹-4009]\ * #,##0.00_ ;_ [$₹-4009]\ * \-#,##0.00_ ;_ [$₹-4009]\ * &quot;-&quot;??_ ;_ @_ ">
                  <c:v>1782.58899339253</c:v>
                </c:pt>
                <c:pt idx="858" formatCode="_ [$₹-4009]\ * #,##0.00_ ;_ [$₹-4009]\ * \-#,##0.00_ ;_ [$₹-4009]\ * &quot;-&quot;??_ ;_ @_ ">
                  <c:v>1931.3778874070799</c:v>
                </c:pt>
                <c:pt idx="859" formatCode="_ [$₹-4009]\ * #,##0.00_ ;_ [$₹-4009]\ * \-#,##0.00_ ;_ [$₹-4009]\ * &quot;-&quot;??_ ;_ @_ ">
                  <c:v>1931.5260946553001</c:v>
                </c:pt>
                <c:pt idx="860" formatCode="_ [$₹-4009]\ * #,##0.00_ ;_ [$₹-4009]\ * \-#,##0.00_ ;_ [$₹-4009]\ * &quot;-&quot;??_ ;_ @_ ">
                  <c:v>1812.3281395655399</c:v>
                </c:pt>
                <c:pt idx="861" formatCode="_ [$₹-4009]\ * #,##0.00_ ;_ [$₹-4009]\ * \-#,##0.00_ ;_ [$₹-4009]\ * &quot;-&quot;??_ ;_ @_ ">
                  <c:v>1988.0801391145001</c:v>
                </c:pt>
                <c:pt idx="862" formatCode="_ [$₹-4009]\ * #,##0.00_ ;_ [$₹-4009]\ * \-#,##0.00_ ;_ [$₹-4009]\ * &quot;-&quot;??_ ;_ @_ ">
                  <c:v>1869.89345994723</c:v>
                </c:pt>
                <c:pt idx="863" formatCode="_ [$₹-4009]\ * #,##0.00_ ;_ [$₹-4009]\ * \-#,##0.00_ ;_ [$₹-4009]\ * &quot;-&quot;??_ ;_ @_ ">
                  <c:v>1729.39539859093</c:v>
                </c:pt>
                <c:pt idx="864" formatCode="_ [$₹-4009]\ * #,##0.00_ ;_ [$₹-4009]\ * \-#,##0.00_ ;_ [$₹-4009]\ * &quot;-&quot;??_ ;_ @_ ">
                  <c:v>1771.96656101703</c:v>
                </c:pt>
                <c:pt idx="865" formatCode="_ [$₹-4009]\ * #,##0.00_ ;_ [$₹-4009]\ * \-#,##0.00_ ;_ [$₹-4009]\ * &quot;-&quot;??_ ;_ @_ ">
                  <c:v>1875.1415332710201</c:v>
                </c:pt>
                <c:pt idx="866" formatCode="_ [$₹-4009]\ * #,##0.00_ ;_ [$₹-4009]\ * \-#,##0.00_ ;_ [$₹-4009]\ * &quot;-&quot;??_ ;_ @_ ">
                  <c:v>1783.1136289439301</c:v>
                </c:pt>
                <c:pt idx="867" formatCode="_ [$₹-4009]\ * #,##0.00_ ;_ [$₹-4009]\ * \-#,##0.00_ ;_ [$₹-4009]\ * &quot;-&quot;??_ ;_ @_ ">
                  <c:v>1931.9025229584799</c:v>
                </c:pt>
                <c:pt idx="868" formatCode="_ [$₹-4009]\ * #,##0.00_ ;_ [$₹-4009]\ * \-#,##0.00_ ;_ [$₹-4009]\ * &quot;-&quot;??_ ;_ @_ ">
                  <c:v>1932.0507302067101</c:v>
                </c:pt>
                <c:pt idx="869" formatCode="_ [$₹-4009]\ * #,##0.00_ ;_ [$₹-4009]\ * \-#,##0.00_ ;_ [$₹-4009]\ * &quot;-&quot;??_ ;_ @_ ">
                  <c:v>1812.8527751169499</c:v>
                </c:pt>
                <c:pt idx="870" formatCode="_ [$₹-4009]\ * #,##0.00_ ;_ [$₹-4009]\ * \-#,##0.00_ ;_ [$₹-4009]\ * &quot;-&quot;??_ ;_ @_ ">
                  <c:v>1988.6047746659001</c:v>
                </c:pt>
                <c:pt idx="871" formatCode="_ [$₹-4009]\ * #,##0.00_ ;_ [$₹-4009]\ * \-#,##0.00_ ;_ [$₹-4009]\ * &quot;-&quot;??_ ;_ @_ ">
                  <c:v>1870.41809549863</c:v>
                </c:pt>
                <c:pt idx="872" formatCode="_ [$₹-4009]\ * #,##0.00_ ;_ [$₹-4009]\ * \-#,##0.00_ ;_ [$₹-4009]\ * &quot;-&quot;??_ ;_ @_ ">
                  <c:v>1729.92003414233</c:v>
                </c:pt>
                <c:pt idx="873" formatCode="_ [$₹-4009]\ * #,##0.00_ ;_ [$₹-4009]\ * \-#,##0.00_ ;_ [$₹-4009]\ * &quot;-&quot;??_ ;_ @_ ">
                  <c:v>1772.49119656843</c:v>
                </c:pt>
                <c:pt idx="874" formatCode="_ [$₹-4009]\ * #,##0.00_ ;_ [$₹-4009]\ * \-#,##0.00_ ;_ [$₹-4009]\ * &quot;-&quot;??_ ;_ @_ ">
                  <c:v>1875.6661688224201</c:v>
                </c:pt>
                <c:pt idx="875" formatCode="_ [$₹-4009]\ * #,##0.00_ ;_ [$₹-4009]\ * \-#,##0.00_ ;_ [$₹-4009]\ * &quot;-&quot;??_ ;_ @_ ">
                  <c:v>1783.6382644953301</c:v>
                </c:pt>
                <c:pt idx="876" formatCode="_ [$₹-4009]\ * #,##0.00_ ;_ [$₹-4009]\ * \-#,##0.00_ ;_ [$₹-4009]\ * &quot;-&quot;??_ ;_ @_ ">
                  <c:v>1932.42715850988</c:v>
                </c:pt>
                <c:pt idx="877" formatCode="_ [$₹-4009]\ * #,##0.00_ ;_ [$₹-4009]\ * \-#,##0.00_ ;_ [$₹-4009]\ * &quot;-&quot;??_ ;_ @_ ">
                  <c:v>1932.5753657581099</c:v>
                </c:pt>
                <c:pt idx="878" formatCode="_ [$₹-4009]\ * #,##0.00_ ;_ [$₹-4009]\ * \-#,##0.00_ ;_ [$₹-4009]\ * &quot;-&quot;??_ ;_ @_ ">
                  <c:v>1813.37741066835</c:v>
                </c:pt>
                <c:pt idx="879" formatCode="_ [$₹-4009]\ * #,##0.00_ ;_ [$₹-4009]\ * \-#,##0.00_ ;_ [$₹-4009]\ * &quot;-&quot;??_ ;_ @_ ">
                  <c:v>1989.1294102172999</c:v>
                </c:pt>
                <c:pt idx="880" formatCode="_ [$₹-4009]\ * #,##0.00_ ;_ [$₹-4009]\ * \-#,##0.00_ ;_ [$₹-4009]\ * &quot;-&quot;??_ ;_ @_ ">
                  <c:v>1870.94273105003</c:v>
                </c:pt>
                <c:pt idx="881" formatCode="_ [$₹-4009]\ * #,##0.00_ ;_ [$₹-4009]\ * \-#,##0.00_ ;_ [$₹-4009]\ * &quot;-&quot;??_ ;_ @_ ">
                  <c:v>1730.44466969373</c:v>
                </c:pt>
                <c:pt idx="882" formatCode="_ [$₹-4009]\ * #,##0.00_ ;_ [$₹-4009]\ * \-#,##0.00_ ;_ [$₹-4009]\ * &quot;-&quot;??_ ;_ @_ ">
                  <c:v>1773.0158321198301</c:v>
                </c:pt>
                <c:pt idx="883" formatCode="_ [$₹-4009]\ * #,##0.00_ ;_ [$₹-4009]\ * \-#,##0.00_ ;_ [$₹-4009]\ * &quot;-&quot;??_ ;_ @_ ">
                  <c:v>1876.1908043738199</c:v>
                </c:pt>
                <c:pt idx="884" formatCode="_ [$₹-4009]\ * #,##0.00_ ;_ [$₹-4009]\ * \-#,##0.00_ ;_ [$₹-4009]\ * &quot;-&quot;??_ ;_ @_ ">
                  <c:v>1784.1629000467401</c:v>
                </c:pt>
                <c:pt idx="885" formatCode="_ [$₹-4009]\ * #,##0.00_ ;_ [$₹-4009]\ * \-#,##0.00_ ;_ [$₹-4009]\ * &quot;-&quot;??_ ;_ @_ ">
                  <c:v>1932.95179406128</c:v>
                </c:pt>
                <c:pt idx="886" formatCode="_ [$₹-4009]\ * #,##0.00_ ;_ [$₹-4009]\ * \-#,##0.00_ ;_ [$₹-4009]\ * &quot;-&quot;??_ ;_ @_ ">
                  <c:v>1933.1000013095099</c:v>
                </c:pt>
                <c:pt idx="887" formatCode="_ [$₹-4009]\ * #,##0.00_ ;_ [$₹-4009]\ * \-#,##0.00_ ;_ [$₹-4009]\ * &quot;-&quot;??_ ;_ @_ ">
                  <c:v>1813.90204621975</c:v>
                </c:pt>
                <c:pt idx="888" formatCode="_ [$₹-4009]\ * #,##0.00_ ;_ [$₹-4009]\ * \-#,##0.00_ ;_ [$₹-4009]\ * &quot;-&quot;??_ ;_ @_ ">
                  <c:v>1989.6540457686999</c:v>
                </c:pt>
                <c:pt idx="889" formatCode="_ [$₹-4009]\ * #,##0.00_ ;_ [$₹-4009]\ * \-#,##0.00_ ;_ [$₹-4009]\ * &quot;-&quot;??_ ;_ @_ ">
                  <c:v>1871.4673666014301</c:v>
                </c:pt>
                <c:pt idx="890" formatCode="_ [$₹-4009]\ * #,##0.00_ ;_ [$₹-4009]\ * \-#,##0.00_ ;_ [$₹-4009]\ * &quot;-&quot;??_ ;_ @_ ">
                  <c:v>1730.96930524514</c:v>
                </c:pt>
                <c:pt idx="891" formatCode="_ [$₹-4009]\ * #,##0.00_ ;_ [$₹-4009]\ * \-#,##0.00_ ;_ [$₹-4009]\ * &quot;-&quot;??_ ;_ @_ ">
                  <c:v>1773.5404676712301</c:v>
                </c:pt>
                <c:pt idx="892" formatCode="_ [$₹-4009]\ * #,##0.00_ ;_ [$₹-4009]\ * \-#,##0.00_ ;_ [$₹-4009]\ * &quot;-&quot;??_ ;_ @_ ">
                  <c:v>1876.7154399252199</c:v>
                </c:pt>
                <c:pt idx="893" formatCode="_ [$₹-4009]\ * #,##0.00_ ;_ [$₹-4009]\ * \-#,##0.00_ ;_ [$₹-4009]\ * &quot;-&quot;??_ ;_ @_ ">
                  <c:v>1784.6875355981399</c:v>
                </c:pt>
                <c:pt idx="894" formatCode="_ [$₹-4009]\ * #,##0.00_ ;_ [$₹-4009]\ * \-#,##0.00_ ;_ [$₹-4009]\ * &quot;-&quot;??_ ;_ @_ ">
                  <c:v>1933.47642961268</c:v>
                </c:pt>
                <c:pt idx="895" formatCode="_ [$₹-4009]\ * #,##0.00_ ;_ [$₹-4009]\ * \-#,##0.00_ ;_ [$₹-4009]\ * &quot;-&quot;??_ ;_ @_ ">
                  <c:v>1933.62463686091</c:v>
                </c:pt>
                <c:pt idx="896" formatCode="_ [$₹-4009]\ * #,##0.00_ ;_ [$₹-4009]\ * \-#,##0.00_ ;_ [$₹-4009]\ * &quot;-&quot;??_ ;_ @_ ">
                  <c:v>1814.42668177115</c:v>
                </c:pt>
                <c:pt idx="897" formatCode="_ [$₹-4009]\ * #,##0.00_ ;_ [$₹-4009]\ * \-#,##0.00_ ;_ [$₹-4009]\ * &quot;-&quot;??_ ;_ @_ ">
                  <c:v>1990.1786813200999</c:v>
                </c:pt>
                <c:pt idx="898" formatCode="_ [$₹-4009]\ * #,##0.00_ ;_ [$₹-4009]\ * \-#,##0.00_ ;_ [$₹-4009]\ * &quot;-&quot;??_ ;_ @_ ">
                  <c:v>1871.9920021528301</c:v>
                </c:pt>
                <c:pt idx="899" formatCode="_ [$₹-4009]\ * #,##0.00_ ;_ [$₹-4009]\ * \-#,##0.00_ ;_ [$₹-4009]\ * &quot;-&quot;??_ ;_ @_ ">
                  <c:v>1731.4939407965401</c:v>
                </c:pt>
                <c:pt idx="900" formatCode="_ [$₹-4009]\ * #,##0.00_ ;_ [$₹-4009]\ * \-#,##0.00_ ;_ [$₹-4009]\ * &quot;-&quot;??_ ;_ @_ ">
                  <c:v>1774.0651032226399</c:v>
                </c:pt>
                <c:pt idx="901" formatCode="_ [$₹-4009]\ * #,##0.00_ ;_ [$₹-4009]\ * \-#,##0.00_ ;_ [$₹-4009]\ * &quot;-&quot;??_ ;_ @_ ">
                  <c:v>1877.2400754766199</c:v>
                </c:pt>
                <c:pt idx="902" formatCode="_ [$₹-4009]\ * #,##0.00_ ;_ [$₹-4009]\ * \-#,##0.00_ ;_ [$₹-4009]\ * &quot;-&quot;??_ ;_ @_ ">
                  <c:v>1785.2121711495399</c:v>
                </c:pt>
                <c:pt idx="903" formatCode="_ [$₹-4009]\ * #,##0.00_ ;_ [$₹-4009]\ * \-#,##0.00_ ;_ [$₹-4009]\ * &quot;-&quot;??_ ;_ @_ ">
                  <c:v>1934.00106516408</c:v>
                </c:pt>
                <c:pt idx="904" formatCode="_ [$₹-4009]\ * #,##0.00_ ;_ [$₹-4009]\ * \-#,##0.00_ ;_ [$₹-4009]\ * &quot;-&quot;??_ ;_ @_ ">
                  <c:v>1934.14927241231</c:v>
                </c:pt>
                <c:pt idx="905" formatCode="_ [$₹-4009]\ * #,##0.00_ ;_ [$₹-4009]\ * \-#,##0.00_ ;_ [$₹-4009]\ * &quot;-&quot;??_ ;_ @_ ">
                  <c:v>1814.95131732255</c:v>
                </c:pt>
                <c:pt idx="906" formatCode="_ [$₹-4009]\ * #,##0.00_ ;_ [$₹-4009]\ * \-#,##0.00_ ;_ [$₹-4009]\ * &quot;-&quot;??_ ;_ @_ ">
                  <c:v>1990.7033168715</c:v>
                </c:pt>
                <c:pt idx="907" formatCode="_ [$₹-4009]\ * #,##0.00_ ;_ [$₹-4009]\ * \-#,##0.00_ ;_ [$₹-4009]\ * &quot;-&quot;??_ ;_ @_ ">
                  <c:v>1872.5166377042301</c:v>
                </c:pt>
                <c:pt idx="908" formatCode="_ [$₹-4009]\ * #,##0.00_ ;_ [$₹-4009]\ * \-#,##0.00_ ;_ [$₹-4009]\ * &quot;-&quot;??_ ;_ @_ ">
                  <c:v>1732.0185763479401</c:v>
                </c:pt>
                <c:pt idx="909" formatCode="_ [$₹-4009]\ * #,##0.00_ ;_ [$₹-4009]\ * \-#,##0.00_ ;_ [$₹-4009]\ * &quot;-&quot;??_ ;_ @_ ">
                  <c:v>1774.5897387740399</c:v>
                </c:pt>
                <c:pt idx="910" formatCode="_ [$₹-4009]\ * #,##0.00_ ;_ [$₹-4009]\ * \-#,##0.00_ ;_ [$₹-4009]\ * &quot;-&quot;??_ ;_ @_ ">
                  <c:v>1877.76471102803</c:v>
                </c:pt>
                <c:pt idx="911" formatCode="_ [$₹-4009]\ * #,##0.00_ ;_ [$₹-4009]\ * \-#,##0.00_ ;_ [$₹-4009]\ * &quot;-&quot;??_ ;_ @_ ">
                  <c:v>1785.73680670094</c:v>
                </c:pt>
                <c:pt idx="912" formatCode="_ [$₹-4009]\ * #,##0.00_ ;_ [$₹-4009]\ * \-#,##0.00_ ;_ [$₹-4009]\ * &quot;-&quot;??_ ;_ @_ ">
                  <c:v>1934.5257007154901</c:v>
                </c:pt>
                <c:pt idx="913" formatCode="_ [$₹-4009]\ * #,##0.00_ ;_ [$₹-4009]\ * \-#,##0.00_ ;_ [$₹-4009]\ * &quot;-&quot;??_ ;_ @_ ">
                  <c:v>1934.67390796371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2-4686-BE26-60BCD0317E35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 Total_Amount 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forecast!$D$2:$D$915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426.07773158151502</c:v>
                </c:pt>
                <c:pt idx="732" formatCode="_ [$₹-4009]\ * #,##0.00_ ;_ [$₹-4009]\ * \-#,##0.00_ ;_ [$₹-4009]\ * &quot;-&quot;??_ ;_ @_ ">
                  <c:v>574.86055436108404</c:v>
                </c:pt>
                <c:pt idx="733" formatCode="_ [$₹-4009]\ * #,##0.00_ ;_ [$₹-4009]\ * \-#,##0.00_ ;_ [$₹-4009]\ * &quot;-&quot;??_ ;_ @_ ">
                  <c:v>574.99796837014003</c:v>
                </c:pt>
                <c:pt idx="734" formatCode="_ [$₹-4009]\ * #,##0.00_ ;_ [$₹-4009]\ * \-#,##0.00_ ;_ [$₹-4009]\ * &quot;-&quot;??_ ;_ @_ ">
                  <c:v>455.78314901702998</c:v>
                </c:pt>
                <c:pt idx="735" formatCode="_ [$₹-4009]\ * #,##0.00_ ;_ [$₹-4009]\ * \-#,##0.00_ ;_ [$₹-4009]\ * &quot;-&quot;??_ ;_ @_ ">
                  <c:v>631.51086439707694</c:v>
                </c:pt>
                <c:pt idx="736" formatCode="_ [$₹-4009]\ * #,##0.00_ ;_ [$₹-4009]\ * \-#,##0.00_ ;_ [$₹-4009]\ * &quot;-&quot;??_ ;_ @_ ">
                  <c:v>513.29113247999601</c:v>
                </c:pt>
                <c:pt idx="737" formatCode="_ [$₹-4009]\ * #,##0.00_ ;_ [$₹-4009]\ * \-#,##0.00_ ;_ [$₹-4009]\ * &quot;-&quot;??_ ;_ @_ ">
                  <c:v>372.749901404566</c:v>
                </c:pt>
                <c:pt idx="738" formatCode="_ [$₹-4009]\ * #,##0.00_ ;_ [$₹-4009]\ * \-#,##0.00_ ;_ [$₹-4009]\ * &quot;-&quot;??_ ;_ @_ ">
                  <c:v>415.26642913502099</c:v>
                </c:pt>
                <c:pt idx="739" formatCode="_ [$₹-4009]\ * #,##0.00_ ;_ [$₹-4009]\ * \-#,##0.00_ ;_ [$₹-4009]\ * &quot;-&quot;??_ ;_ @_ ">
                  <c:v>518.37395419865197</c:v>
                </c:pt>
                <c:pt idx="740" formatCode="_ [$₹-4009]\ * #,##0.00_ ;_ [$₹-4009]\ * \-#,##0.00_ ;_ [$₹-4009]\ * &quot;-&quot;??_ ;_ @_ ">
                  <c:v>413.928463537737</c:v>
                </c:pt>
                <c:pt idx="741" formatCode="_ [$₹-4009]\ * #,##0.00_ ;_ [$₹-4009]\ * \-#,##0.00_ ;_ [$₹-4009]\ * &quot;-&quot;??_ ;_ @_ ">
                  <c:v>562.62112500286298</c:v>
                </c:pt>
                <c:pt idx="742" formatCode="_ [$₹-4009]\ * #,##0.00_ ;_ [$₹-4009]\ * \-#,##0.00_ ;_ [$₹-4009]\ * &quot;-&quot;??_ ;_ @_ ">
                  <c:v>562.65640133399597</c:v>
                </c:pt>
                <c:pt idx="743" formatCode="_ [$₹-4009]\ * #,##0.00_ ;_ [$₹-4009]\ * \-#,##0.00_ ;_ [$₹-4009]\ * &quot;-&quot;??_ ;_ @_ ">
                  <c:v>443.32748483526001</c:v>
                </c:pt>
                <c:pt idx="744" formatCode="_ [$₹-4009]\ * #,##0.00_ ;_ [$₹-4009]\ * \-#,##0.00_ ;_ [$₹-4009]\ * &quot;-&quot;??_ ;_ @_ ">
                  <c:v>618.92916155332</c:v>
                </c:pt>
                <c:pt idx="745" formatCode="_ [$₹-4009]\ * #,##0.00_ ;_ [$₹-4009]\ * \-#,##0.00_ ;_ [$₹-4009]\ * &quot;-&quot;??_ ;_ @_ ">
                  <c:v>500.57146857942303</c:v>
                </c:pt>
                <c:pt idx="746" formatCode="_ [$₹-4009]\ * #,##0.00_ ;_ [$₹-4009]\ * \-#,##0.00_ ;_ [$₹-4009]\ * &quot;-&quot;??_ ;_ @_ ">
                  <c:v>359.88037445780498</c:v>
                </c:pt>
                <c:pt idx="747" formatCode="_ [$₹-4009]\ * #,##0.00_ ;_ [$₹-4009]\ * \-#,##0.00_ ;_ [$₹-4009]\ * &quot;-&quot;??_ ;_ @_ ">
                  <c:v>402.23515895484502</c:v>
                </c:pt>
                <c:pt idx="748" formatCode="_ [$₹-4009]\ * #,##0.00_ ;_ [$₹-4009]\ * \-#,##0.00_ ;_ [$₹-4009]\ * &quot;-&quot;??_ ;_ @_ ">
                  <c:v>505.16908390834499</c:v>
                </c:pt>
                <c:pt idx="749" formatCode="_ [$₹-4009]\ * #,##0.00_ ;_ [$₹-4009]\ * \-#,##0.00_ ;_ [$₹-4009]\ * &quot;-&quot;??_ ;_ @_ ">
                  <c:v>399.17512960873597</c:v>
                </c:pt>
                <c:pt idx="750" formatCode="_ [$₹-4009]\ * #,##0.00_ ;_ [$₹-4009]\ * \-#,##0.00_ ;_ [$₹-4009]\ * &quot;-&quot;??_ ;_ @_ ">
                  <c:v>547.67260156244697</c:v>
                </c:pt>
                <c:pt idx="751" formatCode="_ [$₹-4009]\ * #,##0.00_ ;_ [$₹-4009]\ * \-#,##0.00_ ;_ [$₹-4009]\ * &quot;-&quot;??_ ;_ @_ ">
                  <c:v>547.50104239823099</c:v>
                </c:pt>
                <c:pt idx="752" formatCode="_ [$₹-4009]\ * #,##0.00_ ;_ [$₹-4009]\ * \-#,##0.00_ ;_ [$₹-4009]\ * &quot;-&quot;??_ ;_ @_ ">
                  <c:v>427.95367541420802</c:v>
                </c:pt>
                <c:pt idx="753" formatCode="_ [$₹-4009]\ * #,##0.00_ ;_ [$₹-4009]\ * \-#,##0.00_ ;_ [$₹-4009]\ * &quot;-&quot;??_ ;_ @_ ">
                  <c:v>603.32531963406404</c:v>
                </c:pt>
                <c:pt idx="754" formatCode="_ [$₹-4009]\ * #,##0.00_ ;_ [$₹-4009]\ * \-#,##0.00_ ;_ [$₹-4009]\ * &quot;-&quot;??_ ;_ @_ ">
                  <c:v>484.726047208159</c:v>
                </c:pt>
                <c:pt idx="755" formatCode="_ [$₹-4009]\ * #,##0.00_ ;_ [$₹-4009]\ * \-#,##0.00_ ;_ [$₹-4009]\ * &quot;-&quot;??_ ;_ @_ ">
                  <c:v>343.78186391901801</c:v>
                </c:pt>
                <c:pt idx="756" formatCode="_ [$₹-4009]\ * #,##0.00_ ;_ [$₹-4009]\ * \-#,##0.00_ ;_ [$₹-4009]\ * &quot;-&quot;??_ ;_ @_ ">
                  <c:v>385.87208904537403</c:v>
                </c:pt>
                <c:pt idx="757" formatCode="_ [$₹-4009]\ * #,##0.00_ ;_ [$₹-4009]\ * \-#,##0.00_ ;_ [$₹-4009]\ * &quot;-&quot;??_ ;_ @_ ">
                  <c:v>488.53002630402102</c:v>
                </c:pt>
                <c:pt idx="758" formatCode="_ [$₹-4009]\ * #,##0.00_ ;_ [$₹-4009]\ * \-#,##0.00_ ;_ [$₹-4009]\ * &quot;-&quot;??_ ;_ @_ ">
                  <c:v>380.95232983085498</c:v>
                </c:pt>
                <c:pt idx="759" formatCode="_ [$₹-4009]\ * #,##0.00_ ;_ [$₹-4009]\ * \-#,##0.00_ ;_ [$₹-4009]\ * &quot;-&quot;??_ ;_ @_ ">
                  <c:v>529.15453390904599</c:v>
                </c:pt>
                <c:pt idx="760" formatCode="_ [$₹-4009]\ * #,##0.00_ ;_ [$₹-4009]\ * \-#,##0.00_ ;_ [$₹-4009]\ * &quot;-&quot;??_ ;_ @_ ">
                  <c:v>528.676558669673</c:v>
                </c:pt>
                <c:pt idx="761" formatCode="_ [$₹-4009]\ * #,##0.00_ ;_ [$₹-4009]\ * \-#,##0.00_ ;_ [$₹-4009]\ * &quot;-&quot;??_ ;_ @_ ">
                  <c:v>408.81167934222202</c:v>
                </c:pt>
                <c:pt idx="762" formatCode="_ [$₹-4009]\ * #,##0.00_ ;_ [$₹-4009]\ * \-#,##0.00_ ;_ [$₹-4009]\ * &quot;-&quot;??_ ;_ @_ ">
                  <c:v>583.85476957669403</c:v>
                </c:pt>
                <c:pt idx="763" formatCode="_ [$₹-4009]\ * #,##0.00_ ;_ [$₹-4009]\ * \-#,##0.00_ ;_ [$₹-4009]\ * &quot;-&quot;??_ ;_ @_ ">
                  <c:v>464.91595891712399</c:v>
                </c:pt>
                <c:pt idx="764" formatCode="_ [$₹-4009]\ * #,##0.00_ ;_ [$₹-4009]\ * \-#,##0.00_ ;_ [$₹-4009]\ * &quot;-&quot;??_ ;_ @_ ">
                  <c:v>323.621313376042</c:v>
                </c:pt>
                <c:pt idx="765" formatCode="_ [$₹-4009]\ * #,##0.00_ ;_ [$₹-4009]\ * \-#,##0.00_ ;_ [$₹-4009]\ * &quot;-&quot;??_ ;_ @_ ">
                  <c:v>365.350215363899</c:v>
                </c:pt>
                <c:pt idx="766" formatCode="_ [$₹-4009]\ * #,##0.00_ ;_ [$₹-4009]\ * \-#,##0.00_ ;_ [$₹-4009]\ * &quot;-&quot;??_ ;_ @_ ">
                  <c:v>467.63603469251501</c:v>
                </c:pt>
                <c:pt idx="767" formatCode="_ [$₹-4009]\ * #,##0.00_ ;_ [$₹-4009]\ * \-#,##0.00_ ;_ [$₹-4009]\ * &quot;-&quot;??_ ;_ @_ ">
                  <c:v>358.46214658919598</c:v>
                </c:pt>
                <c:pt idx="768" formatCode="_ [$₹-4009]\ * #,##0.00_ ;_ [$₹-4009]\ * \-#,##0.00_ ;_ [$₹-4009]\ * &quot;-&quot;??_ ;_ @_ ">
                  <c:v>506.27574744667999</c:v>
                </c:pt>
                <c:pt idx="769" formatCode="_ [$₹-4009]\ * #,##0.00_ ;_ [$₹-4009]\ * \-#,##0.00_ ;_ [$₹-4009]\ * &quot;-&quot;??_ ;_ @_ ">
                  <c:v>505.39872778578302</c:v>
                </c:pt>
                <c:pt idx="770" formatCode="_ [$₹-4009]\ * #,##0.00_ ;_ [$₹-4009]\ * \-#,##0.00_ ;_ [$₹-4009]\ * &quot;-&quot;??_ ;_ @_ ">
                  <c:v>385.12443993900001</c:v>
                </c:pt>
                <c:pt idx="771" formatCode="_ [$₹-4009]\ * #,##0.00_ ;_ [$₹-4009]\ * \-#,##0.00_ ;_ [$₹-4009]\ * &quot;-&quot;??_ ;_ @_ ">
                  <c:v>559.74783775591095</c:v>
                </c:pt>
                <c:pt idx="772" formatCode="_ [$₹-4009]\ * #,##0.00_ ;_ [$₹-4009]\ * \-#,##0.00_ ;_ [$₹-4009]\ * &quot;-&quot;??_ ;_ @_ ">
                  <c:v>440.379134111349</c:v>
                </c:pt>
                <c:pt idx="773" formatCode="_ [$₹-4009]\ * #,##0.00_ ;_ [$₹-4009]\ * \-#,##0.00_ ;_ [$₹-4009]\ * &quot;-&quot;??_ ;_ @_ ">
                  <c:v>298.644481509836</c:v>
                </c:pt>
                <c:pt idx="774" formatCode="_ [$₹-4009]\ * #,##0.00_ ;_ [$₹-4009]\ * \-#,##0.00_ ;_ [$₹-4009]\ * &quot;-&quot;??_ ;_ @_ ">
                  <c:v>339.92335204016302</c:v>
                </c:pt>
                <c:pt idx="775" formatCode="_ [$₹-4009]\ * #,##0.00_ ;_ [$₹-4009]\ * \-#,##0.00_ ;_ [$₹-4009]\ * &quot;-&quot;??_ ;_ @_ ">
                  <c:v>441.74920839906201</c:v>
                </c:pt>
                <c:pt idx="776" formatCode="_ [$₹-4009]\ * #,##0.00_ ;_ [$₹-4009]\ * \-#,##0.00_ ;_ [$₹-4009]\ * &quot;-&quot;??_ ;_ @_ ">
                  <c:v>330.99091997605098</c:v>
                </c:pt>
                <c:pt idx="777" formatCode="_ [$₹-4009]\ * #,##0.00_ ;_ [$₹-4009]\ * \-#,##0.00_ ;_ [$₹-4009]\ * &quot;-&quot;??_ ;_ @_ ">
                  <c:v>478.331259869213</c:v>
                </c:pt>
                <c:pt idx="778" formatCode="_ [$₹-4009]\ * #,##0.00_ ;_ [$₹-4009]\ * \-#,##0.00_ ;_ [$₹-4009]\ * &quot;-&quot;??_ ;_ @_ ">
                  <c:v>476.97146781689298</c:v>
                </c:pt>
                <c:pt idx="779" formatCode="_ [$₹-4009]\ * #,##0.00_ ;_ [$₹-4009]\ * \-#,##0.00_ ;_ [$₹-4009]\ * &quot;-&quot;??_ ;_ @_ ">
                  <c:v>356.20499940419199</c:v>
                </c:pt>
                <c:pt idx="780" formatCode="_ [$₹-4009]\ * #,##0.00_ ;_ [$₹-4009]\ * \-#,##0.00_ ;_ [$₹-4009]\ * &quot;-&quot;??_ ;_ @_ ">
                  <c:v>530.326914852139</c:v>
                </c:pt>
                <c:pt idx="781" formatCode="_ [$₹-4009]\ * #,##0.00_ ;_ [$₹-4009]\ * \-#,##0.00_ ;_ [$₹-4009]\ * &quot;-&quot;??_ ;_ @_ ">
                  <c:v>410.447536515899</c:v>
                </c:pt>
                <c:pt idx="782" formatCode="_ [$₹-4009]\ * #,##0.00_ ;_ [$₹-4009]\ * \-#,##0.00_ ;_ [$₹-4009]\ * &quot;-&quot;??_ ;_ @_ ">
                  <c:v>268.19312947396298</c:v>
                </c:pt>
                <c:pt idx="783" formatCode="_ [$₹-4009]\ * #,##0.00_ ;_ [$₹-4009]\ * \-#,##0.00_ ;_ [$₹-4009]\ * &quot;-&quot;??_ ;_ @_ ">
                  <c:v>308.94328146215997</c:v>
                </c:pt>
                <c:pt idx="784" formatCode="_ [$₹-4009]\ * #,##0.00_ ;_ [$₹-4009]\ * \-#,##0.00_ ;_ [$₹-4009]\ * &quot;-&quot;??_ ;_ @_ ">
                  <c:v>410.23157387139901</c:v>
                </c:pt>
                <c:pt idx="785" formatCode="_ [$₹-4009]\ * #,##0.00_ ;_ [$₹-4009]\ * \-#,##0.00_ ;_ [$₹-4009]\ * &quot;-&quot;??_ ;_ @_ ">
                  <c:v>297.92478646790198</c:v>
                </c:pt>
                <c:pt idx="786" formatCode="_ [$₹-4009]\ * #,##0.00_ ;_ [$₹-4009]\ * \-#,##0.00_ ;_ [$₹-4009]\ * &quot;-&quot;??_ ;_ @_ ">
                  <c:v>444.71768618763798</c:v>
                </c:pt>
                <c:pt idx="787" formatCode="_ [$₹-4009]\ * #,##0.00_ ;_ [$₹-4009]\ * \-#,##0.00_ ;_ [$₹-4009]\ * &quot;-&quot;??_ ;_ @_ ">
                  <c:v>442.802077754707</c:v>
                </c:pt>
                <c:pt idx="788" formatCode="_ [$₹-4009]\ * #,##0.00_ ;_ [$₹-4009]\ * \-#,##0.00_ ;_ [$₹-4009]\ * &quot;-&quot;??_ ;_ @_ ">
                  <c:v>321.47154366165398</c:v>
                </c:pt>
                <c:pt idx="789" formatCode="_ [$₹-4009]\ * #,##0.00_ ;_ [$₹-4009]\ * \-#,##0.00_ ;_ [$₹-4009]\ * &quot;-&quot;??_ ;_ @_ ">
                  <c:v>495.021273787263</c:v>
                </c:pt>
                <c:pt idx="790" formatCode="_ [$₹-4009]\ * #,##0.00_ ;_ [$₹-4009]\ * \-#,##0.00_ ;_ [$₹-4009]\ * &quot;-&quot;??_ ;_ @_ ">
                  <c:v>374.56172284080799</c:v>
                </c:pt>
                <c:pt idx="791" formatCode="_ [$₹-4009]\ * #,##0.00_ ;_ [$₹-4009]\ * \-#,##0.00_ ;_ [$₹-4009]\ * &quot;-&quot;??_ ;_ @_ ">
                  <c:v>231.719290892326</c:v>
                </c:pt>
                <c:pt idx="792" formatCode="_ [$₹-4009]\ * #,##0.00_ ;_ [$₹-4009]\ * \-#,##0.00_ ;_ [$₹-4009]\ * &quot;-&quot;??_ ;_ @_ ">
                  <c:v>271.873703242837</c:v>
                </c:pt>
                <c:pt idx="793" formatCode="_ [$₹-4009]\ * #,##0.00_ ;_ [$₹-4009]\ * \-#,##0.00_ ;_ [$₹-4009]\ * &quot;-&quot;??_ ;_ @_ ">
                  <c:v>372.55868135348697</c:v>
                </c:pt>
                <c:pt idx="794" formatCode="_ [$₹-4009]\ * #,##0.00_ ;_ [$₹-4009]\ * \-#,##0.00_ ;_ [$₹-4009]\ * &quot;-&quot;??_ ;_ @_ ">
                  <c:v>258.76164161619801</c:v>
                </c:pt>
                <c:pt idx="795" formatCode="_ [$₹-4009]\ * #,##0.00_ ;_ [$₹-4009]\ * \-#,##0.00_ ;_ [$₹-4009]\ * &quot;-&quot;??_ ;_ @_ ">
                  <c:v>404.94480820194201</c:v>
                </c:pt>
                <c:pt idx="796" formatCode="_ [$₹-4009]\ * #,##0.00_ ;_ [$₹-4009]\ * \-#,##0.00_ ;_ [$₹-4009]\ * &quot;-&quot;??_ ;_ @_ ">
                  <c:v>402.41238536229901</c:v>
                </c:pt>
                <c:pt idx="797" formatCode="_ [$₹-4009]\ * #,##0.00_ ;_ [$₹-4009]\ * \-#,##0.00_ ;_ [$₹-4009]\ * &quot;-&quot;??_ ;_ @_ ">
                  <c:v>280.45810057942202</c:v>
                </c:pt>
                <c:pt idx="798" formatCode="_ [$₹-4009]\ * #,##0.00_ ;_ [$₹-4009]\ * \-#,##0.00_ ;_ [$₹-4009]\ * &quot;-&quot;??_ ;_ @_ ">
                  <c:v>453.37729077301702</c:v>
                </c:pt>
                <c:pt idx="799" formatCode="_ [$₹-4009]\ * #,##0.00_ ;_ [$₹-4009]\ * \-#,##0.00_ ;_ [$₹-4009]\ * &quot;-&quot;??_ ;_ @_ ">
                  <c:v>332.28055965548901</c:v>
                </c:pt>
                <c:pt idx="800" formatCode="_ [$₹-4009]\ * #,##0.00_ ;_ [$₹-4009]\ * \-#,##0.00_ ;_ [$₹-4009]\ * &quot;-&quot;??_ ;_ @_ ">
                  <c:v>188.79445816941001</c:v>
                </c:pt>
                <c:pt idx="801" formatCode="_ [$₹-4009]\ * #,##0.00_ ;_ [$₹-4009]\ * \-#,##0.00_ ;_ [$₹-4009]\ * &quot;-&quot;??_ ;_ @_ ">
                  <c:v>228.29886426140601</c:v>
                </c:pt>
                <c:pt idx="802" formatCode="_ [$₹-4009]\ * #,##0.00_ ;_ [$₹-4009]\ * \-#,##0.00_ ;_ [$₹-4009]\ * &quot;-&quot;??_ ;_ @_ ">
                  <c:v>328.32765371163498</c:v>
                </c:pt>
                <c:pt idx="803" formatCode="_ [$₹-4009]\ * #,##0.00_ ;_ [$₹-4009]\ * \-#,##0.00_ ;_ [$₹-4009]\ * &quot;-&quot;??_ ;_ @_ ">
                  <c:v>213.117717142949</c:v>
                </c:pt>
                <c:pt idx="804" formatCode="_ [$₹-4009]\ * #,##0.00_ ;_ [$₹-4009]\ * \-#,##0.00_ ;_ [$₹-4009]\ * &quot;-&quot;??_ ;_ @_ ">
                  <c:v>358.64156237855701</c:v>
                </c:pt>
                <c:pt idx="805" formatCode="_ [$₹-4009]\ * #,##0.00_ ;_ [$₹-4009]\ * \-#,##0.00_ ;_ [$₹-4009]\ * &quot;-&quot;??_ ;_ @_ ">
                  <c:v>355.44412524910803</c:v>
                </c:pt>
                <c:pt idx="806" formatCode="_ [$₹-4009]\ * #,##0.00_ ;_ [$₹-4009]\ * \-#,##0.00_ ;_ [$₹-4009]\ * &quot;-&quot;??_ ;_ @_ ">
                  <c:v>232.81928863101601</c:v>
                </c:pt>
                <c:pt idx="807" formatCode="_ [$₹-4009]\ * #,##0.00_ ;_ [$₹-4009]\ * \-#,##0.00_ ;_ [$₹-4009]\ * &quot;-&quot;??_ ;_ @_ ">
                  <c:v>405.06254598136599</c:v>
                </c:pt>
                <c:pt idx="808" formatCode="_ [$₹-4009]\ * #,##0.00_ ;_ [$₹-4009]\ * \-#,##0.00_ ;_ [$₹-4009]\ * &quot;-&quot;??_ ;_ @_ ">
                  <c:v>283.28465858385698</c:v>
                </c:pt>
                <c:pt idx="809" formatCode="_ [$₹-4009]\ * #,##0.00_ ;_ [$₹-4009]\ * \-#,##0.00_ ;_ [$₹-4009]\ * &quot;-&quot;??_ ;_ @_ ">
                  <c:v>139.11233587522599</c:v>
                </c:pt>
                <c:pt idx="810" formatCode="_ [$₹-4009]\ * #,##0.00_ ;_ [$₹-4009]\ * \-#,##0.00_ ;_ [$₹-4009]\ * &quot;-&quot;??_ ;_ @_ ">
                  <c:v>177.925615106468</c:v>
                </c:pt>
                <c:pt idx="811" formatCode="_ [$₹-4009]\ * #,##0.00_ ;_ [$₹-4009]\ * \-#,##0.00_ ;_ [$₹-4009]\ * &quot;-&quot;??_ ;_ @_ ">
                  <c:v>277.25853205825598</c:v>
                </c:pt>
                <c:pt idx="812" formatCode="_ [$₹-4009]\ * #,##0.00_ ;_ [$₹-4009]\ * \-#,##0.00_ ;_ [$₹-4009]\ * &quot;-&quot;??_ ;_ @_ ">
                  <c:v>160.72784354435001</c:v>
                </c:pt>
                <c:pt idx="813" formatCode="_ [$₹-4009]\ * #,##0.00_ ;_ [$₹-4009]\ * \-#,##0.00_ ;_ [$₹-4009]\ * &quot;-&quot;??_ ;_ @_ ">
                  <c:v>305.55561730154602</c:v>
                </c:pt>
                <c:pt idx="814" formatCode="_ [$₹-4009]\ * #,##0.00_ ;_ [$₹-4009]\ * \-#,##0.00_ ;_ [$₹-4009]\ * &quot;-&quot;??_ ;_ @_ ">
                  <c:v>301.65782203102702</c:v>
                </c:pt>
                <c:pt idx="815" formatCode="_ [$₹-4009]\ * #,##0.00_ ;_ [$₹-4009]\ * \-#,##0.00_ ;_ [$₹-4009]\ * &quot;-&quot;??_ ;_ @_ ">
                  <c:v>178.32849793906999</c:v>
                </c:pt>
                <c:pt idx="816" formatCode="_ [$₹-4009]\ * #,##0.00_ ;_ [$₹-4009]\ * \-#,##0.00_ ;_ [$₹-4009]\ * &quot;-&quot;??_ ;_ @_ ">
                  <c:v>349.86329598892002</c:v>
                </c:pt>
                <c:pt idx="817" formatCode="_ [$₹-4009]\ * #,##0.00_ ;_ [$₹-4009]\ * \-#,##0.00_ ;_ [$₹-4009]\ * &quot;-&quot;??_ ;_ @_ ">
                  <c:v>227.37313503464401</c:v>
                </c:pt>
                <c:pt idx="818" formatCode="_ [$₹-4009]\ * #,##0.00_ ;_ [$₹-4009]\ * \-#,##0.00_ ;_ [$₹-4009]\ * &quot;-&quot;??_ ;_ @_ ">
                  <c:v>82.484882035563302</c:v>
                </c:pt>
                <c:pt idx="819" formatCode="_ [$₹-4009]\ * #,##0.00_ ;_ [$₹-4009]\ * \-#,##0.00_ ;_ [$₹-4009]\ * &quot;-&quot;??_ ;_ @_ ">
                  <c:v>120.578731605833</c:v>
                </c:pt>
                <c:pt idx="820" formatCode="_ [$₹-4009]\ * #,##0.00_ ;_ [$₹-4009]\ * \-#,##0.00_ ;_ [$₹-4009]\ * &quot;-&quot;??_ ;_ @_ ">
                  <c:v>219.18887661875999</c:v>
                </c:pt>
                <c:pt idx="821" formatCode="_ [$₹-4009]\ * #,##0.00_ ;_ [$₹-4009]\ * \-#,##0.00_ ;_ [$₹-4009]\ * &quot;-&quot;??_ ;_ @_ ">
                  <c:v>101.439495352357</c:v>
                </c:pt>
                <c:pt idx="822" formatCode="_ [$₹-4009]\ * #,##0.00_ ;_ [$₹-4009]\ * \-#,##0.00_ ;_ [$₹-4009]\ * &quot;-&quot;??_ ;_ @_ ">
                  <c:v>245.54674960211</c:v>
                </c:pt>
                <c:pt idx="823" formatCode="_ [$₹-4009]\ * #,##0.00_ ;_ [$₹-4009]\ * \-#,##0.00_ ;_ [$₹-4009]\ * &quot;-&quot;??_ ;_ @_ ">
                  <c:v>240.925499917416</c:v>
                </c:pt>
                <c:pt idx="824" formatCode="_ [$₹-4009]\ * #,##0.00_ ;_ [$₹-4009]\ * \-#,##0.00_ ;_ [$₹-4009]\ * &quot;-&quot;??_ ;_ @_ ">
                  <c:v>116.86993782076</c:v>
                </c:pt>
                <c:pt idx="825" formatCode="_ [$₹-4009]\ * #,##0.00_ ;_ [$₹-4009]\ * \-#,##0.00_ ;_ [$₹-4009]\ * &quot;-&quot;??_ ;_ @_ ">
                  <c:v>287.675864883516</c:v>
                </c:pt>
                <c:pt idx="826" formatCode="_ [$₹-4009]\ * #,##0.00_ ;_ [$₹-4009]\ * \-#,##0.00_ ;_ [$₹-4009]\ * &quot;-&quot;??_ ;_ @_ ">
                  <c:v>164.454349759894</c:v>
                </c:pt>
                <c:pt idx="827" formatCode="_ [$₹-4009]\ * #,##0.00_ ;_ [$₹-4009]\ * \-#,##0.00_ ;_ [$₹-4009]\ * &quot;-&quot;??_ ;_ @_ ">
                  <c:v>18.832408303195098</c:v>
                </c:pt>
                <c:pt idx="828" formatCode="_ [$₹-4009]\ * #,##0.00_ ;_ [$₹-4009]\ * \-#,##0.00_ ;_ [$₹-4009]\ * &quot;-&quot;??_ ;_ @_ ">
                  <c:v>56.190383019087001</c:v>
                </c:pt>
                <c:pt idx="829" formatCode="_ [$₹-4009]\ * #,##0.00_ ;_ [$₹-4009]\ * \-#,##0.00_ ;_ [$₹-4009]\ * &quot;-&quot;??_ ;_ @_ ">
                  <c:v>154.062613575672</c:v>
                </c:pt>
                <c:pt idx="830" formatCode="_ [$₹-4009]\ * #,##0.00_ ;_ [$₹-4009]\ * \-#,##0.00_ ;_ [$₹-4009]\ * &quot;-&quot;??_ ;_ @_ ">
                  <c:v>35.201631364793897</c:v>
                </c:pt>
                <c:pt idx="831" formatCode="_ [$₹-4009]\ * #,##0.00_ ;_ [$₹-4009]\ * \-#,##0.00_ ;_ [$₹-4009]\ * &quot;-&quot;??_ ;_ @_ ">
                  <c:v>178.57512629268601</c:v>
                </c:pt>
                <c:pt idx="832" formatCode="_ [$₹-4009]\ * #,##0.00_ ;_ [$₹-4009]\ * \-#,##0.00_ ;_ [$₹-4009]\ * &quot;-&quot;??_ ;_ @_ ">
                  <c:v>173.21841999594301</c:v>
                </c:pt>
                <c:pt idx="833" formatCode="_ [$₹-4009]\ * #,##0.00_ ;_ [$₹-4009]\ * \-#,##0.00_ ;_ [$₹-4009]\ * &quot;-&quot;??_ ;_ @_ ">
                  <c:v>48.425842874455398</c:v>
                </c:pt>
                <c:pt idx="834" formatCode="_ [$₹-4009]\ * #,##0.00_ ;_ [$₹-4009]\ * \-#,##0.00_ ;_ [$₹-4009]\ * &quot;-&quot;??_ ;_ @_ ">
                  <c:v>218.49333396806301</c:v>
                </c:pt>
                <c:pt idx="835" formatCode="_ [$₹-4009]\ * #,##0.00_ ;_ [$₹-4009]\ * \-#,##0.00_ ;_ [$₹-4009]\ * &quot;-&quot;??_ ;_ @_ ">
                  <c:v>94.532097912851896</c:v>
                </c:pt>
                <c:pt idx="836" formatCode="_ [$₹-4009]\ * #,##0.00_ ;_ [$₹-4009]\ * \-#,##0.00_ ;_ [$₹-4009]\ * &quot;-&quot;??_ ;_ @_ ">
                  <c:v>-51.830715017549402</c:v>
                </c:pt>
                <c:pt idx="837" formatCode="_ [$₹-4009]\ * #,##0.00_ ;_ [$₹-4009]\ * \-#,##0.00_ ;_ [$₹-4009]\ * &quot;-&quot;??_ ;_ @_ ">
                  <c:v>-15.2146295308553</c:v>
                </c:pt>
                <c:pt idx="838" formatCode="_ [$₹-4009]\ * #,##0.00_ ;_ [$₹-4009]\ * \-#,##0.00_ ;_ [$₹-4009]\ * &quot;-&quot;??_ ;_ @_ ">
                  <c:v>81.914825124674294</c:v>
                </c:pt>
                <c:pt idx="839" formatCode="_ [$₹-4009]\ * #,##0.00_ ;_ [$₹-4009]\ * \-#,##0.00_ ;_ [$₹-4009]\ * &quot;-&quot;??_ ;_ @_ ">
                  <c:v>-37.950058007743998</c:v>
                </c:pt>
                <c:pt idx="840" formatCode="_ [$₹-4009]\ * #,##0.00_ ;_ [$₹-4009]\ * \-#,##0.00_ ;_ [$₹-4009]\ * &quot;-&quot;??_ ;_ @_ ">
                  <c:v>104.686165178171</c:v>
                </c:pt>
                <c:pt idx="841" formatCode="_ [$₹-4009]\ * #,##0.00_ ;_ [$₹-4009]\ * \-#,##0.00_ ;_ [$₹-4009]\ * &quot;-&quot;??_ ;_ @_ ">
                  <c:v>98.591572281750402</c:v>
                </c:pt>
                <c:pt idx="842" formatCode="_ [$₹-4009]\ * #,##0.00_ ;_ [$₹-4009]\ * \-#,##0.00_ ;_ [$₹-4009]\ * &quot;-&quot;??_ ;_ @_ ">
                  <c:v>-26.9393842252878</c:v>
                </c:pt>
                <c:pt idx="843" formatCode="_ [$₹-4009]\ * #,##0.00_ ;_ [$₹-4009]\ * \-#,##0.00_ ;_ [$₹-4009]\ * &quot;-&quot;??_ ;_ @_ ">
                  <c:v>142.389354890552</c:v>
                </c:pt>
                <c:pt idx="844" formatCode="_ [$₹-4009]\ * #,##0.00_ ;_ [$₹-4009]\ * \-#,##0.00_ ;_ [$₹-4009]\ * &quot;-&quot;??_ ;_ @_ ">
                  <c:v>17.6891125295422</c:v>
                </c:pt>
                <c:pt idx="845" formatCode="_ [$₹-4009]\ * #,##0.00_ ;_ [$₹-4009]\ * \-#,##0.00_ ;_ [$₹-4009]\ * &quot;-&quot;??_ ;_ @_ ">
                  <c:v>-129.412844748222</c:v>
                </c:pt>
                <c:pt idx="846" formatCode="_ [$₹-4009]\ * #,##0.00_ ;_ [$₹-4009]\ * \-#,##0.00_ ;_ [$₹-4009]\ * &quot;-&quot;??_ ;_ @_ ">
                  <c:v>-93.535927386904902</c:v>
                </c:pt>
                <c:pt idx="847" formatCode="_ [$₹-4009]\ * #,##0.00_ ;_ [$₹-4009]\ * \-#,##0.00_ ;_ [$₹-4009]\ * &quot;-&quot;??_ ;_ @_ ">
                  <c:v>2.8544475637352198</c:v>
                </c:pt>
                <c:pt idx="848" formatCode="_ [$₹-4009]\ * #,##0.00_ ;_ [$₹-4009]\ * \-#,##0.00_ ;_ [$₹-4009]\ * &quot;-&quot;??_ ;_ @_ ">
                  <c:v>-117.90968291366499</c:v>
                </c:pt>
                <c:pt idx="849" formatCode="_ [$₹-4009]\ * #,##0.00_ ;_ [$₹-4009]\ * \-#,##0.00_ ;_ [$₹-4009]\ * &quot;-&quot;??_ ;_ @_ ">
                  <c:v>23.993804023918301</c:v>
                </c:pt>
                <c:pt idx="850" formatCode="_ [$₹-4009]\ * #,##0.00_ ;_ [$₹-4009]\ * \-#,##0.00_ ;_ [$₹-4009]\ * &quot;-&quot;??_ ;_ @_ ">
                  <c:v>17.166766072926698</c:v>
                </c:pt>
                <c:pt idx="851" formatCode="_ [$₹-4009]\ * #,##0.00_ ;_ [$₹-4009]\ * \-#,##0.00_ ;_ [$₹-4009]\ * &quot;-&quot;??_ ;_ @_ ">
                  <c:v>-109.096241270097</c:v>
                </c:pt>
                <c:pt idx="852" formatCode="_ [$₹-4009]\ * #,##0.00_ ;_ [$₹-4009]\ * \-#,##0.00_ ;_ [$₹-4009]\ * &quot;-&quot;??_ ;_ @_ ">
                  <c:v>59.500942136669202</c:v>
                </c:pt>
                <c:pt idx="853" formatCode="_ [$₹-4009]\ * #,##0.00_ ;_ [$₹-4009]\ * \-#,##0.00_ ;_ [$₹-4009]\ * &quot;-&quot;??_ ;_ @_ ">
                  <c:v>-65.930262040510996</c:v>
                </c:pt>
                <c:pt idx="854" formatCode="_ [$₹-4009]\ * #,##0.00_ ;_ [$₹-4009]\ * \-#,##0.00_ ;_ [$₹-4009]\ * &quot;-&quot;??_ ;_ @_ ">
                  <c:v>-213.76249064089501</c:v>
                </c:pt>
                <c:pt idx="855" formatCode="_ [$₹-4009]\ * #,##0.00_ ;_ [$₹-4009]\ * \-#,##0.00_ ;_ [$₹-4009]\ * &quot;-&quot;??_ ;_ @_ ">
                  <c:v>-178.61505969353701</c:v>
                </c:pt>
                <c:pt idx="856" formatCode="_ [$₹-4009]\ * #,##0.00_ ;_ [$₹-4009]\ * \-#,##0.00_ ;_ [$₹-4009]\ * &quot;-&quot;??_ ;_ @_ ">
                  <c:v>-82.953294036030698</c:v>
                </c:pt>
                <c:pt idx="857" formatCode="_ [$₹-4009]\ * #,##0.00_ ;_ [$₹-4009]\ * \-#,##0.00_ ;_ [$₹-4009]\ * &quot;-&quot;??_ ;_ @_ ">
                  <c:v>-204.51780547130099</c:v>
                </c:pt>
                <c:pt idx="858" formatCode="_ [$₹-4009]\ * #,##0.00_ ;_ [$₹-4009]\ * \-#,##0.00_ ;_ [$₹-4009]\ * &quot;-&quot;??_ ;_ @_ ">
                  <c:v>-63.336179398135101</c:v>
                </c:pt>
                <c:pt idx="859" formatCode="_ [$₹-4009]\ * #,##0.00_ ;_ [$₹-4009]\ * \-#,##0.00_ ;_ [$₹-4009]\ * &quot;-&quot;??_ ;_ @_ ">
                  <c:v>-70.884060944370702</c:v>
                </c:pt>
                <c:pt idx="860" formatCode="_ [$₹-4009]\ * #,##0.00_ ;_ [$₹-4009]\ * \-#,##0.00_ ;_ [$₹-4009]\ * &quot;-&quot;??_ ;_ @_ ">
                  <c:v>-197.86681103128799</c:v>
                </c:pt>
                <c:pt idx="861" formatCode="_ [$₹-4009]\ * #,##0.00_ ;_ [$₹-4009]\ * \-#,##0.00_ ;_ [$₹-4009]\ * &quot;-&quot;??_ ;_ @_ ">
                  <c:v>-29.988188093278499</c:v>
                </c:pt>
                <c:pt idx="862" formatCode="_ [$₹-4009]\ * #,##0.00_ ;_ [$₹-4009]\ * \-#,##0.00_ ;_ [$₹-4009]\ * &quot;-&quot;??_ ;_ @_ ">
                  <c:v>-156.136691203309</c:v>
                </c:pt>
                <c:pt idx="863" formatCode="_ [$₹-4009]\ * #,##0.00_ ;_ [$₹-4009]\ * \-#,##0.00_ ;_ [$₹-4009]\ * &quot;-&quot;??_ ;_ @_ ">
                  <c:v>-304.68488010515398</c:v>
                </c:pt>
                <c:pt idx="864" formatCode="_ [$₹-4009]\ * #,##0.00_ ;_ [$₹-4009]\ * \-#,##0.00_ ;_ [$₹-4009]\ * &quot;-&quot;??_ ;_ @_ ">
                  <c:v>-270.25199589768403</c:v>
                </c:pt>
                <c:pt idx="865" formatCode="_ [$₹-4009]\ * #,##0.00_ ;_ [$₹-4009]\ * \-#,##0.00_ ;_ [$₹-4009]\ * &quot;-&quot;??_ ;_ @_ ">
                  <c:v>-175.303290651396</c:v>
                </c:pt>
                <c:pt idx="866" formatCode="_ [$₹-4009]\ * #,##0.00_ ;_ [$₹-4009]\ * \-#,##0.00_ ;_ [$₹-4009]\ * &quot;-&quot;??_ ;_ @_ ">
                  <c:v>-297.576931561246</c:v>
                </c:pt>
                <c:pt idx="867" formatCode="_ [$₹-4009]\ * #,##0.00_ ;_ [$₹-4009]\ * \-#,##0.00_ ;_ [$₹-4009]\ * &quot;-&quot;??_ ;_ @_ ">
                  <c:v>-157.10155727973401</c:v>
                </c:pt>
                <c:pt idx="868" formatCode="_ [$₹-4009]\ * #,##0.00_ ;_ [$₹-4009]\ * \-#,##0.00_ ;_ [$₹-4009]\ * &quot;-&quot;??_ ;_ @_ ">
                  <c:v>-165.35411749071801</c:v>
                </c:pt>
                <c:pt idx="869" formatCode="_ [$₹-4009]\ * #,##0.00_ ;_ [$₹-4009]\ * \-#,##0.00_ ;_ [$₹-4009]\ * &quot;-&quot;??_ ;_ @_ ">
                  <c:v>-293.03990798762499</c:v>
                </c:pt>
                <c:pt idx="870" formatCode="_ [$₹-4009]\ * #,##0.00_ ;_ [$₹-4009]\ * \-#,##0.00_ ;_ [$₹-4009]\ * &quot;-&quot;??_ ;_ @_ ">
                  <c:v>-125.86262413167999</c:v>
                </c:pt>
                <c:pt idx="871" formatCode="_ [$₹-4009]\ * #,##0.00_ ;_ [$₹-4009]\ * \-#,##0.00_ ;_ [$₹-4009]\ * &quot;-&quot;??_ ;_ @_ ">
                  <c:v>-252.710703966376</c:v>
                </c:pt>
                <c:pt idx="872" formatCode="_ [$₹-4009]\ * #,##0.00_ ;_ [$₹-4009]\ * \-#,##0.00_ ;_ [$₹-4009]\ * &quot;-&quot;??_ ;_ @_ ">
                  <c:v>-401.95664823702901</c:v>
                </c:pt>
                <c:pt idx="873" formatCode="_ [$₹-4009]\ * #,##0.00_ ;_ [$₹-4009]\ * \-#,##0.00_ ;_ [$₹-4009]\ * &quot;-&quot;??_ ;_ @_ ">
                  <c:v>-368.21964106073199</c:v>
                </c:pt>
                <c:pt idx="874" formatCode="_ [$₹-4009]\ * #,##0.00_ ;_ [$₹-4009]\ * \-#,##0.00_ ;_ [$₹-4009]\ * &quot;-&quot;??_ ;_ @_ ">
                  <c:v>-273.96487952699601</c:v>
                </c:pt>
                <c:pt idx="875" formatCode="_ [$₹-4009]\ * #,##0.00_ ;_ [$₹-4009]\ * \-#,##0.00_ ;_ [$₹-4009]\ * &quot;-&quot;??_ ;_ @_ ">
                  <c:v>-396.86502954429801</c:v>
                </c:pt>
                <c:pt idx="876" formatCode="_ [$₹-4009]\ * #,##0.00_ ;_ [$₹-4009]\ * \-#,##0.00_ ;_ [$₹-4009]\ * &quot;-&quot;??_ ;_ @_ ">
                  <c:v>-257.07698511060897</c:v>
                </c:pt>
                <c:pt idx="877" formatCode="_ [$₹-4009]\ * #,##0.00_ ;_ [$₹-4009]\ * \-#,##0.00_ ;_ [$₹-4009]\ * &quot;-&quot;??_ ;_ @_ ">
                  <c:v>-266.014898083454</c:v>
                </c:pt>
                <c:pt idx="878" formatCode="_ [$₹-4009]\ * #,##0.00_ ;_ [$₹-4009]\ * \-#,##0.00_ ;_ [$₹-4009]\ * &quot;-&quot;??_ ;_ @_ ">
                  <c:v>-394.38401570912498</c:v>
                </c:pt>
                <c:pt idx="879" formatCode="_ [$₹-4009]\ * #,##0.00_ ;_ [$₹-4009]\ * \-#,##0.00_ ;_ [$₹-4009]\ * &quot;-&quot;??_ ;_ @_ ">
                  <c:v>-227.88798665968099</c:v>
                </c:pt>
                <c:pt idx="880" formatCode="_ [$₹-4009]\ * #,##0.00_ ;_ [$₹-4009]\ * \-#,##0.00_ ;_ [$₹-4009]\ * &quot;-&quot;??_ ;_ @_ ">
                  <c:v>-355.41520412647202</c:v>
                </c:pt>
                <c:pt idx="881" formatCode="_ [$₹-4009]\ * #,##0.00_ ;_ [$₹-4009]\ * \-#,##0.00_ ;_ [$₹-4009]\ * &quot;-&quot;??_ ;_ @_ ">
                  <c:v>-505.33812581762299</c:v>
                </c:pt>
                <c:pt idx="882" formatCode="_ [$₹-4009]\ * #,##0.00_ ;_ [$₹-4009]\ * \-#,##0.00_ ;_ [$₹-4009]\ * &quot;-&quot;??_ ;_ @_ ">
                  <c:v>-472.27589460490998</c:v>
                </c:pt>
                <c:pt idx="883" formatCode="_ [$₹-4009]\ * #,##0.00_ ;_ [$₹-4009]\ * \-#,##0.00_ ;_ [$₹-4009]\ * &quot;-&quot;??_ ;_ @_ ">
                  <c:v>-378.69366810035001</c:v>
                </c:pt>
                <c:pt idx="884" formatCode="_ [$₹-4009]\ * #,##0.00_ ;_ [$₹-4009]\ * \-#,##0.00_ ;_ [$₹-4009]\ * &quot;-&quot;??_ ;_ @_ ">
                  <c:v>-502.14669723880701</c:v>
                </c:pt>
                <c:pt idx="885" formatCode="_ [$₹-4009]\ * #,##0.00_ ;_ [$₹-4009]\ * \-#,##0.00_ ;_ [$₹-4009]\ * &quot;-&quot;??_ ;_ @_ ">
                  <c:v>-363.02494268299102</c:v>
                </c:pt>
                <c:pt idx="886" formatCode="_ [$₹-4009]\ * #,##0.00_ ;_ [$₹-4009]\ * \-#,##0.00_ ;_ [$₹-4009]\ * &quot;-&quot;??_ ;_ @_ ">
                  <c:v>-372.62689381783701</c:v>
                </c:pt>
                <c:pt idx="887" formatCode="_ [$₹-4009]\ * #,##0.00_ ;_ [$₹-4009]\ * \-#,##0.00_ ;_ [$₹-4009]\ * &quot;-&quot;??_ ;_ @_ ">
                  <c:v>-501.657763603327</c:v>
                </c:pt>
                <c:pt idx="888" formatCode="_ [$₹-4009]\ * #,##0.00_ ;_ [$₹-4009]\ * \-#,##0.00_ ;_ [$₹-4009]\ * &quot;-&quot;??_ ;_ @_ ">
                  <c:v>-335.82116803889301</c:v>
                </c:pt>
                <c:pt idx="889" formatCode="_ [$₹-4009]\ * #,##0.00_ ;_ [$₹-4009]\ * \-#,##0.00_ ;_ [$₹-4009]\ * &quot;-&quot;??_ ;_ @_ ">
                  <c:v>-464.00546923078502</c:v>
                </c:pt>
                <c:pt idx="890" formatCode="_ [$₹-4009]\ * #,##0.00_ ;_ [$₹-4009]\ * \-#,##0.00_ ;_ [$₹-4009]\ * &quot;-&quot;??_ ;_ @_ ">
                  <c:v>-614.58309536280899</c:v>
                </c:pt>
                <c:pt idx="891" formatCode="_ [$₹-4009]\ * #,##0.00_ ;_ [$₹-4009]\ * \-#,##0.00_ ;_ [$₹-4009]\ * &quot;-&quot;??_ ;_ @_ ">
                  <c:v>-582.17316131591599</c:v>
                </c:pt>
                <c:pt idx="892" formatCode="_ [$₹-4009]\ * #,##0.00_ ;_ [$₹-4009]\ * \-#,##0.00_ ;_ [$₹-4009]\ * &quot;-&quot;??_ ;_ @_ ">
                  <c:v>-489.24079821703799</c:v>
                </c:pt>
                <c:pt idx="893" formatCode="_ [$₹-4009]\ * #,##0.00_ ;_ [$₹-4009]\ * \-#,##0.00_ ;_ [$₹-4009]\ * &quot;-&quot;??_ ;_ @_ ">
                  <c:v>-613.181937676909</c:v>
                </c:pt>
                <c:pt idx="894" formatCode="_ [$₹-4009]\ * #,##0.00_ ;_ [$₹-4009]\ * \-#,##0.00_ ;_ [$₹-4009]\ * &quot;-&quot;??_ ;_ @_ ">
                  <c:v>-474.70427660368699</c:v>
                </c:pt>
                <c:pt idx="895" formatCode="_ [$₹-4009]\ * #,##0.00_ ;_ [$₹-4009]\ * \-#,##0.00_ ;_ [$₹-4009]\ * &quot;-&quot;??_ ;_ @_ ">
                  <c:v>-484.947900697313</c:v>
                </c:pt>
                <c:pt idx="896" formatCode="_ [$₹-4009]\ * #,##0.00_ ;_ [$₹-4009]\ * \-#,##0.00_ ;_ [$₹-4009]\ * &quot;-&quot;??_ ;_ @_ ">
                  <c:v>-614.61800046057999</c:v>
                </c:pt>
                <c:pt idx="897" formatCode="_ [$₹-4009]\ * #,##0.00_ ;_ [$₹-4009]\ * \-#,##0.00_ ;_ [$₹-4009]\ * &quot;-&quot;??_ ;_ @_ ">
                  <c:v>-449.41817079189798</c:v>
                </c:pt>
                <c:pt idx="898" formatCode="_ [$₹-4009]\ * #,##0.00_ ;_ [$₹-4009]\ * \-#,##0.00_ ;_ [$₹-4009]\ * &quot;-&quot;??_ ;_ @_ ">
                  <c:v>-578.23675402489005</c:v>
                </c:pt>
                <c:pt idx="899" formatCode="_ [$₹-4009]\ * #,##0.00_ ;_ [$₹-4009]\ * \-#,##0.00_ ;_ [$₹-4009]\ * &quot;-&quot;??_ ;_ @_ ">
                  <c:v>-729.44615987115196</c:v>
                </c:pt>
                <c:pt idx="900" formatCode="_ [$₹-4009]\ * #,##0.00_ ;_ [$₹-4009]\ * \-#,##0.00_ ;_ [$₹-4009]\ * &quot;-&quot;??_ ;_ @_ ">
                  <c:v>-697.66548601170996</c:v>
                </c:pt>
                <c:pt idx="901" formatCode="_ [$₹-4009]\ * #,##0.00_ ;_ [$₹-4009]\ * \-#,##0.00_ ;_ [$₹-4009]\ * &quot;-&quot;??_ ;_ @_ ">
                  <c:v>-605.359847617588</c:v>
                </c:pt>
                <c:pt idx="902" formatCode="_ [$₹-4009]\ * #,##0.00_ ;_ [$₹-4009]\ * \-#,##0.00_ ;_ [$₹-4009]\ * &quot;-&quot;??_ ;_ @_ ">
                  <c:v>-729.73272850788999</c:v>
                </c:pt>
                <c:pt idx="903" formatCode="_ [$₹-4009]\ * #,##0.00_ ;_ [$₹-4009]\ * \-#,##0.00_ ;_ [$₹-4009]\ * &quot;-&quot;??_ ;_ @_ ">
                  <c:v>-591.87655135242096</c:v>
                </c:pt>
                <c:pt idx="904" formatCode="_ [$₹-4009]\ * #,##0.00_ ;_ [$₹-4009]\ * \-#,##0.00_ ;_ [$₹-4009]\ * &quot;-&quot;??_ ;_ @_ ">
                  <c:v>-602.73915361921604</c:v>
                </c:pt>
                <c:pt idx="905" formatCode="_ [$₹-4009]\ * #,##0.00_ ;_ [$₹-4009]\ * \-#,##0.00_ ;_ [$₹-4009]\ * &quot;-&quot;??_ ;_ @_ ">
                  <c:v>-733.025712863065</c:v>
                </c:pt>
                <c:pt idx="906" formatCode="_ [$₹-4009]\ * #,##0.00_ ;_ [$₹-4009]\ * \-#,##0.00_ ;_ [$₹-4009]\ * &quot;-&quot;??_ ;_ @_ ">
                  <c:v>-568.43981214282098</c:v>
                </c:pt>
                <c:pt idx="907" formatCode="_ [$₹-4009]\ * #,##0.00_ ;_ [$₹-4009]\ * \-#,##0.00_ ;_ [$₹-4009]\ * &quot;-&quot;??_ ;_ @_ ">
                  <c:v>-697.86978303402805</c:v>
                </c:pt>
                <c:pt idx="908" formatCode="_ [$₹-4009]\ * #,##0.00_ ;_ [$₹-4009]\ * \-#,##0.00_ ;_ [$₹-4009]\ * &quot;-&quot;??_ ;_ @_ ">
                  <c:v>-849.688025544791</c:v>
                </c:pt>
                <c:pt idx="909" formatCode="_ [$₹-4009]\ * #,##0.00_ ;_ [$₹-4009]\ * \-#,##0.00_ ;_ [$₹-4009]\ * &quot;-&quot;??_ ;_ @_ ">
                  <c:v>-818.51362868040405</c:v>
                </c:pt>
                <c:pt idx="910" formatCode="_ [$₹-4009]\ * #,##0.00_ ;_ [$₹-4009]\ * \-#,##0.00_ ;_ [$₹-4009]\ * &quot;-&quot;??_ ;_ @_ ">
                  <c:v>-726.81169993721596</c:v>
                </c:pt>
                <c:pt idx="911" formatCode="_ [$₹-4009]\ * #,##0.00_ ;_ [$₹-4009]\ * \-#,##0.00_ ;_ [$₹-4009]\ * &quot;-&quot;??_ ;_ @_ ">
                  <c:v>-851.567690566637</c:v>
                </c:pt>
                <c:pt idx="912" formatCode="_ [$₹-4009]\ * #,##0.00_ ;_ [$₹-4009]\ * \-#,##0.00_ ;_ [$₹-4009]\ * &quot;-&quot;??_ ;_ @_ ">
                  <c:v>-714.31052666286598</c:v>
                </c:pt>
                <c:pt idx="913" formatCode="_ [$₹-4009]\ * #,##0.00_ ;_ [$₹-4009]\ * \-#,##0.00_ ;_ [$₹-4009]\ * &quot;-&quot;??_ ;_ @_ ">
                  <c:v>-725.76961508679506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2-4686-BE26-60BCD0317E35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 Total_Amount 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forecast!$A$2:$A$915</c:f>
              <c:numCache>
                <c:formatCode>yyyy\-mm\-dd</c:formatCode>
                <c:ptCount val="914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45226</c:v>
                </c:pt>
                <c:pt idx="14">
                  <c:v>45227</c:v>
                </c:pt>
                <c:pt idx="15">
                  <c:v>45228</c:v>
                </c:pt>
                <c:pt idx="16">
                  <c:v>45229</c:v>
                </c:pt>
                <c:pt idx="17">
                  <c:v>45230</c:v>
                </c:pt>
                <c:pt idx="18">
                  <c:v>45231</c:v>
                </c:pt>
                <c:pt idx="19">
                  <c:v>45232</c:v>
                </c:pt>
                <c:pt idx="20">
                  <c:v>45233</c:v>
                </c:pt>
                <c:pt idx="21">
                  <c:v>45234</c:v>
                </c:pt>
                <c:pt idx="22">
                  <c:v>45235</c:v>
                </c:pt>
                <c:pt idx="23">
                  <c:v>45236</c:v>
                </c:pt>
                <c:pt idx="24">
                  <c:v>45237</c:v>
                </c:pt>
                <c:pt idx="25">
                  <c:v>45238</c:v>
                </c:pt>
                <c:pt idx="26">
                  <c:v>45239</c:v>
                </c:pt>
                <c:pt idx="27">
                  <c:v>45240</c:v>
                </c:pt>
                <c:pt idx="28">
                  <c:v>45241</c:v>
                </c:pt>
                <c:pt idx="29">
                  <c:v>45242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45248</c:v>
                </c:pt>
                <c:pt idx="36">
                  <c:v>45249</c:v>
                </c:pt>
                <c:pt idx="37">
                  <c:v>45250</c:v>
                </c:pt>
                <c:pt idx="38">
                  <c:v>45251</c:v>
                </c:pt>
                <c:pt idx="39">
                  <c:v>45252</c:v>
                </c:pt>
                <c:pt idx="40">
                  <c:v>45253</c:v>
                </c:pt>
                <c:pt idx="41">
                  <c:v>45254</c:v>
                </c:pt>
                <c:pt idx="42">
                  <c:v>45255</c:v>
                </c:pt>
                <c:pt idx="43">
                  <c:v>45256</c:v>
                </c:pt>
                <c:pt idx="44">
                  <c:v>45257</c:v>
                </c:pt>
                <c:pt idx="45">
                  <c:v>45258</c:v>
                </c:pt>
                <c:pt idx="46">
                  <c:v>45259</c:v>
                </c:pt>
                <c:pt idx="47">
                  <c:v>45260</c:v>
                </c:pt>
                <c:pt idx="48">
                  <c:v>45261</c:v>
                </c:pt>
                <c:pt idx="49">
                  <c:v>45262</c:v>
                </c:pt>
                <c:pt idx="50">
                  <c:v>45263</c:v>
                </c:pt>
                <c:pt idx="51">
                  <c:v>45264</c:v>
                </c:pt>
                <c:pt idx="52">
                  <c:v>45265</c:v>
                </c:pt>
                <c:pt idx="53">
                  <c:v>45266</c:v>
                </c:pt>
                <c:pt idx="54">
                  <c:v>45267</c:v>
                </c:pt>
                <c:pt idx="55">
                  <c:v>45268</c:v>
                </c:pt>
                <c:pt idx="56">
                  <c:v>45269</c:v>
                </c:pt>
                <c:pt idx="57">
                  <c:v>45270</c:v>
                </c:pt>
                <c:pt idx="58">
                  <c:v>45271</c:v>
                </c:pt>
                <c:pt idx="59">
                  <c:v>45272</c:v>
                </c:pt>
                <c:pt idx="60">
                  <c:v>45273</c:v>
                </c:pt>
                <c:pt idx="61">
                  <c:v>45274</c:v>
                </c:pt>
                <c:pt idx="62">
                  <c:v>45275</c:v>
                </c:pt>
                <c:pt idx="63">
                  <c:v>45276</c:v>
                </c:pt>
                <c:pt idx="64">
                  <c:v>45277</c:v>
                </c:pt>
                <c:pt idx="65">
                  <c:v>45278</c:v>
                </c:pt>
                <c:pt idx="66">
                  <c:v>45279</c:v>
                </c:pt>
                <c:pt idx="67">
                  <c:v>45280</c:v>
                </c:pt>
                <c:pt idx="68">
                  <c:v>45281</c:v>
                </c:pt>
                <c:pt idx="69">
                  <c:v>45282</c:v>
                </c:pt>
                <c:pt idx="70">
                  <c:v>45283</c:v>
                </c:pt>
                <c:pt idx="71">
                  <c:v>45284</c:v>
                </c:pt>
                <c:pt idx="72">
                  <c:v>45285</c:v>
                </c:pt>
                <c:pt idx="73">
                  <c:v>45286</c:v>
                </c:pt>
                <c:pt idx="74">
                  <c:v>45287</c:v>
                </c:pt>
                <c:pt idx="75">
                  <c:v>45288</c:v>
                </c:pt>
                <c:pt idx="76">
                  <c:v>45289</c:v>
                </c:pt>
                <c:pt idx="77">
                  <c:v>45290</c:v>
                </c:pt>
                <c:pt idx="78">
                  <c:v>45291</c:v>
                </c:pt>
                <c:pt idx="79">
                  <c:v>45292</c:v>
                </c:pt>
                <c:pt idx="80">
                  <c:v>45293</c:v>
                </c:pt>
                <c:pt idx="81">
                  <c:v>45294</c:v>
                </c:pt>
                <c:pt idx="82">
                  <c:v>45295</c:v>
                </c:pt>
                <c:pt idx="83">
                  <c:v>45296</c:v>
                </c:pt>
                <c:pt idx="84">
                  <c:v>45297</c:v>
                </c:pt>
                <c:pt idx="85">
                  <c:v>45298</c:v>
                </c:pt>
                <c:pt idx="86">
                  <c:v>45299</c:v>
                </c:pt>
                <c:pt idx="87">
                  <c:v>45300</c:v>
                </c:pt>
                <c:pt idx="88">
                  <c:v>45301</c:v>
                </c:pt>
                <c:pt idx="89">
                  <c:v>45302</c:v>
                </c:pt>
                <c:pt idx="90">
                  <c:v>45303</c:v>
                </c:pt>
                <c:pt idx="91">
                  <c:v>45304</c:v>
                </c:pt>
                <c:pt idx="92">
                  <c:v>45305</c:v>
                </c:pt>
                <c:pt idx="93">
                  <c:v>45306</c:v>
                </c:pt>
                <c:pt idx="94">
                  <c:v>45307</c:v>
                </c:pt>
                <c:pt idx="95">
                  <c:v>45308</c:v>
                </c:pt>
                <c:pt idx="96">
                  <c:v>45309</c:v>
                </c:pt>
                <c:pt idx="97">
                  <c:v>45310</c:v>
                </c:pt>
                <c:pt idx="98">
                  <c:v>45311</c:v>
                </c:pt>
                <c:pt idx="99">
                  <c:v>45312</c:v>
                </c:pt>
                <c:pt idx="100">
                  <c:v>45313</c:v>
                </c:pt>
                <c:pt idx="101">
                  <c:v>45314</c:v>
                </c:pt>
                <c:pt idx="102">
                  <c:v>45315</c:v>
                </c:pt>
                <c:pt idx="103">
                  <c:v>45316</c:v>
                </c:pt>
                <c:pt idx="104">
                  <c:v>45317</c:v>
                </c:pt>
                <c:pt idx="105">
                  <c:v>45318</c:v>
                </c:pt>
                <c:pt idx="106">
                  <c:v>45319</c:v>
                </c:pt>
                <c:pt idx="107">
                  <c:v>45320</c:v>
                </c:pt>
                <c:pt idx="108">
                  <c:v>45321</c:v>
                </c:pt>
                <c:pt idx="109">
                  <c:v>45322</c:v>
                </c:pt>
                <c:pt idx="110">
                  <c:v>45323</c:v>
                </c:pt>
                <c:pt idx="111">
                  <c:v>45324</c:v>
                </c:pt>
                <c:pt idx="112">
                  <c:v>45325</c:v>
                </c:pt>
                <c:pt idx="113">
                  <c:v>45326</c:v>
                </c:pt>
                <c:pt idx="114">
                  <c:v>45327</c:v>
                </c:pt>
                <c:pt idx="115">
                  <c:v>45328</c:v>
                </c:pt>
                <c:pt idx="116">
                  <c:v>45329</c:v>
                </c:pt>
                <c:pt idx="117">
                  <c:v>45330</c:v>
                </c:pt>
                <c:pt idx="118">
                  <c:v>45331</c:v>
                </c:pt>
                <c:pt idx="119">
                  <c:v>45332</c:v>
                </c:pt>
                <c:pt idx="120">
                  <c:v>45333</c:v>
                </c:pt>
                <c:pt idx="121">
                  <c:v>45334</c:v>
                </c:pt>
                <c:pt idx="122">
                  <c:v>45335</c:v>
                </c:pt>
                <c:pt idx="123">
                  <c:v>45336</c:v>
                </c:pt>
                <c:pt idx="124">
                  <c:v>45337</c:v>
                </c:pt>
                <c:pt idx="125">
                  <c:v>45338</c:v>
                </c:pt>
                <c:pt idx="126">
                  <c:v>45339</c:v>
                </c:pt>
                <c:pt idx="127">
                  <c:v>45340</c:v>
                </c:pt>
                <c:pt idx="128">
                  <c:v>45341</c:v>
                </c:pt>
                <c:pt idx="129">
                  <c:v>45342</c:v>
                </c:pt>
                <c:pt idx="130">
                  <c:v>45343</c:v>
                </c:pt>
                <c:pt idx="131">
                  <c:v>45344</c:v>
                </c:pt>
                <c:pt idx="132">
                  <c:v>45345</c:v>
                </c:pt>
                <c:pt idx="133">
                  <c:v>45346</c:v>
                </c:pt>
                <c:pt idx="134">
                  <c:v>45347</c:v>
                </c:pt>
                <c:pt idx="135">
                  <c:v>45348</c:v>
                </c:pt>
                <c:pt idx="136">
                  <c:v>45349</c:v>
                </c:pt>
                <c:pt idx="137">
                  <c:v>45350</c:v>
                </c:pt>
                <c:pt idx="138">
                  <c:v>45351</c:v>
                </c:pt>
                <c:pt idx="139">
                  <c:v>45352</c:v>
                </c:pt>
                <c:pt idx="140">
                  <c:v>45353</c:v>
                </c:pt>
                <c:pt idx="141">
                  <c:v>45354</c:v>
                </c:pt>
                <c:pt idx="142">
                  <c:v>45355</c:v>
                </c:pt>
                <c:pt idx="143">
                  <c:v>45356</c:v>
                </c:pt>
                <c:pt idx="144">
                  <c:v>45357</c:v>
                </c:pt>
                <c:pt idx="145">
                  <c:v>45358</c:v>
                </c:pt>
                <c:pt idx="146">
                  <c:v>45359</c:v>
                </c:pt>
                <c:pt idx="147">
                  <c:v>45360</c:v>
                </c:pt>
                <c:pt idx="148">
                  <c:v>45361</c:v>
                </c:pt>
                <c:pt idx="149">
                  <c:v>45362</c:v>
                </c:pt>
                <c:pt idx="150">
                  <c:v>45363</c:v>
                </c:pt>
                <c:pt idx="151">
                  <c:v>45364</c:v>
                </c:pt>
                <c:pt idx="152">
                  <c:v>45365</c:v>
                </c:pt>
                <c:pt idx="153">
                  <c:v>45366</c:v>
                </c:pt>
                <c:pt idx="154">
                  <c:v>45367</c:v>
                </c:pt>
                <c:pt idx="155">
                  <c:v>45368</c:v>
                </c:pt>
                <c:pt idx="156">
                  <c:v>45369</c:v>
                </c:pt>
                <c:pt idx="157">
                  <c:v>45370</c:v>
                </c:pt>
                <c:pt idx="158">
                  <c:v>45371</c:v>
                </c:pt>
                <c:pt idx="159">
                  <c:v>45372</c:v>
                </c:pt>
                <c:pt idx="160">
                  <c:v>45373</c:v>
                </c:pt>
                <c:pt idx="161">
                  <c:v>45374</c:v>
                </c:pt>
                <c:pt idx="162">
                  <c:v>45375</c:v>
                </c:pt>
                <c:pt idx="163">
                  <c:v>45376</c:v>
                </c:pt>
                <c:pt idx="164">
                  <c:v>45377</c:v>
                </c:pt>
                <c:pt idx="165">
                  <c:v>45378</c:v>
                </c:pt>
                <c:pt idx="166">
                  <c:v>45379</c:v>
                </c:pt>
                <c:pt idx="167">
                  <c:v>45380</c:v>
                </c:pt>
                <c:pt idx="168">
                  <c:v>45381</c:v>
                </c:pt>
                <c:pt idx="169">
                  <c:v>45382</c:v>
                </c:pt>
                <c:pt idx="170">
                  <c:v>45383</c:v>
                </c:pt>
                <c:pt idx="171">
                  <c:v>45384</c:v>
                </c:pt>
                <c:pt idx="172">
                  <c:v>45385</c:v>
                </c:pt>
                <c:pt idx="173">
                  <c:v>45386</c:v>
                </c:pt>
                <c:pt idx="174">
                  <c:v>45387</c:v>
                </c:pt>
                <c:pt idx="175">
                  <c:v>45388</c:v>
                </c:pt>
                <c:pt idx="176">
                  <c:v>45389</c:v>
                </c:pt>
                <c:pt idx="177">
                  <c:v>45390</c:v>
                </c:pt>
                <c:pt idx="178">
                  <c:v>45391</c:v>
                </c:pt>
                <c:pt idx="179">
                  <c:v>45392</c:v>
                </c:pt>
                <c:pt idx="180">
                  <c:v>45393</c:v>
                </c:pt>
                <c:pt idx="181">
                  <c:v>45394</c:v>
                </c:pt>
                <c:pt idx="182">
                  <c:v>45395</c:v>
                </c:pt>
                <c:pt idx="183">
                  <c:v>45396</c:v>
                </c:pt>
                <c:pt idx="184">
                  <c:v>45397</c:v>
                </c:pt>
                <c:pt idx="185">
                  <c:v>45398</c:v>
                </c:pt>
                <c:pt idx="186">
                  <c:v>45399</c:v>
                </c:pt>
                <c:pt idx="187">
                  <c:v>45400</c:v>
                </c:pt>
                <c:pt idx="188">
                  <c:v>45401</c:v>
                </c:pt>
                <c:pt idx="189">
                  <c:v>45402</c:v>
                </c:pt>
                <c:pt idx="190">
                  <c:v>45403</c:v>
                </c:pt>
                <c:pt idx="191">
                  <c:v>45404</c:v>
                </c:pt>
                <c:pt idx="192">
                  <c:v>45405</c:v>
                </c:pt>
                <c:pt idx="193">
                  <c:v>45406</c:v>
                </c:pt>
                <c:pt idx="194">
                  <c:v>45407</c:v>
                </c:pt>
                <c:pt idx="195">
                  <c:v>45408</c:v>
                </c:pt>
                <c:pt idx="196">
                  <c:v>45409</c:v>
                </c:pt>
                <c:pt idx="197">
                  <c:v>45410</c:v>
                </c:pt>
                <c:pt idx="198">
                  <c:v>45411</c:v>
                </c:pt>
                <c:pt idx="199">
                  <c:v>45412</c:v>
                </c:pt>
                <c:pt idx="200">
                  <c:v>45413</c:v>
                </c:pt>
                <c:pt idx="201">
                  <c:v>45414</c:v>
                </c:pt>
                <c:pt idx="202">
                  <c:v>45415</c:v>
                </c:pt>
                <c:pt idx="203">
                  <c:v>45416</c:v>
                </c:pt>
                <c:pt idx="204">
                  <c:v>45417</c:v>
                </c:pt>
                <c:pt idx="205">
                  <c:v>45418</c:v>
                </c:pt>
                <c:pt idx="206">
                  <c:v>45419</c:v>
                </c:pt>
                <c:pt idx="207">
                  <c:v>45420</c:v>
                </c:pt>
                <c:pt idx="208">
                  <c:v>45421</c:v>
                </c:pt>
                <c:pt idx="209">
                  <c:v>45422</c:v>
                </c:pt>
                <c:pt idx="210">
                  <c:v>45423</c:v>
                </c:pt>
                <c:pt idx="211">
                  <c:v>45424</c:v>
                </c:pt>
                <c:pt idx="212">
                  <c:v>45425</c:v>
                </c:pt>
                <c:pt idx="213">
                  <c:v>45426</c:v>
                </c:pt>
                <c:pt idx="214">
                  <c:v>45427</c:v>
                </c:pt>
                <c:pt idx="215">
                  <c:v>45428</c:v>
                </c:pt>
                <c:pt idx="216">
                  <c:v>45429</c:v>
                </c:pt>
                <c:pt idx="217">
                  <c:v>45430</c:v>
                </c:pt>
                <c:pt idx="218">
                  <c:v>45431</c:v>
                </c:pt>
                <c:pt idx="219">
                  <c:v>45432</c:v>
                </c:pt>
                <c:pt idx="220">
                  <c:v>45433</c:v>
                </c:pt>
                <c:pt idx="221">
                  <c:v>45434</c:v>
                </c:pt>
                <c:pt idx="222">
                  <c:v>45435</c:v>
                </c:pt>
                <c:pt idx="223">
                  <c:v>45436</c:v>
                </c:pt>
                <c:pt idx="224">
                  <c:v>45437</c:v>
                </c:pt>
                <c:pt idx="225">
                  <c:v>45438</c:v>
                </c:pt>
                <c:pt idx="226">
                  <c:v>45439</c:v>
                </c:pt>
                <c:pt idx="227">
                  <c:v>45440</c:v>
                </c:pt>
                <c:pt idx="228">
                  <c:v>45441</c:v>
                </c:pt>
                <c:pt idx="229">
                  <c:v>45442</c:v>
                </c:pt>
                <c:pt idx="230">
                  <c:v>45443</c:v>
                </c:pt>
                <c:pt idx="231">
                  <c:v>45444</c:v>
                </c:pt>
                <c:pt idx="232">
                  <c:v>45445</c:v>
                </c:pt>
                <c:pt idx="233">
                  <c:v>45446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45450</c:v>
                </c:pt>
                <c:pt idx="238">
                  <c:v>45451</c:v>
                </c:pt>
                <c:pt idx="239">
                  <c:v>45452</c:v>
                </c:pt>
                <c:pt idx="240">
                  <c:v>45453</c:v>
                </c:pt>
                <c:pt idx="241">
                  <c:v>45454</c:v>
                </c:pt>
                <c:pt idx="242">
                  <c:v>45455</c:v>
                </c:pt>
                <c:pt idx="243">
                  <c:v>45456</c:v>
                </c:pt>
                <c:pt idx="244">
                  <c:v>45457</c:v>
                </c:pt>
                <c:pt idx="245">
                  <c:v>45458</c:v>
                </c:pt>
                <c:pt idx="246">
                  <c:v>45459</c:v>
                </c:pt>
                <c:pt idx="247">
                  <c:v>45460</c:v>
                </c:pt>
                <c:pt idx="248">
                  <c:v>45461</c:v>
                </c:pt>
                <c:pt idx="249">
                  <c:v>45462</c:v>
                </c:pt>
                <c:pt idx="250">
                  <c:v>45463</c:v>
                </c:pt>
                <c:pt idx="251">
                  <c:v>45464</c:v>
                </c:pt>
                <c:pt idx="252">
                  <c:v>45465</c:v>
                </c:pt>
                <c:pt idx="253">
                  <c:v>45466</c:v>
                </c:pt>
                <c:pt idx="254">
                  <c:v>45467</c:v>
                </c:pt>
                <c:pt idx="255">
                  <c:v>45468</c:v>
                </c:pt>
                <c:pt idx="256">
                  <c:v>45469</c:v>
                </c:pt>
                <c:pt idx="257">
                  <c:v>45470</c:v>
                </c:pt>
                <c:pt idx="258">
                  <c:v>45471</c:v>
                </c:pt>
                <c:pt idx="259">
                  <c:v>45472</c:v>
                </c:pt>
                <c:pt idx="260">
                  <c:v>45473</c:v>
                </c:pt>
                <c:pt idx="261">
                  <c:v>45474</c:v>
                </c:pt>
                <c:pt idx="262">
                  <c:v>45475</c:v>
                </c:pt>
                <c:pt idx="263">
                  <c:v>45476</c:v>
                </c:pt>
                <c:pt idx="264">
                  <c:v>45477</c:v>
                </c:pt>
                <c:pt idx="265">
                  <c:v>45478</c:v>
                </c:pt>
                <c:pt idx="266">
                  <c:v>45479</c:v>
                </c:pt>
                <c:pt idx="267">
                  <c:v>45480</c:v>
                </c:pt>
                <c:pt idx="268">
                  <c:v>45481</c:v>
                </c:pt>
                <c:pt idx="269">
                  <c:v>45482</c:v>
                </c:pt>
                <c:pt idx="270">
                  <c:v>45483</c:v>
                </c:pt>
                <c:pt idx="271">
                  <c:v>45484</c:v>
                </c:pt>
                <c:pt idx="272">
                  <c:v>45485</c:v>
                </c:pt>
                <c:pt idx="273">
                  <c:v>45486</c:v>
                </c:pt>
                <c:pt idx="274">
                  <c:v>45487</c:v>
                </c:pt>
                <c:pt idx="275">
                  <c:v>45488</c:v>
                </c:pt>
                <c:pt idx="276">
                  <c:v>45489</c:v>
                </c:pt>
                <c:pt idx="277">
                  <c:v>45490</c:v>
                </c:pt>
                <c:pt idx="278">
                  <c:v>45491</c:v>
                </c:pt>
                <c:pt idx="279">
                  <c:v>45492</c:v>
                </c:pt>
                <c:pt idx="280">
                  <c:v>45493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45499</c:v>
                </c:pt>
                <c:pt idx="287">
                  <c:v>45500</c:v>
                </c:pt>
                <c:pt idx="288">
                  <c:v>45501</c:v>
                </c:pt>
                <c:pt idx="289">
                  <c:v>45502</c:v>
                </c:pt>
                <c:pt idx="290">
                  <c:v>45503</c:v>
                </c:pt>
                <c:pt idx="291">
                  <c:v>45504</c:v>
                </c:pt>
                <c:pt idx="292">
                  <c:v>45505</c:v>
                </c:pt>
                <c:pt idx="293">
                  <c:v>45506</c:v>
                </c:pt>
                <c:pt idx="294">
                  <c:v>45507</c:v>
                </c:pt>
                <c:pt idx="295">
                  <c:v>45508</c:v>
                </c:pt>
                <c:pt idx="296">
                  <c:v>45509</c:v>
                </c:pt>
                <c:pt idx="297">
                  <c:v>45510</c:v>
                </c:pt>
                <c:pt idx="298">
                  <c:v>45511</c:v>
                </c:pt>
                <c:pt idx="299">
                  <c:v>45512</c:v>
                </c:pt>
                <c:pt idx="300">
                  <c:v>45513</c:v>
                </c:pt>
                <c:pt idx="301">
                  <c:v>45514</c:v>
                </c:pt>
                <c:pt idx="302">
                  <c:v>45515</c:v>
                </c:pt>
                <c:pt idx="303">
                  <c:v>45516</c:v>
                </c:pt>
                <c:pt idx="304">
                  <c:v>45517</c:v>
                </c:pt>
                <c:pt idx="305">
                  <c:v>45518</c:v>
                </c:pt>
                <c:pt idx="306">
                  <c:v>45519</c:v>
                </c:pt>
                <c:pt idx="307">
                  <c:v>45520</c:v>
                </c:pt>
                <c:pt idx="308">
                  <c:v>45521</c:v>
                </c:pt>
                <c:pt idx="309">
                  <c:v>45522</c:v>
                </c:pt>
                <c:pt idx="310">
                  <c:v>45523</c:v>
                </c:pt>
                <c:pt idx="311">
                  <c:v>45524</c:v>
                </c:pt>
                <c:pt idx="312">
                  <c:v>45525</c:v>
                </c:pt>
                <c:pt idx="313">
                  <c:v>45526</c:v>
                </c:pt>
                <c:pt idx="314">
                  <c:v>45527</c:v>
                </c:pt>
                <c:pt idx="315">
                  <c:v>45528</c:v>
                </c:pt>
                <c:pt idx="316">
                  <c:v>45529</c:v>
                </c:pt>
                <c:pt idx="317">
                  <c:v>45530</c:v>
                </c:pt>
                <c:pt idx="318">
                  <c:v>45531</c:v>
                </c:pt>
                <c:pt idx="319">
                  <c:v>45532</c:v>
                </c:pt>
                <c:pt idx="320">
                  <c:v>45533</c:v>
                </c:pt>
                <c:pt idx="321">
                  <c:v>45534</c:v>
                </c:pt>
                <c:pt idx="322">
                  <c:v>45535</c:v>
                </c:pt>
                <c:pt idx="323">
                  <c:v>45536</c:v>
                </c:pt>
                <c:pt idx="324">
                  <c:v>45537</c:v>
                </c:pt>
                <c:pt idx="325">
                  <c:v>45538</c:v>
                </c:pt>
                <c:pt idx="326">
                  <c:v>45539</c:v>
                </c:pt>
                <c:pt idx="327">
                  <c:v>45540</c:v>
                </c:pt>
                <c:pt idx="328">
                  <c:v>45541</c:v>
                </c:pt>
                <c:pt idx="329">
                  <c:v>45542</c:v>
                </c:pt>
                <c:pt idx="330">
                  <c:v>45543</c:v>
                </c:pt>
                <c:pt idx="331">
                  <c:v>45544</c:v>
                </c:pt>
                <c:pt idx="332">
                  <c:v>45545</c:v>
                </c:pt>
                <c:pt idx="333">
                  <c:v>45546</c:v>
                </c:pt>
                <c:pt idx="334">
                  <c:v>45547</c:v>
                </c:pt>
                <c:pt idx="335">
                  <c:v>45548</c:v>
                </c:pt>
                <c:pt idx="336">
                  <c:v>45549</c:v>
                </c:pt>
                <c:pt idx="337">
                  <c:v>45550</c:v>
                </c:pt>
                <c:pt idx="338">
                  <c:v>45551</c:v>
                </c:pt>
                <c:pt idx="339">
                  <c:v>45552</c:v>
                </c:pt>
                <c:pt idx="340">
                  <c:v>45553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45557</c:v>
                </c:pt>
                <c:pt idx="345">
                  <c:v>45558</c:v>
                </c:pt>
                <c:pt idx="346">
                  <c:v>45559</c:v>
                </c:pt>
                <c:pt idx="347">
                  <c:v>45560</c:v>
                </c:pt>
                <c:pt idx="348">
                  <c:v>45561</c:v>
                </c:pt>
                <c:pt idx="349">
                  <c:v>45562</c:v>
                </c:pt>
                <c:pt idx="350">
                  <c:v>45563</c:v>
                </c:pt>
                <c:pt idx="351">
                  <c:v>45564</c:v>
                </c:pt>
                <c:pt idx="352">
                  <c:v>45565</c:v>
                </c:pt>
                <c:pt idx="353">
                  <c:v>45566</c:v>
                </c:pt>
                <c:pt idx="354">
                  <c:v>45567</c:v>
                </c:pt>
                <c:pt idx="355">
                  <c:v>45568</c:v>
                </c:pt>
                <c:pt idx="356">
                  <c:v>45569</c:v>
                </c:pt>
                <c:pt idx="357">
                  <c:v>45570</c:v>
                </c:pt>
                <c:pt idx="358">
                  <c:v>45571</c:v>
                </c:pt>
                <c:pt idx="359">
                  <c:v>45572</c:v>
                </c:pt>
                <c:pt idx="360">
                  <c:v>45573</c:v>
                </c:pt>
                <c:pt idx="361">
                  <c:v>45574</c:v>
                </c:pt>
                <c:pt idx="362">
                  <c:v>45575</c:v>
                </c:pt>
                <c:pt idx="363">
                  <c:v>45576</c:v>
                </c:pt>
                <c:pt idx="364">
                  <c:v>45577</c:v>
                </c:pt>
                <c:pt idx="365">
                  <c:v>45578</c:v>
                </c:pt>
                <c:pt idx="366">
                  <c:v>45579</c:v>
                </c:pt>
                <c:pt idx="367">
                  <c:v>45580</c:v>
                </c:pt>
                <c:pt idx="368">
                  <c:v>45581</c:v>
                </c:pt>
                <c:pt idx="369">
                  <c:v>45582</c:v>
                </c:pt>
                <c:pt idx="370">
                  <c:v>45583</c:v>
                </c:pt>
                <c:pt idx="371">
                  <c:v>45584</c:v>
                </c:pt>
                <c:pt idx="372">
                  <c:v>45585</c:v>
                </c:pt>
                <c:pt idx="373">
                  <c:v>45586</c:v>
                </c:pt>
                <c:pt idx="374">
                  <c:v>45587</c:v>
                </c:pt>
                <c:pt idx="375">
                  <c:v>45588</c:v>
                </c:pt>
                <c:pt idx="376">
                  <c:v>45589</c:v>
                </c:pt>
                <c:pt idx="377">
                  <c:v>45590</c:v>
                </c:pt>
                <c:pt idx="378">
                  <c:v>45591</c:v>
                </c:pt>
                <c:pt idx="379">
                  <c:v>45592</c:v>
                </c:pt>
                <c:pt idx="380">
                  <c:v>45593</c:v>
                </c:pt>
                <c:pt idx="381">
                  <c:v>45594</c:v>
                </c:pt>
                <c:pt idx="382">
                  <c:v>45595</c:v>
                </c:pt>
                <c:pt idx="383">
                  <c:v>45596</c:v>
                </c:pt>
                <c:pt idx="384">
                  <c:v>45597</c:v>
                </c:pt>
                <c:pt idx="385">
                  <c:v>45598</c:v>
                </c:pt>
                <c:pt idx="386">
                  <c:v>45599</c:v>
                </c:pt>
                <c:pt idx="387">
                  <c:v>45600</c:v>
                </c:pt>
                <c:pt idx="388">
                  <c:v>45601</c:v>
                </c:pt>
                <c:pt idx="389">
                  <c:v>45602</c:v>
                </c:pt>
                <c:pt idx="390">
                  <c:v>45603</c:v>
                </c:pt>
                <c:pt idx="391">
                  <c:v>45604</c:v>
                </c:pt>
                <c:pt idx="392">
                  <c:v>45605</c:v>
                </c:pt>
                <c:pt idx="393">
                  <c:v>45606</c:v>
                </c:pt>
                <c:pt idx="394">
                  <c:v>45607</c:v>
                </c:pt>
                <c:pt idx="395">
                  <c:v>45608</c:v>
                </c:pt>
                <c:pt idx="396">
                  <c:v>45609</c:v>
                </c:pt>
                <c:pt idx="397">
                  <c:v>45610</c:v>
                </c:pt>
                <c:pt idx="398">
                  <c:v>45611</c:v>
                </c:pt>
                <c:pt idx="399">
                  <c:v>45612</c:v>
                </c:pt>
                <c:pt idx="400">
                  <c:v>45613</c:v>
                </c:pt>
                <c:pt idx="401">
                  <c:v>45614</c:v>
                </c:pt>
                <c:pt idx="402">
                  <c:v>45615</c:v>
                </c:pt>
                <c:pt idx="403">
                  <c:v>45616</c:v>
                </c:pt>
                <c:pt idx="404">
                  <c:v>45617</c:v>
                </c:pt>
                <c:pt idx="405">
                  <c:v>45618</c:v>
                </c:pt>
                <c:pt idx="406">
                  <c:v>45619</c:v>
                </c:pt>
                <c:pt idx="407">
                  <c:v>45620</c:v>
                </c:pt>
                <c:pt idx="408">
                  <c:v>45621</c:v>
                </c:pt>
                <c:pt idx="409">
                  <c:v>45622</c:v>
                </c:pt>
                <c:pt idx="410">
                  <c:v>45623</c:v>
                </c:pt>
                <c:pt idx="411">
                  <c:v>45624</c:v>
                </c:pt>
                <c:pt idx="412">
                  <c:v>45625</c:v>
                </c:pt>
                <c:pt idx="413">
                  <c:v>45626</c:v>
                </c:pt>
                <c:pt idx="414">
                  <c:v>45627</c:v>
                </c:pt>
                <c:pt idx="415">
                  <c:v>45628</c:v>
                </c:pt>
                <c:pt idx="416">
                  <c:v>45629</c:v>
                </c:pt>
                <c:pt idx="417">
                  <c:v>45630</c:v>
                </c:pt>
                <c:pt idx="418">
                  <c:v>45631</c:v>
                </c:pt>
                <c:pt idx="419">
                  <c:v>45632</c:v>
                </c:pt>
                <c:pt idx="420">
                  <c:v>45633</c:v>
                </c:pt>
                <c:pt idx="421">
                  <c:v>45634</c:v>
                </c:pt>
                <c:pt idx="422">
                  <c:v>45635</c:v>
                </c:pt>
                <c:pt idx="423">
                  <c:v>45636</c:v>
                </c:pt>
                <c:pt idx="424">
                  <c:v>45637</c:v>
                </c:pt>
                <c:pt idx="425">
                  <c:v>45638</c:v>
                </c:pt>
                <c:pt idx="426">
                  <c:v>45639</c:v>
                </c:pt>
                <c:pt idx="427">
                  <c:v>45640</c:v>
                </c:pt>
                <c:pt idx="428">
                  <c:v>45641</c:v>
                </c:pt>
                <c:pt idx="429">
                  <c:v>45642</c:v>
                </c:pt>
                <c:pt idx="430">
                  <c:v>45643</c:v>
                </c:pt>
                <c:pt idx="431">
                  <c:v>45644</c:v>
                </c:pt>
                <c:pt idx="432">
                  <c:v>45645</c:v>
                </c:pt>
                <c:pt idx="433">
                  <c:v>45646</c:v>
                </c:pt>
                <c:pt idx="434">
                  <c:v>45647</c:v>
                </c:pt>
                <c:pt idx="435">
                  <c:v>45648</c:v>
                </c:pt>
                <c:pt idx="436">
                  <c:v>45649</c:v>
                </c:pt>
                <c:pt idx="437">
                  <c:v>45650</c:v>
                </c:pt>
                <c:pt idx="438">
                  <c:v>45651</c:v>
                </c:pt>
                <c:pt idx="439">
                  <c:v>45652</c:v>
                </c:pt>
                <c:pt idx="440">
                  <c:v>45653</c:v>
                </c:pt>
                <c:pt idx="441">
                  <c:v>45654</c:v>
                </c:pt>
                <c:pt idx="442">
                  <c:v>45655</c:v>
                </c:pt>
                <c:pt idx="443">
                  <c:v>45656</c:v>
                </c:pt>
                <c:pt idx="444">
                  <c:v>45657</c:v>
                </c:pt>
                <c:pt idx="445">
                  <c:v>45658</c:v>
                </c:pt>
                <c:pt idx="446">
                  <c:v>45659</c:v>
                </c:pt>
                <c:pt idx="447">
                  <c:v>45660</c:v>
                </c:pt>
                <c:pt idx="448">
                  <c:v>45661</c:v>
                </c:pt>
                <c:pt idx="449">
                  <c:v>45662</c:v>
                </c:pt>
                <c:pt idx="450">
                  <c:v>45663</c:v>
                </c:pt>
                <c:pt idx="451">
                  <c:v>45664</c:v>
                </c:pt>
                <c:pt idx="452">
                  <c:v>45665</c:v>
                </c:pt>
                <c:pt idx="453">
                  <c:v>45666</c:v>
                </c:pt>
                <c:pt idx="454">
                  <c:v>45667</c:v>
                </c:pt>
                <c:pt idx="455">
                  <c:v>45668</c:v>
                </c:pt>
                <c:pt idx="456">
                  <c:v>45669</c:v>
                </c:pt>
                <c:pt idx="457">
                  <c:v>45670</c:v>
                </c:pt>
                <c:pt idx="458">
                  <c:v>45671</c:v>
                </c:pt>
                <c:pt idx="459">
                  <c:v>45672</c:v>
                </c:pt>
                <c:pt idx="460">
                  <c:v>45673</c:v>
                </c:pt>
                <c:pt idx="461">
                  <c:v>45674</c:v>
                </c:pt>
                <c:pt idx="462">
                  <c:v>45675</c:v>
                </c:pt>
                <c:pt idx="463">
                  <c:v>45676</c:v>
                </c:pt>
                <c:pt idx="464">
                  <c:v>45677</c:v>
                </c:pt>
                <c:pt idx="465">
                  <c:v>45678</c:v>
                </c:pt>
                <c:pt idx="466">
                  <c:v>45679</c:v>
                </c:pt>
                <c:pt idx="467">
                  <c:v>45680</c:v>
                </c:pt>
                <c:pt idx="468">
                  <c:v>45681</c:v>
                </c:pt>
                <c:pt idx="469">
                  <c:v>45682</c:v>
                </c:pt>
                <c:pt idx="470">
                  <c:v>45683</c:v>
                </c:pt>
                <c:pt idx="471">
                  <c:v>45684</c:v>
                </c:pt>
                <c:pt idx="472">
                  <c:v>45685</c:v>
                </c:pt>
                <c:pt idx="473">
                  <c:v>45686</c:v>
                </c:pt>
                <c:pt idx="474">
                  <c:v>45687</c:v>
                </c:pt>
                <c:pt idx="475">
                  <c:v>45688</c:v>
                </c:pt>
                <c:pt idx="476">
                  <c:v>45689</c:v>
                </c:pt>
                <c:pt idx="477">
                  <c:v>45690</c:v>
                </c:pt>
                <c:pt idx="478">
                  <c:v>45691</c:v>
                </c:pt>
                <c:pt idx="479">
                  <c:v>45692</c:v>
                </c:pt>
                <c:pt idx="480">
                  <c:v>45693</c:v>
                </c:pt>
                <c:pt idx="481">
                  <c:v>45694</c:v>
                </c:pt>
                <c:pt idx="482">
                  <c:v>45695</c:v>
                </c:pt>
                <c:pt idx="483">
                  <c:v>45696</c:v>
                </c:pt>
                <c:pt idx="484">
                  <c:v>45697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45703</c:v>
                </c:pt>
                <c:pt idx="491">
                  <c:v>45704</c:v>
                </c:pt>
                <c:pt idx="492">
                  <c:v>45705</c:v>
                </c:pt>
                <c:pt idx="493">
                  <c:v>45706</c:v>
                </c:pt>
                <c:pt idx="494">
                  <c:v>45707</c:v>
                </c:pt>
                <c:pt idx="495">
                  <c:v>45708</c:v>
                </c:pt>
                <c:pt idx="496">
                  <c:v>45709</c:v>
                </c:pt>
                <c:pt idx="497">
                  <c:v>45710</c:v>
                </c:pt>
                <c:pt idx="498">
                  <c:v>45711</c:v>
                </c:pt>
                <c:pt idx="499">
                  <c:v>45712</c:v>
                </c:pt>
                <c:pt idx="500">
                  <c:v>45713</c:v>
                </c:pt>
                <c:pt idx="501">
                  <c:v>45714</c:v>
                </c:pt>
                <c:pt idx="502">
                  <c:v>45715</c:v>
                </c:pt>
                <c:pt idx="503">
                  <c:v>45716</c:v>
                </c:pt>
                <c:pt idx="504">
                  <c:v>45717</c:v>
                </c:pt>
                <c:pt idx="505">
                  <c:v>45718</c:v>
                </c:pt>
                <c:pt idx="506">
                  <c:v>45719</c:v>
                </c:pt>
                <c:pt idx="507">
                  <c:v>45720</c:v>
                </c:pt>
                <c:pt idx="508">
                  <c:v>45721</c:v>
                </c:pt>
                <c:pt idx="509">
                  <c:v>45722</c:v>
                </c:pt>
                <c:pt idx="510">
                  <c:v>45723</c:v>
                </c:pt>
                <c:pt idx="511">
                  <c:v>45724</c:v>
                </c:pt>
                <c:pt idx="512">
                  <c:v>45725</c:v>
                </c:pt>
                <c:pt idx="513">
                  <c:v>45726</c:v>
                </c:pt>
                <c:pt idx="514">
                  <c:v>45727</c:v>
                </c:pt>
                <c:pt idx="515">
                  <c:v>45728</c:v>
                </c:pt>
                <c:pt idx="516">
                  <c:v>45729</c:v>
                </c:pt>
                <c:pt idx="517">
                  <c:v>45730</c:v>
                </c:pt>
                <c:pt idx="518">
                  <c:v>45731</c:v>
                </c:pt>
                <c:pt idx="519">
                  <c:v>45732</c:v>
                </c:pt>
                <c:pt idx="520">
                  <c:v>45733</c:v>
                </c:pt>
                <c:pt idx="521">
                  <c:v>45734</c:v>
                </c:pt>
                <c:pt idx="522">
                  <c:v>45735</c:v>
                </c:pt>
                <c:pt idx="523">
                  <c:v>45736</c:v>
                </c:pt>
                <c:pt idx="524">
                  <c:v>45737</c:v>
                </c:pt>
                <c:pt idx="525">
                  <c:v>45738</c:v>
                </c:pt>
                <c:pt idx="526">
                  <c:v>45739</c:v>
                </c:pt>
                <c:pt idx="527">
                  <c:v>45740</c:v>
                </c:pt>
                <c:pt idx="528">
                  <c:v>45741</c:v>
                </c:pt>
                <c:pt idx="529">
                  <c:v>45742</c:v>
                </c:pt>
                <c:pt idx="530">
                  <c:v>45743</c:v>
                </c:pt>
                <c:pt idx="531">
                  <c:v>45744</c:v>
                </c:pt>
                <c:pt idx="532">
                  <c:v>45745</c:v>
                </c:pt>
                <c:pt idx="533">
                  <c:v>45746</c:v>
                </c:pt>
                <c:pt idx="534">
                  <c:v>45747</c:v>
                </c:pt>
                <c:pt idx="535">
                  <c:v>45748</c:v>
                </c:pt>
                <c:pt idx="536">
                  <c:v>45749</c:v>
                </c:pt>
                <c:pt idx="537">
                  <c:v>45750</c:v>
                </c:pt>
                <c:pt idx="538">
                  <c:v>45751</c:v>
                </c:pt>
                <c:pt idx="539">
                  <c:v>45752</c:v>
                </c:pt>
                <c:pt idx="540">
                  <c:v>45753</c:v>
                </c:pt>
                <c:pt idx="541">
                  <c:v>45754</c:v>
                </c:pt>
                <c:pt idx="542">
                  <c:v>45755</c:v>
                </c:pt>
                <c:pt idx="543">
                  <c:v>45756</c:v>
                </c:pt>
                <c:pt idx="544">
                  <c:v>45757</c:v>
                </c:pt>
                <c:pt idx="545">
                  <c:v>45758</c:v>
                </c:pt>
                <c:pt idx="546">
                  <c:v>45759</c:v>
                </c:pt>
                <c:pt idx="547">
                  <c:v>45760</c:v>
                </c:pt>
                <c:pt idx="548">
                  <c:v>45761</c:v>
                </c:pt>
                <c:pt idx="549">
                  <c:v>45762</c:v>
                </c:pt>
                <c:pt idx="550">
                  <c:v>45763</c:v>
                </c:pt>
                <c:pt idx="551">
                  <c:v>45764</c:v>
                </c:pt>
                <c:pt idx="552">
                  <c:v>45765</c:v>
                </c:pt>
                <c:pt idx="553">
                  <c:v>45766</c:v>
                </c:pt>
                <c:pt idx="554">
                  <c:v>45767</c:v>
                </c:pt>
                <c:pt idx="555">
                  <c:v>45768</c:v>
                </c:pt>
                <c:pt idx="556">
                  <c:v>45769</c:v>
                </c:pt>
                <c:pt idx="557">
                  <c:v>45770</c:v>
                </c:pt>
                <c:pt idx="558">
                  <c:v>45771</c:v>
                </c:pt>
                <c:pt idx="559">
                  <c:v>45772</c:v>
                </c:pt>
                <c:pt idx="560">
                  <c:v>45773</c:v>
                </c:pt>
                <c:pt idx="561">
                  <c:v>45774</c:v>
                </c:pt>
                <c:pt idx="562">
                  <c:v>45775</c:v>
                </c:pt>
                <c:pt idx="563">
                  <c:v>45776</c:v>
                </c:pt>
                <c:pt idx="564">
                  <c:v>45777</c:v>
                </c:pt>
                <c:pt idx="565">
                  <c:v>45778</c:v>
                </c:pt>
                <c:pt idx="566">
                  <c:v>45779</c:v>
                </c:pt>
                <c:pt idx="567">
                  <c:v>45780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45786</c:v>
                </c:pt>
                <c:pt idx="574">
                  <c:v>45787</c:v>
                </c:pt>
                <c:pt idx="575">
                  <c:v>45788</c:v>
                </c:pt>
                <c:pt idx="576">
                  <c:v>45789</c:v>
                </c:pt>
                <c:pt idx="577">
                  <c:v>45790</c:v>
                </c:pt>
                <c:pt idx="578">
                  <c:v>45791</c:v>
                </c:pt>
                <c:pt idx="579">
                  <c:v>45792</c:v>
                </c:pt>
                <c:pt idx="580">
                  <c:v>45793</c:v>
                </c:pt>
                <c:pt idx="581">
                  <c:v>45794</c:v>
                </c:pt>
                <c:pt idx="582">
                  <c:v>45795</c:v>
                </c:pt>
                <c:pt idx="583">
                  <c:v>45796</c:v>
                </c:pt>
                <c:pt idx="584">
                  <c:v>45797</c:v>
                </c:pt>
                <c:pt idx="585">
                  <c:v>45798</c:v>
                </c:pt>
                <c:pt idx="586">
                  <c:v>45799</c:v>
                </c:pt>
                <c:pt idx="587">
                  <c:v>45800</c:v>
                </c:pt>
                <c:pt idx="588">
                  <c:v>45801</c:v>
                </c:pt>
                <c:pt idx="589">
                  <c:v>45802</c:v>
                </c:pt>
                <c:pt idx="590">
                  <c:v>45803</c:v>
                </c:pt>
                <c:pt idx="591">
                  <c:v>45804</c:v>
                </c:pt>
                <c:pt idx="592">
                  <c:v>45805</c:v>
                </c:pt>
                <c:pt idx="593">
                  <c:v>45806</c:v>
                </c:pt>
                <c:pt idx="594">
                  <c:v>45807</c:v>
                </c:pt>
                <c:pt idx="595">
                  <c:v>45808</c:v>
                </c:pt>
                <c:pt idx="596">
                  <c:v>45809</c:v>
                </c:pt>
                <c:pt idx="597">
                  <c:v>45810</c:v>
                </c:pt>
                <c:pt idx="598">
                  <c:v>45811</c:v>
                </c:pt>
                <c:pt idx="599">
                  <c:v>45812</c:v>
                </c:pt>
                <c:pt idx="600">
                  <c:v>45813</c:v>
                </c:pt>
                <c:pt idx="601">
                  <c:v>45814</c:v>
                </c:pt>
                <c:pt idx="602">
                  <c:v>45815</c:v>
                </c:pt>
                <c:pt idx="603">
                  <c:v>45816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45820</c:v>
                </c:pt>
                <c:pt idx="608">
                  <c:v>45821</c:v>
                </c:pt>
                <c:pt idx="609">
                  <c:v>45822</c:v>
                </c:pt>
                <c:pt idx="610">
                  <c:v>45823</c:v>
                </c:pt>
                <c:pt idx="611">
                  <c:v>45824</c:v>
                </c:pt>
                <c:pt idx="612">
                  <c:v>45825</c:v>
                </c:pt>
                <c:pt idx="613">
                  <c:v>45826</c:v>
                </c:pt>
                <c:pt idx="614">
                  <c:v>45827</c:v>
                </c:pt>
                <c:pt idx="615">
                  <c:v>45828</c:v>
                </c:pt>
                <c:pt idx="616">
                  <c:v>45829</c:v>
                </c:pt>
                <c:pt idx="617">
                  <c:v>45830</c:v>
                </c:pt>
                <c:pt idx="618">
                  <c:v>45831</c:v>
                </c:pt>
                <c:pt idx="619">
                  <c:v>45832</c:v>
                </c:pt>
                <c:pt idx="620">
                  <c:v>45833</c:v>
                </c:pt>
                <c:pt idx="621">
                  <c:v>45834</c:v>
                </c:pt>
                <c:pt idx="622">
                  <c:v>45835</c:v>
                </c:pt>
                <c:pt idx="623">
                  <c:v>45836</c:v>
                </c:pt>
                <c:pt idx="624">
                  <c:v>45837</c:v>
                </c:pt>
                <c:pt idx="625">
                  <c:v>45838</c:v>
                </c:pt>
                <c:pt idx="626">
                  <c:v>45839</c:v>
                </c:pt>
                <c:pt idx="627">
                  <c:v>45840</c:v>
                </c:pt>
                <c:pt idx="628">
                  <c:v>45841</c:v>
                </c:pt>
                <c:pt idx="629">
                  <c:v>45842</c:v>
                </c:pt>
                <c:pt idx="630">
                  <c:v>45843</c:v>
                </c:pt>
                <c:pt idx="631">
                  <c:v>45844</c:v>
                </c:pt>
                <c:pt idx="632">
                  <c:v>45845</c:v>
                </c:pt>
                <c:pt idx="633">
                  <c:v>45846</c:v>
                </c:pt>
                <c:pt idx="634">
                  <c:v>45847</c:v>
                </c:pt>
                <c:pt idx="635">
                  <c:v>45848</c:v>
                </c:pt>
                <c:pt idx="636">
                  <c:v>45849</c:v>
                </c:pt>
                <c:pt idx="637">
                  <c:v>45850</c:v>
                </c:pt>
                <c:pt idx="638">
                  <c:v>45851</c:v>
                </c:pt>
                <c:pt idx="639">
                  <c:v>45852</c:v>
                </c:pt>
                <c:pt idx="640">
                  <c:v>45853</c:v>
                </c:pt>
                <c:pt idx="641">
                  <c:v>45854</c:v>
                </c:pt>
                <c:pt idx="642">
                  <c:v>45855</c:v>
                </c:pt>
                <c:pt idx="643">
                  <c:v>45856</c:v>
                </c:pt>
                <c:pt idx="644">
                  <c:v>45857</c:v>
                </c:pt>
                <c:pt idx="645">
                  <c:v>45858</c:v>
                </c:pt>
                <c:pt idx="646">
                  <c:v>45859</c:v>
                </c:pt>
                <c:pt idx="647">
                  <c:v>45860</c:v>
                </c:pt>
                <c:pt idx="648">
                  <c:v>45861</c:v>
                </c:pt>
                <c:pt idx="649">
                  <c:v>45862</c:v>
                </c:pt>
                <c:pt idx="650">
                  <c:v>45863</c:v>
                </c:pt>
                <c:pt idx="651">
                  <c:v>45864</c:v>
                </c:pt>
                <c:pt idx="652">
                  <c:v>45865</c:v>
                </c:pt>
                <c:pt idx="653">
                  <c:v>45866</c:v>
                </c:pt>
                <c:pt idx="654">
                  <c:v>45867</c:v>
                </c:pt>
                <c:pt idx="655">
                  <c:v>45868</c:v>
                </c:pt>
                <c:pt idx="656">
                  <c:v>45869</c:v>
                </c:pt>
                <c:pt idx="657">
                  <c:v>45870</c:v>
                </c:pt>
                <c:pt idx="658">
                  <c:v>45871</c:v>
                </c:pt>
                <c:pt idx="659">
                  <c:v>45872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45878</c:v>
                </c:pt>
                <c:pt idx="666">
                  <c:v>45879</c:v>
                </c:pt>
                <c:pt idx="667">
                  <c:v>45880</c:v>
                </c:pt>
                <c:pt idx="668">
                  <c:v>45881</c:v>
                </c:pt>
                <c:pt idx="669">
                  <c:v>45882</c:v>
                </c:pt>
                <c:pt idx="670">
                  <c:v>45883</c:v>
                </c:pt>
                <c:pt idx="671">
                  <c:v>45884</c:v>
                </c:pt>
                <c:pt idx="672">
                  <c:v>45885</c:v>
                </c:pt>
                <c:pt idx="673">
                  <c:v>45886</c:v>
                </c:pt>
                <c:pt idx="674">
                  <c:v>45887</c:v>
                </c:pt>
                <c:pt idx="675">
                  <c:v>45888</c:v>
                </c:pt>
                <c:pt idx="676">
                  <c:v>45889</c:v>
                </c:pt>
                <c:pt idx="677">
                  <c:v>45890</c:v>
                </c:pt>
                <c:pt idx="678">
                  <c:v>45891</c:v>
                </c:pt>
                <c:pt idx="679">
                  <c:v>45892</c:v>
                </c:pt>
                <c:pt idx="680">
                  <c:v>45893</c:v>
                </c:pt>
                <c:pt idx="681">
                  <c:v>45894</c:v>
                </c:pt>
                <c:pt idx="682">
                  <c:v>45895</c:v>
                </c:pt>
                <c:pt idx="683">
                  <c:v>45896</c:v>
                </c:pt>
                <c:pt idx="684">
                  <c:v>45897</c:v>
                </c:pt>
                <c:pt idx="685">
                  <c:v>45898</c:v>
                </c:pt>
                <c:pt idx="686">
                  <c:v>45899</c:v>
                </c:pt>
                <c:pt idx="687">
                  <c:v>45900</c:v>
                </c:pt>
                <c:pt idx="688">
                  <c:v>45901</c:v>
                </c:pt>
                <c:pt idx="689">
                  <c:v>45902</c:v>
                </c:pt>
                <c:pt idx="690">
                  <c:v>45903</c:v>
                </c:pt>
                <c:pt idx="691">
                  <c:v>45904</c:v>
                </c:pt>
                <c:pt idx="692">
                  <c:v>45905</c:v>
                </c:pt>
                <c:pt idx="693">
                  <c:v>45906</c:v>
                </c:pt>
                <c:pt idx="694">
                  <c:v>45907</c:v>
                </c:pt>
                <c:pt idx="695">
                  <c:v>45908</c:v>
                </c:pt>
                <c:pt idx="696">
                  <c:v>45909</c:v>
                </c:pt>
                <c:pt idx="697">
                  <c:v>45910</c:v>
                </c:pt>
                <c:pt idx="698">
                  <c:v>45911</c:v>
                </c:pt>
                <c:pt idx="699">
                  <c:v>45912</c:v>
                </c:pt>
                <c:pt idx="700">
                  <c:v>45913</c:v>
                </c:pt>
                <c:pt idx="701">
                  <c:v>45914</c:v>
                </c:pt>
                <c:pt idx="702">
                  <c:v>45915</c:v>
                </c:pt>
                <c:pt idx="703">
                  <c:v>45916</c:v>
                </c:pt>
                <c:pt idx="704">
                  <c:v>45917</c:v>
                </c:pt>
                <c:pt idx="705">
                  <c:v>45918</c:v>
                </c:pt>
                <c:pt idx="706">
                  <c:v>45919</c:v>
                </c:pt>
                <c:pt idx="707">
                  <c:v>45920</c:v>
                </c:pt>
                <c:pt idx="708">
                  <c:v>45921</c:v>
                </c:pt>
                <c:pt idx="709">
                  <c:v>45922</c:v>
                </c:pt>
                <c:pt idx="710">
                  <c:v>45923</c:v>
                </c:pt>
                <c:pt idx="711">
                  <c:v>45924</c:v>
                </c:pt>
                <c:pt idx="712">
                  <c:v>45925</c:v>
                </c:pt>
                <c:pt idx="713">
                  <c:v>45926</c:v>
                </c:pt>
                <c:pt idx="714">
                  <c:v>45927</c:v>
                </c:pt>
                <c:pt idx="715">
                  <c:v>45928</c:v>
                </c:pt>
                <c:pt idx="716">
                  <c:v>45929</c:v>
                </c:pt>
                <c:pt idx="717">
                  <c:v>45930</c:v>
                </c:pt>
                <c:pt idx="718">
                  <c:v>45931</c:v>
                </c:pt>
                <c:pt idx="719">
                  <c:v>45932</c:v>
                </c:pt>
                <c:pt idx="720">
                  <c:v>45933</c:v>
                </c:pt>
                <c:pt idx="721">
                  <c:v>45934</c:v>
                </c:pt>
                <c:pt idx="722">
                  <c:v>45935</c:v>
                </c:pt>
                <c:pt idx="723">
                  <c:v>45936</c:v>
                </c:pt>
                <c:pt idx="724">
                  <c:v>45937</c:v>
                </c:pt>
                <c:pt idx="725">
                  <c:v>45938</c:v>
                </c:pt>
                <c:pt idx="726">
                  <c:v>45939</c:v>
                </c:pt>
                <c:pt idx="727">
                  <c:v>45940</c:v>
                </c:pt>
                <c:pt idx="728">
                  <c:v>45941</c:v>
                </c:pt>
                <c:pt idx="729">
                  <c:v>45942</c:v>
                </c:pt>
                <c:pt idx="730">
                  <c:v>45943</c:v>
                </c:pt>
                <c:pt idx="731">
                  <c:v>45944</c:v>
                </c:pt>
                <c:pt idx="732">
                  <c:v>45945</c:v>
                </c:pt>
                <c:pt idx="733">
                  <c:v>45946</c:v>
                </c:pt>
                <c:pt idx="734">
                  <c:v>45947</c:v>
                </c:pt>
                <c:pt idx="735">
                  <c:v>45948</c:v>
                </c:pt>
                <c:pt idx="736">
                  <c:v>45949</c:v>
                </c:pt>
                <c:pt idx="737">
                  <c:v>45950</c:v>
                </c:pt>
                <c:pt idx="738">
                  <c:v>45951</c:v>
                </c:pt>
                <c:pt idx="739">
                  <c:v>45952</c:v>
                </c:pt>
                <c:pt idx="740">
                  <c:v>45953</c:v>
                </c:pt>
                <c:pt idx="741">
                  <c:v>45954</c:v>
                </c:pt>
                <c:pt idx="742">
                  <c:v>45955</c:v>
                </c:pt>
                <c:pt idx="743">
                  <c:v>45956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45962</c:v>
                </c:pt>
                <c:pt idx="750">
                  <c:v>45963</c:v>
                </c:pt>
                <c:pt idx="751">
                  <c:v>45964</c:v>
                </c:pt>
                <c:pt idx="752">
                  <c:v>45965</c:v>
                </c:pt>
                <c:pt idx="753">
                  <c:v>45966</c:v>
                </c:pt>
                <c:pt idx="754">
                  <c:v>45967</c:v>
                </c:pt>
                <c:pt idx="755">
                  <c:v>45968</c:v>
                </c:pt>
                <c:pt idx="756">
                  <c:v>45969</c:v>
                </c:pt>
                <c:pt idx="757">
                  <c:v>45970</c:v>
                </c:pt>
                <c:pt idx="758">
                  <c:v>45971</c:v>
                </c:pt>
                <c:pt idx="759">
                  <c:v>45972</c:v>
                </c:pt>
                <c:pt idx="760">
                  <c:v>45973</c:v>
                </c:pt>
                <c:pt idx="761">
                  <c:v>45974</c:v>
                </c:pt>
                <c:pt idx="762">
                  <c:v>45975</c:v>
                </c:pt>
                <c:pt idx="763">
                  <c:v>45976</c:v>
                </c:pt>
                <c:pt idx="764">
                  <c:v>45977</c:v>
                </c:pt>
                <c:pt idx="765">
                  <c:v>45978</c:v>
                </c:pt>
                <c:pt idx="766">
                  <c:v>45979</c:v>
                </c:pt>
                <c:pt idx="767">
                  <c:v>45980</c:v>
                </c:pt>
                <c:pt idx="768">
                  <c:v>45981</c:v>
                </c:pt>
                <c:pt idx="769">
                  <c:v>45982</c:v>
                </c:pt>
                <c:pt idx="770">
                  <c:v>45983</c:v>
                </c:pt>
                <c:pt idx="771">
                  <c:v>45984</c:v>
                </c:pt>
                <c:pt idx="772">
                  <c:v>45985</c:v>
                </c:pt>
                <c:pt idx="773">
                  <c:v>45986</c:v>
                </c:pt>
                <c:pt idx="774">
                  <c:v>45987</c:v>
                </c:pt>
                <c:pt idx="775">
                  <c:v>45988</c:v>
                </c:pt>
                <c:pt idx="776">
                  <c:v>45989</c:v>
                </c:pt>
                <c:pt idx="777">
                  <c:v>45990</c:v>
                </c:pt>
                <c:pt idx="778">
                  <c:v>45991</c:v>
                </c:pt>
                <c:pt idx="779">
                  <c:v>45992</c:v>
                </c:pt>
                <c:pt idx="780">
                  <c:v>45993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45998</c:v>
                </c:pt>
                <c:pt idx="786">
                  <c:v>45999</c:v>
                </c:pt>
                <c:pt idx="787">
                  <c:v>46000</c:v>
                </c:pt>
                <c:pt idx="788">
                  <c:v>46001</c:v>
                </c:pt>
                <c:pt idx="789">
                  <c:v>46002</c:v>
                </c:pt>
                <c:pt idx="790">
                  <c:v>46003</c:v>
                </c:pt>
                <c:pt idx="791">
                  <c:v>46004</c:v>
                </c:pt>
                <c:pt idx="792">
                  <c:v>46005</c:v>
                </c:pt>
                <c:pt idx="793">
                  <c:v>46006</c:v>
                </c:pt>
                <c:pt idx="794">
                  <c:v>46007</c:v>
                </c:pt>
                <c:pt idx="795">
                  <c:v>46008</c:v>
                </c:pt>
                <c:pt idx="796">
                  <c:v>46009</c:v>
                </c:pt>
                <c:pt idx="797">
                  <c:v>46010</c:v>
                </c:pt>
                <c:pt idx="798">
                  <c:v>46011</c:v>
                </c:pt>
                <c:pt idx="799">
                  <c:v>46012</c:v>
                </c:pt>
                <c:pt idx="800">
                  <c:v>46013</c:v>
                </c:pt>
                <c:pt idx="801">
                  <c:v>46014</c:v>
                </c:pt>
                <c:pt idx="802">
                  <c:v>46015</c:v>
                </c:pt>
                <c:pt idx="803">
                  <c:v>46016</c:v>
                </c:pt>
                <c:pt idx="804">
                  <c:v>46017</c:v>
                </c:pt>
                <c:pt idx="805">
                  <c:v>46018</c:v>
                </c:pt>
                <c:pt idx="806">
                  <c:v>46019</c:v>
                </c:pt>
                <c:pt idx="807">
                  <c:v>46020</c:v>
                </c:pt>
                <c:pt idx="808">
                  <c:v>46021</c:v>
                </c:pt>
                <c:pt idx="809">
                  <c:v>46022</c:v>
                </c:pt>
                <c:pt idx="810">
                  <c:v>46023</c:v>
                </c:pt>
                <c:pt idx="811">
                  <c:v>46024</c:v>
                </c:pt>
                <c:pt idx="812">
                  <c:v>46025</c:v>
                </c:pt>
                <c:pt idx="813">
                  <c:v>46026</c:v>
                </c:pt>
                <c:pt idx="814">
                  <c:v>46027</c:v>
                </c:pt>
                <c:pt idx="815">
                  <c:v>46028</c:v>
                </c:pt>
                <c:pt idx="816">
                  <c:v>46029</c:v>
                </c:pt>
                <c:pt idx="817">
                  <c:v>46030</c:v>
                </c:pt>
                <c:pt idx="818">
                  <c:v>46031</c:v>
                </c:pt>
                <c:pt idx="819">
                  <c:v>46032</c:v>
                </c:pt>
                <c:pt idx="820">
                  <c:v>46033</c:v>
                </c:pt>
                <c:pt idx="821">
                  <c:v>46034</c:v>
                </c:pt>
                <c:pt idx="822">
                  <c:v>46035</c:v>
                </c:pt>
                <c:pt idx="823">
                  <c:v>46036</c:v>
                </c:pt>
                <c:pt idx="824">
                  <c:v>46037</c:v>
                </c:pt>
                <c:pt idx="825">
                  <c:v>46038</c:v>
                </c:pt>
                <c:pt idx="826">
                  <c:v>46039</c:v>
                </c:pt>
                <c:pt idx="827">
                  <c:v>46040</c:v>
                </c:pt>
                <c:pt idx="828">
                  <c:v>46041</c:v>
                </c:pt>
                <c:pt idx="829">
                  <c:v>46042</c:v>
                </c:pt>
                <c:pt idx="830">
                  <c:v>46043</c:v>
                </c:pt>
                <c:pt idx="831">
                  <c:v>46044</c:v>
                </c:pt>
                <c:pt idx="832">
                  <c:v>46045</c:v>
                </c:pt>
                <c:pt idx="833">
                  <c:v>46046</c:v>
                </c:pt>
                <c:pt idx="834">
                  <c:v>46047</c:v>
                </c:pt>
                <c:pt idx="835">
                  <c:v>46048</c:v>
                </c:pt>
                <c:pt idx="836">
                  <c:v>46049</c:v>
                </c:pt>
                <c:pt idx="837">
                  <c:v>46050</c:v>
                </c:pt>
                <c:pt idx="838">
                  <c:v>46051</c:v>
                </c:pt>
                <c:pt idx="839">
                  <c:v>46052</c:v>
                </c:pt>
                <c:pt idx="840">
                  <c:v>46053</c:v>
                </c:pt>
                <c:pt idx="841">
                  <c:v>46054</c:v>
                </c:pt>
                <c:pt idx="842">
                  <c:v>46055</c:v>
                </c:pt>
                <c:pt idx="843">
                  <c:v>46056</c:v>
                </c:pt>
                <c:pt idx="844">
                  <c:v>46057</c:v>
                </c:pt>
                <c:pt idx="845">
                  <c:v>46058</c:v>
                </c:pt>
                <c:pt idx="846">
                  <c:v>46059</c:v>
                </c:pt>
                <c:pt idx="847">
                  <c:v>46060</c:v>
                </c:pt>
                <c:pt idx="848">
                  <c:v>46061</c:v>
                </c:pt>
                <c:pt idx="849">
                  <c:v>46062</c:v>
                </c:pt>
                <c:pt idx="850">
                  <c:v>46063</c:v>
                </c:pt>
                <c:pt idx="851">
                  <c:v>46064</c:v>
                </c:pt>
                <c:pt idx="852">
                  <c:v>46065</c:v>
                </c:pt>
                <c:pt idx="853">
                  <c:v>46066</c:v>
                </c:pt>
                <c:pt idx="854">
                  <c:v>46067</c:v>
                </c:pt>
                <c:pt idx="855">
                  <c:v>46068</c:v>
                </c:pt>
                <c:pt idx="856">
                  <c:v>46069</c:v>
                </c:pt>
                <c:pt idx="857">
                  <c:v>46070</c:v>
                </c:pt>
                <c:pt idx="858">
                  <c:v>46071</c:v>
                </c:pt>
                <c:pt idx="859">
                  <c:v>46072</c:v>
                </c:pt>
                <c:pt idx="860">
                  <c:v>46073</c:v>
                </c:pt>
                <c:pt idx="861">
                  <c:v>46074</c:v>
                </c:pt>
                <c:pt idx="862">
                  <c:v>46075</c:v>
                </c:pt>
                <c:pt idx="863">
                  <c:v>46076</c:v>
                </c:pt>
                <c:pt idx="864">
                  <c:v>46077</c:v>
                </c:pt>
                <c:pt idx="865">
                  <c:v>46078</c:v>
                </c:pt>
                <c:pt idx="866">
                  <c:v>46079</c:v>
                </c:pt>
                <c:pt idx="867">
                  <c:v>46080</c:v>
                </c:pt>
                <c:pt idx="868">
                  <c:v>46081</c:v>
                </c:pt>
                <c:pt idx="869">
                  <c:v>46082</c:v>
                </c:pt>
                <c:pt idx="870">
                  <c:v>46083</c:v>
                </c:pt>
                <c:pt idx="871">
                  <c:v>46084</c:v>
                </c:pt>
                <c:pt idx="872">
                  <c:v>46085</c:v>
                </c:pt>
                <c:pt idx="873">
                  <c:v>46086</c:v>
                </c:pt>
                <c:pt idx="874">
                  <c:v>46087</c:v>
                </c:pt>
                <c:pt idx="875">
                  <c:v>46088</c:v>
                </c:pt>
                <c:pt idx="876">
                  <c:v>46089</c:v>
                </c:pt>
                <c:pt idx="877">
                  <c:v>46090</c:v>
                </c:pt>
                <c:pt idx="878">
                  <c:v>46091</c:v>
                </c:pt>
                <c:pt idx="879">
                  <c:v>46092</c:v>
                </c:pt>
                <c:pt idx="880">
                  <c:v>46093</c:v>
                </c:pt>
                <c:pt idx="881">
                  <c:v>46094</c:v>
                </c:pt>
                <c:pt idx="882">
                  <c:v>46095</c:v>
                </c:pt>
                <c:pt idx="883">
                  <c:v>46096</c:v>
                </c:pt>
                <c:pt idx="884">
                  <c:v>46097</c:v>
                </c:pt>
                <c:pt idx="885">
                  <c:v>46098</c:v>
                </c:pt>
                <c:pt idx="886">
                  <c:v>46099</c:v>
                </c:pt>
                <c:pt idx="887">
                  <c:v>46100</c:v>
                </c:pt>
                <c:pt idx="888">
                  <c:v>46101</c:v>
                </c:pt>
                <c:pt idx="889">
                  <c:v>46102</c:v>
                </c:pt>
                <c:pt idx="890">
                  <c:v>46103</c:v>
                </c:pt>
                <c:pt idx="891">
                  <c:v>46104</c:v>
                </c:pt>
                <c:pt idx="892">
                  <c:v>46105</c:v>
                </c:pt>
                <c:pt idx="893">
                  <c:v>46106</c:v>
                </c:pt>
                <c:pt idx="894">
                  <c:v>46107</c:v>
                </c:pt>
                <c:pt idx="895">
                  <c:v>46108</c:v>
                </c:pt>
                <c:pt idx="896">
                  <c:v>46109</c:v>
                </c:pt>
                <c:pt idx="897">
                  <c:v>46110</c:v>
                </c:pt>
                <c:pt idx="898">
                  <c:v>46111</c:v>
                </c:pt>
                <c:pt idx="899">
                  <c:v>46112</c:v>
                </c:pt>
                <c:pt idx="900">
                  <c:v>46113</c:v>
                </c:pt>
                <c:pt idx="901">
                  <c:v>46114</c:v>
                </c:pt>
                <c:pt idx="902">
                  <c:v>46115</c:v>
                </c:pt>
                <c:pt idx="903">
                  <c:v>46116</c:v>
                </c:pt>
                <c:pt idx="904">
                  <c:v>46117</c:v>
                </c:pt>
                <c:pt idx="905">
                  <c:v>46118</c:v>
                </c:pt>
                <c:pt idx="906">
                  <c:v>46119</c:v>
                </c:pt>
                <c:pt idx="907">
                  <c:v>46120</c:v>
                </c:pt>
                <c:pt idx="908">
                  <c:v>46121</c:v>
                </c:pt>
                <c:pt idx="909">
                  <c:v>46122</c:v>
                </c:pt>
                <c:pt idx="910">
                  <c:v>46123</c:v>
                </c:pt>
                <c:pt idx="911">
                  <c:v>46124</c:v>
                </c:pt>
                <c:pt idx="912">
                  <c:v>46125</c:v>
                </c:pt>
                <c:pt idx="913">
                  <c:v>46126</c:v>
                </c:pt>
              </c:numCache>
            </c:numRef>
          </c:cat>
          <c:val>
            <c:numRef>
              <c:f>forecast!$E$2:$E$915</c:f>
              <c:numCache>
                <c:formatCode>General</c:formatCode>
                <c:ptCount val="914"/>
                <c:pt idx="730" formatCode="_ [$₹-4009]\ * #,##0.00_ ;_ [$₹-4009]\ * \-#,##0.00_ ;_ [$₹-4009]\ * &quot;-&quot;??_ ;_ @_ ">
                  <c:v>1867.2719999999999</c:v>
                </c:pt>
                <c:pt idx="731" formatCode="_ [$₹-4009]\ * #,##0.00_ ;_ [$₹-4009]\ * \-#,##0.00_ ;_ [$₹-4009]\ * &quot;-&quot;??_ ;_ @_ ">
                  <c:v>3124.41045976431</c:v>
                </c:pt>
                <c:pt idx="732" formatCode="_ [$₹-4009]\ * #,##0.00_ ;_ [$₹-4009]\ * \-#,##0.00_ ;_ [$₹-4009]\ * &quot;-&quot;??_ ;_ @_ ">
                  <c:v>3273.2054250138399</c:v>
                </c:pt>
                <c:pt idx="733" formatCode="_ [$₹-4009]\ * #,##0.00_ ;_ [$₹-4009]\ * \-#,##0.00_ ;_ [$₹-4009]\ * &quot;-&quot;??_ ;_ @_ ">
                  <c:v>3273.36442550123</c:v>
                </c:pt>
                <c:pt idx="734" formatCode="_ [$₹-4009]\ * #,##0.00_ ;_ [$₹-4009]\ * \-#,##0.00_ ;_ [$₹-4009]\ * &quot;-&quot;??_ ;_ @_ ">
                  <c:v>3154.1833346748199</c:v>
                </c:pt>
                <c:pt idx="735" formatCode="_ [$₹-4009]\ * #,##0.00_ ;_ [$₹-4009]\ * \-#,##0.00_ ;_ [$₹-4009]\ * &quot;-&quot;??_ ;_ @_ ">
                  <c:v>3329.9596183926801</c:v>
                </c:pt>
                <c:pt idx="736" formatCode="_ [$₹-4009]\ * #,##0.00_ ;_ [$₹-4009]\ * \-#,##0.00_ ;_ [$₹-4009]\ * &quot;-&quot;??_ ;_ @_ ">
                  <c:v>3211.80599197522</c:v>
                </c:pt>
                <c:pt idx="737" formatCode="_ [$₹-4009]\ * #,##0.00_ ;_ [$₹-4009]\ * \-#,##0.00_ ;_ [$₹-4009]\ * &quot;-&quot;??_ ;_ @_ ">
                  <c:v>3071.35110033806</c:v>
                </c:pt>
                <c:pt idx="738" formatCode="_ [$₹-4009]\ * #,##0.00_ ;_ [$₹-4009]\ * \-#,##0.00_ ;_ [$₹-4009]\ * &quot;-&quot;??_ ;_ @_ ">
                  <c:v>3113.9768974598001</c:v>
                </c:pt>
                <c:pt idx="739" formatCode="_ [$₹-4009]\ * #,##0.00_ ;_ [$₹-4009]\ * \-#,##0.00_ ;_ [$₹-4009]\ * &quot;-&quot;??_ ;_ @_ ">
                  <c:v>3217.2193169041502</c:v>
                </c:pt>
                <c:pt idx="740" formatCode="_ [$₹-4009]\ * #,##0.00_ ;_ [$₹-4009]\ * \-#,##0.00_ ;_ [$₹-4009]\ * &quot;-&quot;??_ ;_ @_ ">
                  <c:v>3137.60899891089</c:v>
                </c:pt>
                <c:pt idx="741" formatCode="_ [$₹-4009]\ * #,##0.00_ ;_ [$₹-4009]\ * \-#,##0.00_ ;_ [$₹-4009]\ * &quot;-&quot;??_ ;_ @_ ">
                  <c:v>3286.4941254748601</c:v>
                </c:pt>
                <c:pt idx="742" formatCode="_ [$₹-4009]\ * #,##0.00_ ;_ [$₹-4009]\ * \-#,##0.00_ ;_ [$₹-4009]\ * &quot;-&quot;??_ ;_ @_ ">
                  <c:v>3286.7552636401801</c:v>
                </c:pt>
                <c:pt idx="743" formatCode="_ [$₹-4009]\ * #,##0.00_ ;_ [$₹-4009]\ * \-#,##0.00_ ;_ [$₹-4009]\ * &quot;-&quot;??_ ;_ @_ ">
                  <c:v>3167.6882699593998</c:v>
                </c:pt>
                <c:pt idx="744" formatCode="_ [$₹-4009]\ * #,##0.00_ ;_ [$₹-4009]\ * \-#,##0.00_ ;_ [$₹-4009]\ * &quot;-&quot;??_ ;_ @_ ">
                  <c:v>3343.5905923392402</c:v>
                </c:pt>
                <c:pt idx="745" formatCode="_ [$₹-4009]\ * #,##0.00_ ;_ [$₹-4009]\ * \-#,##0.00_ ;_ [$₹-4009]\ * &quot;-&quot;??_ ;_ @_ ">
                  <c:v>3225.5749269786002</c:v>
                </c:pt>
                <c:pt idx="746" formatCode="_ [$₹-4009]\ * #,##0.00_ ;_ [$₹-4009]\ * \-#,##0.00_ ;_ [$₹-4009]\ * &quot;-&quot;??_ ;_ @_ ">
                  <c:v>3085.2698983876298</c:v>
                </c:pt>
                <c:pt idx="747" formatCode="_ [$₹-4009]\ * #,##0.00_ ;_ [$₹-4009]\ * \-#,##0.00_ ;_ [$₹-4009]\ * &quot;-&quot;??_ ;_ @_ ">
                  <c:v>3128.0574387427801</c:v>
                </c:pt>
                <c:pt idx="748" formatCode="_ [$₹-4009]\ * #,##0.00_ ;_ [$₹-4009]\ * \-#,##0.00_ ;_ [$₹-4009]\ * &quot;-&quot;??_ ;_ @_ ">
                  <c:v>3231.4734582972601</c:v>
                </c:pt>
                <c:pt idx="749" formatCode="_ [$₹-4009]\ * #,##0.00_ ;_ [$₹-4009]\ * \-#,##0.00_ ;_ [$₹-4009]\ * &quot;-&quot;??_ ;_ @_ ">
                  <c:v>3153.4116039426999</c:v>
                </c:pt>
                <c:pt idx="750" formatCode="_ [$₹-4009]\ * #,##0.00_ ;_ [$₹-4009]\ * \-#,##0.00_ ;_ [$₹-4009]\ * &quot;-&quot;??_ ;_ @_ ">
                  <c:v>3302.4919200180798</c:v>
                </c:pt>
                <c:pt idx="751" formatCode="_ [$₹-4009]\ * #,##0.00_ ;_ [$₹-4009]\ * \-#,##0.00_ ;_ [$₹-4009]\ * &quot;-&quot;??_ ;_ @_ ">
                  <c:v>3302.9598936787502</c:v>
                </c:pt>
                <c:pt idx="752" formatCode="_ [$₹-4009]\ * #,##0.00_ ;_ [$₹-4009]\ * \-#,##0.00_ ;_ [$₹-4009]\ * &quot;-&quot;??_ ;_ @_ ">
                  <c:v>3184.1113504832501</c:v>
                </c:pt>
                <c:pt idx="753" formatCode="_ [$₹-4009]\ * #,##0.00_ ;_ [$₹-4009]\ * \-#,##0.00_ ;_ [$₹-4009]\ * &quot;-&quot;??_ ;_ @_ ">
                  <c:v>3360.2437053612998</c:v>
                </c:pt>
                <c:pt idx="754" formatCode="_ [$₹-4009]\ * #,##0.00_ ;_ [$₹-4009]\ * \-#,##0.00_ ;_ [$₹-4009]\ * &quot;-&quot;??_ ;_ @_ ">
                  <c:v>3242.46961945266</c:v>
                </c:pt>
                <c:pt idx="755" formatCode="_ [$₹-4009]\ * #,##0.00_ ;_ [$₹-4009]\ * \-#,##0.00_ ;_ [$₹-4009]\ * &quot;-&quot;??_ ;_ @_ ">
                  <c:v>3102.4176800292198</c:v>
                </c:pt>
                <c:pt idx="756" formatCode="_ [$₹-4009]\ * #,##0.00_ ;_ [$₹-4009]\ * \-#,##0.00_ ;_ [$₹-4009]\ * &quot;-&quot;??_ ;_ @_ ">
                  <c:v>3145.4697797550598</c:v>
                </c:pt>
                <c:pt idx="757" formatCode="_ [$₹-4009]\ * #,##0.00_ ;_ [$₹-4009]\ * \-#,##0.00_ ;_ [$₹-4009]\ * &quot;-&quot;??_ ;_ @_ ">
                  <c:v>3249.1617870043901</c:v>
                </c:pt>
                <c:pt idx="758" formatCode="_ [$₹-4009]\ * #,##0.00_ ;_ [$₹-4009]\ * \-#,##0.00_ ;_ [$₹-4009]\ * &quot;-&quot;??_ ;_ @_ ">
                  <c:v>3172.68367482338</c:v>
                </c:pt>
                <c:pt idx="759" formatCode="_ [$₹-4009]\ * #,##0.00_ ;_ [$₹-4009]\ * \-#,##0.00_ ;_ [$₹-4009]\ * &quot;-&quot;??_ ;_ @_ ">
                  <c:v>3322.0592587742799</c:v>
                </c:pt>
                <c:pt idx="760" formatCode="_ [$₹-4009]\ * #,##0.00_ ;_ [$₹-4009]\ * \-#,##0.00_ ;_ [$₹-4009]\ * &quot;-&quot;??_ ;_ @_ ">
                  <c:v>3322.8336485101099</c:v>
                </c:pt>
                <c:pt idx="761" formatCode="_ [$₹-4009]\ * #,##0.00_ ;_ [$₹-4009]\ * \-#,##0.00_ ;_ [$₹-4009]\ * &quot;-&quot;??_ ;_ @_ ">
                  <c:v>3204.3026176580402</c:v>
                </c:pt>
                <c:pt idx="762" formatCode="_ [$₹-4009]\ * #,##0.00_ ;_ [$₹-4009]\ * \-#,##0.00_ ;_ [$₹-4009]\ * &quot;-&quot;??_ ;_ @_ ">
                  <c:v>3380.7635265214699</c:v>
                </c:pt>
                <c:pt idx="763" formatCode="_ [$₹-4009]\ * #,##0.00_ ;_ [$₹-4009]\ * \-#,##0.00_ ;_ [$₹-4009]\ * &quot;-&quot;??_ ;_ @_ ">
                  <c:v>3263.3289788464999</c:v>
                </c:pt>
                <c:pt idx="764" formatCode="_ [$₹-4009]\ * #,##0.00_ ;_ [$₹-4009]\ * \-#,##0.00_ ;_ [$₹-4009]\ * &quot;-&quot;??_ ;_ @_ ">
                  <c:v>3123.6275016749901</c:v>
                </c:pt>
                <c:pt idx="765" formatCode="_ [$₹-4009]\ * #,##0.00_ ;_ [$₹-4009]\ * \-#,##0.00_ ;_ [$₹-4009]\ * &quot;-&quot;??_ ;_ @_ ">
                  <c:v>3167.0409245393298</c:v>
                </c:pt>
                <c:pt idx="766" formatCode="_ [$₹-4009]\ * #,##0.00_ ;_ [$₹-4009]\ * \-#,##0.00_ ;_ [$₹-4009]\ * &quot;-&quot;??_ ;_ @_ ">
                  <c:v>3271.1050497186998</c:v>
                </c:pt>
                <c:pt idx="767" formatCode="_ [$₹-4009]\ * #,##0.00_ ;_ [$₹-4009]\ * \-#,##0.00_ ;_ [$₹-4009]\ * &quot;-&quot;??_ ;_ @_ ">
                  <c:v>3196.2231291678399</c:v>
                </c:pt>
                <c:pt idx="768" formatCode="_ [$₹-4009]\ * #,##0.00_ ;_ [$₹-4009]\ * \-#,##0.00_ ;_ [$₹-4009]\ * &quot;-&quot;??_ ;_ @_ ">
                  <c:v>3345.98731633945</c:v>
                </c:pt>
                <c:pt idx="769" formatCode="_ [$₹-4009]\ * #,##0.00_ ;_ [$₹-4009]\ * \-#,##0.00_ ;_ [$₹-4009]\ * &quot;-&quot;??_ ;_ @_ ">
                  <c:v>3347.1607504968001</c:v>
                </c:pt>
                <c:pt idx="770" formatCode="_ [$₹-4009]\ * #,##0.00_ ;_ [$₹-4009]\ * \-#,##0.00_ ;_ [$₹-4009]\ * &quot;-&quot;??_ ;_ @_ ">
                  <c:v>3229.03912816406</c:v>
                </c:pt>
                <c:pt idx="771" formatCode="_ [$₹-4009]\ * #,##0.00_ ;_ [$₹-4009]\ * \-#,##0.00_ ;_ [$₹-4009]\ * &quot;-&quot;??_ ;_ @_ ">
                  <c:v>3405.9197294450601</c:v>
                </c:pt>
                <c:pt idx="772" formatCode="_ [$₹-4009]\ * #,##0.00_ ;_ [$₹-4009]\ * \-#,##0.00_ ;_ [$₹-4009]\ * &quot;-&quot;??_ ;_ @_ ">
                  <c:v>3288.9150747550798</c:v>
                </c:pt>
                <c:pt idx="773" formatCode="_ [$₹-4009]\ * #,##0.00_ ;_ [$₹-4009]\ * \-#,##0.00_ ;_ [$₹-4009]\ * &quot;-&quot;??_ ;_ @_ ">
                  <c:v>3149.6536046440001</c:v>
                </c:pt>
                <c:pt idx="774" formatCode="_ [$₹-4009]\ * #,##0.00_ ;_ [$₹-4009]\ * \-#,##0.00_ ;_ [$₹-4009]\ * &quot;-&quot;??_ ;_ @_ ">
                  <c:v>3193.5170589658701</c:v>
                </c:pt>
                <c:pt idx="775" formatCode="_ [$₹-4009]\ * #,##0.00_ ;_ [$₹-4009]\ * \-#,##0.00_ ;_ [$₹-4009]\ * &quot;-&quot;??_ ;_ @_ ">
                  <c:v>3298.04114711495</c:v>
                </c:pt>
                <c:pt idx="776" formatCode="_ [$₹-4009]\ * #,##0.00_ ;_ [$₹-4009]\ * \-#,##0.00_ ;_ [$₹-4009]\ * &quot;-&quot;??_ ;_ @_ ">
                  <c:v>3224.7436268837901</c:v>
                </c:pt>
                <c:pt idx="777" formatCode="_ [$₹-4009]\ * #,##0.00_ ;_ [$₹-4009]\ * \-#,##0.00_ ;_ [$₹-4009]\ * &quot;-&quot;??_ ;_ @_ ">
                  <c:v>3374.9810750197198</c:v>
                </c:pt>
                <c:pt idx="778" formatCode="_ [$₹-4009]\ * #,##0.00_ ;_ [$₹-4009]\ * \-#,##0.00_ ;_ [$₹-4009]\ * &quot;-&quot;??_ ;_ @_ ">
                  <c:v>3376.6372815684899</c:v>
                </c:pt>
                <c:pt idx="779" formatCode="_ [$₹-4009]\ * #,##0.00_ ;_ [$₹-4009]\ * \-#,##0.00_ ;_ [$₹-4009]\ * &quot;-&quot;??_ ;_ @_ ">
                  <c:v>3259.0078398016699</c:v>
                </c:pt>
                <c:pt idx="780" formatCode="_ [$₹-4009]\ * #,##0.00_ ;_ [$₹-4009]\ * \-#,##0.00_ ;_ [$₹-4009]\ * &quot;-&quot;??_ ;_ @_ ">
                  <c:v>3436.3899234516298</c:v>
                </c:pt>
                <c:pt idx="781" formatCode="_ [$₹-4009]\ * #,##0.00_ ;_ [$₹-4009]\ * \-#,##0.00_ ;_ [$₹-4009]\ * &quot;-&quot;??_ ;_ @_ ">
                  <c:v>3319.8959434533299</c:v>
                </c:pt>
                <c:pt idx="782" formatCode="_ [$₹-4009]\ * #,##0.00_ ;_ [$₹-4009]\ * \-#,##0.00_ ;_ [$₹-4009]\ * &quot;-&quot;??_ ;_ @_ ">
                  <c:v>3181.1542277826802</c:v>
                </c:pt>
                <c:pt idx="783" formatCode="_ [$₹-4009]\ * #,##0.00_ ;_ [$₹-4009]\ * \-#,##0.00_ ;_ [$₹-4009]\ * &quot;-&quot;??_ ;_ @_ ">
                  <c:v>3225.54640064668</c:v>
                </c:pt>
                <c:pt idx="784" formatCode="_ [$₹-4009]\ * #,##0.00_ ;_ [$₹-4009]\ * \-#,##0.00_ ;_ [$₹-4009]\ * &quot;-&quot;??_ ;_ @_ ">
                  <c:v>3330.6080527454201</c:v>
                </c:pt>
                <c:pt idx="785" formatCode="_ [$₹-4009]\ * #,##0.00_ ;_ [$₹-4009]\ * \-#,##0.00_ ;_ [$₹-4009]\ * &quot;-&quot;??_ ;_ @_ ">
                  <c:v>3258.8590314947401</c:v>
                </c:pt>
                <c:pt idx="786" formatCode="_ [$₹-4009]\ * #,##0.00_ ;_ [$₹-4009]\ * \-#,##0.00_ ;_ [$₹-4009]\ * &quot;-&quot;??_ ;_ @_ ">
                  <c:v>3409.6439198040998</c:v>
                </c:pt>
                <c:pt idx="787" formatCode="_ [$₹-4009]\ * #,##0.00_ ;_ [$₹-4009]\ * \-#,##0.00_ ;_ [$₹-4009]\ * &quot;-&quot;??_ ;_ @_ ">
                  <c:v>3411.8559427334799</c:v>
                </c:pt>
                <c:pt idx="788" formatCode="_ [$₹-4009]\ * #,##0.00_ ;_ [$₹-4009]\ * \-#,##0.00_ ;_ [$₹-4009]\ * &quot;-&quot;??_ ;_ @_ ">
                  <c:v>3294.7905666470101</c:v>
                </c:pt>
                <c:pt idx="789" formatCode="_ [$₹-4009]\ * #,##0.00_ ;_ [$₹-4009]\ * \-#,##0.00_ ;_ [$₹-4009]\ * &quot;-&quot;??_ ;_ @_ ">
                  <c:v>3472.7448356193099</c:v>
                </c:pt>
                <c:pt idx="790" formatCode="_ [$₹-4009]\ * #,##0.00_ ;_ [$₹-4009]\ * \-#,##0.00_ ;_ [$₹-4009]\ * &quot;-&quot;??_ ;_ @_ ">
                  <c:v>3356.83102823122</c:v>
                </c:pt>
                <c:pt idx="791" formatCode="_ [$₹-4009]\ * #,##0.00_ ;_ [$₹-4009]\ * \-#,##0.00_ ;_ [$₹-4009]\ * &quot;-&quot;??_ ;_ @_ ">
                  <c:v>3218.6773374671202</c:v>
                </c:pt>
                <c:pt idx="792" formatCode="_ [$₹-4009]\ * #,##0.00_ ;_ [$₹-4009]\ * \-#,##0.00_ ;_ [$₹-4009]\ * &quot;-&quot;??_ ;_ @_ ">
                  <c:v>3263.6652499687998</c:v>
                </c:pt>
                <c:pt idx="793" formatCode="_ [$₹-4009]\ * #,##0.00_ ;_ [$₹-4009]\ * \-#,##0.00_ ;_ [$₹-4009]\ * &quot;-&quot;??_ ;_ @_ ">
                  <c:v>3369.3302163661301</c:v>
                </c:pt>
                <c:pt idx="794" formatCode="_ [$₹-4009]\ * #,##0.00_ ;_ [$₹-4009]\ * \-#,##0.00_ ;_ [$₹-4009]\ * &quot;-&quot;??_ ;_ @_ ">
                  <c:v>3299.0714474492502</c:v>
                </c:pt>
                <c:pt idx="795" formatCode="_ [$₹-4009]\ * #,##0.00_ ;_ [$₹-4009]\ * \-#,##0.00_ ;_ [$₹-4009]\ * &quot;-&quot;??_ ;_ @_ ">
                  <c:v>3450.4660688926001</c:v>
                </c:pt>
                <c:pt idx="796" formatCode="_ [$₹-4009]\ * #,##0.00_ ;_ [$₹-4009]\ * \-#,##0.00_ ;_ [$₹-4009]\ * &quot;-&quot;??_ ;_ @_ ">
                  <c:v>3453.2949062286898</c:v>
                </c:pt>
                <c:pt idx="797" formatCode="_ [$₹-4009]\ * #,##0.00_ ;_ [$₹-4009]\ * \-#,##0.00_ ;_ [$₹-4009]\ * &quot;-&quot;??_ ;_ @_ ">
                  <c:v>3336.8532808320501</c:v>
                </c:pt>
                <c:pt idx="798" formatCode="_ [$₹-4009]\ * #,##0.00_ ;_ [$₹-4009]\ * \-#,##0.00_ ;_ [$₹-4009]\ * &quot;-&quot;??_ ;_ @_ ">
                  <c:v>3515.4380897363599</c:v>
                </c:pt>
                <c:pt idx="799" formatCode="_ [$₹-4009]\ * #,##0.00_ ;_ [$₹-4009]\ * \-#,##0.00_ ;_ [$₹-4009]\ * &quot;-&quot;??_ ;_ @_ ">
                  <c:v>3400.1614625193502</c:v>
                </c:pt>
                <c:pt idx="800" formatCode="_ [$₹-4009]\ * #,##0.00_ ;_ [$₹-4009]\ * \-#,##0.00_ ;_ [$₹-4009]\ * &quot;-&quot;??_ ;_ @_ ">
                  <c:v>3262.65144129284</c:v>
                </c:pt>
                <c:pt idx="801" formatCode="_ [$₹-4009]\ * #,##0.00_ ;_ [$₹-4009]\ * \-#,##0.00_ ;_ [$₹-4009]\ * &quot;-&quot;??_ ;_ @_ ">
                  <c:v>3308.2893600530401</c:v>
                </c:pt>
                <c:pt idx="802" formatCode="_ [$₹-4009]\ * #,##0.00_ ;_ [$₹-4009]\ * \-#,##0.00_ ;_ [$₹-4009]\ * &quot;-&quot;??_ ;_ @_ ">
                  <c:v>3414.6105151107799</c:v>
                </c:pt>
                <c:pt idx="803" formatCode="_ [$₹-4009]\ * #,##0.00_ ;_ [$₹-4009]\ * \-#,##0.00_ ;_ [$₹-4009]\ * &quot;-&quot;??_ ;_ @_ ">
                  <c:v>3345.7646430252998</c:v>
                </c:pt>
                <c:pt idx="804" formatCode="_ [$₹-4009]\ * #,##0.00_ ;_ [$₹-4009]\ * \-#,##0.00_ ;_ [$₹-4009]\ * &quot;-&quot;??_ ;_ @_ ">
                  <c:v>3497.8185858187799</c:v>
                </c:pt>
                <c:pt idx="805" formatCode="_ [$₹-4009]\ * #,##0.00_ ;_ [$₹-4009]\ * \-#,##0.00_ ;_ [$₹-4009]\ * &quot;-&quot;??_ ;_ @_ ">
                  <c:v>3501.3124374446902</c:v>
                </c:pt>
                <c:pt idx="806" formatCode="_ [$₹-4009]\ * #,##0.00_ ;_ [$₹-4009]\ * \-#,##0.00_ ;_ [$₹-4009]\ * &quot;-&quot;??_ ;_ @_ ">
                  <c:v>3385.5413638832601</c:v>
                </c:pt>
                <c:pt idx="807" formatCode="_ [$₹-4009]\ * #,##0.00_ ;_ [$₹-4009]\ * \-#,##0.00_ ;_ [$₹-4009]\ * &quot;-&quot;??_ ;_ @_ ">
                  <c:v>3564.8021056308198</c:v>
                </c:pt>
                <c:pt idx="808" formatCode="_ [$₹-4009]\ * #,##0.00_ ;_ [$₹-4009]\ * \-#,##0.00_ ;_ [$₹-4009]\ * &quot;-&quot;??_ ;_ @_ ">
                  <c:v>3450.20663469378</c:v>
                </c:pt>
                <c:pt idx="809" formatCode="_ [$₹-4009]\ * #,##0.00_ ;_ [$₹-4009]\ * \-#,##0.00_ ;_ [$₹-4009]\ * &quot;-&quot;??_ ;_ @_ ">
                  <c:v>3313.3828346898199</c:v>
                </c:pt>
                <c:pt idx="810" formatCode="_ [$₹-4009]\ * #,##0.00_ ;_ [$₹-4009]\ * \-#,##0.00_ ;_ [$₹-4009]\ * &quot;-&quot;??_ ;_ @_ ">
                  <c:v>3359.7118803107801</c:v>
                </c:pt>
                <c:pt idx="811" formatCode="_ [$₹-4009]\ * #,##0.00_ ;_ [$₹-4009]\ * \-#,##0.00_ ;_ [$₹-4009]\ * &quot;-&quot;??_ ;_ @_ ">
                  <c:v>3466.7289078669701</c:v>
                </c:pt>
                <c:pt idx="812" formatCode="_ [$₹-4009]\ * #,##0.00_ ;_ [$₹-4009]\ * \-#,##0.00_ ;_ [$₹-4009]\ * &quot;-&quot;??_ ;_ @_ ">
                  <c:v>3399.2037877266998</c:v>
                </c:pt>
                <c:pt idx="813" formatCode="_ [$₹-4009]\ * #,##0.00_ ;_ [$₹-4009]\ * \-#,##0.00_ ;_ [$₹-4009]\ * &quot;-&quot;??_ ;_ @_ ">
                  <c:v>3551.9538019985998</c:v>
                </c:pt>
                <c:pt idx="814" formatCode="_ [$₹-4009]\ * #,##0.00_ ;_ [$₹-4009]\ * \-#,##0.00_ ;_ [$₹-4009]\ * &quot;-&quot;??_ ;_ @_ ">
                  <c:v>3556.1480117655701</c:v>
                </c:pt>
                <c:pt idx="815" formatCode="_ [$₹-4009]\ * #,##0.00_ ;_ [$₹-4009]\ * \-#,##0.00_ ;_ [$₹-4009]\ * &quot;-&quot;??_ ;_ @_ ">
                  <c:v>3441.08142567801</c:v>
                </c:pt>
                <c:pt idx="816" formatCode="_ [$₹-4009]\ * #,##0.00_ ;_ [$₹-4009]\ * \-#,##0.00_ ;_ [$₹-4009]\ * &quot;-&quot;??_ ;_ @_ ">
                  <c:v>3621.0506267260598</c:v>
                </c:pt>
                <c:pt idx="817" formatCode="_ [$₹-4009]\ * #,##0.00_ ;_ [$₹-4009]\ * \-#,##0.00_ ;_ [$₹-4009]\ * &quot;-&quot;??_ ;_ @_ ">
                  <c:v>3507.1674293458</c:v>
                </c:pt>
                <c:pt idx="818" formatCode="_ [$₹-4009]\ * #,##0.00_ ;_ [$₹-4009]\ * \-#,##0.00_ ;_ [$₹-4009]\ * &quot;-&quot;??_ ;_ @_ ">
                  <c:v>3371.0595596322901</c:v>
                </c:pt>
                <c:pt idx="819" formatCode="_ [$₹-4009]\ * #,##0.00_ ;_ [$₹-4009]\ * \-#,##0.00_ ;_ [$₹-4009]\ * &quot;-&quot;??_ ;_ @_ ">
                  <c:v>3418.1080349142098</c:v>
                </c:pt>
                <c:pt idx="820" formatCode="_ [$₹-4009]\ * #,##0.00_ ;_ [$₹-4009]\ * \-#,##0.00_ ;_ [$₹-4009]\ * &quot;-&quot;??_ ;_ @_ ">
                  <c:v>3525.84783440927</c:v>
                </c:pt>
                <c:pt idx="821" formatCode="_ [$₹-4009]\ * #,##0.00_ ;_ [$₹-4009]\ * \-#,##0.00_ ;_ [$₹-4009]\ * &quot;-&quot;??_ ;_ @_ ">
                  <c:v>3459.5414070215002</c:v>
                </c:pt>
                <c:pt idx="822" formatCode="_ [$₹-4009]\ * #,##0.00_ ;_ [$₹-4009]\ * \-#,##0.00_ ;_ [$₹-4009]\ * &quot;-&quot;??_ ;_ @_ ">
                  <c:v>3613.01194080083</c:v>
                </c:pt>
                <c:pt idx="823" formatCode="_ [$₹-4009]\ * #,##0.00_ ;_ [$₹-4009]\ * \-#,##0.00_ ;_ [$₹-4009]\ * &quot;-&quot;??_ ;_ @_ ">
                  <c:v>3617.92960498198</c:v>
                </c:pt>
                <c:pt idx="824" formatCode="_ [$₹-4009]\ * #,##0.00_ ;_ [$₹-4009]\ * \-#,##0.00_ ;_ [$₹-4009]\ * &quot;-&quot;??_ ;_ @_ ">
                  <c:v>3503.5892568991198</c:v>
                </c:pt>
                <c:pt idx="825" formatCode="_ [$₹-4009]\ * #,##0.00_ ;_ [$₹-4009]\ * \-#,##0.00_ ;_ [$₹-4009]\ * &quot;-&quot;??_ ;_ @_ ">
                  <c:v>3684.2873289342701</c:v>
                </c:pt>
                <c:pt idx="826" formatCode="_ [$₹-4009]\ * #,##0.00_ ;_ [$₹-4009]\ * \-#,##0.00_ ;_ [$₹-4009]\ * &quot;-&quot;??_ ;_ @_ ">
                  <c:v>3571.13548572335</c:v>
                </c:pt>
                <c:pt idx="827" formatCode="_ [$₹-4009]\ * #,##0.00_ ;_ [$₹-4009]\ * \-#,##0.00_ ;_ [$₹-4009]\ * &quot;-&quot;??_ ;_ @_ ">
                  <c:v>3435.7613044674599</c:v>
                </c:pt>
                <c:pt idx="828" formatCode="_ [$₹-4009]\ * #,##0.00_ ;_ [$₹-4009]\ * \-#,##0.00_ ;_ [$₹-4009]\ * &quot;-&quot;??_ ;_ @_ ">
                  <c:v>3483.5456546037599</c:v>
                </c:pt>
                <c:pt idx="829" formatCode="_ [$₹-4009]\ * #,##0.00_ ;_ [$₹-4009]\ * \-#,##0.00_ ;_ [$₹-4009]\ * &quot;-&quot;??_ ;_ @_ ">
                  <c:v>3592.0233685551598</c:v>
                </c:pt>
                <c:pt idx="830" formatCode="_ [$₹-4009]\ * #,##0.00_ ;_ [$₹-4009]\ * \-#,##0.00_ ;_ [$₹-4009]\ * &quot;-&quot;??_ ;_ @_ ">
                  <c:v>3526.8285421118599</c:v>
                </c:pt>
                <c:pt idx="831" formatCode="_ [$₹-4009]\ * #,##0.00_ ;_ [$₹-4009]\ * \-#,##0.00_ ;_ [$₹-4009]\ * &quot;-&quot;??_ ;_ @_ ">
                  <c:v>3681.03283521306</c:v>
                </c:pt>
                <c:pt idx="832" formatCode="_ [$₹-4009]\ * #,##0.00_ ;_ [$₹-4009]\ * \-#,##0.00_ ;_ [$₹-4009]\ * &quot;-&quot;??_ ;_ @_ ">
                  <c:v>3686.6859560062599</c:v>
                </c:pt>
                <c:pt idx="833" formatCode="_ [$₹-4009]\ * #,##0.00_ ;_ [$₹-4009]\ * \-#,##0.00_ ;_ [$₹-4009]\ * &quot;-&quot;??_ ;_ @_ ">
                  <c:v>3573.08262294823</c:v>
                </c:pt>
                <c:pt idx="834" formatCode="_ [$₹-4009]\ * #,##0.00_ ;_ [$₹-4009]\ * \-#,##0.00_ ;_ [$₹-4009]\ * &quot;-&quot;??_ ;_ @_ ">
                  <c:v>3754.5191309525298</c:v>
                </c:pt>
                <c:pt idx="835" formatCode="_ [$₹-4009]\ * #,##0.00_ ;_ [$₹-4009]\ * \-#,##0.00_ ;_ [$₹-4009]\ * &quot;-&quot;??_ ;_ @_ ">
                  <c:v>3642.1070086731902</c:v>
                </c:pt>
                <c:pt idx="836" formatCode="_ [$₹-4009]\ * #,##0.00_ ;_ [$₹-4009]\ * \-#,##0.00_ ;_ [$₹-4009]\ * &quot;-&quot;??_ ;_ @_ ">
                  <c:v>3507.4736988910099</c:v>
                </c:pt>
                <c:pt idx="837" formatCode="_ [$₹-4009]\ * #,##0.00_ ;_ [$₹-4009]\ * \-#,##0.00_ ;_ [$₹-4009]\ * &quot;-&quot;??_ ;_ @_ ">
                  <c:v>3555.9999382565102</c:v>
                </c:pt>
                <c:pt idx="838" formatCode="_ [$₹-4009]\ * #,##0.00_ ;_ [$₹-4009]\ * \-#,##0.00_ ;_ [$₹-4009]\ * &quot;-&quot;??_ ;_ @_ ">
                  <c:v>3665.2204281089598</c:v>
                </c:pt>
                <c:pt idx="839" formatCode="_ [$₹-4009]\ * #,##0.00_ ;_ [$₹-4009]\ * \-#,##0.00_ ;_ [$₹-4009]\ * &quot;-&quot;??_ ;_ @_ ">
                  <c:v>3601.0295025872001</c:v>
                </c:pt>
                <c:pt idx="840" formatCode="_ [$₹-4009]\ * #,##0.00_ ;_ [$₹-4009]\ * \-#,##0.00_ ;_ [$₹-4009]\ * &quot;-&quot;??_ ;_ @_ ">
                  <c:v>3755.9710674303801</c:v>
                </c:pt>
                <c:pt idx="841" formatCode="_ [$₹-4009]\ * #,##0.00_ ;_ [$₹-4009]\ * \-#,##0.00_ ;_ [$₹-4009]\ * &quot;-&quot;??_ ;_ @_ ">
                  <c:v>3762.3620748232502</c:v>
                </c:pt>
                <c:pt idx="842" formatCode="_ [$₹-4009]\ * #,##0.00_ ;_ [$₹-4009]\ * \-#,##0.00_ ;_ [$₹-4009]\ * &quot;-&quot;??_ ;_ @_ ">
                  <c:v>3649.49712115077</c:v>
                </c:pt>
                <c:pt idx="843" formatCode="_ [$₹-4009]\ * #,##0.00_ ;_ [$₹-4009]\ * \-#,##0.00_ ;_ [$₹-4009]\ * &quot;-&quot;??_ ;_ @_ ">
                  <c:v>3831.6723811328402</c:v>
                </c:pt>
                <c:pt idx="844" formatCode="_ [$₹-4009]\ * #,##0.00_ ;_ [$₹-4009]\ * \-#,##0.00_ ;_ [$₹-4009]\ * &quot;-&quot;??_ ;_ @_ ">
                  <c:v>3719.9992651593002</c:v>
                </c:pt>
                <c:pt idx="845" formatCode="_ [$₹-4009]\ * #,##0.00_ ;_ [$₹-4009]\ * \-#,##0.00_ ;_ [$₹-4009]\ * &quot;-&quot;??_ ;_ @_ ">
                  <c:v>3586.1050997244802</c:v>
                </c:pt>
                <c:pt idx="846" formatCode="_ [$₹-4009]\ * #,##0.00_ ;_ [$₹-4009]\ * \-#,##0.00_ ;_ [$₹-4009]\ * &quot;-&quot;??_ ;_ @_ ">
                  <c:v>3635.3705072153598</c:v>
                </c:pt>
                <c:pt idx="847" formatCode="_ [$₹-4009]\ * #,##0.00_ ;_ [$₹-4009]\ * \-#,##0.00_ ;_ [$₹-4009]\ * &quot;-&quot;??_ ;_ @_ ">
                  <c:v>3745.3300767727001</c:v>
                </c:pt>
                <c:pt idx="848" formatCode="_ [$₹-4009]\ * #,##0.00_ ;_ [$₹-4009]\ * \-#,##0.00_ ;_ [$₹-4009]\ * &quot;-&quot;??_ ;_ @_ ">
                  <c:v>3682.0383985959202</c:v>
                </c:pt>
                <c:pt idx="849" formatCode="_ [$₹-4009]\ * #,##0.00_ ;_ [$₹-4009]\ * \-#,##0.00_ ;_ [$₹-4009]\ * &quot;-&quot;??_ ;_ @_ ">
                  <c:v>3837.7126996874299</c:v>
                </c:pt>
                <c:pt idx="850" formatCode="_ [$₹-4009]\ * #,##0.00_ ;_ [$₹-4009]\ * \-#,##0.00_ ;_ [$₹-4009]\ * &quot;-&quot;??_ ;_ @_ ">
                  <c:v>3844.8361521348802</c:v>
                </c:pt>
                <c:pt idx="851" formatCode="_ [$₹-4009]\ * #,##0.00_ ;_ [$₹-4009]\ * \-#,##0.00_ ;_ [$₹-4009]\ * &quot;-&quot;??_ ;_ @_ ">
                  <c:v>3732.7032492983799</c:v>
                </c:pt>
                <c:pt idx="852" formatCode="_ [$₹-4009]\ * #,##0.00_ ;_ [$₹-4009]\ * \-#,##0.00_ ;_ [$₹-4009]\ * &quot;-&quot;??_ ;_ @_ ">
                  <c:v>3915.6100649895302</c:v>
                </c:pt>
                <c:pt idx="853" formatCode="_ [$₹-4009]\ * #,##0.00_ ;_ [$₹-4009]\ * \-#,##0.00_ ;_ [$₹-4009]\ * &quot;-&quot;??_ ;_ @_ ">
                  <c:v>3804.66791083216</c:v>
                </c:pt>
                <c:pt idx="854" formatCode="_ [$₹-4009]\ * #,##0.00_ ;_ [$₹-4009]\ * \-#,##0.00_ ;_ [$₹-4009]\ * &quot;-&quot;??_ ;_ @_ ">
                  <c:v>3671.50401671996</c:v>
                </c:pt>
                <c:pt idx="855" formatCode="_ [$₹-4009]\ * #,##0.00_ ;_ [$₹-4009]\ * \-#,##0.00_ ;_ [$₹-4009]\ * &quot;-&quot;??_ ;_ @_ ">
                  <c:v>3721.4989106247899</c:v>
                </c:pt>
                <c:pt idx="856" formatCode="_ [$₹-4009]\ * #,##0.00_ ;_ [$₹-4009]\ * \-#,##0.00_ ;_ [$₹-4009]\ * &quot;-&quot;??_ ;_ @_ ">
                  <c:v>3832.1870894752701</c:v>
                </c:pt>
                <c:pt idx="857" formatCode="_ [$₹-4009]\ * #,##0.00_ ;_ [$₹-4009]\ * \-#,##0.00_ ;_ [$₹-4009]\ * &quot;-&quot;??_ ;_ @_ ">
                  <c:v>3769.6957922563602</c:v>
                </c:pt>
                <c:pt idx="858" formatCode="_ [$₹-4009]\ * #,##0.00_ ;_ [$₹-4009]\ * \-#,##0.00_ ;_ [$₹-4009]\ * &quot;-&quot;??_ ;_ @_ ">
                  <c:v>3926.0919542122901</c:v>
                </c:pt>
                <c:pt idx="859" formatCode="_ [$₹-4009]\ * #,##0.00_ ;_ [$₹-4009]\ * \-#,##0.00_ ;_ [$₹-4009]\ * &quot;-&quot;??_ ;_ @_ ">
                  <c:v>3933.9362502549802</c:v>
                </c:pt>
                <c:pt idx="860" formatCode="_ [$₹-4009]\ * #,##0.00_ ;_ [$₹-4009]\ * \-#,##0.00_ ;_ [$₹-4009]\ * &quot;-&quot;??_ ;_ @_ ">
                  <c:v>3822.52309016238</c:v>
                </c:pt>
                <c:pt idx="861" formatCode="_ [$₹-4009]\ * #,##0.00_ ;_ [$₹-4009]\ * \-#,##0.00_ ;_ [$₹-4009]\ * &quot;-&quot;??_ ;_ @_ ">
                  <c:v>4006.14846632227</c:v>
                </c:pt>
                <c:pt idx="862" formatCode="_ [$₹-4009]\ * #,##0.00_ ;_ [$₹-4009]\ * \-#,##0.00_ ;_ [$₹-4009]\ * &quot;-&quot;??_ ;_ @_ ">
                  <c:v>3895.9236110977599</c:v>
                </c:pt>
                <c:pt idx="863" formatCode="_ [$₹-4009]\ * #,##0.00_ ;_ [$₹-4009]\ * \-#,##0.00_ ;_ [$₹-4009]\ * &quot;-&quot;??_ ;_ @_ ">
                  <c:v>3763.4756772870201</c:v>
                </c:pt>
                <c:pt idx="864" formatCode="_ [$₹-4009]\ * #,##0.00_ ;_ [$₹-4009]\ * \-#,##0.00_ ;_ [$₹-4009]\ * &quot;-&quot;??_ ;_ @_ ">
                  <c:v>3814.18511793174</c:v>
                </c:pt>
                <c:pt idx="865" formatCode="_ [$₹-4009]\ * #,##0.00_ ;_ [$₹-4009]\ * \-#,##0.00_ ;_ [$₹-4009]\ * &quot;-&quot;??_ ;_ @_ ">
                  <c:v>3925.5863571934301</c:v>
                </c:pt>
                <c:pt idx="866" formatCode="_ [$₹-4009]\ * #,##0.00_ ;_ [$₹-4009]\ * \-#,##0.00_ ;_ [$₹-4009]\ * &quot;-&quot;??_ ;_ @_ ">
                  <c:v>3863.8041894491098</c:v>
                </c:pt>
                <c:pt idx="867" formatCode="_ [$₹-4009]\ * #,##0.00_ ;_ [$₹-4009]\ * \-#,##0.00_ ;_ [$₹-4009]\ * &quot;-&quot;??_ ;_ @_ ">
                  <c:v>4020.90660319669</c:v>
                </c:pt>
                <c:pt idx="868" formatCode="_ [$₹-4009]\ * #,##0.00_ ;_ [$₹-4009]\ * \-#,##0.00_ ;_ [$₹-4009]\ * &quot;-&quot;??_ ;_ @_ ">
                  <c:v>4029.4555779041302</c:v>
                </c:pt>
                <c:pt idx="869" formatCode="_ [$₹-4009]\ * #,##0.00_ ;_ [$₹-4009]\ * \-#,##0.00_ ;_ [$₹-4009]\ * &quot;-&quot;??_ ;_ @_ ">
                  <c:v>3918.74545822152</c:v>
                </c:pt>
                <c:pt idx="870" formatCode="_ [$₹-4009]\ * #,##0.00_ ;_ [$₹-4009]\ * \-#,##0.00_ ;_ [$₹-4009]\ * &quot;-&quot;??_ ;_ @_ ">
                  <c:v>4103.0721734634799</c:v>
                </c:pt>
                <c:pt idx="871" formatCode="_ [$₹-4009]\ * #,##0.00_ ;_ [$₹-4009]\ * \-#,##0.00_ ;_ [$₹-4009]\ * &quot;-&quot;??_ ;_ @_ ">
                  <c:v>3993.5468949636302</c:v>
                </c:pt>
                <c:pt idx="872" formatCode="_ [$₹-4009]\ * #,##0.00_ ;_ [$₹-4009]\ * \-#,##0.00_ ;_ [$₹-4009]\ * &quot;-&quot;??_ ;_ @_ ">
                  <c:v>3861.7967165217001</c:v>
                </c:pt>
                <c:pt idx="873" formatCode="_ [$₹-4009]\ * #,##0.00_ ;_ [$₹-4009]\ * \-#,##0.00_ ;_ [$₹-4009]\ * &quot;-&quot;??_ ;_ @_ ">
                  <c:v>3913.2020341975899</c:v>
                </c:pt>
                <c:pt idx="874" formatCode="_ [$₹-4009]\ * #,##0.00_ ;_ [$₹-4009]\ * \-#,##0.00_ ;_ [$₹-4009]\ * &quot;-&quot;??_ ;_ @_ ">
                  <c:v>4025.2972171718402</c:v>
                </c:pt>
                <c:pt idx="875" formatCode="_ [$₹-4009]\ * #,##0.00_ ;_ [$₹-4009]\ * \-#,##0.00_ ;_ [$₹-4009]\ * &quot;-&quot;??_ ;_ @_ ">
                  <c:v>3964.14155853497</c:v>
                </c:pt>
                <c:pt idx="876" formatCode="_ [$₹-4009]\ * #,##0.00_ ;_ [$₹-4009]\ * \-#,##0.00_ ;_ [$₹-4009]\ * &quot;-&quot;??_ ;_ @_ ">
                  <c:v>4121.9313021303697</c:v>
                </c:pt>
                <c:pt idx="877" formatCode="_ [$₹-4009]\ * #,##0.00_ ;_ [$₹-4009]\ * \-#,##0.00_ ;_ [$₹-4009]\ * &quot;-&quot;??_ ;_ @_ ">
                  <c:v>4131.16562959967</c:v>
                </c:pt>
                <c:pt idx="878" formatCode="_ [$₹-4009]\ * #,##0.00_ ;_ [$₹-4009]\ * \-#,##0.00_ ;_ [$₹-4009]\ * &quot;-&quot;??_ ;_ @_ ">
                  <c:v>4021.1388370458199</c:v>
                </c:pt>
                <c:pt idx="879" formatCode="_ [$₹-4009]\ * #,##0.00_ ;_ [$₹-4009]\ * \-#,##0.00_ ;_ [$₹-4009]\ * &quot;-&quot;??_ ;_ @_ ">
                  <c:v>4206.1468070942801</c:v>
                </c:pt>
                <c:pt idx="880" formatCode="_ [$₹-4009]\ * #,##0.00_ ;_ [$₹-4009]\ * \-#,##0.00_ ;_ [$₹-4009]\ * &quot;-&quot;??_ ;_ @_ ">
                  <c:v>4097.3006662265298</c:v>
                </c:pt>
                <c:pt idx="881" formatCode="_ [$₹-4009]\ * #,##0.00_ ;_ [$₹-4009]\ * \-#,##0.00_ ;_ [$₹-4009]\ * &quot;-&quot;??_ ;_ @_ ">
                  <c:v>3966.2274652050901</c:v>
                </c:pt>
                <c:pt idx="882" formatCode="_ [$₹-4009]\ * #,##0.00_ ;_ [$₹-4009]\ * \-#,##0.00_ ;_ [$₹-4009]\ * &quot;-&quot;??_ ;_ @_ ">
                  <c:v>4018.3075588445799</c:v>
                </c:pt>
                <c:pt idx="883" formatCode="_ [$₹-4009]\ * #,##0.00_ ;_ [$₹-4009]\ * \-#,##0.00_ ;_ [$₹-4009]\ * &quot;-&quot;??_ ;_ @_ ">
                  <c:v>4131.0752768479897</c:v>
                </c:pt>
                <c:pt idx="884" formatCode="_ [$₹-4009]\ * #,##0.00_ ;_ [$₹-4009]\ * \-#,##0.00_ ;_ [$₹-4009]\ * &quot;-&quot;??_ ;_ @_ ">
                  <c:v>4070.47249733228</c:v>
                </c:pt>
                <c:pt idx="885" formatCode="_ [$₹-4009]\ * #,##0.00_ ;_ [$₹-4009]\ * \-#,##0.00_ ;_ [$₹-4009]\ * &quot;-&quot;??_ ;_ @_ ">
                  <c:v>4228.9285308055496</c:v>
                </c:pt>
                <c:pt idx="886" formatCode="_ [$₹-4009]\ * #,##0.00_ ;_ [$₹-4009]\ * \-#,##0.00_ ;_ [$₹-4009]\ * &quot;-&quot;??_ ;_ @_ ">
                  <c:v>4238.8268964368499</c:v>
                </c:pt>
                <c:pt idx="887" formatCode="_ [$₹-4009]\ * #,##0.00_ ;_ [$₹-4009]\ * \-#,##0.00_ ;_ [$₹-4009]\ * &quot;-&quot;??_ ;_ @_ ">
                  <c:v>4129.4618560428198</c:v>
                </c:pt>
                <c:pt idx="888" formatCode="_ [$₹-4009]\ * #,##0.00_ ;_ [$₹-4009]\ * \-#,##0.00_ ;_ [$₹-4009]\ * &quot;-&quot;??_ ;_ @_ ">
                  <c:v>4315.1292595762998</c:v>
                </c:pt>
                <c:pt idx="889" formatCode="_ [$₹-4009]\ * #,##0.00_ ;_ [$₹-4009]\ * \-#,##0.00_ ;_ [$₹-4009]\ * &quot;-&quot;??_ ;_ @_ ">
                  <c:v>4206.9402024336496</c:v>
                </c:pt>
                <c:pt idx="890" formatCode="_ [$₹-4009]\ * #,##0.00_ ;_ [$₹-4009]\ * \-#,##0.00_ ;_ [$₹-4009]\ * &quot;-&quot;??_ ;_ @_ ">
                  <c:v>4076.5217058530802</c:v>
                </c:pt>
                <c:pt idx="891" formatCode="_ [$₹-4009]\ * #,##0.00_ ;_ [$₹-4009]\ * \-#,##0.00_ ;_ [$₹-4009]\ * &quot;-&quot;??_ ;_ @_ ">
                  <c:v>4129.2540966583801</c:v>
                </c:pt>
                <c:pt idx="892" formatCode="_ [$₹-4009]\ * #,##0.00_ ;_ [$₹-4009]\ * \-#,##0.00_ ;_ [$₹-4009]\ * &quot;-&quot;??_ ;_ @_ ">
                  <c:v>4242.6716780674797</c:v>
                </c:pt>
                <c:pt idx="893" formatCode="_ [$₹-4009]\ * #,##0.00_ ;_ [$₹-4009]\ * \-#,##0.00_ ;_ [$₹-4009]\ * &quot;-&quot;??_ ;_ @_ ">
                  <c:v>4182.5570088731802</c:v>
                </c:pt>
                <c:pt idx="894" formatCode="_ [$₹-4009]\ * #,##0.00_ ;_ [$₹-4009]\ * \-#,##0.00_ ;_ [$₹-4009]\ * &quot;-&quot;??_ ;_ @_ ">
                  <c:v>4341.6571358290503</c:v>
                </c:pt>
                <c:pt idx="895" formatCode="_ [$₹-4009]\ * #,##0.00_ ;_ [$₹-4009]\ * \-#,##0.00_ ;_ [$₹-4009]\ * &quot;-&quot;??_ ;_ @_ ">
                  <c:v>4352.1971744191296</c:v>
                </c:pt>
                <c:pt idx="896" formatCode="_ [$₹-4009]\ * #,##0.00_ ;_ [$₹-4009]\ * \-#,##0.00_ ;_ [$₹-4009]\ * &quot;-&quot;??_ ;_ @_ ">
                  <c:v>4243.4713640028804</c:v>
                </c:pt>
                <c:pt idx="897" formatCode="_ [$₹-4009]\ * #,##0.00_ ;_ [$₹-4009]\ * \-#,##0.00_ ;_ [$₹-4009]\ * &quot;-&quot;??_ ;_ @_ ">
                  <c:v>4429.7755334321</c:v>
                </c:pt>
                <c:pt idx="898" formatCode="_ [$₹-4009]\ * #,##0.00_ ;_ [$₹-4009]\ * \-#,##0.00_ ;_ [$₹-4009]\ * &quot;-&quot;??_ ;_ @_ ">
                  <c:v>4322.2207583305499</c:v>
                </c:pt>
                <c:pt idx="899" formatCode="_ [$₹-4009]\ * #,##0.00_ ;_ [$₹-4009]\ * \-#,##0.00_ ;_ [$₹-4009]\ * &quot;-&quot;??_ ;_ @_ ">
                  <c:v>4192.4340414642302</c:v>
                </c:pt>
                <c:pt idx="900" formatCode="_ [$₹-4009]\ * #,##0.00_ ;_ [$₹-4009]\ * \-#,##0.00_ ;_ [$₹-4009]\ * &quot;-&quot;??_ ;_ @_ ">
                  <c:v>4245.7956924569799</c:v>
                </c:pt>
                <c:pt idx="901" formatCode="_ [$₹-4009]\ * #,##0.00_ ;_ [$₹-4009]\ * \-#,##0.00_ ;_ [$₹-4009]\ * &quot;-&quot;??_ ;_ @_ ">
                  <c:v>4359.8399985708402</c:v>
                </c:pt>
                <c:pt idx="902" formatCode="_ [$₹-4009]\ * #,##0.00_ ;_ [$₹-4009]\ * \-#,##0.00_ ;_ [$₹-4009]\ * &quot;-&quot;??_ ;_ @_ ">
                  <c:v>4300.1570708069603</c:v>
                </c:pt>
                <c:pt idx="903" formatCode="_ [$₹-4009]\ * #,##0.00_ ;_ [$₹-4009]\ * \-#,##0.00_ ;_ [$₹-4009]\ * &quot;-&quot;??_ ;_ @_ ">
                  <c:v>4459.8786816805896</c:v>
                </c:pt>
                <c:pt idx="904" formatCode="_ [$₹-4009]\ * #,##0.00_ ;_ [$₹-4009]\ * \-#,##0.00_ ;_ [$₹-4009]\ * &quot;-&quot;??_ ;_ @_ ">
                  <c:v>4471.0376984438399</c:v>
                </c:pt>
                <c:pt idx="905" formatCode="_ [$₹-4009]\ * #,##0.00_ ;_ [$₹-4009]\ * \-#,##0.00_ ;_ [$₹-4009]\ * &quot;-&quot;??_ ;_ @_ ">
                  <c:v>4362.9283475081702</c:v>
                </c:pt>
                <c:pt idx="906" formatCode="_ [$₹-4009]\ * #,##0.00_ ;_ [$₹-4009]\ * \-#,##0.00_ ;_ [$₹-4009]\ * &quot;-&quot;??_ ;_ @_ ">
                  <c:v>4549.8464458858298</c:v>
                </c:pt>
                <c:pt idx="907" formatCode="_ [$₹-4009]\ * #,##0.00_ ;_ [$₹-4009]\ * \-#,##0.00_ ;_ [$₹-4009]\ * &quot;-&quot;??_ ;_ @_ ">
                  <c:v>4442.90305844249</c:v>
                </c:pt>
                <c:pt idx="908" formatCode="_ [$₹-4009]\ * #,##0.00_ ;_ [$₹-4009]\ * \-#,##0.00_ ;_ [$₹-4009]\ * &quot;-&quot;??_ ;_ @_ ">
                  <c:v>4313.7251782406702</c:v>
                </c:pt>
                <c:pt idx="909" formatCode="_ [$₹-4009]\ * #,##0.00_ ;_ [$₹-4009]\ * \-#,##0.00_ ;_ [$₹-4009]\ * &quot;-&quot;??_ ;_ @_ ">
                  <c:v>4367.6931062284802</c:v>
                </c:pt>
                <c:pt idx="910" formatCode="_ [$₹-4009]\ * #,##0.00_ ;_ [$₹-4009]\ * \-#,##0.00_ ;_ [$₹-4009]\ * &quot;-&quot;??_ ;_ @_ ">
                  <c:v>4482.3411219932696</c:v>
                </c:pt>
                <c:pt idx="911" formatCode="_ [$₹-4009]\ * #,##0.00_ ;_ [$₹-4009]\ * \-#,##0.00_ ;_ [$₹-4009]\ * &quot;-&quot;??_ ;_ @_ ">
                  <c:v>4423.04130396852</c:v>
                </c:pt>
                <c:pt idx="912" formatCode="_ [$₹-4009]\ * #,##0.00_ ;_ [$₹-4009]\ * \-#,##0.00_ ;_ [$₹-4009]\ * &quot;-&quot;??_ ;_ @_ ">
                  <c:v>4583.3619280938401</c:v>
                </c:pt>
                <c:pt idx="913" formatCode="_ [$₹-4009]\ * #,##0.00_ ;_ [$₹-4009]\ * \-#,##0.00_ ;_ [$₹-4009]\ * &quot;-&quot;??_ ;_ @_ ">
                  <c:v>4595.1174310142196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A2-4686-BE26-60BCD0317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810415"/>
        <c:axId val="1715852383"/>
      </c:lineChart>
      <c:catAx>
        <c:axId val="18168104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852383"/>
        <c:crosses val="autoZero"/>
        <c:auto val="1"/>
        <c:lblAlgn val="ctr"/>
        <c:lblOffset val="100"/>
        <c:noMultiLvlLbl val="1"/>
      </c:catAx>
      <c:valAx>
        <c:axId val="171585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46051f-44a9-4087-bc34-0197fdf916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259081</xdr:colOff>
      <xdr:row>8</xdr:row>
      <xdr:rowOff>144780</xdr:rowOff>
    </xdr:from>
    <xdr:to>
      <xdr:col>13</xdr:col>
      <xdr:colOff>225779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217312</xdr:colOff>
      <xdr:row>8</xdr:row>
      <xdr:rowOff>133585</xdr:rowOff>
    </xdr:from>
    <xdr:to>
      <xdr:col>21</xdr:col>
      <xdr:colOff>526815</xdr:colOff>
      <xdr:row>23</xdr:row>
      <xdr:rowOff>133585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259080</xdr:colOff>
      <xdr:row>23</xdr:row>
      <xdr:rowOff>137160</xdr:rowOff>
    </xdr:from>
    <xdr:to>
      <xdr:col>12</xdr:col>
      <xdr:colOff>508000</xdr:colOff>
      <xdr:row>38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508000</xdr:colOff>
      <xdr:row>23</xdr:row>
      <xdr:rowOff>137160</xdr:rowOff>
    </xdr:from>
    <xdr:to>
      <xdr:col>20</xdr:col>
      <xdr:colOff>244592</xdr:colOff>
      <xdr:row>38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293134</xdr:colOff>
      <xdr:row>23</xdr:row>
      <xdr:rowOff>154187</xdr:rowOff>
    </xdr:from>
    <xdr:to>
      <xdr:col>27</xdr:col>
      <xdr:colOff>597934</xdr:colOff>
      <xdr:row>38</xdr:row>
      <xdr:rowOff>154187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545630</xdr:colOff>
      <xdr:row>8</xdr:row>
      <xdr:rowOff>150519</xdr:rowOff>
    </xdr:from>
    <xdr:to>
      <xdr:col>27</xdr:col>
      <xdr:colOff>573852</xdr:colOff>
      <xdr:row>24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80151</xdr:colOff>
      <xdr:row>43</xdr:row>
      <xdr:rowOff>118251</xdr:rowOff>
    </xdr:from>
    <xdr:to>
      <xdr:col>4</xdr:col>
      <xdr:colOff>74506</xdr:colOff>
      <xdr:row>51</xdr:row>
      <xdr:rowOff>37630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on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" y="8119110"/>
              <a:ext cx="1823085" cy="1382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41958</xdr:colOff>
      <xdr:row>0</xdr:row>
      <xdr:rowOff>0</xdr:rowOff>
    </xdr:from>
    <xdr:to>
      <xdr:col>4</xdr:col>
      <xdr:colOff>36313</xdr:colOff>
      <xdr:row>13</xdr:row>
      <xdr:rowOff>2234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Discount">
              <a:extLst>
                <a:ext uri="{FF2B5EF4-FFF2-40B4-BE49-F238E27FC236}">
                  <a16:creationId xmlns:a16="http://schemas.microsoft.com/office/drawing/2014/main" id="{00000000-0008-0000-0C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ount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10" y="0"/>
              <a:ext cx="1823085" cy="251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42240</xdr:colOff>
      <xdr:row>13</xdr:row>
      <xdr:rowOff>123330</xdr:rowOff>
    </xdr:from>
    <xdr:to>
      <xdr:col>4</xdr:col>
      <xdr:colOff>36595</xdr:colOff>
      <xdr:row>27</xdr:row>
      <xdr:rowOff>87935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ategory">
              <a:extLst>
                <a:ext uri="{FF2B5EF4-FFF2-40B4-BE49-F238E27FC236}">
                  <a16:creationId xmlns:a16="http://schemas.microsoft.com/office/drawing/2014/main" id="{00000000-0008-0000-0C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10" y="2637790"/>
              <a:ext cx="1823085" cy="252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70744</xdr:colOff>
      <xdr:row>22</xdr:row>
      <xdr:rowOff>161243</xdr:rowOff>
    </xdr:from>
    <xdr:to>
      <xdr:col>4</xdr:col>
      <xdr:colOff>65099</xdr:colOff>
      <xdr:row>36</xdr:row>
      <xdr:rowOff>125847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Total_Amount">
              <a:extLst>
                <a:ext uri="{FF2B5EF4-FFF2-40B4-BE49-F238E27FC236}">
                  <a16:creationId xmlns:a16="http://schemas.microsoft.com/office/drawing/2014/main" id="{00000000-0008-0000-0C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Amount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" y="4321175"/>
              <a:ext cx="1823085" cy="2525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61055</xdr:colOff>
      <xdr:row>36</xdr:row>
      <xdr:rowOff>125964</xdr:rowOff>
    </xdr:from>
    <xdr:to>
      <xdr:col>4</xdr:col>
      <xdr:colOff>55410</xdr:colOff>
      <xdr:row>43</xdr:row>
      <xdr:rowOff>84666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Years">
              <a:extLst>
                <a:ext uri="{FF2B5EF4-FFF2-40B4-BE49-F238E27FC236}">
                  <a16:creationId xmlns:a16="http://schemas.microsoft.com/office/drawing/2014/main" id="{00000000-0008-0000-0C00-00001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6846570"/>
              <a:ext cx="1823085" cy="1238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89276</xdr:colOff>
      <xdr:row>41</xdr:row>
      <xdr:rowOff>8561</xdr:rowOff>
    </xdr:from>
    <xdr:to>
      <xdr:col>7</xdr:col>
      <xdr:colOff>83632</xdr:colOff>
      <xdr:row>54</xdr:row>
      <xdr:rowOff>151906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Product_Brand">
              <a:extLst>
                <a:ext uri="{FF2B5EF4-FFF2-40B4-BE49-F238E27FC236}">
                  <a16:creationId xmlns:a16="http://schemas.microsoft.com/office/drawing/2014/main" id="{00000000-0008-0000-0C00-00001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Brand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7300" y="7643495"/>
              <a:ext cx="1823085" cy="252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117217</xdr:colOff>
      <xdr:row>41</xdr:row>
      <xdr:rowOff>754</xdr:rowOff>
    </xdr:from>
    <xdr:to>
      <xdr:col>10</xdr:col>
      <xdr:colOff>17498</xdr:colOff>
      <xdr:row>45</xdr:row>
      <xdr:rowOff>131705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Gender">
              <a:extLst>
                <a:ext uri="{FF2B5EF4-FFF2-40B4-BE49-F238E27FC236}">
                  <a16:creationId xmlns:a16="http://schemas.microsoft.com/office/drawing/2014/main" id="{00000000-0008-0000-0C00-00001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4040" y="7635875"/>
              <a:ext cx="1823085" cy="862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211573</xdr:colOff>
      <xdr:row>41</xdr:row>
      <xdr:rowOff>48072</xdr:rowOff>
    </xdr:from>
    <xdr:to>
      <xdr:col>16</xdr:col>
      <xdr:colOff>205928</xdr:colOff>
      <xdr:row>48</xdr:row>
      <xdr:rowOff>159925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Region 1">
              <a:extLst>
                <a:ext uri="{FF2B5EF4-FFF2-40B4-BE49-F238E27FC236}">
                  <a16:creationId xmlns:a16="http://schemas.microsoft.com/office/drawing/2014/main" id="{00000000-0008-0000-0C00-00001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6255" y="7682865"/>
              <a:ext cx="1823085" cy="139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174225</xdr:colOff>
      <xdr:row>41</xdr:row>
      <xdr:rowOff>20133</xdr:rowOff>
    </xdr:from>
    <xdr:to>
      <xdr:col>13</xdr:col>
      <xdr:colOff>168581</xdr:colOff>
      <xdr:row>47</xdr:row>
      <xdr:rowOff>18815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Store_Type">
              <a:extLst>
                <a:ext uri="{FF2B5EF4-FFF2-40B4-BE49-F238E27FC236}">
                  <a16:creationId xmlns:a16="http://schemas.microsoft.com/office/drawing/2014/main" id="{00000000-0008-0000-0C00-00001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9990" y="7654925"/>
              <a:ext cx="1823085" cy="1096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6</xdr:row>
      <xdr:rowOff>110490</xdr:rowOff>
    </xdr:from>
    <xdr:to>
      <xdr:col>13</xdr:col>
      <xdr:colOff>60960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899160</xdr:colOff>
      <xdr:row>2</xdr:row>
      <xdr:rowOff>87630</xdr:rowOff>
    </xdr:from>
    <xdr:to>
      <xdr:col>9</xdr:col>
      <xdr:colOff>388620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64770</xdr:rowOff>
    </xdr:from>
    <xdr:to>
      <xdr:col>8</xdr:col>
      <xdr:colOff>373380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807720</xdr:colOff>
      <xdr:row>8</xdr:row>
      <xdr:rowOff>87630</xdr:rowOff>
    </xdr:from>
    <xdr:to>
      <xdr:col>9</xdr:col>
      <xdr:colOff>906780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2</xdr:row>
      <xdr:rowOff>3810</xdr:rowOff>
    </xdr:from>
    <xdr:to>
      <xdr:col>11</xdr:col>
      <xdr:colOff>83820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1</xdr:row>
      <xdr:rowOff>171450</xdr:rowOff>
    </xdr:from>
    <xdr:to>
      <xdr:col>12</xdr:col>
      <xdr:colOff>291465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2.582319791698" createdVersion="7" refreshedVersion="7" minRefreshableVersion="3" recordCount="2000" xr:uid="{00000000-000A-0000-FFFF-FFFF00000000}">
  <cacheSource type="worksheet">
    <worksheetSource ref="A1:S2001" sheet="Sales_Fact"/>
  </cacheSource>
  <cacheFields count="18">
    <cacheField name="Sales_ID" numFmtId="0">
      <sharedItems containsSemiMixedTypes="0" containsNonDate="0" containsString="0"/>
    </cacheField>
    <cacheField name="Order_Date" numFmtId="164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Product_ID" numFmtId="0">
      <sharedItems containsSemiMixedTypes="0" containsNonDate="0" containsString="0"/>
    </cacheField>
    <cacheField name="Store_ID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Unit_Price" numFmtId="166">
      <sharedItems containsSemiMixedTypes="0" containsNonDate="0" containsString="0"/>
    </cacheField>
    <cacheField name="Discount" numFmtId="2">
      <sharedItems containsSemiMixedTypes="0" containsNonDate="0" containsString="0"/>
    </cacheField>
    <cacheField name="Payment_Type" numFmtId="0">
      <sharedItems containsSemiMixedTypes="0" containsNonDate="0" containsString="0"/>
    </cacheField>
    <cacheField name="Gender" numFmtId="49">
      <sharedItems count="2">
        <s v="Male"/>
        <s v="Female"/>
      </sharedItems>
    </cacheField>
    <cacheField name="State" numFmtId="49">
      <sharedItems count="50">
        <s v="Wyoming"/>
        <s v="Vermont"/>
        <s v="Pennsylvania"/>
        <s v="Tennessee"/>
        <s v="Alabama"/>
        <s v="Rhode Island"/>
        <s v="Missouri"/>
        <s v="Washington"/>
        <s v="Nevada"/>
        <s v="Iowa"/>
        <s v="Montana"/>
        <s v="Texas"/>
        <s v="Idaho"/>
        <s v="Arkansas"/>
        <s v="New York"/>
        <s v="Oklahoma"/>
        <s v="North Dakota"/>
        <s v="Maine"/>
        <s v="Wisconsin"/>
        <s v="New Jersey"/>
        <s v="Michigan"/>
        <s v="New Hampshire"/>
        <s v="Hawaii"/>
        <s v="New Mexico"/>
        <s v="California"/>
        <s v="Mississippi"/>
        <s v="Florida"/>
        <s v="Kentucky"/>
        <s v="Arizona"/>
        <s v="North Carolina"/>
        <s v="Indiana"/>
        <s v="Ohio"/>
        <s v="Kansas"/>
        <s v="Maryland"/>
        <s v="South Dakota"/>
        <s v="West Virginia"/>
        <s v="Georgia"/>
        <s v="Delaware"/>
        <s v="Louisiana"/>
        <s v="Utah"/>
        <s v="Connecticut"/>
        <s v="Alaska"/>
        <s v="South Carolina"/>
        <s v="Massachusetts"/>
        <s v="Colorado"/>
        <s v="Virginia"/>
        <s v="Minnesota"/>
        <s v="Oregon"/>
        <s v="Nebraska"/>
        <s v="Illinois"/>
      </sharedItems>
    </cacheField>
    <cacheField name="Loyalty_Level" numFmtId="49">
      <sharedItems count="5">
        <s v="Gold"/>
        <s v="Platinum"/>
        <s v="Silver"/>
        <s v="Bronze"/>
        <s v="Unknown"/>
      </sharedItems>
    </cacheField>
    <cacheField name="Product_Brand" numFmtId="49">
      <sharedItems containsSemiMixedTypes="0" containsNonDate="0" containsString="0"/>
    </cacheField>
    <cacheField name="Category" numFmtId="49">
      <sharedItems count="5">
        <s v="Sports"/>
        <s v="Electronics"/>
        <s v="Beauty"/>
        <s v="Home"/>
        <s v="Clothing"/>
      </sharedItems>
    </cacheField>
    <cacheField name="Cost" numFmtId="0">
      <sharedItems containsSemiMixedTypes="0" containsNonDate="0" containsString="0"/>
    </cacheField>
    <cacheField name="Region" numFmtId="0">
      <sharedItems count="4">
        <s v="North"/>
        <s v="West"/>
        <s v="South"/>
        <s v="East"/>
      </sharedItems>
    </cacheField>
    <cacheField name="Store_Type" numFmtId="0">
      <sharedItems count="3">
        <s v="Outlet"/>
        <s v="Flagship"/>
        <s v="Online"/>
      </sharedItems>
    </cacheField>
    <cacheField name="Total_Amount" numFmtId="165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2.622373495396" createdVersion="7" refreshedVersion="7" minRefreshableVersion="3" recordCount="2000" xr:uid="{00000000-000A-0000-FFFF-FFFF01000000}">
  <cacheSource type="worksheet">
    <worksheetSource ref="A1:S2001" sheet="Sales_Fact"/>
  </cacheSource>
  <cacheFields count="21">
    <cacheField name="Sales_ID" numFmtId="0">
      <sharedItems containsNonDate="0"/>
    </cacheField>
    <cacheField name="Order_Date" numFmtId="164">
      <sharedItems containsSemiMixedTypes="0" containsNonDate="0" containsDate="1" containsString="0" minDate="2023-10-14T00:00:00" maxDate="2025-10-13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base="1">
        <rangePr groupBy="months" startDate="2023-10-14T00:00:00" endDate="2025-10-14T00:00:00"/>
        <groupItems count="14">
          <s v="&lt;14/10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4/10/2025"/>
        </groupItems>
      </fieldGroup>
    </cacheField>
    <cacheField name="Customer_ID" numFmtId="0">
      <sharedItems containsNonDate="0"/>
    </cacheField>
    <cacheField name="Product_ID" numFmtId="0">
      <sharedItems containsNonDate="0"/>
    </cacheField>
    <cacheField name="Store_ID" numFmtId="0">
      <sharedItems containsNonDate="0"/>
    </cacheField>
    <cacheField name="Quantity" numFmtId="0">
      <sharedItems containsSemiMixedTypes="0" containsNonDate="0" containsString="0" containsNumber="1" containsInteger="1" minValue="1" maxValue="4"/>
    </cacheField>
    <cacheField name="Unit_Price" numFmtId="166">
      <sharedItems containsSemiMixedTypes="0" containsNonDate="0" containsString="0" containsNumber="1" minValue="20.09" maxValue="999.89"/>
    </cacheField>
    <cacheField name="Discount" numFmtId="2">
      <sharedItems containsSemiMixedTypes="0" containsString="0" containsNumber="1" minValue="0" maxValue="0.3" count="36">
        <n v="0.09"/>
        <n v="0.27"/>
        <n v="0.25"/>
        <n v="0.16"/>
        <n v="0.18"/>
        <n v="0.19"/>
        <n v="0.15"/>
        <n v="0.23"/>
        <n v="7.0000000000000007E-2"/>
        <n v="0.17"/>
        <n v="0.01"/>
        <n v="0.3"/>
        <n v="0.28999999999999998"/>
        <n v="0.04"/>
        <n v="0.22"/>
        <n v="0.03"/>
        <n v="0.08"/>
        <n v="0.14000000000000001"/>
        <n v="0.14787530225862699"/>
        <n v="0.147944020356234"/>
        <n v="0.14853340883352201"/>
        <n v="0.13"/>
        <n v="0.06"/>
        <n v="0.28000000000000003"/>
        <n v="0.24"/>
        <n v="0.26"/>
        <n v="0.14699999999999999"/>
        <n v="0.12"/>
        <n v="0.05"/>
        <n v="0.2"/>
        <n v="0.1"/>
        <n v="0.02"/>
        <n v="0.11"/>
        <n v="0"/>
        <n v="0.21"/>
        <n v="0.14799999999999999"/>
      </sharedItems>
    </cacheField>
    <cacheField name="Payment_Type" numFmtId="0">
      <sharedItems count="3">
        <s v="Credit Card"/>
        <s v="PayPal"/>
        <s v="COD"/>
      </sharedItems>
    </cacheField>
    <cacheField name="Gender" numFmtId="49">
      <sharedItems count="2">
        <s v="Male"/>
        <s v="Female"/>
      </sharedItems>
    </cacheField>
    <cacheField name="State" numFmtId="49">
      <sharedItems count="50">
        <s v="Wyoming"/>
        <s v="Vermont"/>
        <s v="Pennsylvania"/>
        <s v="Tennessee"/>
        <s v="Alabama"/>
        <s v="Rhode Island"/>
        <s v="Missouri"/>
        <s v="Washington"/>
        <s v="Nevada"/>
        <s v="Iowa"/>
        <s v="Montana"/>
        <s v="Texas"/>
        <s v="Idaho"/>
        <s v="Arkansas"/>
        <s v="New York"/>
        <s v="Oklahoma"/>
        <s v="North Dakota"/>
        <s v="Maine"/>
        <s v="Wisconsin"/>
        <s v="New Jersey"/>
        <s v="Michigan"/>
        <s v="New Hampshire"/>
        <s v="Hawaii"/>
        <s v="New Mexico"/>
        <s v="California"/>
        <s v="Mississippi"/>
        <s v="Florida"/>
        <s v="Kentucky"/>
        <s v="Arizona"/>
        <s v="North Carolina"/>
        <s v="Indiana"/>
        <s v="Ohio"/>
        <s v="Kansas"/>
        <s v="Maryland"/>
        <s v="South Dakota"/>
        <s v="West Virginia"/>
        <s v="Georgia"/>
        <s v="Delaware"/>
        <s v="Louisiana"/>
        <s v="Utah"/>
        <s v="Connecticut"/>
        <s v="Alaska"/>
        <s v="South Carolina"/>
        <s v="Massachusetts"/>
        <s v="Colorado"/>
        <s v="Virginia"/>
        <s v="Minnesota"/>
        <s v="Oregon"/>
        <s v="Nebraska"/>
        <s v="Illinois"/>
      </sharedItems>
    </cacheField>
    <cacheField name="Loyalty_Level" numFmtId="49">
      <sharedItems count="5">
        <s v="Gold"/>
        <s v="Platinum"/>
        <s v="Silver"/>
        <s v="Bronze"/>
        <s v="Unknown"/>
      </sharedItems>
    </cacheField>
    <cacheField name="Product_Brand" numFmtId="49">
      <sharedItems count="100">
        <s v="Cricket Bat - Khan Llc"/>
        <s v="Bluetooth Car Audio System - Bruce-Bowen"/>
        <s v="Men'S Roll-On Perfume - Sullivan And Sons"/>
        <s v="Wireless Mouse - Larson Ltd"/>
        <s v="Men'S Hair Styling Gel - Cline-Mccarthy"/>
        <s v="4K Home Projector - Thomas Llc"/>
        <s v="Premium Blanket Throw - Hernandez, Kennedy And Porter"/>
        <s v="Kitchen Storage Rack - Duran Group"/>
        <s v="Stainless Steel Cookware Set - Campbell Ltd"/>
        <s v="Modern Wall Clock - Weiss-Watson"/>
        <s v="Foldable Camping Chair - Cook Ltd"/>
        <s v="Portable Power Bank - Cummings And Sons"/>
        <s v="Sports Wrist Sweatbands - Olsen-Daniels"/>
        <s v="Gaming Mechanical Keyboard - Lucero Llc"/>
        <s v="Women'S Summer Dress - Smith-Mills"/>
        <s v="Adjustable Dumbbells 20Kg - Montgomery, Benton And Miller"/>
        <s v="Decorative Floor Vase - Khan, Jones And Paul"/>
        <s v="Luxury Perfume Spray - Gibson, Green And Lopez"/>
        <s v="Professional Jump Rope - Davis Plc"/>
        <s v="Usb External Hard Drive - Robinson Inc"/>
        <s v="Men'S Sports Shorts - Fitzpatrick Ltd"/>
        <s v="Hair Strengthening Shampoo - Rice Llc"/>
        <s v="Smart Led Light Strip - Flores-Davis"/>
        <s v="Men'S Leather Belt - Baldwin, Garza And Gonzalez"/>
        <s v="Portable Bluetooth Speaker - Flores-King"/>
        <s v="Wifi Mesh Router - White, Reeves And Woods"/>
        <s v="Usb-C Fast Charger - Dawson-Perkins"/>
        <s v="Men'S Track Pants - Hamilton, Woods And Walker"/>
        <s v="Women'S Ankle Boots - Poole Plc"/>
        <s v="Decorative Lamp Shade - Ramirez-Hanson"/>
        <s v="Beard Grooming Kit - Erickson-Green"/>
        <s v="Ceramic Kitchen Bowl Set - Hamilton Group"/>
        <s v="Vitamin E Body Lotion - Hoffman-Williams"/>
        <s v="Wireless Bluetooth Speaker - Reed-Schmidt"/>
        <s v="Men'S Formal Shirt - Moon, Mora And Santos"/>
        <s v="Fabric Sofa Throw Blanket - Hoffman Group"/>
        <s v="Essential Oil Diffuser - Hernandez Inc"/>
        <s v="Stainless Steel Cutlery Set - Stevens, Fernandez And Martin"/>
        <s v="Adjustable Jump Rope - Cox Inc"/>
        <s v="Multi-Purpose Storage Box - Gardner-Montes"/>
        <s v="Rugby Ball - Harris Inc"/>
        <s v="Face Foundation Kit - Taylor-Elliott"/>
        <s v="Outdoor Sports Water Bottle - Soto-Ellis"/>
        <s v="Noise-Canceling Headphones - Taylor-Hart"/>
        <s v="Makeup Brush Set - Cook Inc"/>
        <s v="Basketball - Nolan-Snow"/>
        <s v="Knee Support Brace - May-Reese"/>
        <s v="Usb-C Laptop Charger - Martin Llc"/>
        <s v="Sports Water Hydration Pack - Sims-Smith"/>
        <s v="High-Grip Football - Bridges, Banks And Cummings"/>
        <s v="Hydrating Face Cleanser - Butler Group"/>
        <s v="Hair Repair Oil Treatment - Hopkins Ltd"/>
        <s v="Women'S High Heels - Smith-Charles"/>
        <s v="Soccer Training Cone Set - Ford, Murphy And Wilson"/>
        <s v="Men'S Winter Jacket - Kelly, Smith And Perez"/>
        <s v="Men'S Graphic T-Shirt - Terry-Moore"/>
        <s v="Kitchen Cutting Board - Taylor, Dodson And Johnston"/>
        <s v="Boxing Hand Wraps - Smith-King"/>
        <s v="Men'S Running Jacket - Pineda Ltd"/>
        <s v="Sports Stopwatch Pro - Thompson-French"/>
        <s v="Women'S Scarf Set - Brown And Sons"/>
        <s v="Wall-Mounted Spice Rack - Allison Ltd"/>
        <s v="Carbon Fiber Tennis Racket - Flores, Pineda And Rodriguez"/>
        <s v="Smart Home Wifi Camera - Holmes Llc"/>
        <s v="Gaming Mouse Pad Xl - Sharp, Taylor And Rodriguez"/>
        <s v="Women'S Beanie Hat - Richardson-Carrillo"/>
        <s v="Decorative Wall Mirror - Luna, Anderson And Bowman"/>
        <s v="Wireless Bluetooth Earbuds - Perez-Johnston"/>
        <s v="Bedroom Table Lamp - Jones Llc"/>
        <s v="Hdmi Cable – 2M - Bautista, Green And Hale"/>
        <s v="Car Dashboard Phone Holder - Byrd, Stewart And Valdez"/>
        <s v="Foam Roller - Atkinson, Camacho And Oliver"/>
        <s v="Led Bedside Lamp - Aguilar, Horton And Lewis"/>
        <s v="Women'S Hair Dryer Brush - Torres, Spencer And Potter"/>
        <s v="Fitness Resistance Bands - Reese-Watson"/>
        <s v="Hd Smart Tv Stick - Gibson, Hobbs And Weaver"/>
        <s v="Ceramic Plant Pot - Hatfield, Baird And Torres"/>
        <s v="Sports Stopwatch Timer - Burns-Hansen"/>
        <s v="Shin Guards – Adult - French Ltd"/>
        <s v="Vitamin C Face Serum - Griffin Ltd"/>
        <s v="Microwave Oven - Green, Powell And Palmer"/>
        <s v="Organic Sunscreen Lotion - Anderson-Riley"/>
        <s v="Badminton Racket Set - Robinson-Brown"/>
        <s v="Women'S Yoga Pants - Gonzales-Davis"/>
        <s v="Led Table Lamp - Harrell Llc"/>
        <s v="Laptop Cooling Pad - Murray, Gould And Ware"/>
        <s v="Tennis Ball 3-Pack - Lopez Llc"/>
        <s v="Womens Cotton Scarf - Shepherd-Gould"/>
        <s v="Wooden Nightstand - Wolfe, Ross And Hester"/>
        <s v="Yoga Exercise Mat - Carroll, Long And Mendoza"/>
        <s v="Brother Laser Printer - Hunt Inc"/>
        <s v="Matte Lipstick Set - Zhang Inc"/>
        <s v="Men'S Casual Sneakers - Hogan-Lee"/>
        <s v="Adjustable Dumbbell Set - Hill Plc"/>
        <s v="Wooden Bookshelf - Collins-Stephenson"/>
        <s v="Women'S Casual Hoodie - Sims Inc"/>
        <s v="Herbal Face Moisturizer - Davidson Plc"/>
        <s v="Women'S Denim Jeans - Guerra-Hendrix"/>
        <s v="Sports Stopwatch Basic - Wilson Group"/>
        <s v="Women'S Formal Blazer - Phillips And Sons"/>
      </sharedItems>
    </cacheField>
    <cacheField name="Category" numFmtId="49">
      <sharedItems count="5">
        <s v="Sports"/>
        <s v="Electronics"/>
        <s v="Beauty"/>
        <s v="Home"/>
        <s v="Clothing"/>
      </sharedItems>
    </cacheField>
    <cacheField name="Cost" numFmtId="0">
      <sharedItems containsSemiMixedTypes="0" containsNonDate="0" containsString="0" containsNumber="1" minValue="17.309999999999999" maxValue="495.72"/>
    </cacheField>
    <cacheField name="Region" numFmtId="0">
      <sharedItems count="4">
        <s v="North"/>
        <s v="West"/>
        <s v="South"/>
        <s v="East"/>
      </sharedItems>
    </cacheField>
    <cacheField name="Store_Type" numFmtId="0">
      <sharedItems count="3">
        <s v="Outlet"/>
        <s v="Flagship"/>
        <s v="Online"/>
      </sharedItems>
    </cacheField>
    <cacheField name="Total_Amount" numFmtId="165">
      <sharedItems containsMixedTypes="1" containsNumber="1" count="1997">
        <n v="217.95"/>
        <n v="312.60000000000002"/>
        <n v="3655.2"/>
        <n v="921.35"/>
        <n v="2235.36"/>
        <n v="440.46"/>
        <n v="1570.32"/>
        <n v="1368.64"/>
        <n v="896.36"/>
        <n v="1745.88"/>
        <n v="278.56"/>
        <n v="1147"/>
        <n v="2578.2800000000002"/>
        <n v="633.20000000000005"/>
        <n v="1612.72"/>
        <n v="1742.6"/>
        <n v="903.46"/>
        <n v="1004.92"/>
        <n v="1117.96"/>
        <n v="2055.7790886329499"/>
        <n v="2957.31"/>
        <n v="589.34"/>
        <n v="2938.17"/>
        <n v="719.2"/>
        <n v="232.59"/>
        <n v="3410.28"/>
        <n v="624.08000000000004"/>
        <n v="2446.0263740932201"/>
        <n v="148.124111959288"/>
        <n v="903.04293318233294"/>
        <n v="429.25"/>
        <n v="297.86"/>
        <n v="1255"/>
        <n v="1434.32"/>
        <n v="1746.08"/>
        <n v="436.68"/>
        <n v="1678.08"/>
        <n v="364.47"/>
        <n v="2941.04"/>
        <n v="1201.3"/>
        <n v="1747.58"/>
        <n v="1027.17"/>
        <n v="1829.98"/>
        <n v="1725.66"/>
        <n v="418.18"/>
        <n v="1154.04"/>
        <n v="418.63"/>
        <n v="135.63999999999999"/>
        <n v="516.85"/>
        <n v="769.16"/>
        <n v="250.38"/>
        <n v="228.93"/>
        <n v="1541.5133164747101"/>
        <n v="900.22"/>
        <n v="1712.08"/>
        <n v="1118.82"/>
        <n v="1667.28"/>
        <n v="1359.76"/>
        <n v="2933.0920000000001"/>
        <n v="996.1"/>
        <n v="198.74"/>
        <n v="374.74"/>
        <n v="468.82"/>
        <n v="242.64"/>
        <n v="1440.15"/>
        <n v="1712.66"/>
        <n v="3256.28"/>
        <n v="988.97"/>
        <n v="249.2"/>
        <n v="2244"/>
        <n v="275.88"/>
        <n v="1336.46"/>
        <n v="553.73"/>
        <n v="1112.5999999999999"/>
        <n v="184.88"/>
        <n v="2799.8"/>
        <n v="1372.12"/>
        <n v="687.55"/>
        <n v="1800.78"/>
        <n v="341.02"/>
        <n v="442.21"/>
        <n v="363.48"/>
        <n v="1202.3399999999999"/>
        <n v="137.44"/>
        <n v="773.52"/>
        <n v="507.44"/>
        <n v="2697.9"/>
        <n v="2893.05"/>
        <n v="435.38"/>
        <n v="750.6"/>
        <n v="700"/>
        <n v="408.08"/>
        <n v="696.36"/>
        <n v="654.74"/>
        <n v="1138.7"/>
        <n v="136.30000000000001"/>
        <n v="842.84"/>
        <n v="2255.04"/>
        <n v="1904.44"/>
        <n v="1625.25"/>
        <n v="802.64"/>
        <n v="1078.17"/>
        <n v="943.28"/>
        <n v="3700"/>
        <n v="1759.12"/>
        <n v="835.9"/>
        <n v="1655.07"/>
        <n v="2102.36"/>
        <n v="2445.81"/>
        <n v="1129.1099999999999"/>
        <n v="959"/>
        <n v="1691.4"/>
        <n v="2845.2"/>
        <n v="281.77"/>
        <n v="1461.92"/>
        <n v="3722.88"/>
        <n v="3082.2"/>
        <n v="1437.99"/>
        <n v="164.7"/>
        <n v="302.44"/>
        <n v="1745.28"/>
        <n v="1297.08"/>
        <n v="395.44"/>
        <n v="1003.47"/>
        <n v="88.3"/>
        <n v="846.26"/>
        <n v="996.41"/>
        <n v="2847.48"/>
        <n v="1449.74"/>
        <n v="782.95"/>
        <n v="942.21"/>
        <n v="894.9"/>
        <n v="3799.64"/>
        <n v="534.24"/>
        <n v="290.27999999999997"/>
        <n v="1728.9"/>
        <n v="2547.9899999999998"/>
        <n v="245.67"/>
        <n v="712.74"/>
        <n v="2862.4"/>
        <n v="957.68"/>
        <n v="503.69"/>
        <n v="1950.44"/>
        <n v="1799.32"/>
        <n v="711"/>
        <n v="1073.5"/>
        <n v="1753.23"/>
        <n v="653.73"/>
        <n v="651.76"/>
        <n v="1539.87"/>
        <n v="1421.92"/>
        <n v="2140.56"/>
        <n v="217.26"/>
        <n v="1775.46"/>
        <n v="344.93"/>
        <n v="3944.76"/>
        <n v="1843.04"/>
        <n v="83.06"/>
        <n v="121.5"/>
        <n v="244.04"/>
        <n v="1246.5"/>
        <n v="479.53"/>
        <n v="1107.54"/>
        <n v="488.28"/>
        <n v="655.12"/>
        <n v="2123.31"/>
        <n v="2857.16"/>
        <n v="1688.2"/>
        <n v="997.99"/>
        <n v="686.6"/>
        <n v="151.88999999999999"/>
        <n v="324.82"/>
        <n v="1655.34"/>
        <n v="1186.74"/>
        <n v="3024.92"/>
        <n v="1415.02"/>
        <n v="857.07"/>
        <n v="78.959999999999994"/>
        <n v="2555.64"/>
        <n v="1043.8"/>
        <n v="2862.06"/>
        <n v="161.31"/>
        <n v="2967.44"/>
        <n v="547.08000000000004"/>
        <n v="789.21"/>
        <n v="1430.07"/>
        <n v="1008.44"/>
        <n v="1098.6400000000001"/>
        <n v="1860.54"/>
        <n v="580.66"/>
        <n v="1333.23"/>
        <n v="804.87"/>
        <n v="1084.5"/>
        <n v="271.73"/>
        <n v="2873.73"/>
        <n v="889.16"/>
        <n v="2758.48"/>
        <n v="541.21"/>
        <n v="454.55"/>
        <n v="794.74"/>
        <n v="2244.9"/>
        <n v="885.57"/>
        <n v="1631.16"/>
        <n v="1193.58"/>
        <n v="2170.0500000000002"/>
        <n v="479.71"/>
        <n v="1450.4"/>
        <n v="127.1"/>
        <n v="3724.88"/>
        <n v="620.77"/>
        <n v="822.99"/>
        <n v="2042.22"/>
        <n v="478.8"/>
        <n v="575.63"/>
        <n v="775.58"/>
        <n v="955.14"/>
        <n v="424.56"/>
        <n v="332.68"/>
        <n v="2563.44"/>
        <n v="301.39999999999998"/>
        <n v="1303.4100000000001"/>
        <n v="2608.52"/>
        <n v="622.95000000000005"/>
        <n v="1541.88"/>
        <n v="1644.21"/>
        <n v="2782.53"/>
        <n v="2339.2800000000002"/>
        <n v="1999.6"/>
        <n v="1697.88"/>
        <n v="2308.44"/>
        <n v="1349.34"/>
        <n v="1534.92"/>
        <n v="3178.92"/>
        <n v="989.58"/>
        <n v="446.94"/>
        <n v="946.61"/>
        <n v="1877.96"/>
        <n v="1281.76"/>
        <n v="594.23"/>
        <n v="274.86"/>
        <n v="2223.9"/>
        <n v="922.49"/>
        <n v="394.26"/>
        <n v="1407.84"/>
        <n v="1809.56"/>
        <n v="754.3"/>
        <n v="260.5"/>
        <n v="809.36"/>
        <n v="1497.21"/>
        <n v="1788.66"/>
        <n v="2313.52"/>
        <n v="3929"/>
        <n v="549.41999999999996"/>
        <n v="479.52"/>
        <n v="1755.88"/>
        <n v="1640.31"/>
        <n v="143.1"/>
        <n v="1359.28"/>
        <n v="222.75"/>
        <n v="710.30399999999997"/>
        <n v="2444.7600000000002"/>
        <n v="3396.56"/>
        <n v="1658.52"/>
        <n v="1805.8"/>
        <n v="2560.6799999999998"/>
        <n v="517.75"/>
        <n v="3116"/>
        <n v="934.98"/>
        <n v="1541.7743164747101"/>
        <n v="2987.52"/>
        <n v="1846.2"/>
        <n v="210.18"/>
        <n v="1830.21"/>
        <n v="872.05"/>
        <n v="406.76"/>
        <n v="605.97"/>
        <n v="1290.08"/>
        <n v="1852.44"/>
        <n v="1142.56"/>
        <n v="2985.84"/>
        <n v="329.22"/>
        <n v="192.36"/>
        <n v="2090.64"/>
        <n v="402.48"/>
        <n v="520.78"/>
        <n v="699.82"/>
        <n v="2423.5500000000002"/>
        <n v="3062.96"/>
        <n v="1635.06"/>
        <n v="203.37"/>
        <n v="1974.24"/>
        <n v="640.29999999999995"/>
        <n v="702.23"/>
        <n v="558.79999999999995"/>
        <n v="461.34"/>
        <n v="2504.4"/>
        <n v="433.48"/>
        <n v="1414.56"/>
        <n v="247.28"/>
        <n v="1745.96"/>
        <n v="3556.92"/>
        <n v="2410.71"/>
        <n v="1729.88"/>
        <n v="1832.38"/>
        <n v="2343.81"/>
        <n v="2478.44"/>
        <n v="1675.46"/>
        <n v="407.22"/>
        <n v="1585.84"/>
        <n v="1444.46"/>
        <n v="276.77999999999997"/>
        <n v="2965.68"/>
        <n v="1177.42"/>
        <n v="88.73"/>
        <n v="299.02999999999997"/>
        <n v="1096.1400000000001"/>
        <n v="2932.59"/>
        <n v="459.14"/>
        <n v="246"/>
        <n v="222.93"/>
        <n v="1805.37"/>
        <n v="564.07000000000005"/>
        <n v="516.44000000000005"/>
        <n v="934.64"/>
        <n v="2193.56"/>
        <n v="1083.1500000000001"/>
        <n v="1220.54"/>
        <n v="271.89999999999998"/>
        <n v="1718.82"/>
        <n v="97.76"/>
        <n v="806.46"/>
        <n v="78.33"/>
        <n v="1198.2"/>
        <n v="1367.43"/>
        <n v="1226.1600000000001"/>
        <n v="3886.48"/>
        <n v="2654.58"/>
        <n v="124.77"/>
        <n v="376.34"/>
        <n v="1375.48"/>
        <n v="2993.58"/>
        <n v="364.71"/>
        <n v="1385.18"/>
        <n v="2383.6799999999998"/>
        <n v="907.85"/>
        <n v="1321.26"/>
        <n v="1694.16"/>
        <n v="560.29999999999995"/>
        <n v="170.2"/>
        <n v="1126.08"/>
        <n v="1655.54"/>
        <n v="2632.77"/>
        <n v="1953.2"/>
        <n v="703.12"/>
        <n v="1157.6400000000001"/>
        <n v="1798.2"/>
        <n v="691.27"/>
        <n v="475.77"/>
        <n v="2148.36"/>
        <n v="2314.9499999999998"/>
        <n v="2708.44"/>
        <n v="645.22"/>
        <n v="1867.4"/>
        <n v="669.33"/>
        <n v="213.41"/>
        <n v="197.8"/>
        <n v="628.95000000000005"/>
        <n v="2833.14"/>
        <n v="243.28"/>
        <n v="1077.68"/>
        <n v="678.06"/>
        <n v="752.24"/>
        <n v="418.9"/>
        <n v="1479.7"/>
        <n v="496.11"/>
        <n v="306.35000000000002"/>
        <n v="2772.44"/>
        <n v="995.3"/>
        <n v="964.12"/>
        <n v="1907.91"/>
        <n v="2412.64"/>
        <n v="1313.07"/>
        <n v="113.66"/>
        <n v="141.69"/>
        <n v="1419.92"/>
        <n v="3840.92"/>
        <n v="2541.4499999999998"/>
        <n v="3094.92"/>
        <n v="664.61"/>
        <n v="1927.96"/>
        <n v="3981.44"/>
        <n v="307.14"/>
        <n v="1085.6400000000001"/>
        <n v="336.45"/>
        <n v="1925.5"/>
        <n v="1104.44"/>
        <n v="2973.81"/>
        <n v="2932.26"/>
        <n v="617"/>
        <n v="1467.54"/>
        <n v="44.5"/>
        <n v="2604.92"/>
        <n v="753.35"/>
        <n v="3396.2"/>
        <n v="2340.8000000000002"/>
        <n v="744.9"/>
        <n v="848.65"/>
        <n v="495.14"/>
        <n v="661.47"/>
        <n v="1482.2"/>
        <n v="1398.92"/>
        <n v="770.77"/>
        <n v="1521.81"/>
        <n v="87.72"/>
        <n v="1544.04"/>
        <n v="108.17"/>
        <n v="1678.06"/>
        <n v="932.32"/>
        <n v="2909.43"/>
        <n v="1563.88"/>
        <n v="149.24"/>
        <n v="1567.59"/>
        <n v="206.3"/>
        <n v="815.23"/>
        <n v="823.33"/>
        <n v="419.92"/>
        <n v="3591.52"/>
        <n v="3703.16"/>
        <n v="1146.1199999999999"/>
        <n v="599.24"/>
        <n v="863.04"/>
        <n v="1699.48"/>
        <n v="1446.9"/>
        <n v="129.4"/>
        <n v="1768.71"/>
        <n v="3033.32"/>
        <n v="2989.88"/>
        <n v="1653.3"/>
        <n v="1053.78"/>
        <n v="3500.56"/>
        <n v="452.8"/>
        <n v="570.58000000000004"/>
        <n v="595.91999999999996"/>
        <n v="3012.92"/>
        <n v="260.44"/>
        <n v="656.04"/>
        <n v="1054.6600000000001"/>
        <n v="1883.76"/>
        <n v="862.25"/>
        <n v="1082.72"/>
        <n v="2285.2199999999998"/>
        <n v="3317"/>
        <n v="849.94"/>
        <n v="1822.08"/>
        <n v="2435.0100000000002"/>
        <n v="1559.86"/>
        <n v="1263.04"/>
        <n v="1619.8"/>
        <n v="1514.97"/>
        <n v="1473.14"/>
        <n v="2800.44"/>
        <n v="808.88"/>
        <n v="583.17999999999995"/>
        <n v="522.62"/>
        <n v="850.55"/>
        <n v="83.78"/>
        <n v="1949.01"/>
        <n v="3739.12"/>
        <n v="880.76"/>
        <n v="2442"/>
        <n v="513.99"/>
        <n v="545.98"/>
        <n v="1247.97"/>
        <n v="30.73"/>
        <n v="1998.54"/>
        <n v="290.14"/>
        <n v="3762.12"/>
        <n v="708.79"/>
        <n v="790.49"/>
        <n v="1905.12"/>
        <n v="744.73"/>
        <n v="615.27"/>
        <n v="1513.3"/>
        <n v="771.53"/>
        <n v="440.16"/>
        <n v="817.66"/>
        <n v="403.62"/>
        <n v="1137.68"/>
        <n v="3690.12"/>
        <n v="1984.54"/>
        <n v="170.4"/>
        <n v="1441.44"/>
        <n v="1910.74"/>
        <n v="975.5"/>
        <n v="917.04"/>
        <n v="812.32"/>
        <n v="528.55999999999995"/>
        <n v="414.75"/>
        <n v="1166.6199999999999"/>
        <n v="659.12"/>
        <n v="425.84"/>
        <n v="673.6"/>
        <n v="230.47"/>
        <n v="710.56"/>
        <n v="2529.66"/>
        <n v="301.33"/>
        <n v="64.290000000000006"/>
        <n v="1136.5999999999999"/>
        <n v="191.33"/>
        <n v="1233.5"/>
        <n v="376.26"/>
        <n v="921.72"/>
        <n v="505.12"/>
        <n v="852.93"/>
        <n v="765.84"/>
        <n v="169.47"/>
        <n v="145.35"/>
        <n v="3312.72"/>
        <n v="806.25"/>
        <n v="1479.48"/>
        <n v="2037.33"/>
        <n v="2341.77"/>
        <n v="85.58"/>
        <n v="3417.2"/>
        <n v="818.92"/>
        <n v="814.5"/>
        <n v="728.56"/>
        <n v="1868.64"/>
        <n v="57.81"/>
        <n v="539.88"/>
        <n v="3264.52"/>
        <n v="2909.52"/>
        <n v="3270.84"/>
        <n v="716.76"/>
        <n v="971.76"/>
        <n v="791.3"/>
        <n v="3357.56"/>
        <n v="490.82"/>
        <n v="2363.5500000000002"/>
        <n v="1417.9"/>
        <n v="1067.58"/>
        <n v="878.56"/>
        <n v="442.22"/>
        <n v="763.23"/>
        <n v="534.21"/>
        <n v="360.96"/>
        <n v="1112.79"/>
        <n v="352.29"/>
        <n v="1125.54"/>
        <n v="522.73"/>
        <n v="2858.96"/>
        <n v="412.53"/>
        <n v="2585.88"/>
        <n v="1666.8"/>
        <n v="1629.51"/>
        <n v="2072.6999999999998"/>
        <n v="1354.2"/>
        <n v="1098.0899999999999"/>
        <n v="2156.8000000000002"/>
        <n v="499.56"/>
        <n v="989.52"/>
        <n v="1625.9"/>
        <n v="819.08"/>
        <n v="2184.9299999999998"/>
        <n v="2509.1999999999998"/>
        <n v="780.14"/>
        <n v="1416.24"/>
        <n v="1129.48"/>
        <n v="1481.32"/>
        <n v="1800.87"/>
        <n v="1036.08"/>
        <n v="974.51"/>
        <n v="846.78"/>
        <n v="633.48"/>
        <n v="1556.9"/>
        <n v="1119.92"/>
        <n v="1298.52"/>
        <n v="1988.1"/>
        <n v="64.73"/>
        <n v="1015.32"/>
        <n v="3872.96"/>
        <n v="2040.52"/>
        <n v="313.10000000000002"/>
        <n v="160.77000000000001"/>
        <n v="34.61"/>
        <n v="1658.08"/>
        <n v="963.52"/>
        <n v="3659.92"/>
        <n v="250.92"/>
        <n v="2648.22"/>
        <n v="2293.3200000000002"/>
        <n v="1868.04"/>
        <n v="778.5"/>
        <n v="3803.8"/>
        <n v="71.48"/>
        <n v="3579.52"/>
        <n v="3480.2"/>
        <n v="1105.32"/>
        <n v="2101.2600000000002"/>
        <n v="1645.7"/>
        <n v="117.16"/>
        <n v="660.32"/>
        <n v="1449.03"/>
        <n v="1047.24"/>
        <n v="2912.34"/>
        <n v="61.01"/>
        <n v="2483.0700000000002"/>
        <n v="2780.01"/>
        <n v="874.3"/>
        <n v="1915.48"/>
        <n v="547.86"/>
        <n v="2981.84"/>
        <n v="2761.71"/>
        <n v="2635.52"/>
        <n v="312.79000000000002"/>
        <n v="2822.12"/>
        <n v="1545.12"/>
        <n v="797.43"/>
        <n v="702.87"/>
        <n v="788.42"/>
        <n v="1233.5999999999999"/>
        <n v="1581.76"/>
        <n v="1357.5"/>
        <n v="3029.8"/>
        <n v="647.80999999999995"/>
        <n v="359.08"/>
        <n v="1177.44"/>
        <n v="3877.84"/>
        <n v="968.79"/>
        <n v="92.57"/>
        <n v="1728.52"/>
        <n v="1851.28"/>
        <n v="302.52"/>
        <n v="342.77"/>
        <n v="372.95"/>
        <n v="124.91"/>
        <n v="884.92"/>
        <n v="563.30999999999995"/>
        <n v="362.66"/>
        <n v="1476.16"/>
        <n v="2852.31"/>
        <n v="1016.34"/>
        <n v="2559.75"/>
        <n v="268.74"/>
        <n v="172"/>
        <n v="389.15"/>
        <n v="2597.52"/>
        <n v="239.25"/>
        <n v="566.25"/>
        <n v="695.64"/>
        <n v="501.36"/>
        <n v="887.85"/>
        <n v="1345.82"/>
        <n v="984.72"/>
        <n v="3947.68"/>
        <n v="1646.48"/>
        <n v="1275.02"/>
        <n v="2119.8000000000002"/>
        <n v="1768.96"/>
        <n v="2154.12"/>
        <n v="321.51"/>
        <n v="2435.3200000000002"/>
        <n v="781.11"/>
        <n v="747.02"/>
        <n v="2802.6"/>
        <n v="79.72"/>
        <n v="2752.2"/>
        <n v="241.9"/>
        <n v="536.41"/>
        <n v="289.83999999999997"/>
        <n v="265.27999999999997"/>
        <n v="2727.88"/>
        <n v="2011.24"/>
        <n v="944.02"/>
        <n v="436.18"/>
        <n v="3382.08"/>
        <n v="222.28"/>
        <n v="74.040000000000006"/>
        <n v="331.69"/>
        <n v="919.86"/>
        <n v="1938.56"/>
        <n v="83.94"/>
        <n v="1797.78"/>
        <n v="1204.23"/>
        <n v="1769.92"/>
        <n v="1805.4"/>
        <n v="2187.84"/>
        <n v="979.08"/>
        <n v="1054.2"/>
        <n v="692.64"/>
        <n v="428.46"/>
        <n v="838.16"/>
        <n v="1601.14"/>
        <n v="301.13"/>
        <n v="1402.8"/>
        <n v="1653.84"/>
        <n v="670.72"/>
        <n v="1337.8"/>
        <n v="1039.77"/>
        <n v="1944.39"/>
        <n v="1019.52"/>
        <n v="445.22"/>
        <n v="900.84"/>
        <n v="787.95"/>
        <n v="637.5"/>
        <n v="3030.72"/>
        <n v="845.96"/>
        <n v="538.59"/>
        <n v="2724.32"/>
        <n v="2893.2"/>
        <n v="1887.08"/>
        <n v="613.04"/>
        <n v="651.07000000000005"/>
        <n v="1270.08"/>
        <n v="3649.88"/>
        <n v="239.04"/>
        <n v="2413.08"/>
        <n v="1811.56"/>
        <n v="1948.4"/>
        <n v="208.48"/>
        <n v="2044.05"/>
        <n v="213.6"/>
        <n v="31.15"/>
        <n v="1110.82"/>
        <n v="3223.72"/>
        <n v="506.27"/>
        <n v="86.01"/>
        <n v="105.84"/>
        <n v="1158.8399999999999"/>
        <n v="708.5"/>
        <n v="522.47"/>
        <n v="2897.97"/>
        <n v="498.57"/>
        <n v="3032.88"/>
        <n v="741.6"/>
        <n v="230.27"/>
        <n v="1970.3"/>
        <n v="984.4"/>
        <n v="426.82"/>
        <n v="2475"/>
        <n v="162"/>
        <n v="431.6"/>
        <n v="1315.08"/>
        <n v="1017.45"/>
        <n v="3393.04"/>
        <n v="664.79"/>
        <n v="411.88"/>
        <n v="126.04"/>
        <n v="2408.8000000000002"/>
        <n v="1343.01"/>
        <n v="105.36"/>
        <n v="1676.82"/>
        <n v="3470.72"/>
        <n v="623.63"/>
        <n v="1135.6600000000001"/>
        <n v="1343"/>
        <n v="515.5"/>
        <n v="1124.8399999999999"/>
        <n v="202"/>
        <n v="370.65"/>
        <n v="2925.64"/>
        <n v="1404.54"/>
        <n v="928.62"/>
        <n v="651.48"/>
        <n v="387.69"/>
        <n v="744.04"/>
        <n v="2435.36"/>
        <n v="827.7"/>
        <n v="303.55"/>
        <n v="731.54"/>
        <n v="2557.6799999999998"/>
        <n v="768.07"/>
        <n v="637.20000000000005"/>
        <n v="1607.88"/>
        <n v="2538.39"/>
        <n v="269.87"/>
        <n v="2726.88"/>
        <n v="459.2"/>
        <n v="1326.9"/>
        <n v="1241.19"/>
        <n v="318.27999999999997"/>
        <n v="380.12"/>
        <n v="427.24"/>
        <n v="873.15"/>
        <n v="914.65"/>
        <n v="1828.92"/>
        <n v="2284.9499999999998"/>
        <n v="490.96"/>
        <n v="3010.88"/>
        <n v="1575.68"/>
        <n v="1613.62"/>
        <n v="886.14"/>
        <n v="512.14"/>
        <n v="1204.6400000000001"/>
        <n v="2538.3000000000002"/>
        <n v="506.44"/>
        <n v="408.53"/>
        <n v="511.26"/>
        <n v="423.3"/>
        <n v="93.88"/>
        <n v="1906.32"/>
        <n v="1214.97"/>
        <n v="667.14"/>
        <n v="1453.92"/>
        <n v="1031.6600000000001"/>
        <n v="1410.66"/>
        <n v="1962.87"/>
        <n v="630.08000000000004"/>
        <n v="974.42"/>
        <n v="1606.26"/>
        <n v="3454.64"/>
        <n v="449.94"/>
        <n v="289.64"/>
        <n v="1002.16"/>
        <n v="1493.32"/>
        <n v="1394.92"/>
        <n v="851.16"/>
        <n v="2613.69"/>
        <n v="1397.76"/>
        <n v="719.71"/>
        <n v="555.88"/>
        <n v="678.73"/>
        <n v="375.92"/>
        <n v="1660.04"/>
        <n v="3120.16"/>
        <n v="737.16"/>
        <n v="1109.44"/>
        <n v="36.619999999999997"/>
        <n v="539.23"/>
        <n v="27.53"/>
        <n v="2095.3200000000002"/>
        <n v="2112.3200000000002"/>
        <n v="1561.32"/>
        <n v="977.91"/>
        <n v="1417.84"/>
        <n v="671.53"/>
        <n v="867.03"/>
        <n v="720.36"/>
        <n v="1237.68"/>
        <n v="2080.02"/>
        <n v="3005.4"/>
        <n v="323.85000000000002"/>
        <n v="963.94"/>
        <n v="345.91"/>
        <n v="2374.38"/>
        <n v="529.71"/>
        <n v="1747.38"/>
        <n v="219.59"/>
        <n v="3532.16"/>
        <n v="1316.08"/>
        <n v="935.75"/>
        <n v="2390.4"/>
        <n v="1067.28"/>
        <n v="1080.45"/>
        <n v="742.08"/>
        <n v="2023.29"/>
        <n v="913.71"/>
        <n v="1481.48"/>
        <n v="735"/>
        <n v="1345.5"/>
        <n v="2714.67"/>
        <n v="1634.24"/>
        <n v="3081.52"/>
        <n v="649.19000000000005"/>
        <n v="759.16"/>
        <n v="2772.15"/>
        <n v="433.14"/>
        <n v="1334.14"/>
        <n v="984.38"/>
        <n v="139.29"/>
        <n v="1378.41"/>
        <n v="517.53"/>
        <n v="1128.6400000000001"/>
        <n v="772.46"/>
        <n v="270.3"/>
        <n v="3051.4"/>
        <n v="408.78"/>
        <n v="1782"/>
        <n v="553.16999999999996"/>
        <n v="1304.28"/>
        <n v="776.72"/>
        <n v="1428.48"/>
        <n v="523.71"/>
        <n v="2285.94"/>
        <n v="44.03"/>
        <n v="992.13"/>
        <n v="1395.33"/>
        <n v="1386.92"/>
        <n v="1989.96"/>
        <n v="212.73"/>
        <n v="1410.78"/>
        <n v="430.82"/>
        <n v="533.53"/>
        <n v="1464.86"/>
        <n v="425.52"/>
        <n v="38.67"/>
        <n v="835.15"/>
        <n v="112.83"/>
        <n v="902.2"/>
        <n v="1858.95"/>
        <n v="186.84"/>
        <n v="142.68"/>
        <n v="808.02"/>
        <n v="519.86"/>
        <n v="1698.33"/>
        <n v="590.05999999999995"/>
        <n v="827.86"/>
        <n v="867.5"/>
        <n v="221.66"/>
        <n v="982.24"/>
        <n v="3691.96"/>
        <n v="1495.14"/>
        <n v="283.26"/>
        <n v="1860.18"/>
        <n v="707.94"/>
        <n v="644.16"/>
        <n v="619.24"/>
        <n v="367.42"/>
        <n v="550.04999999999995"/>
        <n v="64.12"/>
        <n v="1783.96"/>
        <n v="127.31"/>
        <n v="638.07000000000005"/>
        <n v="26.07"/>
        <n v="3815.28"/>
        <n v="2906.19"/>
        <n v="532.94000000000005"/>
        <n v="416.25"/>
        <n v="588.9"/>
        <n v="1153.28"/>
        <n v="681.25"/>
        <n v="1514.01"/>
        <n v="1949.04"/>
        <n v="1973.36"/>
        <n v="130.78"/>
        <n v="2861.1"/>
        <n v="2712.81"/>
        <n v="2762.16"/>
        <n v="182.13"/>
        <n v="2815.62"/>
        <n v="659.34"/>
        <n v="1156.4100000000001"/>
        <n v="1661.32"/>
        <n v="1387.59"/>
        <n v="3895.52"/>
        <n v="314.06"/>
        <n v="718.23"/>
        <n v="2332.04"/>
        <n v="2275.44"/>
        <n v="1488.92"/>
        <n v="1144"/>
        <n v="1464.3"/>
        <n v="1988.43"/>
        <n v="1648.48"/>
        <n v="436.91"/>
        <n v="69.66"/>
        <n v="579.66999999999996"/>
        <n v="721.32"/>
        <n v="1710.64"/>
        <n v="537.16999999999996"/>
        <n v="2754.27"/>
        <n v="2318.08"/>
        <n v="824.14"/>
        <n v="2459.3200000000002"/>
        <n v="756.6"/>
        <n v="466.56"/>
        <n v="1589.04"/>
        <n v="1907.86"/>
        <n v="370"/>
        <n v="1970.52"/>
        <n v="3412.08"/>
        <n v="402.28"/>
        <n v="1056.1199999999999"/>
        <n v="2398.4"/>
        <n v="122.68"/>
        <n v="932.6"/>
        <n v="2162.4"/>
        <n v="2032.23"/>
        <n v="1843.71"/>
        <n v="2597.64"/>
        <n v="1887.42"/>
        <n v="2154.8000000000002"/>
        <n v="1707.84"/>
        <n v="1860.64"/>
        <n v="3520.6"/>
        <n v="1382.19"/>
        <n v="531.82000000000005"/>
        <n v="547.91999999999996"/>
        <n v="66"/>
        <n v="2866.98"/>
        <n v="904.79"/>
        <n v="1469.28"/>
        <n v="1914.88"/>
        <n v="628.66"/>
        <n v="1440"/>
        <n v="3305.08"/>
        <n v="1589.97"/>
        <n v="1008.39"/>
        <n v="88.96"/>
        <n v="1818.48"/>
        <n v="2374.4"/>
        <n v="2726.64"/>
        <n v="3986.44"/>
        <n v="522.63"/>
        <n v="782.79"/>
        <n v="1934.16"/>
        <n v="1082.52"/>
        <n v="395.09"/>
        <n v="224.8"/>
        <n v="810.12"/>
        <n v="716.62"/>
        <n v="341.36"/>
        <n v="3716.12"/>
        <n v="185"/>
        <n v="555.04"/>
        <n v="467.52"/>
        <n v="461.56"/>
        <n v="1780.62"/>
        <n v="1649.68"/>
        <n v="963.62"/>
        <n v="238.12"/>
        <n v="756.59"/>
        <n v="478.62"/>
        <n v="329.8"/>
        <n v="233.95"/>
        <n v="1547.18"/>
        <n v="73.84"/>
        <n v="859.14"/>
        <n v="3049.52"/>
        <n v="328.31"/>
        <n v="34.47"/>
        <n v="1991.01"/>
        <n v="409.28"/>
        <n v="1382.76"/>
        <n v="1520.24"/>
        <n v="2065.92"/>
        <n v="515.46"/>
        <n v="628.20000000000005"/>
        <n v="1008.24"/>
        <n v="605.52"/>
        <n v="969.94"/>
        <n v="2209.12"/>
        <n v="1508.16"/>
        <n v="755.88"/>
        <n v="816.78"/>
        <n v="209.11"/>
        <n v="813.64"/>
        <n v="143.51"/>
        <n v="3349.16"/>
        <n v="151.5"/>
        <n v="2884.14"/>
        <n v="1903.16"/>
        <n v="531.08000000000004"/>
        <n v="1413.93"/>
        <n v="1440.12"/>
        <n v="399.24"/>
        <n v="2701.56"/>
        <n v="681.61"/>
        <n v="1675.84"/>
        <n v="1631.9"/>
        <n v="1307.7"/>
        <n v="2112.08"/>
        <n v="146.6"/>
        <n v="1411.74"/>
        <n v="1988.56"/>
        <n v="908.93"/>
        <n v="164.61"/>
        <n v="1212.3800000000001"/>
        <n v="2712.3"/>
        <n v="2777.72"/>
        <n v="3014.36"/>
        <n v="66.2"/>
        <n v="1783.02"/>
        <n v="1021.8"/>
        <n v="2418.36"/>
        <n v="1871.07"/>
        <n v="1725.36"/>
        <n v="769.24"/>
        <n v="227.15"/>
        <n v="509.72"/>
        <n v="793.12"/>
        <n v="1306.74"/>
        <n v="849.77"/>
        <n v="1507.5"/>
        <n v="1212.8399999999999"/>
        <n v="2152.92"/>
        <n v="613.89"/>
        <n v="423.8"/>
        <n v="1538.74"/>
        <n v="1428.14"/>
        <n v="2527.96"/>
        <n v="1690.18"/>
        <n v="575.77"/>
        <n v="907.71"/>
        <n v="99.27"/>
        <n v="748.42"/>
        <n v="744.57"/>
        <n v="784.32"/>
        <n v="211.83"/>
        <n v="972.39"/>
        <n v="975.6"/>
        <n v="664.35"/>
        <n v="435.76"/>
        <n v="3686.24"/>
        <n v="977.94"/>
        <n v="244.16"/>
        <n v="2426.25"/>
        <n v="2478.4499999999998"/>
        <n v="1892.88"/>
        <n v="936.94"/>
        <n v="1287.92"/>
        <n v="1888.59"/>
        <n v="242.68"/>
        <n v="1099.52"/>
        <n v="835.05"/>
        <n v="2894.52"/>
        <n v="724.59"/>
        <n v="1923.18"/>
        <n v="83.76"/>
        <n v="2459.5500000000002"/>
        <n v="1401.54"/>
        <n v="912.52"/>
        <n v="872.25"/>
        <n v="926.5"/>
        <n v="724.05"/>
        <n v="95.66"/>
        <n v="805.01"/>
        <n v="2545.44"/>
        <n v="1137.46"/>
        <n v="809.37"/>
        <n v="1068.3599999999999"/>
        <n v="438.32"/>
        <n v="172.88"/>
        <n v="2520.2800000000002"/>
        <n v="542.42999999999995"/>
        <n v="453.37"/>
        <n v="629.07000000000005"/>
        <n v="514.9"/>
        <n v="1392.88"/>
        <n v="287.38"/>
        <n v="1382.22"/>
        <n v="135.04"/>
        <n v="2409.63"/>
        <n v="1018.04"/>
        <n v="2378.36"/>
        <n v="1688.48"/>
        <n v="405.32"/>
        <n v="2767.14"/>
        <n v="3468.48"/>
        <n v="2450.19"/>
        <n v="774.18"/>
        <n v="1149.04"/>
        <n v="943.82"/>
        <n v="40.700000000000003"/>
        <n v="705.78"/>
        <n v="2233.89"/>
        <n v="764.1"/>
        <n v="269.11"/>
        <n v="1447.44"/>
        <n v="234.96"/>
        <n v="1825.64"/>
        <n v="791.55"/>
        <n v="73.989999999999995"/>
        <n v="1922.82"/>
        <n v="90.62"/>
        <n v="458.53"/>
        <n v="168.24"/>
        <n v="391.67"/>
        <n v="424.78"/>
        <n v="499.36"/>
        <n v="1396.38"/>
        <n v="1609.62"/>
        <n v="3738.84"/>
        <n v="848.6"/>
        <n v="235.25"/>
        <n v="1240.8800000000001"/>
        <n v="1703.28"/>
        <n v="2627.43"/>
        <n v="1434.12"/>
        <n v="1742.76"/>
        <n v="514.47"/>
        <n v="595.44000000000005"/>
        <n v="1951.12"/>
        <n v="86.02"/>
        <n v="2819.88"/>
        <n v="299.27999999999997"/>
        <n v="332.24"/>
        <n v="428.96"/>
        <n v="1080.3800000000001"/>
        <n v="1159.02"/>
        <n v="1909.8"/>
        <n v="726.99"/>
        <n v="1038.42"/>
        <n v="2536.65"/>
        <n v="3001"/>
        <n v="1176.72"/>
        <n v="1750.35"/>
        <n v="1269.8399999999999"/>
        <n v="743.44"/>
        <n v="2121.2800000000002"/>
        <n v="1944.68"/>
        <n v="593.79"/>
        <n v="2261.4"/>
        <n v="3932.52"/>
        <n v="954.92"/>
        <n v="1792.32"/>
        <n v="1742.97"/>
        <n v="615.36"/>
        <n v="1083.68"/>
        <n v="1312.72"/>
        <n v="3538.48"/>
        <n v="41.38"/>
        <n v="255.2"/>
        <n v="304.24"/>
        <n v="1777.62"/>
        <n v="435.03"/>
        <n v="1796.32"/>
        <n v="2567.1999999999998"/>
        <n v="1802.36"/>
        <n v="881.6"/>
        <n v="1132.8599999999999"/>
        <n v="457.06"/>
        <n v="871.8"/>
        <n v="1365.14"/>
        <n v="2180.79"/>
        <n v="215.82"/>
        <n v="38.72"/>
        <n v="1452.3"/>
        <n v="1898.44"/>
        <n v="1993.89"/>
        <n v="569.91"/>
        <n v="2261.7600000000002"/>
        <n v="376.36"/>
        <n v="1206.27"/>
        <n v="728.99"/>
        <n v="822.31"/>
        <n v="654.12"/>
        <n v="3721.52"/>
        <n v="875.2"/>
        <n v="251.86"/>
        <n v="860.77"/>
        <n v="161.56"/>
        <n v="1391.2"/>
        <n v="1248.51"/>
        <n v="147.72"/>
        <n v="1650.12"/>
        <n v="3752.68"/>
        <n v="1553.91"/>
        <n v="98.11"/>
        <n v="1750.02"/>
        <n v="227.29"/>
        <n v="842.41"/>
        <n v="361.77"/>
        <n v="703.44"/>
        <n v="2370.6"/>
        <n v="2648.76"/>
        <n v="1554.42"/>
        <n v="85.48"/>
        <n v="3199.2"/>
        <n v="353.97"/>
        <n v="222.96"/>
        <n v="2755.68"/>
        <n v="1810.22"/>
        <n v="1180.68"/>
        <n v="251.95"/>
        <n v="3167.64"/>
        <n v="883.25"/>
        <n v="1223.48"/>
        <n v="2226.66"/>
        <n v="1007.94"/>
        <n v="930.66"/>
        <n v="2978.31"/>
        <n v="770.55"/>
        <n v="3264.2"/>
        <n v="3022.4"/>
        <n v="449.59"/>
        <n v="1558.34"/>
        <n v="748.65"/>
        <n v="243.18"/>
        <n v="674.97"/>
        <n v="653.99"/>
        <n v="1009.8"/>
        <n v="1246.1199999999999"/>
        <n v="1060.52"/>
        <n v="837.9"/>
        <n v="2720.19"/>
        <n v="1634.56"/>
        <n v="234.5"/>
        <n v="2070.6"/>
        <n v="1507.76"/>
        <n v="70.44"/>
        <n v="40.15"/>
        <n v="1618.17"/>
        <n v="1630.32"/>
        <n v="2188.44"/>
        <n v="1784.78"/>
        <n v="1706.32"/>
        <n v="162.07"/>
        <n v="893.05"/>
        <n v="1395.16"/>
        <n v="747.69"/>
        <n v="1316.13"/>
        <n v="2660.8"/>
        <n v="146.21"/>
        <n v="470.24"/>
        <n v="113.94"/>
        <n v="1023.16"/>
        <n v="1953.96"/>
        <n v="1040.68"/>
        <n v="340.61"/>
        <n v="1960.26"/>
        <n v="179.54"/>
        <n v="1887.48"/>
        <n v="1969.5"/>
        <n v="866.08"/>
        <n v="3799.76"/>
        <n v="542.46"/>
        <n v="2832.36"/>
        <n v="1431"/>
        <n v="1881.06"/>
        <n v="619.95000000000005"/>
        <n v="2515.16"/>
        <n v="2115.7600000000002"/>
        <n v="350.45"/>
        <n v="128.66999999999999"/>
        <n v="769.66"/>
        <n v="361.44"/>
        <n v="2645.28"/>
        <n v="194.97"/>
        <n v="354.42"/>
        <n v="3449.88"/>
        <n v="55.03"/>
        <n v="1810.54"/>
        <n v="650.54999999999995"/>
        <n v="1741.35"/>
        <n v="1785.42"/>
        <n v="712.34"/>
        <n v="3227.72"/>
        <n v="2052.39"/>
        <n v="3053.08"/>
        <n v="2165.04"/>
        <n v="2281.14"/>
        <n v="1836.96"/>
        <n v="2523.2399999999998"/>
        <n v="1272.52"/>
        <s v="285966A9-A5BF-456B-88F2-8A25520761B6_1464.3"/>
        <n v="549.48"/>
        <n v="3593.68"/>
        <n v="456.48"/>
        <n v="2916.9"/>
        <n v="545.44000000000005"/>
        <n v="509.36"/>
        <n v="1440.76"/>
        <n v="2645.97"/>
        <n v="424.26"/>
        <n v="249.81"/>
        <n v="1259.32"/>
        <n v="319.45999999999998"/>
        <n v="459.71"/>
        <n v="3541.2"/>
        <n v="2367.15"/>
        <n v="570.52"/>
        <n v="1242.28"/>
        <n v="1022"/>
        <n v="541.12"/>
        <n v="1119.45"/>
        <n v="47.12"/>
        <n v="741.84"/>
        <n v="2785.41"/>
        <n v="2769.93"/>
        <n v="818.32"/>
        <n v="1216.5999999999999"/>
        <n v="601.55999999999995"/>
        <n v="829.56"/>
        <n v="56.44"/>
        <n v="3980.52"/>
        <n v="1182.18"/>
        <n v="409.3"/>
        <n v="1092.6600000000001"/>
        <n v="1821.28"/>
        <n v="1400.22"/>
        <n v="320.24"/>
        <n v="713.35"/>
        <n v="448.98"/>
        <n v="1481.02"/>
        <n v="749.73"/>
        <n v="104.88"/>
        <n v="653.61"/>
        <n v="997.63"/>
        <n v="174"/>
        <n v="2541.81"/>
        <n v="493.36"/>
        <n v="446.08"/>
        <n v="413.55"/>
        <n v="316.91000000000003"/>
        <n v="1928.67"/>
        <n v="2237.6"/>
        <n v="758.25"/>
        <n v="2575.1999999999998"/>
        <n v="882.63"/>
        <n v="1199.54"/>
        <n v="1257.52"/>
        <n v="340.98"/>
        <n v="1127.56"/>
        <n v="2029.8"/>
        <n v="725.22"/>
        <n v="908.3"/>
        <n v="1590.34"/>
        <n v="653.36"/>
        <n v="507.72"/>
        <n v="254.37"/>
        <n v="2510.48"/>
        <n v="1308.48"/>
        <n v="2045"/>
        <n v="777.76"/>
        <n v="108.88"/>
        <n v="3855.44"/>
        <n v="169.86"/>
        <n v="1328.54"/>
        <n v="2229.6"/>
        <n v="819.74"/>
        <n v="1759.28"/>
        <n v="350.55"/>
        <n v="1393.68"/>
        <n v="742.92"/>
        <n v="2508.33"/>
        <n v="2089.83"/>
        <n v="1644.74"/>
        <n v="461.93"/>
        <n v="361.03"/>
        <n v="178.02"/>
        <n v="2295.21"/>
        <n v="1213.44"/>
        <n v="640.74"/>
        <n v="1222.06"/>
        <n v="209.72"/>
        <n v="390.45"/>
        <n v="1692.16"/>
        <n v="848.78"/>
        <n v="1801.36"/>
        <n v="3587.24"/>
        <n v="2037.24"/>
        <n v="1450.89"/>
        <n v="474.09"/>
        <n v="2405.2800000000002"/>
        <n v="92.64"/>
        <n v="3568.2"/>
        <n v="328.12"/>
        <n v="484.11"/>
        <n v="1023.87"/>
        <n v="2276.2800000000002"/>
        <n v="1681.05"/>
        <n v="1953.98"/>
        <n v="3045.08"/>
        <n v="1895.08"/>
        <n v="3901.72"/>
        <n v="2306.4899999999998"/>
        <n v="2473.56"/>
        <n v="1642.48"/>
        <n v="120.51"/>
        <n v="122.01"/>
        <n v="365.56"/>
        <n v="695.03"/>
        <n v="817.26"/>
        <n v="1536.09"/>
        <n v="408.75"/>
        <n v="84.94"/>
        <n v="1745.94"/>
        <n v="1846.08"/>
        <n v="558.39"/>
        <n v="2803.44"/>
        <n v="455.78"/>
        <n v="1114.04"/>
        <n v="1832.14"/>
        <n v="915.04"/>
        <n v="3618.92"/>
        <n v="588.51"/>
        <n v="2783.8"/>
        <n v="362.68"/>
        <n v="439.26"/>
        <n v="1413"/>
        <n v="758.79"/>
        <n v="3671.64"/>
        <n v="861.45"/>
        <n v="588.04"/>
        <n v="917.21"/>
        <n v="386.68"/>
        <n v="597.75"/>
        <n v="687.66"/>
        <n v="2308.59"/>
        <n v="491.78"/>
        <n v="857.1"/>
        <n v="1264.24"/>
        <n v="486.06"/>
        <n v="2094.3000000000002"/>
        <n v="478.01"/>
        <n v="1916.88"/>
        <n v="1162.24"/>
        <n v="736.38"/>
        <n v="523.72"/>
        <n v="2263.2399999999998"/>
        <n v="251.9"/>
        <n v="258.93"/>
        <n v="935.4"/>
        <n v="1922.92"/>
        <n v="915.64"/>
        <n v="994.35"/>
        <n v="195.81"/>
        <n v="1868.1"/>
        <n v="170.55"/>
        <n v="3191"/>
        <n v="372.63"/>
        <n v="994.13"/>
        <n v="136.05000000000001"/>
        <n v="1902.84"/>
        <n v="718.28"/>
        <n v="2234.6799999999998"/>
        <n v="1718.98"/>
        <n v="1735.23"/>
        <n v="440.37"/>
        <n v="607.24"/>
        <n v="1221.98"/>
        <n v="1535.64"/>
        <n v="616.58000000000004"/>
        <n v="470.16"/>
        <n v="1232.48"/>
        <n v="1971.18"/>
        <n v="784.82"/>
        <n v="186.06"/>
        <n v="3733.92"/>
        <n v="1845.51"/>
        <n v="3160.64"/>
        <n v="205.54"/>
        <n v="2599.5300000000002"/>
        <n v="1177.71"/>
        <n v="1505.82"/>
        <n v="1401.62"/>
        <n v="3743.48"/>
        <n v="539.83000000000004"/>
        <n v="312.67"/>
        <n v="2567.0100000000002"/>
        <n v="914.97"/>
        <n v="2492.88"/>
        <n v="1289.46"/>
        <n v="149.47"/>
        <n v="661.74"/>
        <n v="298.5"/>
        <n v="310.2"/>
        <n v="216.72"/>
        <n v="46.46"/>
        <n v="3483.64"/>
        <n v="1267.8"/>
        <n v="776.5"/>
        <n v="3992.2"/>
        <n v="887.37"/>
        <n v="1330.76"/>
        <n v="315.64"/>
        <n v="548.04"/>
        <n v="135.09"/>
        <n v="1737.21"/>
        <n v="465.38"/>
        <n v="1351.06"/>
        <n v="718.91"/>
        <n v="1350.9"/>
        <n v="1136.56"/>
        <n v="94.08"/>
        <n v="1833.16"/>
        <n v="2817.76"/>
        <n v="3288.24"/>
        <n v="3141.12"/>
        <n v="405.69"/>
        <n v="1953.46"/>
        <n v="644.09"/>
        <n v="470.32"/>
        <n v="1795.89"/>
        <n v="2636.2"/>
        <n v="431.54"/>
        <n v="1226.9000000000001"/>
        <n v="970.12"/>
        <n v="209.5"/>
        <n v="681.32"/>
        <n v="1754.22"/>
        <n v="959.12"/>
        <n v="140.72"/>
        <n v="1528.04"/>
        <n v="322.52999999999997"/>
        <n v="2261.1999999999998"/>
        <n v="2433.5700000000002"/>
        <n v="248.56"/>
        <n v="749.75"/>
        <n v="1890.63"/>
        <n v="101.67"/>
        <n v="2565.16"/>
        <n v="388.34"/>
        <n v="1997.56"/>
        <n v="1359.33"/>
        <n v="122.32"/>
        <n v="1739.8"/>
        <n v="336.4"/>
        <n v="305.45"/>
        <n v="1270.2"/>
        <n v="507.28"/>
        <n v="2746.92"/>
        <n v="2338.44"/>
        <n v="1560.62"/>
        <n v="511.35"/>
        <n v="175.12"/>
        <n v="1791.54"/>
        <n v="1824.4"/>
        <n v="905.21"/>
        <n v="189.33"/>
        <n v="2062.8000000000002"/>
        <n v="2555.7600000000002"/>
        <n v="475.11"/>
        <n v="62.3"/>
        <n v="976.82"/>
        <n v="1797.12"/>
        <n v="843.7"/>
        <n v="324.52999999999997"/>
        <n v="2280.48"/>
        <n v="447.24"/>
        <n v="659.28"/>
        <n v="979.14"/>
        <n v="925.52"/>
        <n v="180.66"/>
        <n v="328.32"/>
        <n v="505.69"/>
        <n v="885.76"/>
        <n v="1568.06"/>
        <n v="1770.42"/>
        <n v="696.07"/>
        <n v="776.56"/>
        <n v="339.6"/>
        <n v="1851.56"/>
        <n v="1649.64"/>
        <n v="3186.88"/>
        <n v="1630.89"/>
        <n v="89.24"/>
        <n v="3309.32"/>
        <n v="805.98"/>
        <n v="1168.1600000000001"/>
        <n v="948.22"/>
        <n v="702.1"/>
        <n v="758.04"/>
        <n v="368.8"/>
        <n v="2885.32"/>
        <n v="228.55"/>
        <n v="898.89"/>
        <n v="782.32"/>
        <n v="596.66999999999996"/>
        <n v="1666.88"/>
        <n v="676.12"/>
        <n v="1332.86"/>
        <n v="1412.73"/>
        <n v="2221.6"/>
        <n v="200.72"/>
        <n v="2944.92"/>
        <n v="1697.56"/>
        <n v="1746.96"/>
        <n v="1738.38"/>
        <n v="62.23"/>
        <n v="1031.79"/>
        <n v="913.68"/>
        <n v="833.32"/>
        <n v="118.91"/>
        <n v="3166.36"/>
        <n v="829.26"/>
        <n v="1921.06"/>
        <n v="3772.72"/>
        <n v="830.16"/>
        <n v="762.36"/>
        <n v="928.38"/>
        <n v="710.84"/>
        <n v="1969.6"/>
        <n v="21.08"/>
        <n v="342.87"/>
        <n v="284.01"/>
        <n v="223.89"/>
        <n v="845.85"/>
        <n v="2489"/>
        <n v="155.96"/>
        <n v="2705.4"/>
        <n v="1877.12"/>
        <n v="1718.92"/>
        <n v="2018.25"/>
        <n v="75.510000000000005"/>
        <n v="2968.2"/>
        <n v="637.16999999999996"/>
        <n v="630.96"/>
        <n v="3935.48"/>
        <n v="294.44"/>
        <n v="332.34"/>
        <n v="66.64"/>
        <n v="980.12"/>
        <n v="235.23"/>
        <n v="1221.93"/>
        <n v="1838.84"/>
        <n v="2119.29"/>
        <n v="2433.1799999999998"/>
        <n v="1971.5"/>
        <n v="254.72"/>
        <n v="153.56"/>
        <n v="2888.31"/>
        <n v="2652.63"/>
        <n v="1438.64"/>
        <n v="2298.87"/>
        <n v="771.81"/>
        <n v="324.14999999999998"/>
        <n v="502.53"/>
        <n v="1016.82"/>
        <n v="491.74"/>
        <n v="2985.36"/>
        <n v="120.75"/>
        <n v="136.04"/>
        <n v="1523.38"/>
        <n v="1384.76"/>
        <n v="846.16"/>
        <n v="458.87"/>
        <n v="1072.94"/>
        <n v="390.81"/>
        <n v="2826.64"/>
        <n v="1569.84"/>
        <n v="1445.91"/>
        <n v="2755.36"/>
        <n v="145.38"/>
        <n v="3447.88"/>
        <n v="584"/>
        <n v="1389.44"/>
        <n v="1772.86"/>
        <n v="1728.06"/>
        <n v="437.63"/>
        <n v="415.64"/>
        <n v="3303.04"/>
        <n v="2548.9499999999998"/>
        <n v="88.6"/>
        <n v="2028.32"/>
        <n v="992.61"/>
        <n v="1771.16"/>
        <n v="1879.04"/>
        <n v="24.13"/>
        <n v="717.75"/>
        <n v="588.42999999999995"/>
        <n v="145.66"/>
        <n v="2563.4"/>
        <n v="2320.92"/>
        <n v="62.16"/>
        <n v="1556.16"/>
        <n v="1629.93"/>
        <n v="2860.52"/>
        <n v="2704.12"/>
        <n v="1409.88"/>
        <n v="469.99"/>
        <n v="891.76"/>
        <n v="865.64"/>
        <n v="1879.92"/>
        <n v="648.24"/>
        <n v="3358.44"/>
        <n v="757.05"/>
        <n v="120.7"/>
        <n v="1366.8"/>
        <n v="1200.28"/>
        <n v="578.04"/>
        <n v="1193.6600000000001"/>
        <n v="1864.32"/>
        <n v="660.9"/>
        <n v="1232.82"/>
        <n v="587.19000000000005"/>
        <n v="2458.4"/>
        <n v="224.38"/>
        <n v="967.67"/>
        <n v="112.7"/>
        <n v="3687.2"/>
        <n v="2214.5700000000002"/>
        <n v="1911.12"/>
        <n v="1816.65"/>
        <n v="1042.3800000000001"/>
        <n v="1995.84"/>
        <n v="1197.1199999999999"/>
        <n v="609.14"/>
        <n v="213.67"/>
        <n v="2451.64"/>
        <n v="1374.58"/>
        <n v="346.11"/>
        <n v="1443.98"/>
        <n v="384.51"/>
        <n v="387.82"/>
        <n v="807.68"/>
        <n v="878.39"/>
        <n v="161.12"/>
        <n v="1439.86"/>
        <n v="361.78"/>
        <n v="779.55"/>
        <n v="1299.44"/>
        <n v="952.56"/>
        <n v="3282.12"/>
        <n v="990"/>
        <n v="1683.72"/>
        <n v="857.04"/>
        <n v="370.53"/>
        <n v="2582.44"/>
        <n v="1760.46"/>
        <n v="401.03"/>
        <n v="1974.63"/>
        <n v="1801.12"/>
        <n v="134.32"/>
        <n v="506.58"/>
        <n v="141.79"/>
        <n v="617.19000000000005"/>
        <n v="2523.96"/>
        <n v="1920.46"/>
        <n v="2150.94"/>
        <n v="281.67"/>
        <n v="509.04"/>
        <n v="3307.16"/>
        <n v="1646.26"/>
        <n v="1128.2"/>
        <n v="486.3"/>
        <n v="1206.8800000000001"/>
        <n v="612.21"/>
        <n v="43.57"/>
        <n v="1407.57"/>
        <n v="3344.44"/>
        <n v="1322.66"/>
        <n v="2259.66"/>
        <n v="2141.85"/>
        <n v="1787.16"/>
        <n v="338.86"/>
        <n v="2446.88"/>
        <n v="50.18"/>
        <n v="667.64"/>
        <n v="3445.72"/>
        <n v="168.48"/>
        <n v="582.09"/>
        <n v="191.82"/>
        <n v="829.57"/>
        <n v="1716.24"/>
        <n v="2151.27"/>
        <n v="162.97999999999999"/>
        <n v="1933.2"/>
        <n v="1747.6"/>
        <n v="139.97"/>
        <n v="1099.28"/>
        <n v="2862.76"/>
        <n v="1774.89"/>
        <n v="1046.02"/>
        <n v="956.9"/>
        <n v="2961.32"/>
        <n v="780.2"/>
        <n v="2316.8000000000002"/>
        <n v="806.73"/>
        <n v="47.19"/>
        <n v="2576.2199999999998"/>
        <n v="1709.79"/>
        <n v="919.53"/>
        <n v="553.91999999999996"/>
        <n v="758.24"/>
        <n v="805.2"/>
        <n v="2050.5"/>
        <n v="1316.79"/>
        <n v="126.68"/>
        <n v="3338.24"/>
        <n v="543.54"/>
        <n v="3887.56"/>
        <n v="1570.17"/>
        <n v="3355.32"/>
        <n v="3353.96"/>
        <n v="2829.09"/>
        <n v="620.14"/>
        <n v="602.46"/>
        <n v="803.07"/>
        <n v="779.73"/>
        <n v="2366.8000000000002"/>
        <n v="793.44"/>
        <n v="176.65"/>
        <n v="1228.2"/>
        <n v="1813.44"/>
        <n v="72.510000000000005"/>
        <n v="503.71"/>
        <n v="3443"/>
        <n v="125.82"/>
        <n v="649.47"/>
        <n v="771.8"/>
        <n v="891.56"/>
        <n v="1117.7"/>
        <n v="197.56"/>
        <n v="2500.2800000000002"/>
        <n v="152.88"/>
        <n v="2926"/>
        <n v="2475.36"/>
        <n v="94.58"/>
        <n v="388.94"/>
        <n v="1631.34"/>
        <n v="1320.52"/>
        <n v="2917.12"/>
        <n v="305.33999999999997"/>
        <n v="2368.08"/>
        <n v="984.37"/>
        <n v="474.94"/>
        <n v="51.79"/>
        <n v="1189.02"/>
        <n v="1428.15"/>
        <n v="546.39"/>
        <n v="979.3"/>
        <n v="2964.69"/>
        <n v="3396.12"/>
        <n v="904.56"/>
        <n v="1621.4"/>
        <n v="846.57"/>
        <n v="293.24"/>
        <n v="881.99"/>
        <n v="958.23"/>
        <n v="716.28"/>
        <n v="818.26"/>
        <n v="1046.52"/>
        <n v="1374.3"/>
        <n v="59.86"/>
        <n v="1710"/>
        <n v="1204.74"/>
        <n v="2476.1999999999998"/>
        <n v="2276.36"/>
        <n v="1692.1"/>
        <n v="788.16"/>
        <n v="677.48"/>
        <n v="377.68"/>
        <n v="2825.07"/>
        <n v="673.66"/>
        <n v="688.14"/>
        <n v="841.38"/>
        <n v="189.21"/>
        <n v="1104.78"/>
        <n v="1342.05"/>
        <n v="727.49"/>
        <n v="2325.04"/>
        <n v="338.64"/>
        <n v="2274.2399999999998"/>
        <n v="704.96"/>
        <n v="1259.42"/>
        <n v="636.03"/>
        <n v="2635.71"/>
        <n v="350.4"/>
        <n v="1327.47"/>
        <n v="1229.8499999999999"/>
        <n v="355.04"/>
        <n v="971.52"/>
        <n v="820.7"/>
        <n v="404.36"/>
        <n v="2865.44"/>
        <n v="721.5"/>
        <n v="1055.78"/>
        <n v="1891.46"/>
        <n v="1962.38"/>
        <n v="913.85"/>
        <n v="1082.04"/>
        <n v="2995.68"/>
        <n v="2294.8200000000002"/>
        <n v="1349.46"/>
        <n v="498.02"/>
        <n v="670.77"/>
        <n v="185.64"/>
        <n v="1073.1199999999999"/>
        <n v="3342.32"/>
        <n v="362.58"/>
        <n v="52.66"/>
        <n v="918.76"/>
        <n v="1848.88"/>
        <n v="585.54"/>
        <n v="91.24"/>
        <n v="988.5"/>
        <n v="412.09"/>
        <n v="650.34"/>
        <n v="68.16"/>
        <n v="1685.28"/>
        <n v="455.42"/>
        <n v="2057.19"/>
        <n v="722.39"/>
        <n v="1756.23"/>
        <n v="1271.3599999999999"/>
        <n v="707.46"/>
        <n v="377.37"/>
        <n v="2704.47"/>
        <n v="562.91"/>
        <n v="668.56"/>
        <n v="1036.05"/>
        <n v="3009"/>
        <n v="119.76"/>
        <n v="439.29"/>
        <n v="717.26"/>
        <n v="850.56"/>
        <n v="183.3"/>
        <n v="2279"/>
        <n v="2951.55"/>
        <n v="905.23"/>
        <n v="337.74"/>
        <n v="2627.7"/>
        <n v="1370.1"/>
        <n v="2835.96"/>
        <n v="204.84"/>
      </sharedItems>
    </cacheField>
    <cacheField name="Age" numFmtId="0">
      <sharedItems containsSemiMixedTypes="0" containsNonDate="0" containsString="0" containsNumber="1" containsInteger="1" minValue="18" maxValue="64"/>
    </cacheField>
    <cacheField name="Quarters" numFmtId="0" databaseField="0">
      <fieldGroup base="1">
        <rangePr groupBy="quarters" startDate="2023-10-14T00:00:00" endDate="2025-10-14T00:00:00"/>
        <groupItems count="6">
          <s v="&lt;14/10/2023"/>
          <s v="Qtr1"/>
          <s v="Qtr2"/>
          <s v="Qtr3"/>
          <s v="Qtr4"/>
          <s v="&gt;14/10/2025"/>
        </groupItems>
      </fieldGroup>
    </cacheField>
    <cacheField name="Years" numFmtId="0" databaseField="0">
      <fieldGroup base="1">
        <rangePr groupBy="years" startDate="2023-10-14T00:00:00" endDate="2025-10-14T00:00:00"/>
        <groupItems count="5">
          <s v="&lt;14/10/2023"/>
          <s v="2023"/>
          <s v="2024"/>
          <s v="2025"/>
          <s v="&gt;14/10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18.04"/>
    <n v="0.09"/>
    <s v="Credit Card"/>
    <x v="0"/>
    <x v="0"/>
    <x v="0"/>
    <s v="Cricket Bat - Khan Llc"/>
    <x v="0"/>
    <n v="245.98"/>
    <x v="0"/>
    <x v="0"/>
    <n v="217.95"/>
  </r>
  <r>
    <s v="SALE1"/>
    <d v="2023-12-25T00:00:00"/>
    <s v="CUST1467"/>
    <s v="PROD74"/>
    <s v="STORE17"/>
    <n v="3"/>
    <n v="104.47"/>
    <n v="0.27"/>
    <s v="PayPal"/>
    <x v="1"/>
    <x v="1"/>
    <x v="0"/>
    <s v="Bluetooth Car Audio System - Bruce-Bowen"/>
    <x v="1"/>
    <n v="403.71"/>
    <x v="0"/>
    <x v="1"/>
    <n v="312.60000000000002"/>
  </r>
  <r>
    <s v="SALE2"/>
    <d v="2024-06-03T00:00:00"/>
    <s v="CUST1056"/>
    <s v="PROD49"/>
    <s v="STORE8"/>
    <n v="4"/>
    <n v="914.05"/>
    <n v="0.25"/>
    <s v="Credit Card"/>
    <x v="1"/>
    <x v="2"/>
    <x v="0"/>
    <s v="Men'S Roll-On Perfume - Sullivan And Sons"/>
    <x v="2"/>
    <n v="43.29"/>
    <x v="1"/>
    <x v="2"/>
    <n v="3655.2"/>
  </r>
  <r>
    <s v="SALE3"/>
    <d v="2023-11-29T00:00:00"/>
    <s v="CUST1346"/>
    <s v="PROD76"/>
    <s v="STORE8"/>
    <n v="1"/>
    <n v="921.51"/>
    <n v="0.16"/>
    <s v="COD"/>
    <x v="1"/>
    <x v="3"/>
    <x v="1"/>
    <s v="Wireless Mouse - Larson Ltd"/>
    <x v="1"/>
    <n v="392.89"/>
    <x v="1"/>
    <x v="2"/>
    <n v="921.35"/>
  </r>
  <r>
    <s v="SALE4"/>
    <d v="2024-01-06T00:00:00"/>
    <s v="CUST1493"/>
    <s v="PROD59"/>
    <s v="STORE5"/>
    <n v="3"/>
    <n v="745.3"/>
    <n v="0.18"/>
    <s v="Credit Card"/>
    <x v="0"/>
    <x v="4"/>
    <x v="2"/>
    <s v="Men'S Hair Styling Gel - Cline-Mccarthy"/>
    <x v="2"/>
    <n v="17.309999999999999"/>
    <x v="0"/>
    <x v="0"/>
    <n v="2235.36"/>
  </r>
  <r>
    <s v="SALE5"/>
    <d v="2024-07-26T00:00:00"/>
    <s v="CUST1116"/>
    <s v="PROD15"/>
    <s v="STORE7"/>
    <n v="3"/>
    <n v="147.01"/>
    <n v="0.19"/>
    <s v="COD"/>
    <x v="1"/>
    <x v="5"/>
    <x v="1"/>
    <s v="4K Home Projector - Thomas Llc"/>
    <x v="1"/>
    <n v="465.34"/>
    <x v="2"/>
    <x v="2"/>
    <n v="440.46"/>
  </r>
  <r>
    <s v="SALE6"/>
    <d v="2025-07-12T00:00:00"/>
    <s v="CUST1016"/>
    <s v="PROD56"/>
    <s v="STORE4"/>
    <n v="2"/>
    <n v="785.31"/>
    <n v="0.15"/>
    <s v="PayPal"/>
    <x v="1"/>
    <x v="2"/>
    <x v="3"/>
    <s v="Premium Blanket Throw - Hernandez, Kennedy And Porter"/>
    <x v="3"/>
    <n v="461.47"/>
    <x v="2"/>
    <x v="2"/>
    <n v="1570.32"/>
  </r>
  <r>
    <s v="SALE7"/>
    <d v="2023-11-18T00:00:00"/>
    <s v="CUST1152"/>
    <s v="PROD70"/>
    <s v="STORE8"/>
    <n v="4"/>
    <n v="342.39"/>
    <n v="0.23"/>
    <s v="PayPal"/>
    <x v="1"/>
    <x v="6"/>
    <x v="1"/>
    <s v="Kitchen Storage Rack - Duran Group"/>
    <x v="3"/>
    <n v="138.05000000000001"/>
    <x v="1"/>
    <x v="2"/>
    <n v="1368.6399999999999"/>
  </r>
  <r>
    <s v="SALE8"/>
    <d v="2025-05-04T00:00:00"/>
    <s v="CUST1187"/>
    <s v="PROD99"/>
    <s v="STORE5"/>
    <n v="2"/>
    <n v="448.25"/>
    <n v="7.0000000000000007E-2"/>
    <s v="PayPal"/>
    <x v="1"/>
    <x v="4"/>
    <x v="1"/>
    <s v="Stainless Steel Cookware Set - Campbell Ltd"/>
    <x v="3"/>
    <n v="201.41"/>
    <x v="0"/>
    <x v="0"/>
    <n v="896.36"/>
  </r>
  <r>
    <s v="SALE9"/>
    <d v="2025-07-31T00:00:00"/>
    <s v="CUST1464"/>
    <s v="PROD33"/>
    <s v="STORE0"/>
    <n v="2"/>
    <n v="873.17"/>
    <n v="0.23"/>
    <s v="PayPal"/>
    <x v="1"/>
    <x v="7"/>
    <x v="1"/>
    <s v="Modern Wall Clock - Weiss-Watson"/>
    <x v="3"/>
    <n v="179.77"/>
    <x v="3"/>
    <x v="1"/>
    <n v="1745.8799999999999"/>
  </r>
  <r>
    <s v="SALE10"/>
    <d v="2024-02-13T00:00:00"/>
    <s v="CUST1065"/>
    <s v="PROD24"/>
    <s v="STORE14"/>
    <n v="1"/>
    <n v="278.63"/>
    <n v="7.0000000000000007E-2"/>
    <s v="Credit Card"/>
    <x v="1"/>
    <x v="8"/>
    <x v="2"/>
    <s v="Foldable Camping Chair - Cook Ltd"/>
    <x v="0"/>
    <n v="166.06"/>
    <x v="2"/>
    <x v="0"/>
    <n v="278.56"/>
  </r>
  <r>
    <s v="SALE11"/>
    <d v="2025-05-24T00:00:00"/>
    <s v="CUST1320"/>
    <s v="PROD39"/>
    <s v="STORE1"/>
    <n v="4"/>
    <n v="286.92"/>
    <n v="0.17"/>
    <s v="Credit Card"/>
    <x v="1"/>
    <x v="9"/>
    <x v="3"/>
    <s v="Portable Power Bank - Cummings And Sons"/>
    <x v="1"/>
    <n v="326.06"/>
    <x v="0"/>
    <x v="1"/>
    <n v="1147"/>
  </r>
  <r>
    <s v="SALE12"/>
    <d v="2024-08-24T00:00:00"/>
    <s v="CUST1237"/>
    <s v="PROD88"/>
    <s v="STORE4"/>
    <n v="4"/>
    <n v="644.58000000000004"/>
    <n v="0.01"/>
    <s v="Credit Card"/>
    <x v="1"/>
    <x v="10"/>
    <x v="0"/>
    <s v="Sports Wrist Sweatbands - Olsen-Daniels"/>
    <x v="0"/>
    <n v="131.24"/>
    <x v="2"/>
    <x v="2"/>
    <n v="2578.2800000000002"/>
  </r>
  <r>
    <s v="SALE13"/>
    <d v="2025-08-06T00:00:00"/>
    <s v="CUST1443"/>
    <s v="PROD34"/>
    <s v="STORE16"/>
    <n v="2"/>
    <n v="316.89999999999998"/>
    <n v="0.3"/>
    <s v="PayPal"/>
    <x v="0"/>
    <x v="11"/>
    <x v="2"/>
    <s v="Gaming Mechanical Keyboard - Lucero Llc"/>
    <x v="1"/>
    <n v="419.28"/>
    <x v="1"/>
    <x v="1"/>
    <n v="633.19999999999993"/>
  </r>
  <r>
    <s v="SALE14"/>
    <d v="2025-06-21T00:00:00"/>
    <s v="CUST1348"/>
    <s v="PROD24"/>
    <s v="STORE15"/>
    <n v="4"/>
    <n v="403.47"/>
    <n v="0.28999999999999998"/>
    <s v="PayPal"/>
    <x v="0"/>
    <x v="2"/>
    <x v="2"/>
    <s v="Foldable Camping Chair - Cook Ltd"/>
    <x v="0"/>
    <n v="166.06"/>
    <x v="0"/>
    <x v="1"/>
    <n v="1612.72"/>
  </r>
  <r>
    <s v="SALE15"/>
    <d v="2024-12-10T00:00:00"/>
    <s v="CUST1435"/>
    <s v="PROD36"/>
    <s v="STORE9"/>
    <n v="2"/>
    <n v="871.34"/>
    <n v="0.04"/>
    <s v="COD"/>
    <x v="1"/>
    <x v="12"/>
    <x v="2"/>
    <s v="Women'S Summer Dress - Smith-Mills"/>
    <x v="4"/>
    <n v="223.43"/>
    <x v="2"/>
    <x v="1"/>
    <n v="1742.6000000000001"/>
  </r>
  <r>
    <s v="SALE16"/>
    <d v="2025-09-13T00:00:00"/>
    <s v="CUST1276"/>
    <s v="PROD65"/>
    <s v="STORE19"/>
    <n v="2"/>
    <n v="451.98"/>
    <n v="0.25"/>
    <s v="Credit Card"/>
    <x v="0"/>
    <x v="8"/>
    <x v="0"/>
    <s v="Adjustable Dumbbells 20Kg - Montgomery, Benton And Miller"/>
    <x v="0"/>
    <n v="240.63"/>
    <x v="3"/>
    <x v="2"/>
    <n v="903.46"/>
  </r>
  <r>
    <s v="SALE17"/>
    <d v="2024-12-11T00:00:00"/>
    <s v="CUST1079"/>
    <s v="PROD27"/>
    <s v="STORE4"/>
    <n v="2"/>
    <n v="502.69"/>
    <n v="0.23"/>
    <s v="Credit Card"/>
    <x v="1"/>
    <x v="13"/>
    <x v="1"/>
    <s v="Decorative Floor Vase - Khan, Jones And Paul"/>
    <x v="3"/>
    <n v="250.02157142857135"/>
    <x v="2"/>
    <x v="2"/>
    <n v="1004.92"/>
  </r>
  <r>
    <s v="SALE18"/>
    <d v="2024-08-13T00:00:00"/>
    <s v="CUST1094"/>
    <s v="PROD39"/>
    <s v="STORE4"/>
    <n v="2"/>
    <n v="559.23"/>
    <n v="0.25"/>
    <s v="COD"/>
    <x v="1"/>
    <x v="8"/>
    <x v="0"/>
    <s v="Portable Power Bank - Cummings And Sons"/>
    <x v="1"/>
    <n v="326.06"/>
    <x v="2"/>
    <x v="2"/>
    <n v="1117.96"/>
  </r>
  <r>
    <s v="SALE19"/>
    <d v="2024-03-18T00:00:00"/>
    <s v="CUST1239"/>
    <s v="PROD60"/>
    <s v="STORE13"/>
    <n v="4"/>
    <n v="513.98477215823721"/>
    <n v="0.04"/>
    <s v="COD"/>
    <x v="1"/>
    <x v="8"/>
    <x v="1"/>
    <s v="Luxury Perfume Spray - Gibson, Green And Lopez"/>
    <x v="2"/>
    <n v="482.75"/>
    <x v="3"/>
    <x v="1"/>
    <n v="2055.779088632949"/>
  </r>
  <r>
    <s v="SALE20"/>
    <d v="2025-07-05T00:00:00"/>
    <s v="CUST1144"/>
    <s v="PROD72"/>
    <s v="STORE17"/>
    <n v="3"/>
    <n v="986.04"/>
    <n v="0.27"/>
    <s v="COD"/>
    <x v="1"/>
    <x v="8"/>
    <x v="3"/>
    <s v="Professional Jump Rope - Davis Plc"/>
    <x v="0"/>
    <n v="477.61"/>
    <x v="0"/>
    <x v="1"/>
    <n v="2957.31"/>
  </r>
  <r>
    <s v="SALE21"/>
    <d v="2024-06-04T00:00:00"/>
    <s v="CUST1396"/>
    <s v="PROD43"/>
    <s v="STORE18"/>
    <n v="1"/>
    <n v="589.55999999999995"/>
    <n v="0.22"/>
    <s v="Credit Card"/>
    <x v="1"/>
    <x v="14"/>
    <x v="2"/>
    <s v="Usb External Hard Drive - Robinson Inc"/>
    <x v="1"/>
    <n v="253.33"/>
    <x v="3"/>
    <x v="1"/>
    <n v="589.33999999999992"/>
  </r>
  <r>
    <s v="SALE22"/>
    <d v="2024-04-12T00:00:00"/>
    <s v="CUST1476"/>
    <s v="PROD69"/>
    <s v="STORE10"/>
    <n v="3"/>
    <n v="979.42"/>
    <n v="0.03"/>
    <s v="PayPal"/>
    <x v="1"/>
    <x v="15"/>
    <x v="0"/>
    <s v="Men'S Sports Shorts - Fitzpatrick Ltd"/>
    <x v="4"/>
    <n v="218.22"/>
    <x v="3"/>
    <x v="2"/>
    <n v="2938.17"/>
  </r>
  <r>
    <s v="SALE23"/>
    <d v="2024-06-23T00:00:00"/>
    <s v="CUST1368"/>
    <s v="PROD12"/>
    <s v="STORE8"/>
    <n v="1"/>
    <n v="719.28"/>
    <n v="0.08"/>
    <s v="Credit Card"/>
    <x v="1"/>
    <x v="14"/>
    <x v="1"/>
    <s v="Hair Strengthening Shampoo - Rice Llc"/>
    <x v="2"/>
    <n v="115.82"/>
    <x v="1"/>
    <x v="2"/>
    <n v="719.19999999999993"/>
  </r>
  <r>
    <s v="SALE24"/>
    <d v="2025-09-08T00:00:00"/>
    <s v="CUST1186"/>
    <s v="PROD67"/>
    <s v="STORE6"/>
    <n v="3"/>
    <n v="77.599999999999994"/>
    <n v="7.0000000000000007E-2"/>
    <s v="Credit Card"/>
    <x v="0"/>
    <x v="6"/>
    <x v="2"/>
    <s v="Smart Led Light Strip - Flores-Davis"/>
    <x v="1"/>
    <n v="349.17"/>
    <x v="3"/>
    <x v="2"/>
    <n v="232.59"/>
  </r>
  <r>
    <s v="SALE25"/>
    <d v="2024-09-17T00:00:00"/>
    <s v="CUST1381"/>
    <s v="PROD5"/>
    <s v="STORE3"/>
    <n v="4"/>
    <n v="852.71"/>
    <n v="0.14000000000000001"/>
    <s v="PayPal"/>
    <x v="0"/>
    <x v="4"/>
    <x v="2"/>
    <s v="Men'S Leather Belt - Baldwin, Garza And Gonzalez"/>
    <x v="4"/>
    <n v="261"/>
    <x v="0"/>
    <x v="0"/>
    <n v="3410.28"/>
  </r>
  <r>
    <s v="SALE26"/>
    <d v="2024-01-03T00:00:00"/>
    <s v="CUST1213"/>
    <s v="PROD98"/>
    <s v="STORE8"/>
    <n v="4"/>
    <n v="156.16"/>
    <n v="0.14000000000000001"/>
    <s v="Credit Card"/>
    <x v="1"/>
    <x v="16"/>
    <x v="1"/>
    <s v="Portable Bluetooth Speaker - Flores-King"/>
    <x v="1"/>
    <n v="431.67"/>
    <x v="1"/>
    <x v="2"/>
    <n v="624.08000000000004"/>
  </r>
  <r>
    <s v="SALE27"/>
    <d v="2025-02-22T00:00:00"/>
    <s v="CUST1200"/>
    <s v="PROD77"/>
    <s v="STORE8"/>
    <n v="3"/>
    <n v="815.49"/>
    <n v="0.14787530225862661"/>
    <s v="Credit Card"/>
    <x v="0"/>
    <x v="17"/>
    <x v="1"/>
    <s v="Wifi Mesh Router - White, Reeves And Woods"/>
    <x v="1"/>
    <n v="480.9"/>
    <x v="1"/>
    <x v="2"/>
    <n v="2446.0263740932241"/>
  </r>
  <r>
    <s v="SALE28"/>
    <d v="2025-09-23T00:00:00"/>
    <s v="CUST1148"/>
    <s v="PROD13"/>
    <s v="STORE2"/>
    <n v="2"/>
    <n v="74.209999999999994"/>
    <n v="0.14794402035623413"/>
    <s v="PayPal"/>
    <x v="1"/>
    <x v="18"/>
    <x v="3"/>
    <s v="Usb-C Fast Charger - Dawson-Perkins"/>
    <x v="1"/>
    <n v="242.23"/>
    <x v="2"/>
    <x v="0"/>
    <n v="148.12411195928752"/>
  </r>
  <r>
    <s v="SALE29"/>
    <d v="2024-01-11T00:00:00"/>
    <s v="CUST1348"/>
    <s v="PROD99"/>
    <s v="STORE3"/>
    <n v="2"/>
    <n v="451.67"/>
    <n v="0.14853340883352226"/>
    <s v="Credit Card"/>
    <x v="0"/>
    <x v="2"/>
    <x v="2"/>
    <s v="Stainless Steel Cookware Set - Campbell Ltd"/>
    <x v="3"/>
    <n v="201.41"/>
    <x v="0"/>
    <x v="0"/>
    <n v="903.04293318233294"/>
  </r>
  <r>
    <s v="SALE30"/>
    <d v="2023-10-18T00:00:00"/>
    <s v="CUST1028"/>
    <s v="PROD5"/>
    <s v="STORE19"/>
    <n v="1"/>
    <n v="429.38"/>
    <n v="0.13"/>
    <s v="PayPal"/>
    <x v="1"/>
    <x v="19"/>
    <x v="1"/>
    <s v="Men'S Leather Belt - Baldwin, Garza And Gonzalez"/>
    <x v="4"/>
    <n v="261"/>
    <x v="3"/>
    <x v="2"/>
    <n v="429.25"/>
  </r>
  <r>
    <s v="SALE31"/>
    <d v="2024-10-28T00:00:00"/>
    <s v="CUST1412"/>
    <s v="PROD53"/>
    <s v="STORE12"/>
    <n v="2"/>
    <n v="148.96"/>
    <n v="0.03"/>
    <s v="COD"/>
    <x v="1"/>
    <x v="20"/>
    <x v="0"/>
    <s v="Men'S Track Pants - Hamilton, Woods And Walker"/>
    <x v="4"/>
    <n v="386.56"/>
    <x v="0"/>
    <x v="2"/>
    <n v="297.86"/>
  </r>
  <r>
    <s v="SALE32"/>
    <d v="2024-11-01T00:00:00"/>
    <s v="CUST1398"/>
    <s v="PROD75"/>
    <s v="STORE8"/>
    <n v="4"/>
    <n v="313.83"/>
    <n v="0.08"/>
    <s v="Credit Card"/>
    <x v="0"/>
    <x v="21"/>
    <x v="3"/>
    <s v="Women'S Ankle Boots - Poole Plc"/>
    <x v="4"/>
    <n v="158.13999999999999"/>
    <x v="1"/>
    <x v="2"/>
    <n v="1255"/>
  </r>
  <r>
    <s v="SALE33"/>
    <d v="2024-11-24T00:00:00"/>
    <s v="CUST1453"/>
    <s v="PROD12"/>
    <s v="STORE6"/>
    <n v="2"/>
    <n v="717.31"/>
    <n v="0.15"/>
    <s v="Credit Card"/>
    <x v="1"/>
    <x v="22"/>
    <x v="1"/>
    <s v="Hair Strengthening Shampoo - Rice Llc"/>
    <x v="2"/>
    <n v="115.82"/>
    <x v="3"/>
    <x v="2"/>
    <n v="1434.32"/>
  </r>
  <r>
    <s v="SALE34"/>
    <d v="2023-10-16T00:00:00"/>
    <s v="CUST1344"/>
    <s v="PROD79"/>
    <s v="STORE1"/>
    <n v="2"/>
    <n v="873.22"/>
    <n v="0.18"/>
    <s v="Credit Card"/>
    <x v="0"/>
    <x v="23"/>
    <x v="0"/>
    <s v="Decorative Lamp Shade - Ramirez-Hanson"/>
    <x v="3"/>
    <n v="228.53"/>
    <x v="0"/>
    <x v="1"/>
    <n v="1746.0800000000002"/>
  </r>
  <r>
    <s v="SALE35"/>
    <d v="2025-08-09T00:00:00"/>
    <s v="CUST1218"/>
    <s v="PROD16"/>
    <s v="STORE3"/>
    <n v="4"/>
    <n v="109.36"/>
    <n v="0.19"/>
    <s v="COD"/>
    <x v="0"/>
    <x v="24"/>
    <x v="1"/>
    <s v="Beard Grooming Kit - Erickson-Green"/>
    <x v="2"/>
    <n v="337.42"/>
    <x v="0"/>
    <x v="0"/>
    <n v="436.68"/>
  </r>
  <r>
    <s v="SALE36"/>
    <d v="2024-12-09T00:00:00"/>
    <s v="CUST1086"/>
    <s v="PROD5"/>
    <s v="STORE7"/>
    <n v="3"/>
    <n v="559.52"/>
    <n v="0.16"/>
    <s v="PayPal"/>
    <x v="1"/>
    <x v="25"/>
    <x v="0"/>
    <s v="Men'S Leather Belt - Baldwin, Garza And Gonzalez"/>
    <x v="4"/>
    <n v="261"/>
    <x v="2"/>
    <x v="2"/>
    <n v="1678.08"/>
  </r>
  <r>
    <s v="SALE37"/>
    <d v="2024-02-07T00:00:00"/>
    <s v="CUST1492"/>
    <s v="PROD10"/>
    <s v="STORE17"/>
    <n v="3"/>
    <n v="121.76"/>
    <n v="0.27"/>
    <s v="PayPal"/>
    <x v="1"/>
    <x v="26"/>
    <x v="1"/>
    <s v="Ceramic Kitchen Bowl Set - Hamilton Group"/>
    <x v="3"/>
    <n v="298.86"/>
    <x v="0"/>
    <x v="1"/>
    <n v="364.47"/>
  </r>
  <r>
    <s v="SALE38"/>
    <d v="2024-03-27T00:00:00"/>
    <s v="CUST1189"/>
    <s v="PROD33"/>
    <s v="STORE13"/>
    <n v="4"/>
    <n v="735.32"/>
    <n v="0.06"/>
    <s v="COD"/>
    <x v="0"/>
    <x v="27"/>
    <x v="0"/>
    <s v="Modern Wall Clock - Weiss-Watson"/>
    <x v="3"/>
    <n v="179.77"/>
    <x v="3"/>
    <x v="1"/>
    <n v="2941.0400000000004"/>
  </r>
  <r>
    <s v="SALE39"/>
    <d v="2023-12-04T00:00:00"/>
    <s v="CUST1431"/>
    <s v="PROD94"/>
    <s v="STORE3"/>
    <n v="2"/>
    <n v="600.73"/>
    <n v="0.08"/>
    <s v="Credit Card"/>
    <x v="0"/>
    <x v="24"/>
    <x v="1"/>
    <s v="Vitamin E Body Lotion - Hoffman-Williams"/>
    <x v="2"/>
    <n v="358.47"/>
    <x v="0"/>
    <x v="0"/>
    <n v="1201.3"/>
  </r>
  <r>
    <s v="SALE40"/>
    <d v="2024-07-13T00:00:00"/>
    <s v="CUST1072"/>
    <s v="PROD26"/>
    <s v="STORE19"/>
    <n v="2"/>
    <n v="873.86"/>
    <n v="7.0000000000000007E-2"/>
    <s v="COD"/>
    <x v="1"/>
    <x v="9"/>
    <x v="0"/>
    <s v="Wireless Bluetooth Speaker - Reed-Schmidt"/>
    <x v="1"/>
    <n v="322.41000000000003"/>
    <x v="3"/>
    <x v="2"/>
    <n v="1747.58"/>
  </r>
  <r>
    <s v="SALE41"/>
    <d v="2023-11-11T00:00:00"/>
    <s v="CUST1302"/>
    <s v="PROD23"/>
    <s v="STORE8"/>
    <n v="3"/>
    <n v="342.47"/>
    <n v="0.08"/>
    <s v="PayPal"/>
    <x v="0"/>
    <x v="28"/>
    <x v="0"/>
    <s v="Men'S Formal Shirt - Moon, Mora And Santos"/>
    <x v="4"/>
    <n v="248.82191780821913"/>
    <x v="1"/>
    <x v="2"/>
    <n v="1027.17"/>
  </r>
  <r>
    <s v="SALE42"/>
    <d v="2024-12-23T00:00:00"/>
    <s v="CUST1335"/>
    <s v="PROD29"/>
    <s v="STORE9"/>
    <n v="2"/>
    <n v="915.15"/>
    <n v="0.16"/>
    <s v="PayPal"/>
    <x v="0"/>
    <x v="29"/>
    <x v="1"/>
    <s v="Fabric Sofa Throw Blanket - Hoffman Group"/>
    <x v="3"/>
    <n v="218.48"/>
    <x v="2"/>
    <x v="1"/>
    <n v="1829.98"/>
  </r>
  <r>
    <s v="SALE43"/>
    <d v="2025-01-20T00:00:00"/>
    <s v="CUST1084"/>
    <s v="PROD33"/>
    <s v="STORE17"/>
    <n v="2"/>
    <n v="863.11"/>
    <n v="0.28000000000000003"/>
    <s v="PayPal"/>
    <x v="1"/>
    <x v="30"/>
    <x v="1"/>
    <s v="Modern Wall Clock - Weiss-Watson"/>
    <x v="3"/>
    <n v="179.77"/>
    <x v="0"/>
    <x v="1"/>
    <n v="1725.66"/>
  </r>
  <r>
    <s v="SALE44"/>
    <d v="2024-09-03T00:00:00"/>
    <s v="CUST1203"/>
    <s v="PROD43"/>
    <s v="STORE12"/>
    <n v="2"/>
    <n v="209.32"/>
    <n v="0.23"/>
    <s v="COD"/>
    <x v="0"/>
    <x v="9"/>
    <x v="1"/>
    <s v="Usb External Hard Drive - Robinson Inc"/>
    <x v="1"/>
    <n v="253.33"/>
    <x v="0"/>
    <x v="2"/>
    <n v="418.18"/>
  </r>
  <r>
    <s v="SALE45"/>
    <d v="2024-11-10T00:00:00"/>
    <s v="CUST1470"/>
    <s v="PROD59"/>
    <s v="STORE8"/>
    <n v="4"/>
    <n v="288.60000000000002"/>
    <n v="0.09"/>
    <s v="PayPal"/>
    <x v="1"/>
    <x v="21"/>
    <x v="0"/>
    <s v="Men'S Hair Styling Gel - Cline-Mccarthy"/>
    <x v="2"/>
    <n v="17.309999999999999"/>
    <x v="1"/>
    <x v="2"/>
    <n v="1154.0400000000002"/>
  </r>
  <r>
    <s v="SALE46"/>
    <d v="2024-10-05T00:00:00"/>
    <s v="CUST1070"/>
    <s v="PROD78"/>
    <s v="STORE16"/>
    <n v="1"/>
    <n v="418.69"/>
    <n v="0.06"/>
    <s v="PayPal"/>
    <x v="1"/>
    <x v="23"/>
    <x v="0"/>
    <s v="Essential Oil Diffuser - Hernandez Inc"/>
    <x v="3"/>
    <n v="325.26"/>
    <x v="1"/>
    <x v="1"/>
    <n v="418.63"/>
  </r>
  <r>
    <s v="SALE47"/>
    <d v="2024-06-23T00:00:00"/>
    <s v="CUST1008"/>
    <s v="PROD30"/>
    <s v="STORE11"/>
    <n v="1"/>
    <n v="135.78"/>
    <n v="0.14000000000000001"/>
    <s v="PayPal"/>
    <x v="1"/>
    <x v="21"/>
    <x v="0"/>
    <s v="Stainless Steel Cutlery Set - Stevens, Fernandez And Martin"/>
    <x v="3"/>
    <n v="19.52"/>
    <x v="2"/>
    <x v="2"/>
    <n v="135.64000000000001"/>
  </r>
  <r>
    <s v="SALE48"/>
    <d v="2023-10-19T00:00:00"/>
    <s v="CUST1203"/>
    <s v="PROD44"/>
    <s v="STORE17"/>
    <n v="1"/>
    <n v="517.13"/>
    <n v="0.28000000000000003"/>
    <s v="Credit Card"/>
    <x v="0"/>
    <x v="9"/>
    <x v="1"/>
    <s v="Adjustable Jump Rope - Cox Inc"/>
    <x v="0"/>
    <n v="167.12"/>
    <x v="0"/>
    <x v="1"/>
    <n v="516.85"/>
  </r>
  <r>
    <s v="SALE49"/>
    <d v="2024-11-11T00:00:00"/>
    <s v="CUST1420"/>
    <s v="PROD21"/>
    <s v="STORE16"/>
    <n v="2"/>
    <n v="384.66"/>
    <n v="0.08"/>
    <s v="COD"/>
    <x v="0"/>
    <x v="29"/>
    <x v="3"/>
    <s v="Multi-Purpose Storage Box - Gardner-Montes"/>
    <x v="3"/>
    <n v="123.46"/>
    <x v="1"/>
    <x v="1"/>
    <n v="769.16000000000008"/>
  </r>
  <r>
    <s v="SALE50"/>
    <d v="2023-12-31T00:00:00"/>
    <s v="CUST1070"/>
    <s v="PROD52"/>
    <s v="STORE9"/>
    <n v="3"/>
    <n v="83.7"/>
    <n v="0.24"/>
    <s v="PayPal"/>
    <x v="1"/>
    <x v="23"/>
    <x v="0"/>
    <s v="Rugby Ball - Harris Inc"/>
    <x v="0"/>
    <n v="212.26"/>
    <x v="2"/>
    <x v="1"/>
    <n v="250.38000000000002"/>
  </r>
  <r>
    <s v="SALE51"/>
    <d v="2025-02-01T00:00:00"/>
    <s v="CUST1142"/>
    <s v="PROD69"/>
    <s v="STORE7"/>
    <n v="3"/>
    <n v="76.569999999999993"/>
    <n v="0.26"/>
    <s v="Credit Card"/>
    <x v="0"/>
    <x v="10"/>
    <x v="3"/>
    <s v="Men'S Sports Shorts - Fitzpatrick Ltd"/>
    <x v="4"/>
    <n v="218.22"/>
    <x v="2"/>
    <x v="2"/>
    <n v="228.92999999999995"/>
  </r>
  <r>
    <s v="SALE52"/>
    <d v="2025-08-25T00:00:00"/>
    <s v="CUST1148"/>
    <s v="PROD89"/>
    <s v="STORE6"/>
    <n v="3"/>
    <n v="513.98477215823721"/>
    <n v="0.14699999999999999"/>
    <s v="Credit Card"/>
    <x v="1"/>
    <x v="18"/>
    <x v="3"/>
    <s v="Face Foundation Kit - Taylor-Elliott"/>
    <x v="2"/>
    <n v="183.04"/>
    <x v="3"/>
    <x v="2"/>
    <n v="1541.5133164747115"/>
  </r>
  <r>
    <s v="SALE53"/>
    <d v="2025-01-20T00:00:00"/>
    <s v="CUST1324"/>
    <s v="PROD20"/>
    <s v="STORE8"/>
    <n v="1"/>
    <n v="900.35"/>
    <n v="0.13"/>
    <s v="COD"/>
    <x v="0"/>
    <x v="15"/>
    <x v="3"/>
    <s v="Outdoor Sports Water Bottle - Soto-Ellis"/>
    <x v="0"/>
    <n v="131.51"/>
    <x v="1"/>
    <x v="2"/>
    <n v="900.22"/>
  </r>
  <r>
    <s v="SALE54"/>
    <d v="2025-02-18T00:00:00"/>
    <s v="CUST1095"/>
    <s v="PROD40"/>
    <s v="STORE10"/>
    <n v="4"/>
    <n v="428.09"/>
    <n v="7.0000000000000007E-2"/>
    <s v="Credit Card"/>
    <x v="1"/>
    <x v="14"/>
    <x v="1"/>
    <s v="Noise-Canceling Headphones - Taylor-Hart"/>
    <x v="1"/>
    <n v="38.520000000000003"/>
    <x v="3"/>
    <x v="2"/>
    <n v="1712.08"/>
  </r>
  <r>
    <s v="SALE55"/>
    <d v="2024-10-24T00:00:00"/>
    <s v="CUST1416"/>
    <s v="PROD49"/>
    <s v="STORE11"/>
    <n v="2"/>
    <n v="559.71"/>
    <n v="0.3"/>
    <s v="COD"/>
    <x v="0"/>
    <x v="18"/>
    <x v="1"/>
    <s v="Men'S Roll-On Perfume - Sullivan And Sons"/>
    <x v="2"/>
    <n v="43.29"/>
    <x v="2"/>
    <x v="2"/>
    <n v="1118.8200000000002"/>
  </r>
  <r>
    <s v="SALE56"/>
    <d v="2023-12-22T00:00:00"/>
    <s v="CUST1080"/>
    <s v="PROD34"/>
    <s v="STORE6"/>
    <n v="2"/>
    <n v="833.7"/>
    <n v="0.06"/>
    <s v="PayPal"/>
    <x v="1"/>
    <x v="23"/>
    <x v="3"/>
    <s v="Gaming Mechanical Keyboard - Lucero Llc"/>
    <x v="1"/>
    <n v="419.28"/>
    <x v="3"/>
    <x v="2"/>
    <n v="1667.2800000000002"/>
  </r>
  <r>
    <s v="SALE57"/>
    <d v="2024-06-19T00:00:00"/>
    <s v="CUST1467"/>
    <s v="PROD47"/>
    <s v="STORE14"/>
    <n v="2"/>
    <n v="680.16"/>
    <n v="0.28000000000000003"/>
    <s v="Credit Card"/>
    <x v="1"/>
    <x v="1"/>
    <x v="0"/>
    <s v="Makeup Brush Set - Cook Inc"/>
    <x v="2"/>
    <n v="255.04901960784306"/>
    <x v="2"/>
    <x v="0"/>
    <n v="1359.76"/>
  </r>
  <r>
    <s v="SALE58"/>
    <d v="2024-12-07T00:00:00"/>
    <s v="CUST1404"/>
    <s v="PROD15"/>
    <s v="STORE7"/>
    <n v="4"/>
    <n v="733.42"/>
    <n v="0.14699999999999999"/>
    <s v="PayPal"/>
    <x v="1"/>
    <x v="13"/>
    <x v="2"/>
    <s v="4K Home Projector - Thomas Llc"/>
    <x v="1"/>
    <n v="465.34"/>
    <x v="2"/>
    <x v="2"/>
    <n v="2933.0919999999996"/>
  </r>
  <r>
    <s v="SALE59"/>
    <d v="2023-11-27T00:00:00"/>
    <s v="CUST1367"/>
    <s v="PROD89"/>
    <s v="STORE11"/>
    <n v="1"/>
    <n v="996.33"/>
    <n v="0.23"/>
    <s v="PayPal"/>
    <x v="0"/>
    <x v="31"/>
    <x v="3"/>
    <s v="Face Foundation Kit - Taylor-Elliott"/>
    <x v="2"/>
    <n v="183.04"/>
    <x v="2"/>
    <x v="2"/>
    <n v="996.1"/>
  </r>
  <r>
    <s v="SALE60"/>
    <d v="2025-07-16T00:00:00"/>
    <s v="CUST1408"/>
    <s v="PROD31"/>
    <s v="STORE10"/>
    <n v="1"/>
    <n v="198.83"/>
    <n v="0.09"/>
    <s v="COD"/>
    <x v="0"/>
    <x v="19"/>
    <x v="0"/>
    <s v="Basketball - Nolan-Snow"/>
    <x v="0"/>
    <n v="204.39"/>
    <x v="3"/>
    <x v="2"/>
    <n v="198.74"/>
  </r>
  <r>
    <s v="SALE61"/>
    <d v="2025-02-28T00:00:00"/>
    <s v="CUST1239"/>
    <s v="PROD19"/>
    <s v="STORE7"/>
    <n v="1"/>
    <n v="374.92"/>
    <n v="0.18"/>
    <s v="PayPal"/>
    <x v="1"/>
    <x v="8"/>
    <x v="1"/>
    <s v="Knee Support Brace - May-Reese"/>
    <x v="0"/>
    <n v="21.34"/>
    <x v="2"/>
    <x v="2"/>
    <n v="374.74"/>
  </r>
  <r>
    <s v="SALE62"/>
    <d v="2024-08-11T00:00:00"/>
    <s v="CUST1464"/>
    <s v="PROD93"/>
    <s v="STORE16"/>
    <n v="1"/>
    <n v="468.94"/>
    <n v="0.12"/>
    <s v="Credit Card"/>
    <x v="1"/>
    <x v="7"/>
    <x v="1"/>
    <s v="Usb-C Laptop Charger - Martin Llc"/>
    <x v="1"/>
    <n v="377.52"/>
    <x v="1"/>
    <x v="1"/>
    <n v="468.82"/>
  </r>
  <r>
    <s v="SALE63"/>
    <d v="2025-09-27T00:00:00"/>
    <s v="CUST1126"/>
    <s v="PROD89"/>
    <s v="STORE12"/>
    <n v="2"/>
    <n v="121.37"/>
    <n v="0.05"/>
    <s v="Credit Card"/>
    <x v="1"/>
    <x v="28"/>
    <x v="0"/>
    <s v="Face Foundation Kit - Taylor-Elliott"/>
    <x v="2"/>
    <n v="183.04"/>
    <x v="0"/>
    <x v="2"/>
    <n v="242.64000000000001"/>
  </r>
  <r>
    <s v="SALE64"/>
    <d v="2025-09-14T00:00:00"/>
    <s v="CUST1255"/>
    <s v="PROD53"/>
    <s v="STORE10"/>
    <n v="3"/>
    <n v="480.06"/>
    <n v="0.01"/>
    <s v="Credit Card"/>
    <x v="0"/>
    <x v="31"/>
    <x v="0"/>
    <s v="Men'S Track Pants - Hamilton, Woods And Walker"/>
    <x v="4"/>
    <n v="386.56"/>
    <x v="3"/>
    <x v="2"/>
    <n v="1440.15"/>
  </r>
  <r>
    <s v="SALE65"/>
    <d v="2023-12-30T00:00:00"/>
    <s v="CUST1162"/>
    <s v="PROD99"/>
    <s v="STORE17"/>
    <n v="2"/>
    <n v="856.57"/>
    <n v="0.24"/>
    <s v="Credit Card"/>
    <x v="0"/>
    <x v="3"/>
    <x v="2"/>
    <s v="Stainless Steel Cookware Set - Campbell Ltd"/>
    <x v="3"/>
    <n v="201.41"/>
    <x v="0"/>
    <x v="1"/>
    <n v="1712.66"/>
  </r>
  <r>
    <s v="SALE66"/>
    <d v="2023-10-14T00:00:00"/>
    <s v="CUST1269"/>
    <s v="PROD77"/>
    <s v="STORE2"/>
    <n v="4"/>
    <n v="814.25"/>
    <n v="0.18"/>
    <s v="Credit Card"/>
    <x v="1"/>
    <x v="24"/>
    <x v="2"/>
    <s v="Wifi Mesh Router - White, Reeves And Woods"/>
    <x v="1"/>
    <n v="480.9"/>
    <x v="2"/>
    <x v="0"/>
    <n v="3256.28"/>
  </r>
  <r>
    <s v="SALE67"/>
    <d v="2023-11-25T00:00:00"/>
    <s v="CUST1483"/>
    <s v="PROD12"/>
    <s v="STORE2"/>
    <n v="1"/>
    <n v="989.17"/>
    <n v="0.2"/>
    <s v="PayPal"/>
    <x v="0"/>
    <x v="8"/>
    <x v="0"/>
    <s v="Hair Strengthening Shampoo - Rice Llc"/>
    <x v="2"/>
    <n v="115.82"/>
    <x v="2"/>
    <x v="0"/>
    <n v="988.96999999999991"/>
  </r>
  <r>
    <s v="SALE68"/>
    <d v="2023-12-10T00:00:00"/>
    <s v="CUST1372"/>
    <s v="PROD72"/>
    <s v="STORE10"/>
    <n v="4"/>
    <n v="62.48"/>
    <n v="0.18"/>
    <s v="Credit Card"/>
    <x v="0"/>
    <x v="31"/>
    <x v="3"/>
    <s v="Professional Jump Rope - Davis Plc"/>
    <x v="0"/>
    <n v="477.61"/>
    <x v="3"/>
    <x v="2"/>
    <n v="249.2"/>
  </r>
  <r>
    <s v="SALE69"/>
    <d v="2025-08-28T00:00:00"/>
    <s v="CUST1423"/>
    <s v="PROD13"/>
    <s v="STORE16"/>
    <n v="4"/>
    <n v="561.24"/>
    <n v="0.24"/>
    <s v="Credit Card"/>
    <x v="0"/>
    <x v="32"/>
    <x v="2"/>
    <s v="Usb-C Fast Charger - Dawson-Perkins"/>
    <x v="1"/>
    <n v="242.23"/>
    <x v="1"/>
    <x v="1"/>
    <n v="2244"/>
  </r>
  <r>
    <s v="SALE70"/>
    <d v="2025-07-11T00:00:00"/>
    <s v="CUST1058"/>
    <s v="PROD60"/>
    <s v="STORE5"/>
    <n v="3"/>
    <n v="92.24"/>
    <n v="0.28000000000000003"/>
    <s v="COD"/>
    <x v="0"/>
    <x v="33"/>
    <x v="1"/>
    <s v="Luxury Perfume Spray - Gibson, Green And Lopez"/>
    <x v="2"/>
    <n v="482.75"/>
    <x v="0"/>
    <x v="0"/>
    <n v="275.88"/>
  </r>
  <r>
    <s v="SALE71"/>
    <d v="2025-08-20T00:00:00"/>
    <s v="CUST1168"/>
    <s v="PROD72"/>
    <s v="STORE1"/>
    <n v="2"/>
    <n v="668.3"/>
    <n v="7.0000000000000007E-2"/>
    <s v="Credit Card"/>
    <x v="1"/>
    <x v="26"/>
    <x v="1"/>
    <s v="Professional Jump Rope - Davis Plc"/>
    <x v="0"/>
    <n v="477.61"/>
    <x v="0"/>
    <x v="1"/>
    <n v="1336.4599999999998"/>
  </r>
  <r>
    <s v="SALE72"/>
    <d v="2024-08-29T00:00:00"/>
    <s v="CUST1409"/>
    <s v="PROD38"/>
    <s v="STORE5"/>
    <n v="1"/>
    <n v="553.82000000000005"/>
    <n v="0.09"/>
    <s v="Credit Card"/>
    <x v="0"/>
    <x v="0"/>
    <x v="0"/>
    <s v="Sports Water Hydration Pack - Sims-Smith"/>
    <x v="0"/>
    <n v="135.61000000000001"/>
    <x v="0"/>
    <x v="0"/>
    <n v="553.73"/>
  </r>
  <r>
    <s v="SALE73"/>
    <d v="2024-11-30T00:00:00"/>
    <s v="CUST1037"/>
    <s v="PROD45"/>
    <s v="STORE11"/>
    <n v="2"/>
    <n v="556.42999999999995"/>
    <n v="0.13"/>
    <s v="Credit Card"/>
    <x v="1"/>
    <x v="34"/>
    <x v="4"/>
    <s v="High-Grip Football - Bridges, Banks And Cummings"/>
    <x v="0"/>
    <n v="318.91000000000003"/>
    <x v="2"/>
    <x v="2"/>
    <n v="1112.5999999999999"/>
  </r>
  <r>
    <s v="SALE74"/>
    <d v="2025-10-12T00:00:00"/>
    <s v="CUST1273"/>
    <s v="PROD20"/>
    <s v="STORE8"/>
    <n v="1"/>
    <n v="184.98"/>
    <n v="0.1"/>
    <s v="COD"/>
    <x v="0"/>
    <x v="25"/>
    <x v="3"/>
    <s v="Outdoor Sports Water Bottle - Soto-Ellis"/>
    <x v="0"/>
    <n v="131.51"/>
    <x v="1"/>
    <x v="2"/>
    <n v="184.88"/>
  </r>
  <r>
    <s v="SALE75"/>
    <d v="2024-07-27T00:00:00"/>
    <s v="CUST1035"/>
    <s v="PROD97"/>
    <s v="STORE12"/>
    <n v="4"/>
    <n v="700.18"/>
    <n v="0.23"/>
    <s v="Credit Card"/>
    <x v="0"/>
    <x v="16"/>
    <x v="2"/>
    <s v="Cricket Bat - Khan Llc"/>
    <x v="0"/>
    <n v="245.98"/>
    <x v="0"/>
    <x v="2"/>
    <n v="2799.7999999999997"/>
  </r>
  <r>
    <s v="SALE76"/>
    <d v="2023-12-25T00:00:00"/>
    <s v="CUST1019"/>
    <s v="PROD76"/>
    <s v="STORE10"/>
    <n v="2"/>
    <n v="686.31"/>
    <n v="0.25"/>
    <s v="Credit Card"/>
    <x v="1"/>
    <x v="19"/>
    <x v="1"/>
    <s v="Wireless Mouse - Larson Ltd"/>
    <x v="1"/>
    <n v="392.89"/>
    <x v="3"/>
    <x v="2"/>
    <n v="1372.12"/>
  </r>
  <r>
    <s v="SALE77"/>
    <d v="2025-05-23T00:00:00"/>
    <s v="CUST1007"/>
    <s v="PROD67"/>
    <s v="STORE15"/>
    <n v="1"/>
    <n v="687.82"/>
    <n v="0.27"/>
    <s v="COD"/>
    <x v="1"/>
    <x v="35"/>
    <x v="3"/>
    <s v="Smart Led Light Strip - Flores-Davis"/>
    <x v="1"/>
    <n v="349.17"/>
    <x v="0"/>
    <x v="1"/>
    <n v="687.55000000000007"/>
  </r>
  <r>
    <s v="SALE78"/>
    <d v="2024-11-13T00:00:00"/>
    <s v="CUST1221"/>
    <s v="PROD83"/>
    <s v="STORE8"/>
    <n v="2"/>
    <n v="900.55"/>
    <n v="0.16"/>
    <s v="Credit Card"/>
    <x v="0"/>
    <x v="36"/>
    <x v="1"/>
    <s v="Hydrating Face Cleanser - Butler Group"/>
    <x v="2"/>
    <n v="289.35937499999994"/>
    <x v="1"/>
    <x v="2"/>
    <n v="1800.78"/>
  </r>
  <r>
    <s v="SALE79"/>
    <d v="2023-12-08T00:00:00"/>
    <s v="CUST1115"/>
    <s v="PROD21"/>
    <s v="STORE2"/>
    <n v="1"/>
    <n v="341.17"/>
    <n v="0.15"/>
    <s v="Credit Card"/>
    <x v="1"/>
    <x v="16"/>
    <x v="1"/>
    <s v="Multi-Purpose Storage Box - Gardner-Montes"/>
    <x v="3"/>
    <n v="123.46"/>
    <x v="2"/>
    <x v="0"/>
    <n v="341.02000000000004"/>
  </r>
  <r>
    <s v="SALE80"/>
    <d v="2025-08-16T00:00:00"/>
    <s v="CUST1176"/>
    <s v="PROD52"/>
    <s v="STORE8"/>
    <n v="1"/>
    <n v="442.27"/>
    <n v="0.06"/>
    <s v="COD"/>
    <x v="0"/>
    <x v="1"/>
    <x v="2"/>
    <s v="Rugby Ball - Harris Inc"/>
    <x v="0"/>
    <n v="212.26"/>
    <x v="1"/>
    <x v="2"/>
    <n v="442.21"/>
  </r>
  <r>
    <s v="SALE81"/>
    <d v="2024-11-20T00:00:00"/>
    <s v="CUST1253"/>
    <s v="PROD71"/>
    <s v="STORE9"/>
    <n v="1"/>
    <n v="363.73"/>
    <n v="0.25"/>
    <s v="PayPal"/>
    <x v="0"/>
    <x v="18"/>
    <x v="3"/>
    <s v="Hair Repair Oil Treatment - Hopkins Ltd"/>
    <x v="2"/>
    <n v="214.32"/>
    <x v="2"/>
    <x v="1"/>
    <n v="363.48"/>
  </r>
  <r>
    <s v="SALE82"/>
    <d v="2024-08-14T00:00:00"/>
    <s v="CUST1378"/>
    <s v="PROD91"/>
    <s v="STORE17"/>
    <n v="2"/>
    <n v="601.33000000000004"/>
    <n v="0.16"/>
    <s v="PayPal"/>
    <x v="1"/>
    <x v="37"/>
    <x v="3"/>
    <s v="Women'S High Heels - Smith-Charles"/>
    <x v="4"/>
    <n v="438.25"/>
    <x v="0"/>
    <x v="1"/>
    <n v="1202.3400000000001"/>
  </r>
  <r>
    <s v="SALE83"/>
    <d v="2024-05-15T00:00:00"/>
    <s v="CUST1403"/>
    <s v="PROD17"/>
    <s v="STORE18"/>
    <n v="4"/>
    <n v="34.39"/>
    <n v="0.03"/>
    <s v="PayPal"/>
    <x v="0"/>
    <x v="38"/>
    <x v="3"/>
    <s v="Soccer Training Cone Set - Ford, Murphy And Wilson"/>
    <x v="0"/>
    <n v="144.53"/>
    <x v="3"/>
    <x v="1"/>
    <n v="137.44"/>
  </r>
  <r>
    <s v="SALE84"/>
    <d v="2023-12-08T00:00:00"/>
    <s v="CUST1423"/>
    <s v="PROD46"/>
    <s v="STORE17"/>
    <n v="1"/>
    <n v="773.57"/>
    <n v="0.05"/>
    <s v="COD"/>
    <x v="0"/>
    <x v="32"/>
    <x v="2"/>
    <s v="Men'S Winter Jacket - Kelly, Smith And Perez"/>
    <x v="4"/>
    <n v="167.34"/>
    <x v="0"/>
    <x v="1"/>
    <n v="773.5200000000001"/>
  </r>
  <r>
    <s v="SALE85"/>
    <d v="2023-12-22T00:00:00"/>
    <s v="CUST1054"/>
    <s v="PROD88"/>
    <s v="STORE7"/>
    <n v="4"/>
    <n v="127.1"/>
    <n v="0.24"/>
    <s v="COD"/>
    <x v="0"/>
    <x v="15"/>
    <x v="1"/>
    <s v="Sports Wrist Sweatbands - Olsen-Daniels"/>
    <x v="0"/>
    <n v="131.24"/>
    <x v="2"/>
    <x v="2"/>
    <n v="507.44"/>
  </r>
  <r>
    <s v="SALE86"/>
    <d v="2024-09-10T00:00:00"/>
    <s v="CUST1303"/>
    <s v="PROD20"/>
    <s v="STORE3"/>
    <n v="3"/>
    <n v="899.58"/>
    <n v="0.28000000000000003"/>
    <s v="PayPal"/>
    <x v="1"/>
    <x v="37"/>
    <x v="1"/>
    <s v="Outdoor Sports Water Bottle - Soto-Ellis"/>
    <x v="0"/>
    <n v="131.51"/>
    <x v="0"/>
    <x v="0"/>
    <n v="2697.9"/>
  </r>
  <r>
    <s v="SALE87"/>
    <d v="2025-04-08T00:00:00"/>
    <s v="CUST1327"/>
    <s v="PROD1"/>
    <s v="STORE10"/>
    <n v="3"/>
    <n v="964.39"/>
    <n v="0.04"/>
    <s v="Credit Card"/>
    <x v="1"/>
    <x v="14"/>
    <x v="3"/>
    <s v="Men'S Graphic T-Shirt - Terry-Moore"/>
    <x v="4"/>
    <n v="342.56"/>
    <x v="3"/>
    <x v="2"/>
    <n v="2893.05"/>
  </r>
  <r>
    <s v="SALE88"/>
    <d v="2024-10-23T00:00:00"/>
    <s v="CUST1183"/>
    <s v="PROD38"/>
    <s v="STORE0"/>
    <n v="2"/>
    <n v="217.83"/>
    <n v="0.14000000000000001"/>
    <s v="PayPal"/>
    <x v="0"/>
    <x v="14"/>
    <x v="1"/>
    <s v="Sports Water Hydration Pack - Sims-Smith"/>
    <x v="0"/>
    <n v="135.61000000000001"/>
    <x v="3"/>
    <x v="1"/>
    <n v="435.38000000000005"/>
  </r>
  <r>
    <s v="SALE89"/>
    <d v="2025-07-10T00:00:00"/>
    <s v="CUST1143"/>
    <s v="PROD17"/>
    <s v="STORE1"/>
    <n v="4"/>
    <n v="187.71"/>
    <n v="0.06"/>
    <s v="COD"/>
    <x v="0"/>
    <x v="4"/>
    <x v="3"/>
    <s v="Soccer Training Cone Set - Ford, Murphy And Wilson"/>
    <x v="0"/>
    <n v="144.53"/>
    <x v="0"/>
    <x v="1"/>
    <n v="750.6"/>
  </r>
  <r>
    <s v="SALE90"/>
    <d v="2024-10-12T00:00:00"/>
    <s v="CUST1010"/>
    <s v="PROD33"/>
    <s v="STORE18"/>
    <n v="2"/>
    <n v="350.12"/>
    <n v="0.12"/>
    <s v="COD"/>
    <x v="0"/>
    <x v="2"/>
    <x v="3"/>
    <s v="Modern Wall Clock - Weiss-Watson"/>
    <x v="3"/>
    <n v="179.77"/>
    <x v="3"/>
    <x v="1"/>
    <n v="700"/>
  </r>
  <r>
    <s v="SALE91"/>
    <d v="2024-01-21T00:00:00"/>
    <s v="CUST1406"/>
    <s v="PROD16"/>
    <s v="STORE1"/>
    <n v="4"/>
    <n v="102.19"/>
    <n v="0.17"/>
    <s v="PayPal"/>
    <x v="1"/>
    <x v="18"/>
    <x v="0"/>
    <s v="Beard Grooming Kit - Erickson-Green"/>
    <x v="2"/>
    <n v="337.42"/>
    <x v="0"/>
    <x v="1"/>
    <n v="408.08"/>
  </r>
  <r>
    <s v="SALE92"/>
    <d v="2024-02-28T00:00:00"/>
    <s v="CUST1007"/>
    <s v="PROD86"/>
    <s v="STORE4"/>
    <n v="1"/>
    <n v="696.53"/>
    <n v="0.17"/>
    <s v="Credit Card"/>
    <x v="1"/>
    <x v="35"/>
    <x v="3"/>
    <s v="Kitchen Cutting Board - Taylor, Dodson And Johnston"/>
    <x v="3"/>
    <n v="176.07"/>
    <x v="2"/>
    <x v="2"/>
    <n v="696.36"/>
  </r>
  <r>
    <s v="SALE93"/>
    <d v="2024-12-31T00:00:00"/>
    <s v="CUST1065"/>
    <s v="PROD19"/>
    <s v="STORE4"/>
    <n v="2"/>
    <n v="327.52"/>
    <n v="0.15"/>
    <s v="PayPal"/>
    <x v="1"/>
    <x v="8"/>
    <x v="2"/>
    <s v="Knee Support Brace - May-Reese"/>
    <x v="0"/>
    <n v="21.34"/>
    <x v="2"/>
    <x v="2"/>
    <n v="654.74"/>
  </r>
  <r>
    <s v="SALE94"/>
    <d v="2024-08-26T00:00:00"/>
    <s v="CUST1298"/>
    <s v="PROD97"/>
    <s v="STORE19"/>
    <n v="2"/>
    <n v="569.36"/>
    <n v="0.01"/>
    <s v="PayPal"/>
    <x v="0"/>
    <x v="17"/>
    <x v="1"/>
    <s v="Cricket Bat - Khan Llc"/>
    <x v="0"/>
    <n v="245.98"/>
    <x v="3"/>
    <x v="2"/>
    <n v="1138.7"/>
  </r>
  <r>
    <s v="SALE95"/>
    <d v="2024-09-21T00:00:00"/>
    <s v="CUST1321"/>
    <s v="PROD99"/>
    <s v="STORE6"/>
    <n v="2"/>
    <n v="68.290000000000006"/>
    <n v="0.14000000000000001"/>
    <s v="COD"/>
    <x v="1"/>
    <x v="3"/>
    <x v="3"/>
    <s v="Stainless Steel Cookware Set - Campbell Ltd"/>
    <x v="3"/>
    <n v="201.41"/>
    <x v="3"/>
    <x v="2"/>
    <n v="136.30000000000001"/>
  </r>
  <r>
    <s v="SALE96"/>
    <d v="2024-08-19T00:00:00"/>
    <s v="CUST1244"/>
    <s v="PROD50"/>
    <s v="STORE10"/>
    <n v="1"/>
    <n v="842.9"/>
    <n v="0.06"/>
    <s v="COD"/>
    <x v="0"/>
    <x v="39"/>
    <x v="3"/>
    <s v="Boxing Hand Wraps - Smith-King"/>
    <x v="0"/>
    <n v="190.29"/>
    <x v="3"/>
    <x v="2"/>
    <n v="842.84"/>
  </r>
  <r>
    <s v="SALE97"/>
    <d v="2024-10-22T00:00:00"/>
    <s v="CUST1287"/>
    <s v="PROD3"/>
    <s v="STORE3"/>
    <n v="3"/>
    <n v="751.94"/>
    <n v="0.26"/>
    <s v="PayPal"/>
    <x v="1"/>
    <x v="1"/>
    <x v="0"/>
    <s v="Men'S Running Jacket - Pineda Ltd"/>
    <x v="4"/>
    <n v="364.67"/>
    <x v="0"/>
    <x v="0"/>
    <n v="2255.04"/>
  </r>
  <r>
    <s v="SALE98"/>
    <d v="2024-10-15T00:00:00"/>
    <s v="CUST1131"/>
    <s v="PROD56"/>
    <s v="STORE7"/>
    <n v="4"/>
    <n v="476.28"/>
    <n v="0.17"/>
    <s v="Credit Card"/>
    <x v="1"/>
    <x v="4"/>
    <x v="3"/>
    <s v="Premium Blanket Throw - Hernandez, Kennedy And Porter"/>
    <x v="3"/>
    <n v="461.47"/>
    <x v="2"/>
    <x v="2"/>
    <n v="1904.4399999999998"/>
  </r>
  <r>
    <s v="SALE99"/>
    <d v="2024-07-06T00:00:00"/>
    <s v="CUST1325"/>
    <s v="PROD54"/>
    <s v="STORE3"/>
    <n v="3"/>
    <n v="541.99"/>
    <n v="0.24"/>
    <s v="COD"/>
    <x v="0"/>
    <x v="18"/>
    <x v="3"/>
    <s v="Sports Stopwatch Pro - Thompson-French"/>
    <x v="0"/>
    <n v="434.84"/>
    <x v="0"/>
    <x v="0"/>
    <n v="1625.25"/>
  </r>
  <r>
    <s v="SALE100"/>
    <d v="2025-01-20T00:00:00"/>
    <s v="CUST1369"/>
    <s v="PROD33"/>
    <s v="STORE5"/>
    <n v="2"/>
    <n v="401.5"/>
    <n v="0.18"/>
    <s v="Credit Card"/>
    <x v="1"/>
    <x v="1"/>
    <x v="1"/>
    <s v="Modern Wall Clock - Weiss-Watson"/>
    <x v="3"/>
    <n v="179.77"/>
    <x v="0"/>
    <x v="0"/>
    <n v="802.64"/>
  </r>
  <r>
    <s v="SALE101"/>
    <d v="2024-06-10T00:00:00"/>
    <s v="CUST1084"/>
    <s v="PROD25"/>
    <s v="STORE13"/>
    <n v="3"/>
    <n v="359.56"/>
    <n v="0.17"/>
    <s v="PayPal"/>
    <x v="1"/>
    <x v="30"/>
    <x v="1"/>
    <s v="Women'S Scarf Set - Brown And Sons"/>
    <x v="4"/>
    <n v="174.02"/>
    <x v="3"/>
    <x v="1"/>
    <n v="1078.17"/>
  </r>
  <r>
    <s v="SALE102"/>
    <d v="2024-09-17T00:00:00"/>
    <s v="CUST1097"/>
    <s v="PROD80"/>
    <s v="STORE12"/>
    <n v="2"/>
    <n v="471.88"/>
    <n v="0.24"/>
    <s v="PayPal"/>
    <x v="0"/>
    <x v="34"/>
    <x v="2"/>
    <s v="Wall-Mounted Spice Rack - Allison Ltd"/>
    <x v="3"/>
    <n v="143.43"/>
    <x v="0"/>
    <x v="2"/>
    <n v="943.28"/>
  </r>
  <r>
    <s v="SALE103"/>
    <d v="2025-09-07T00:00:00"/>
    <s v="CUST1182"/>
    <s v="PROD34"/>
    <s v="STORE4"/>
    <n v="4"/>
    <n v="925.19"/>
    <n v="0.19"/>
    <s v="PayPal"/>
    <x v="1"/>
    <x v="15"/>
    <x v="2"/>
    <s v="Gaming Mechanical Keyboard - Lucero Llc"/>
    <x v="1"/>
    <n v="419.28"/>
    <x v="2"/>
    <x v="2"/>
    <n v="3700"/>
  </r>
  <r>
    <s v="SALE104"/>
    <d v="2024-02-08T00:00:00"/>
    <s v="CUST1029"/>
    <s v="PROD86"/>
    <s v="STORE11"/>
    <n v="2"/>
    <n v="879.63"/>
    <n v="7.0000000000000007E-2"/>
    <s v="COD"/>
    <x v="1"/>
    <x v="24"/>
    <x v="2"/>
    <s v="Kitchen Cutting Board - Taylor, Dodson And Johnston"/>
    <x v="3"/>
    <n v="176.07"/>
    <x v="2"/>
    <x v="2"/>
    <n v="1759.12"/>
  </r>
  <r>
    <s v="SALE105"/>
    <d v="2023-10-15T00:00:00"/>
    <s v="CUST1002"/>
    <s v="PROD79"/>
    <s v="STORE17"/>
    <n v="2"/>
    <n v="418.23"/>
    <n v="0.28000000000000003"/>
    <s v="Credit Card"/>
    <x v="1"/>
    <x v="4"/>
    <x v="1"/>
    <s v="Decorative Lamp Shade - Ramirez-Hanson"/>
    <x v="3"/>
    <n v="228.53"/>
    <x v="0"/>
    <x v="1"/>
    <n v="835.90000000000009"/>
  </r>
  <r>
    <s v="SALE106"/>
    <d v="2025-08-22T00:00:00"/>
    <s v="CUST1269"/>
    <s v="PROD19"/>
    <s v="STORE18"/>
    <n v="3"/>
    <n v="551.72"/>
    <n v="0.03"/>
    <s v="COD"/>
    <x v="1"/>
    <x v="24"/>
    <x v="2"/>
    <s v="Knee Support Brace - May-Reese"/>
    <x v="0"/>
    <n v="21.34"/>
    <x v="3"/>
    <x v="1"/>
    <n v="1655.0700000000002"/>
  </r>
  <r>
    <s v="SALE107"/>
    <d v="2024-02-01T00:00:00"/>
    <s v="CUST1338"/>
    <s v="PROD86"/>
    <s v="STORE7"/>
    <n v="4"/>
    <n v="525.61"/>
    <n v="0.02"/>
    <s v="PayPal"/>
    <x v="1"/>
    <x v="40"/>
    <x v="2"/>
    <s v="Kitchen Cutting Board - Taylor, Dodson And Johnston"/>
    <x v="3"/>
    <n v="176.07"/>
    <x v="2"/>
    <x v="2"/>
    <n v="2102.36"/>
  </r>
  <r>
    <s v="SALE108"/>
    <d v="2025-05-08T00:00:00"/>
    <s v="CUST1041"/>
    <s v="PROD22"/>
    <s v="STORE13"/>
    <n v="3"/>
    <n v="815.3"/>
    <n v="0.03"/>
    <s v="Credit Card"/>
    <x v="0"/>
    <x v="41"/>
    <x v="1"/>
    <s v="Carbon Fiber Tennis Racket - Flores, Pineda And Rodriguez"/>
    <x v="0"/>
    <n v="484.62"/>
    <x v="3"/>
    <x v="1"/>
    <n v="2445.81"/>
  </r>
  <r>
    <s v="SALE109"/>
    <d v="2025-03-22T00:00:00"/>
    <s v="CUST1214"/>
    <s v="PROD91"/>
    <s v="STORE0"/>
    <n v="3"/>
    <n v="376.46"/>
    <n v="0.09"/>
    <s v="COD"/>
    <x v="0"/>
    <x v="10"/>
    <x v="0"/>
    <s v="Women'S High Heels - Smith-Charles"/>
    <x v="4"/>
    <n v="438.25"/>
    <x v="3"/>
    <x v="1"/>
    <n v="1129.1100000000001"/>
  </r>
  <r>
    <s v="SALE110"/>
    <d v="2025-07-13T00:00:00"/>
    <s v="CUST1007"/>
    <s v="PROD42"/>
    <s v="STORE8"/>
    <n v="4"/>
    <n v="239.83"/>
    <n v="0.08"/>
    <s v="Credit Card"/>
    <x v="1"/>
    <x v="35"/>
    <x v="3"/>
    <s v="Smart Home Wifi Camera - Holmes Llc"/>
    <x v="1"/>
    <n v="450.71"/>
    <x v="1"/>
    <x v="2"/>
    <n v="959"/>
  </r>
  <r>
    <s v="SALE111"/>
    <d v="2025-05-21T00:00:00"/>
    <s v="CUST1119"/>
    <s v="PROD90"/>
    <s v="STORE3"/>
    <n v="2"/>
    <n v="845.71"/>
    <n v="0.01"/>
    <s v="PayPal"/>
    <x v="0"/>
    <x v="3"/>
    <x v="3"/>
    <s v="Gaming Mouse Pad Xl - Sharp, Taylor And Rodriguez"/>
    <x v="1"/>
    <n v="340.14"/>
    <x v="0"/>
    <x v="0"/>
    <n v="1691.4"/>
  </r>
  <r>
    <s v="SALE112"/>
    <d v="2025-02-17T00:00:00"/>
    <s v="CUST1087"/>
    <s v="PROD76"/>
    <s v="STORE13"/>
    <n v="3"/>
    <n v="948.69"/>
    <n v="0.28999999999999998"/>
    <s v="Credit Card"/>
    <x v="1"/>
    <x v="42"/>
    <x v="3"/>
    <s v="Wireless Mouse - Larson Ltd"/>
    <x v="1"/>
    <n v="392.89"/>
    <x v="3"/>
    <x v="1"/>
    <n v="2845.2000000000003"/>
  </r>
  <r>
    <s v="SALE113"/>
    <d v="2024-05-01T00:00:00"/>
    <s v="CUST1467"/>
    <s v="PROD27"/>
    <s v="STORE10"/>
    <n v="1"/>
    <n v="281.97000000000003"/>
    <n v="0.2"/>
    <s v="PayPal"/>
    <x v="1"/>
    <x v="1"/>
    <x v="0"/>
    <s v="Decorative Floor Vase - Khan, Jones And Paul"/>
    <x v="3"/>
    <n v="250.02157142857135"/>
    <x v="3"/>
    <x v="2"/>
    <n v="281.77000000000004"/>
  </r>
  <r>
    <s v="SALE114"/>
    <d v="2024-07-09T00:00:00"/>
    <s v="CUST1152"/>
    <s v="PROD91"/>
    <s v="STORE4"/>
    <n v="2"/>
    <n v="731.01"/>
    <n v="0.05"/>
    <s v="PayPal"/>
    <x v="1"/>
    <x v="6"/>
    <x v="1"/>
    <s v="Women'S High Heels - Smith-Charles"/>
    <x v="4"/>
    <n v="438.25"/>
    <x v="2"/>
    <x v="2"/>
    <n v="1461.92"/>
  </r>
  <r>
    <s v="SALE115"/>
    <d v="2025-09-25T00:00:00"/>
    <s v="CUST1257"/>
    <s v="PROD85"/>
    <s v="STORE7"/>
    <n v="4"/>
    <n v="930.85"/>
    <n v="0.13"/>
    <s v="PayPal"/>
    <x v="0"/>
    <x v="43"/>
    <x v="2"/>
    <s v="Women'S Beanie Hat - Richardson-Carrillo"/>
    <x v="4"/>
    <n v="119.57"/>
    <x v="2"/>
    <x v="2"/>
    <n v="3722.88"/>
  </r>
  <r>
    <s v="SALE116"/>
    <d v="2024-05-08T00:00:00"/>
    <s v="CUST1419"/>
    <s v="PROD3"/>
    <s v="STORE8"/>
    <n v="4"/>
    <n v="770.77"/>
    <n v="0.22"/>
    <s v="Credit Card"/>
    <x v="0"/>
    <x v="25"/>
    <x v="0"/>
    <s v="Men'S Running Jacket - Pineda Ltd"/>
    <x v="4"/>
    <n v="364.67"/>
    <x v="1"/>
    <x v="2"/>
    <n v="3082.2"/>
  </r>
  <r>
    <s v="SALE117"/>
    <d v="2024-09-19T00:00:00"/>
    <s v="CUST1067"/>
    <s v="PROD46"/>
    <s v="STORE4"/>
    <n v="3"/>
    <n v="479.63"/>
    <n v="0.3"/>
    <s v="PayPal"/>
    <x v="0"/>
    <x v="26"/>
    <x v="2"/>
    <s v="Men'S Winter Jacket - Kelly, Smith And Perez"/>
    <x v="4"/>
    <n v="167.34"/>
    <x v="2"/>
    <x v="2"/>
    <n v="1437.99"/>
  </r>
  <r>
    <s v="SALE118"/>
    <d v="2024-04-23T00:00:00"/>
    <s v="CUST1105"/>
    <s v="PROD39"/>
    <s v="STORE11"/>
    <n v="1"/>
    <n v="165"/>
    <n v="0.3"/>
    <s v="COD"/>
    <x v="1"/>
    <x v="26"/>
    <x v="0"/>
    <s v="Portable Power Bank - Cummings And Sons"/>
    <x v="1"/>
    <n v="326.06"/>
    <x v="2"/>
    <x v="2"/>
    <n v="164.7"/>
  </r>
  <r>
    <s v="SALE119"/>
    <d v="2024-07-30T00:00:00"/>
    <s v="CUST1158"/>
    <s v="PROD19"/>
    <s v="STORE8"/>
    <n v="2"/>
    <n v="151.51"/>
    <n v="0.28999999999999998"/>
    <s v="COD"/>
    <x v="0"/>
    <x v="1"/>
    <x v="3"/>
    <s v="Knee Support Brace - May-Reese"/>
    <x v="0"/>
    <n v="21.34"/>
    <x v="1"/>
    <x v="2"/>
    <n v="302.44"/>
  </r>
  <r>
    <s v="SALE120"/>
    <d v="2023-12-14T00:00:00"/>
    <s v="CUST1231"/>
    <s v="PROD31"/>
    <s v="STORE17"/>
    <n v="2"/>
    <n v="872.93"/>
    <n v="0.28999999999999998"/>
    <s v="COD"/>
    <x v="1"/>
    <x v="42"/>
    <x v="3"/>
    <s v="Basketball - Nolan-Snow"/>
    <x v="0"/>
    <n v="204.39"/>
    <x v="0"/>
    <x v="1"/>
    <n v="1745.28"/>
  </r>
  <r>
    <s v="SALE121"/>
    <d v="2024-09-23T00:00:00"/>
    <s v="CUST1264"/>
    <s v="PROD22"/>
    <s v="STORE10"/>
    <n v="3"/>
    <n v="432.4"/>
    <n v="0.04"/>
    <s v="Credit Card"/>
    <x v="0"/>
    <x v="0"/>
    <x v="0"/>
    <s v="Carbon Fiber Tennis Racket - Flores, Pineda And Rodriguez"/>
    <x v="0"/>
    <n v="484.62"/>
    <x v="3"/>
    <x v="2"/>
    <n v="1297.08"/>
  </r>
  <r>
    <s v="SALE122"/>
    <d v="2025-08-17T00:00:00"/>
    <s v="CUST1338"/>
    <s v="PROD50"/>
    <s v="STORE7"/>
    <n v="2"/>
    <n v="197.76"/>
    <n v="0.04"/>
    <s v="Credit Card"/>
    <x v="1"/>
    <x v="40"/>
    <x v="2"/>
    <s v="Boxing Hand Wraps - Smith-King"/>
    <x v="0"/>
    <n v="190.29"/>
    <x v="2"/>
    <x v="2"/>
    <n v="395.44"/>
  </r>
  <r>
    <s v="SALE123"/>
    <d v="2025-01-17T00:00:00"/>
    <s v="CUST1476"/>
    <s v="PROD40"/>
    <s v="STORE2"/>
    <n v="3"/>
    <n v="334.6"/>
    <n v="0.11"/>
    <s v="PayPal"/>
    <x v="1"/>
    <x v="15"/>
    <x v="0"/>
    <s v="Noise-Canceling Headphones - Taylor-Hart"/>
    <x v="1"/>
    <n v="38.520000000000003"/>
    <x v="2"/>
    <x v="0"/>
    <n v="1003.47"/>
  </r>
  <r>
    <s v="SALE124"/>
    <d v="2025-04-30T00:00:00"/>
    <s v="CUST1087"/>
    <s v="PROD14"/>
    <s v="STORE3"/>
    <n v="2"/>
    <n v="44.35"/>
    <n v="0.2"/>
    <s v="COD"/>
    <x v="1"/>
    <x v="42"/>
    <x v="3"/>
    <s v="Decorative Wall Mirror - Luna, Anderson And Bowman"/>
    <x v="3"/>
    <n v="48.01"/>
    <x v="0"/>
    <x v="0"/>
    <n v="88.3"/>
  </r>
  <r>
    <s v="SALE125"/>
    <d v="2024-11-02T00:00:00"/>
    <s v="CUST1498"/>
    <s v="PROD8"/>
    <s v="STORE6"/>
    <n v="1"/>
    <n v="846.31"/>
    <n v="0.05"/>
    <s v="PayPal"/>
    <x v="0"/>
    <x v="23"/>
    <x v="2"/>
    <s v="Wireless Bluetooth Earbuds - Perez-Johnston"/>
    <x v="1"/>
    <n v="439.07"/>
    <x v="3"/>
    <x v="2"/>
    <n v="846.26"/>
  </r>
  <r>
    <s v="SALE126"/>
    <d v="2025-08-15T00:00:00"/>
    <s v="CUST1131"/>
    <s v="PROD35"/>
    <s v="STORE12"/>
    <n v="1"/>
    <n v="996.48"/>
    <n v="7.0000000000000007E-2"/>
    <s v="COD"/>
    <x v="1"/>
    <x v="4"/>
    <x v="3"/>
    <s v="Bedroom Table Lamp - Jones Llc"/>
    <x v="3"/>
    <n v="382.22"/>
    <x v="0"/>
    <x v="2"/>
    <n v="996.41"/>
  </r>
  <r>
    <s v="SALE127"/>
    <d v="2025-09-16T00:00:00"/>
    <s v="CUST1277"/>
    <s v="PROD93"/>
    <s v="STORE6"/>
    <n v="3"/>
    <n v="949.19"/>
    <n v="0.03"/>
    <s v="COD"/>
    <x v="1"/>
    <x v="44"/>
    <x v="1"/>
    <s v="Usb-C Laptop Charger - Martin Llc"/>
    <x v="1"/>
    <n v="377.52"/>
    <x v="3"/>
    <x v="2"/>
    <n v="2847.4800000000005"/>
  </r>
  <r>
    <s v="SALE128"/>
    <d v="2024-02-25T00:00:00"/>
    <s v="CUST1397"/>
    <s v="PROD94"/>
    <s v="STORE9"/>
    <n v="2"/>
    <n v="724.97"/>
    <n v="0.1"/>
    <s v="Credit Card"/>
    <x v="1"/>
    <x v="32"/>
    <x v="1"/>
    <s v="Vitamin E Body Lotion - Hoffman-Williams"/>
    <x v="2"/>
    <n v="358.47"/>
    <x v="2"/>
    <x v="1"/>
    <n v="1449.74"/>
  </r>
  <r>
    <s v="SALE129"/>
    <d v="2025-03-07T00:00:00"/>
    <s v="CUST1315"/>
    <s v="PROD1"/>
    <s v="STORE16"/>
    <n v="1"/>
    <n v="783.25"/>
    <n v="0.3"/>
    <s v="Credit Card"/>
    <x v="0"/>
    <x v="43"/>
    <x v="2"/>
    <s v="Men'S Graphic T-Shirt - Terry-Moore"/>
    <x v="4"/>
    <n v="342.56"/>
    <x v="1"/>
    <x v="1"/>
    <n v="782.95"/>
  </r>
  <r>
    <s v="SALE130"/>
    <d v="2024-07-22T00:00:00"/>
    <s v="CUST1343"/>
    <s v="PROD17"/>
    <s v="STORE3"/>
    <n v="1"/>
    <n v="942.38"/>
    <n v="0.17"/>
    <s v="Credit Card"/>
    <x v="0"/>
    <x v="45"/>
    <x v="3"/>
    <s v="Soccer Training Cone Set - Ford, Murphy And Wilson"/>
    <x v="0"/>
    <n v="144.53"/>
    <x v="0"/>
    <x v="0"/>
    <n v="942.21"/>
  </r>
  <r>
    <s v="SALE131"/>
    <d v="2024-06-01T00:00:00"/>
    <s v="CUST1496"/>
    <s v="PROD51"/>
    <s v="STORE11"/>
    <n v="3"/>
    <n v="298.35000000000002"/>
    <n v="0.05"/>
    <s v="COD"/>
    <x v="0"/>
    <x v="31"/>
    <x v="3"/>
    <s v="Hdmi Cable – 2M - Bautista, Green And Hale"/>
    <x v="1"/>
    <n v="88.49"/>
    <x v="2"/>
    <x v="2"/>
    <n v="894.90000000000009"/>
  </r>
  <r>
    <s v="SALE132"/>
    <d v="2025-01-05T00:00:00"/>
    <s v="CUST1164"/>
    <s v="PROD48"/>
    <s v="STORE12"/>
    <n v="4"/>
    <n v="950.04"/>
    <n v="0.13"/>
    <s v="PayPal"/>
    <x v="1"/>
    <x v="36"/>
    <x v="2"/>
    <s v="Car Dashboard Phone Holder - Byrd, Stewart And Valdez"/>
    <x v="1"/>
    <n v="177.98"/>
    <x v="0"/>
    <x v="2"/>
    <n v="3799.64"/>
  </r>
  <r>
    <s v="SALE133"/>
    <d v="2025-09-10T00:00:00"/>
    <s v="CUST1329"/>
    <s v="PROD57"/>
    <s v="STORE4"/>
    <n v="2"/>
    <n v="267.19"/>
    <n v="7.0000000000000007E-2"/>
    <s v="Credit Card"/>
    <x v="1"/>
    <x v="46"/>
    <x v="3"/>
    <s v="Foam Roller - Atkinson, Camacho And Oliver"/>
    <x v="0"/>
    <n v="30.62"/>
    <x v="2"/>
    <x v="2"/>
    <n v="534.24"/>
  </r>
  <r>
    <s v="SALE134"/>
    <d v="2025-06-19T00:00:00"/>
    <s v="CUST1201"/>
    <s v="PROD87"/>
    <s v="STORE15"/>
    <n v="4"/>
    <n v="72.63"/>
    <n v="0.06"/>
    <s v="PayPal"/>
    <x v="1"/>
    <x v="20"/>
    <x v="3"/>
    <s v="Led Bedside Lamp - Aguilar, Horton And Lewis"/>
    <x v="3"/>
    <n v="371.38"/>
    <x v="0"/>
    <x v="1"/>
    <n v="290.27999999999997"/>
  </r>
  <r>
    <s v="SALE135"/>
    <d v="2024-09-09T00:00:00"/>
    <s v="CUST1427"/>
    <s v="PROD53"/>
    <s v="STORE5"/>
    <n v="3"/>
    <n v="576.52"/>
    <n v="0.22"/>
    <s v="COD"/>
    <x v="1"/>
    <x v="17"/>
    <x v="0"/>
    <s v="Men'S Track Pants - Hamilton, Woods And Walker"/>
    <x v="4"/>
    <n v="386.56"/>
    <x v="0"/>
    <x v="0"/>
    <n v="1728.8999999999999"/>
  </r>
  <r>
    <s v="SALE136"/>
    <d v="2025-04-04T00:00:00"/>
    <s v="CUST1349"/>
    <s v="PROD71"/>
    <s v="STORE9"/>
    <n v="3"/>
    <n v="849.36"/>
    <n v="0.03"/>
    <s v="Credit Card"/>
    <x v="0"/>
    <x v="41"/>
    <x v="3"/>
    <s v="Hair Repair Oil Treatment - Hopkins Ltd"/>
    <x v="2"/>
    <n v="214.32"/>
    <x v="2"/>
    <x v="1"/>
    <n v="2547.9900000000002"/>
  </r>
  <r>
    <s v="SALE137"/>
    <d v="2024-04-10T00:00:00"/>
    <s v="CUST1473"/>
    <s v="PROD50"/>
    <s v="STORE6"/>
    <n v="1"/>
    <n v="245.85"/>
    <n v="0.18"/>
    <s v="COD"/>
    <x v="0"/>
    <x v="18"/>
    <x v="3"/>
    <s v="Boxing Hand Wraps - Smith-King"/>
    <x v="0"/>
    <n v="190.29"/>
    <x v="3"/>
    <x v="2"/>
    <n v="245.67"/>
  </r>
  <r>
    <s v="SALE138"/>
    <d v="2024-10-24T00:00:00"/>
    <s v="CUST1178"/>
    <s v="PROD97"/>
    <s v="STORE10"/>
    <n v="3"/>
    <n v="237.68"/>
    <n v="0.1"/>
    <s v="COD"/>
    <x v="1"/>
    <x v="42"/>
    <x v="3"/>
    <s v="Cricket Bat - Khan Llc"/>
    <x v="0"/>
    <n v="245.98"/>
    <x v="3"/>
    <x v="2"/>
    <n v="712.74"/>
  </r>
  <r>
    <s v="SALE139"/>
    <d v="2025-04-09T00:00:00"/>
    <s v="CUST1337"/>
    <s v="PROD71"/>
    <s v="STORE14"/>
    <n v="4"/>
    <n v="715.85"/>
    <n v="0.25"/>
    <s v="PayPal"/>
    <x v="1"/>
    <x v="29"/>
    <x v="3"/>
    <s v="Hair Repair Oil Treatment - Hopkins Ltd"/>
    <x v="2"/>
    <n v="214.32"/>
    <x v="2"/>
    <x v="0"/>
    <n v="2862.4"/>
  </r>
  <r>
    <s v="SALE140"/>
    <d v="2023-11-25T00:00:00"/>
    <s v="CUST1171"/>
    <s v="PROD90"/>
    <s v="STORE5"/>
    <n v="2"/>
    <n v="478.85"/>
    <n v="0.01"/>
    <s v="COD"/>
    <x v="1"/>
    <x v="30"/>
    <x v="1"/>
    <s v="Gaming Mouse Pad Xl - Sharp, Taylor And Rodriguez"/>
    <x v="1"/>
    <n v="340.14"/>
    <x v="0"/>
    <x v="0"/>
    <n v="957.68000000000006"/>
  </r>
  <r>
    <s v="SALE141"/>
    <d v="2025-03-02T00:00:00"/>
    <s v="CUST1113"/>
    <s v="PROD47"/>
    <s v="STORE0"/>
    <n v="1"/>
    <n v="503.95"/>
    <n v="0.26"/>
    <s v="COD"/>
    <x v="0"/>
    <x v="23"/>
    <x v="0"/>
    <s v="Makeup Brush Set - Cook Inc"/>
    <x v="2"/>
    <n v="255.04901960784306"/>
    <x v="3"/>
    <x v="1"/>
    <n v="503.69"/>
  </r>
  <r>
    <s v="SALE142"/>
    <d v="2024-10-08T00:00:00"/>
    <s v="CUST1399"/>
    <s v="PROD66"/>
    <s v="STORE12"/>
    <n v="2"/>
    <n v="975.48"/>
    <n v="0.26"/>
    <s v="COD"/>
    <x v="0"/>
    <x v="17"/>
    <x v="3"/>
    <s v="Women'S Hair Dryer Brush - Torres, Spencer And Potter"/>
    <x v="2"/>
    <n v="340.39"/>
    <x v="0"/>
    <x v="2"/>
    <n v="1950.44"/>
  </r>
  <r>
    <s v="SALE143"/>
    <d v="2025-08-15T00:00:00"/>
    <s v="CUST1401"/>
    <s v="PROD34"/>
    <s v="STORE16"/>
    <n v="4"/>
    <n v="450.12"/>
    <n v="0.28999999999999998"/>
    <s v="COD"/>
    <x v="1"/>
    <x v="8"/>
    <x v="1"/>
    <s v="Gaming Mechanical Keyboard - Lucero Llc"/>
    <x v="1"/>
    <n v="419.28"/>
    <x v="1"/>
    <x v="1"/>
    <n v="1799.32"/>
  </r>
  <r>
    <s v="SALE144"/>
    <d v="2024-06-05T00:00:00"/>
    <s v="CUST1435"/>
    <s v="PROD36"/>
    <s v="STORE8"/>
    <n v="3"/>
    <n v="237.24"/>
    <n v="0.24"/>
    <s v="PayPal"/>
    <x v="1"/>
    <x v="12"/>
    <x v="2"/>
    <s v="Women'S Summer Dress - Smith-Mills"/>
    <x v="4"/>
    <n v="223.43"/>
    <x v="1"/>
    <x v="2"/>
    <n v="711"/>
  </r>
  <r>
    <s v="SALE145"/>
    <d v="2024-08-18T00:00:00"/>
    <s v="CUST1459"/>
    <s v="PROD54"/>
    <s v="STORE15"/>
    <n v="2"/>
    <n v="536.84"/>
    <n v="0.09"/>
    <s v="COD"/>
    <x v="1"/>
    <x v="42"/>
    <x v="0"/>
    <s v="Sports Stopwatch Pro - Thompson-French"/>
    <x v="0"/>
    <n v="434.84"/>
    <x v="0"/>
    <x v="1"/>
    <n v="1073.5"/>
  </r>
  <r>
    <s v="SALE146"/>
    <d v="2024-11-30T00:00:00"/>
    <s v="CUST1443"/>
    <s v="PROD36"/>
    <s v="STORE19"/>
    <n v="3"/>
    <n v="584.41"/>
    <n v="0"/>
    <s v="COD"/>
    <x v="0"/>
    <x v="11"/>
    <x v="2"/>
    <s v="Women'S Summer Dress - Smith-Mills"/>
    <x v="4"/>
    <n v="223.43"/>
    <x v="3"/>
    <x v="2"/>
    <n v="1753.23"/>
  </r>
  <r>
    <s v="SALE147"/>
    <d v="2024-11-21T00:00:00"/>
    <s v="CUST1294"/>
    <s v="PROD82"/>
    <s v="STORE19"/>
    <n v="1"/>
    <n v="653.87"/>
    <n v="0.14000000000000001"/>
    <s v="PayPal"/>
    <x v="0"/>
    <x v="10"/>
    <x v="1"/>
    <s v="Fitness Resistance Bands - Reese-Watson"/>
    <x v="0"/>
    <n v="152.91999999999999"/>
    <x v="3"/>
    <x v="2"/>
    <n v="653.73"/>
  </r>
  <r>
    <s v="SALE148"/>
    <d v="2025-08-09T00:00:00"/>
    <s v="CUST1493"/>
    <s v="PROD87"/>
    <s v="STORE0"/>
    <n v="1"/>
    <n v="652.03"/>
    <n v="0.27"/>
    <s v="Credit Card"/>
    <x v="0"/>
    <x v="4"/>
    <x v="2"/>
    <s v="Led Bedside Lamp - Aguilar, Horton And Lewis"/>
    <x v="3"/>
    <n v="371.38"/>
    <x v="3"/>
    <x v="1"/>
    <n v="651.76"/>
  </r>
  <r>
    <s v="SALE149"/>
    <d v="2024-07-29T00:00:00"/>
    <s v="CUST1093"/>
    <s v="PROD5"/>
    <s v="STORE12"/>
    <n v="3"/>
    <n v="513.36"/>
    <n v="7.0000000000000007E-2"/>
    <s v="COD"/>
    <x v="1"/>
    <x v="42"/>
    <x v="0"/>
    <s v="Men'S Leather Belt - Baldwin, Garza And Gonzalez"/>
    <x v="4"/>
    <n v="261"/>
    <x v="0"/>
    <x v="2"/>
    <n v="1539.87"/>
  </r>
  <r>
    <s v="SALE150"/>
    <d v="2024-05-21T00:00:00"/>
    <s v="CUST1068"/>
    <s v="PROD52"/>
    <s v="STORE5"/>
    <n v="4"/>
    <n v="355.64"/>
    <n v="0.16"/>
    <s v="COD"/>
    <x v="1"/>
    <x v="30"/>
    <x v="2"/>
    <s v="Rugby Ball - Harris Inc"/>
    <x v="0"/>
    <n v="212.26"/>
    <x v="0"/>
    <x v="0"/>
    <n v="1421.9199999999998"/>
  </r>
  <r>
    <s v="SALE151"/>
    <d v="2024-10-29T00:00:00"/>
    <s v="CUST1022"/>
    <s v="PROD13"/>
    <s v="STORE8"/>
    <n v="4"/>
    <n v="535.4"/>
    <n v="0.26"/>
    <s v="PayPal"/>
    <x v="1"/>
    <x v="22"/>
    <x v="2"/>
    <s v="Usb-C Fast Charger - Dawson-Perkins"/>
    <x v="1"/>
    <n v="242.23"/>
    <x v="1"/>
    <x v="2"/>
    <n v="2140.56"/>
  </r>
  <r>
    <s v="SALE152"/>
    <d v="2025-05-21T00:00:00"/>
    <s v="CUST1243"/>
    <s v="PROD69"/>
    <s v="STORE19"/>
    <n v="2"/>
    <n v="108.74"/>
    <n v="0.11"/>
    <s v="PayPal"/>
    <x v="1"/>
    <x v="11"/>
    <x v="0"/>
    <s v="Men'S Sports Shorts - Fitzpatrick Ltd"/>
    <x v="4"/>
    <n v="218.22"/>
    <x v="3"/>
    <x v="2"/>
    <n v="217.26"/>
  </r>
  <r>
    <s v="SALE153"/>
    <d v="2024-10-14T00:00:00"/>
    <s v="CUST1314"/>
    <s v="PROD11"/>
    <s v="STORE19"/>
    <n v="3"/>
    <n v="591.98"/>
    <n v="0.16"/>
    <s v="Credit Card"/>
    <x v="1"/>
    <x v="7"/>
    <x v="2"/>
    <s v="Hd Smart Tv Stick - Gibson, Hobbs And Weaver"/>
    <x v="1"/>
    <n v="449.4"/>
    <x v="3"/>
    <x v="2"/>
    <n v="1775.46"/>
  </r>
  <r>
    <s v="SALE154"/>
    <d v="2024-11-17T00:00:00"/>
    <s v="CUST1405"/>
    <s v="PROD48"/>
    <s v="STORE2"/>
    <n v="1"/>
    <n v="345.06"/>
    <n v="0.13"/>
    <s v="COD"/>
    <x v="1"/>
    <x v="38"/>
    <x v="0"/>
    <s v="Car Dashboard Phone Holder - Byrd, Stewart And Valdez"/>
    <x v="1"/>
    <n v="177.98"/>
    <x v="2"/>
    <x v="0"/>
    <n v="344.93"/>
  </r>
  <r>
    <s v="SALE155"/>
    <d v="2025-03-29T00:00:00"/>
    <s v="CUST1307"/>
    <s v="PROD93"/>
    <s v="STORE12"/>
    <n v="4"/>
    <n v="986.41"/>
    <n v="0.22"/>
    <s v="Credit Card"/>
    <x v="1"/>
    <x v="4"/>
    <x v="3"/>
    <s v="Usb-C Laptop Charger - Martin Llc"/>
    <x v="1"/>
    <n v="377.52"/>
    <x v="0"/>
    <x v="2"/>
    <n v="3944.7599999999998"/>
  </r>
  <r>
    <s v="SALE156"/>
    <d v="2024-07-21T00:00:00"/>
    <s v="CUST1319"/>
    <s v="PROD49"/>
    <s v="STORE0"/>
    <n v="2"/>
    <n v="921.52"/>
    <n v="0"/>
    <s v="PayPal"/>
    <x v="0"/>
    <x v="25"/>
    <x v="1"/>
    <s v="Men'S Roll-On Perfume - Sullivan And Sons"/>
    <x v="2"/>
    <n v="43.29"/>
    <x v="3"/>
    <x v="1"/>
    <n v="1843.04"/>
  </r>
  <r>
    <s v="SALE157"/>
    <d v="2025-08-14T00:00:00"/>
    <s v="CUST1097"/>
    <s v="PROD55"/>
    <s v="STORE5"/>
    <n v="1"/>
    <n v="83.1"/>
    <n v="0.04"/>
    <s v="PayPal"/>
    <x v="0"/>
    <x v="34"/>
    <x v="2"/>
    <s v="Ceramic Plant Pot - Hatfield, Baird And Torres"/>
    <x v="3"/>
    <n v="81.75"/>
    <x v="0"/>
    <x v="0"/>
    <n v="83.059999999999988"/>
  </r>
  <r>
    <s v="SALE158"/>
    <d v="2024-11-05T00:00:00"/>
    <s v="CUST1369"/>
    <s v="PROD28"/>
    <s v="STORE11"/>
    <n v="2"/>
    <n v="60.98"/>
    <n v="0.23"/>
    <s v="PayPal"/>
    <x v="1"/>
    <x v="1"/>
    <x v="1"/>
    <s v="Sports Stopwatch Timer - Burns-Hansen"/>
    <x v="0"/>
    <n v="38.76"/>
    <x v="2"/>
    <x v="2"/>
    <n v="121.5"/>
  </r>
  <r>
    <s v="SALE159"/>
    <d v="2024-06-11T00:00:00"/>
    <s v="CUST1394"/>
    <s v="PROD89"/>
    <s v="STORE16"/>
    <n v="2"/>
    <n v="122.23"/>
    <n v="0.21"/>
    <s v="COD"/>
    <x v="1"/>
    <x v="40"/>
    <x v="3"/>
    <s v="Face Foundation Kit - Taylor-Elliott"/>
    <x v="2"/>
    <n v="183.04"/>
    <x v="1"/>
    <x v="1"/>
    <n v="244.04000000000002"/>
  </r>
  <r>
    <s v="SALE160"/>
    <d v="2025-09-18T00:00:00"/>
    <s v="CUST1020"/>
    <s v="PROD70"/>
    <s v="STORE18"/>
    <n v="2"/>
    <n v="623.38"/>
    <n v="0.13"/>
    <s v="Credit Card"/>
    <x v="0"/>
    <x v="37"/>
    <x v="2"/>
    <s v="Kitchen Storage Rack - Duran Group"/>
    <x v="3"/>
    <n v="138.05000000000001"/>
    <x v="3"/>
    <x v="1"/>
    <n v="1246.5"/>
  </r>
  <r>
    <s v="SALE161"/>
    <d v="2025-03-13T00:00:00"/>
    <s v="CUST1058"/>
    <s v="PROD70"/>
    <s v="STORE0"/>
    <n v="1"/>
    <n v="479.58"/>
    <n v="0.05"/>
    <s v="PayPal"/>
    <x v="0"/>
    <x v="33"/>
    <x v="1"/>
    <s v="Kitchen Storage Rack - Duran Group"/>
    <x v="3"/>
    <n v="138.05000000000001"/>
    <x v="3"/>
    <x v="1"/>
    <n v="479.53"/>
  </r>
  <r>
    <s v="SALE162"/>
    <d v="2023-12-16T00:00:00"/>
    <s v="CUST1298"/>
    <s v="PROD73"/>
    <s v="STORE6"/>
    <n v="3"/>
    <n v="369.32"/>
    <n v="0.14000000000000001"/>
    <s v="PayPal"/>
    <x v="0"/>
    <x v="17"/>
    <x v="1"/>
    <s v="Shin Guards – Adult - French Ltd"/>
    <x v="0"/>
    <n v="107.06"/>
    <x v="3"/>
    <x v="2"/>
    <n v="1107.54"/>
  </r>
  <r>
    <s v="SALE163"/>
    <d v="2025-07-13T00:00:00"/>
    <s v="CUST1076"/>
    <s v="PROD32"/>
    <s v="STORE1"/>
    <n v="1"/>
    <n v="488.31"/>
    <n v="0.03"/>
    <s v="PayPal"/>
    <x v="0"/>
    <x v="15"/>
    <x v="0"/>
    <s v="Vitamin C Face Serum - Griffin Ltd"/>
    <x v="2"/>
    <n v="283.83"/>
    <x v="0"/>
    <x v="1"/>
    <n v="488.28000000000003"/>
  </r>
  <r>
    <s v="SALE164"/>
    <d v="2024-05-06T00:00:00"/>
    <s v="CUST1276"/>
    <s v="PROD54"/>
    <s v="STORE12"/>
    <n v="4"/>
    <n v="164.04"/>
    <n v="0.26"/>
    <s v="Credit Card"/>
    <x v="0"/>
    <x v="8"/>
    <x v="0"/>
    <s v="Sports Stopwatch Pro - Thompson-French"/>
    <x v="0"/>
    <n v="434.84"/>
    <x v="0"/>
    <x v="2"/>
    <n v="655.12"/>
  </r>
  <r>
    <s v="SALE165"/>
    <d v="2024-08-04T00:00:00"/>
    <s v="CUST1073"/>
    <s v="PROD10"/>
    <s v="STORE17"/>
    <n v="3"/>
    <n v="707.95"/>
    <n v="0.18"/>
    <s v="PayPal"/>
    <x v="1"/>
    <x v="35"/>
    <x v="2"/>
    <s v="Ceramic Kitchen Bowl Set - Hamilton Group"/>
    <x v="3"/>
    <n v="298.86"/>
    <x v="0"/>
    <x v="1"/>
    <n v="2123.3100000000004"/>
  </r>
  <r>
    <s v="SALE166"/>
    <d v="2023-12-09T00:00:00"/>
    <s v="CUST1295"/>
    <s v="PROD69"/>
    <s v="STORE8"/>
    <n v="4"/>
    <n v="714.47"/>
    <n v="0.18"/>
    <s v="COD"/>
    <x v="1"/>
    <x v="32"/>
    <x v="3"/>
    <s v="Men'S Sports Shorts - Fitzpatrick Ltd"/>
    <x v="4"/>
    <n v="218.22"/>
    <x v="1"/>
    <x v="2"/>
    <n v="2857.1600000000003"/>
  </r>
  <r>
    <s v="SALE167"/>
    <d v="2025-07-28T00:00:00"/>
    <s v="CUST1415"/>
    <s v="PROD79"/>
    <s v="STORE7"/>
    <n v="4"/>
    <n v="422.09"/>
    <n v="0.04"/>
    <s v="Credit Card"/>
    <x v="1"/>
    <x v="41"/>
    <x v="2"/>
    <s v="Decorative Lamp Shade - Ramirez-Hanson"/>
    <x v="3"/>
    <n v="228.53"/>
    <x v="2"/>
    <x v="2"/>
    <n v="1688.1999999999998"/>
  </r>
  <r>
    <s v="SALE168"/>
    <d v="2024-06-19T00:00:00"/>
    <s v="CUST1108"/>
    <s v="PROD30"/>
    <s v="STORE9"/>
    <n v="1"/>
    <n v="998.19"/>
    <n v="0.2"/>
    <s v="Credit Card"/>
    <x v="0"/>
    <x v="21"/>
    <x v="3"/>
    <s v="Stainless Steel Cutlery Set - Stevens, Fernandez And Martin"/>
    <x v="3"/>
    <n v="19.52"/>
    <x v="2"/>
    <x v="1"/>
    <n v="997.99"/>
  </r>
  <r>
    <s v="SALE169"/>
    <d v="2024-01-22T00:00:00"/>
    <s v="CUST1373"/>
    <s v="PROD72"/>
    <s v="STORE7"/>
    <n v="2"/>
    <n v="343.42"/>
    <n v="0.12"/>
    <s v="COD"/>
    <x v="1"/>
    <x v="17"/>
    <x v="0"/>
    <s v="Professional Jump Rope - Davis Plc"/>
    <x v="0"/>
    <n v="477.61"/>
    <x v="2"/>
    <x v="2"/>
    <n v="686.6"/>
  </r>
  <r>
    <s v="SALE170"/>
    <d v="2024-04-08T00:00:00"/>
    <s v="CUST1256"/>
    <s v="PROD34"/>
    <s v="STORE6"/>
    <n v="1"/>
    <n v="152.16999999999999"/>
    <n v="0.28000000000000003"/>
    <s v="COD"/>
    <x v="0"/>
    <x v="13"/>
    <x v="1"/>
    <s v="Gaming Mechanical Keyboard - Lucero Llc"/>
    <x v="1"/>
    <n v="419.28"/>
    <x v="3"/>
    <x v="2"/>
    <n v="151.88999999999999"/>
  </r>
  <r>
    <s v="SALE171"/>
    <d v="2025-05-18T00:00:00"/>
    <s v="CUST1175"/>
    <s v="PROD49"/>
    <s v="STORE11"/>
    <n v="1"/>
    <n v="325.08"/>
    <n v="0.26"/>
    <s v="PayPal"/>
    <x v="0"/>
    <x v="22"/>
    <x v="1"/>
    <s v="Men'S Roll-On Perfume - Sullivan And Sons"/>
    <x v="2"/>
    <n v="43.29"/>
    <x v="2"/>
    <x v="2"/>
    <n v="324.82"/>
  </r>
  <r>
    <s v="SALE172"/>
    <d v="2023-12-07T00:00:00"/>
    <s v="CUST1344"/>
    <s v="PROD89"/>
    <s v="STORE10"/>
    <n v="2"/>
    <n v="827.92"/>
    <n v="0.25"/>
    <s v="COD"/>
    <x v="0"/>
    <x v="23"/>
    <x v="0"/>
    <s v="Face Foundation Kit - Taylor-Elliott"/>
    <x v="2"/>
    <n v="183.04"/>
    <x v="3"/>
    <x v="2"/>
    <n v="1655.34"/>
  </r>
  <r>
    <s v="SALE173"/>
    <d v="2024-01-23T00:00:00"/>
    <s v="CUST1485"/>
    <s v="PROD26"/>
    <s v="STORE2"/>
    <n v="2"/>
    <n v="593.47"/>
    <n v="0.1"/>
    <s v="COD"/>
    <x v="1"/>
    <x v="45"/>
    <x v="3"/>
    <s v="Wireless Bluetooth Speaker - Reed-Schmidt"/>
    <x v="1"/>
    <n v="322.41000000000003"/>
    <x v="2"/>
    <x v="0"/>
    <n v="1186.74"/>
  </r>
  <r>
    <s v="SALE174"/>
    <d v="2023-12-07T00:00:00"/>
    <s v="CUST1293"/>
    <s v="PROD20"/>
    <s v="STORE7"/>
    <n v="4"/>
    <n v="756.28"/>
    <n v="0.05"/>
    <s v="COD"/>
    <x v="1"/>
    <x v="38"/>
    <x v="1"/>
    <s v="Outdoor Sports Water Bottle - Soto-Ellis"/>
    <x v="0"/>
    <n v="131.51"/>
    <x v="2"/>
    <x v="2"/>
    <n v="3024.92"/>
  </r>
  <r>
    <s v="SALE175"/>
    <d v="2024-12-15T00:00:00"/>
    <s v="CUST1377"/>
    <s v="PROD92"/>
    <s v="STORE1"/>
    <n v="2"/>
    <n v="707.65"/>
    <n v="0.14000000000000001"/>
    <s v="Credit Card"/>
    <x v="1"/>
    <x v="17"/>
    <x v="0"/>
    <s v="Microwave Oven - Green, Powell And Palmer"/>
    <x v="3"/>
    <n v="447.43"/>
    <x v="0"/>
    <x v="1"/>
    <n v="1415.02"/>
  </r>
  <r>
    <s v="SALE176"/>
    <d v="2024-03-20T00:00:00"/>
    <s v="CUST1128"/>
    <s v="PROD25"/>
    <s v="STORE15"/>
    <n v="1"/>
    <n v="857.35"/>
    <n v="0.28000000000000003"/>
    <s v="PayPal"/>
    <x v="0"/>
    <x v="13"/>
    <x v="2"/>
    <s v="Women'S Scarf Set - Brown And Sons"/>
    <x v="4"/>
    <n v="174.02"/>
    <x v="0"/>
    <x v="1"/>
    <n v="857.07"/>
  </r>
  <r>
    <s v="SALE177"/>
    <d v="2025-01-13T00:00:00"/>
    <s v="CUST1499"/>
    <s v="PROD55"/>
    <s v="STORE8"/>
    <n v="1"/>
    <n v="79"/>
    <n v="0.04"/>
    <s v="PayPal"/>
    <x v="1"/>
    <x v="47"/>
    <x v="1"/>
    <s v="Ceramic Plant Pot - Hatfield, Baird And Torres"/>
    <x v="3"/>
    <n v="81.75"/>
    <x v="1"/>
    <x v="2"/>
    <n v="78.959999999999994"/>
  </r>
  <r>
    <s v="SALE178"/>
    <d v="2025-08-16T00:00:00"/>
    <s v="CUST1066"/>
    <s v="PROD94"/>
    <s v="STORE5"/>
    <n v="4"/>
    <n v="638.91"/>
    <n v="0"/>
    <s v="COD"/>
    <x v="1"/>
    <x v="21"/>
    <x v="2"/>
    <s v="Vitamin E Body Lotion - Hoffman-Williams"/>
    <x v="2"/>
    <n v="358.47"/>
    <x v="0"/>
    <x v="0"/>
    <n v="2555.64"/>
  </r>
  <r>
    <s v="SALE179"/>
    <d v="2025-06-04T00:00:00"/>
    <s v="CUST1081"/>
    <s v="PROD45"/>
    <s v="STORE0"/>
    <n v="2"/>
    <n v="522.16999999999996"/>
    <n v="0.27"/>
    <s v="Credit Card"/>
    <x v="1"/>
    <x v="28"/>
    <x v="1"/>
    <s v="High-Grip Football - Bridges, Banks And Cummings"/>
    <x v="0"/>
    <n v="318.91000000000003"/>
    <x v="3"/>
    <x v="1"/>
    <n v="1043.8"/>
  </r>
  <r>
    <s v="SALE180"/>
    <d v="2023-11-05T00:00:00"/>
    <s v="CUST1478"/>
    <s v="PROD39"/>
    <s v="STORE12"/>
    <n v="3"/>
    <n v="954.29"/>
    <n v="0.27"/>
    <s v="Credit Card"/>
    <x v="0"/>
    <x v="34"/>
    <x v="0"/>
    <s v="Portable Power Bank - Cummings And Sons"/>
    <x v="1"/>
    <n v="326.06"/>
    <x v="0"/>
    <x v="2"/>
    <n v="2862.06"/>
  </r>
  <r>
    <s v="SALE181"/>
    <d v="2025-02-22T00:00:00"/>
    <s v="CUST1462"/>
    <s v="PROD33"/>
    <s v="STORE13"/>
    <n v="3"/>
    <n v="53.92"/>
    <n v="0.15"/>
    <s v="PayPal"/>
    <x v="1"/>
    <x v="35"/>
    <x v="2"/>
    <s v="Modern Wall Clock - Weiss-Watson"/>
    <x v="3"/>
    <n v="179.77"/>
    <x v="3"/>
    <x v="1"/>
    <n v="161.31"/>
  </r>
  <r>
    <s v="SALE182"/>
    <d v="2025-04-06T00:00:00"/>
    <s v="CUST1396"/>
    <s v="PROD34"/>
    <s v="STORE0"/>
    <n v="4"/>
    <n v="741.88"/>
    <n v="0.02"/>
    <s v="COD"/>
    <x v="1"/>
    <x v="14"/>
    <x v="2"/>
    <s v="Gaming Mechanical Keyboard - Lucero Llc"/>
    <x v="1"/>
    <n v="419.28"/>
    <x v="3"/>
    <x v="1"/>
    <n v="2967.44"/>
  </r>
  <r>
    <s v="SALE183"/>
    <d v="2024-10-29T00:00:00"/>
    <s v="CUST1033"/>
    <s v="PROD46"/>
    <s v="STORE3"/>
    <n v="1"/>
    <n v="547.09"/>
    <n v="0.01"/>
    <s v="PayPal"/>
    <x v="0"/>
    <x v="15"/>
    <x v="1"/>
    <s v="Men'S Winter Jacket - Kelly, Smith And Perez"/>
    <x v="4"/>
    <n v="167.34"/>
    <x v="0"/>
    <x v="0"/>
    <n v="547.08000000000004"/>
  </r>
  <r>
    <s v="SALE184"/>
    <d v="2025-01-29T00:00:00"/>
    <s v="CUST1489"/>
    <s v="PROD89"/>
    <s v="STORE3"/>
    <n v="1"/>
    <n v="789.35"/>
    <n v="0.14000000000000001"/>
    <s v="PayPal"/>
    <x v="1"/>
    <x v="30"/>
    <x v="2"/>
    <s v="Face Foundation Kit - Taylor-Elliott"/>
    <x v="2"/>
    <n v="183.04"/>
    <x v="0"/>
    <x v="0"/>
    <n v="789.21"/>
  </r>
  <r>
    <s v="SALE185"/>
    <d v="2024-03-03T00:00:00"/>
    <s v="CUST1428"/>
    <s v="PROD63"/>
    <s v="STORE3"/>
    <n v="3"/>
    <n v="476.78"/>
    <n v="0.09"/>
    <s v="COD"/>
    <x v="1"/>
    <x v="38"/>
    <x v="3"/>
    <s v="Organic Sunscreen Lotion - Anderson-Riley"/>
    <x v="2"/>
    <n v="266.86"/>
    <x v="0"/>
    <x v="0"/>
    <n v="1430.07"/>
  </r>
  <r>
    <s v="SALE186"/>
    <d v="2024-11-04T00:00:00"/>
    <s v="CUST1453"/>
    <s v="PROD79"/>
    <s v="STORE18"/>
    <n v="2"/>
    <n v="504.26"/>
    <n v="0.04"/>
    <s v="PayPal"/>
    <x v="1"/>
    <x v="22"/>
    <x v="1"/>
    <s v="Decorative Lamp Shade - Ramirez-Hanson"/>
    <x v="3"/>
    <n v="228.53"/>
    <x v="3"/>
    <x v="1"/>
    <n v="1008.4399999999999"/>
  </r>
  <r>
    <s v="SALE187"/>
    <d v="2024-09-03T00:00:00"/>
    <s v="CUST1272"/>
    <s v="PROD81"/>
    <s v="STORE6"/>
    <n v="2"/>
    <n v="549.33000000000004"/>
    <n v="0.01"/>
    <s v="COD"/>
    <x v="1"/>
    <x v="24"/>
    <x v="0"/>
    <s v="Badminton Racket Set - Robinson-Brown"/>
    <x v="0"/>
    <n v="285.54000000000002"/>
    <x v="3"/>
    <x v="2"/>
    <n v="1098.6400000000001"/>
  </r>
  <r>
    <s v="SALE188"/>
    <d v="2024-04-29T00:00:00"/>
    <s v="CUST1382"/>
    <s v="PROD4"/>
    <s v="STORE3"/>
    <n v="3"/>
    <n v="620.22"/>
    <n v="0.04"/>
    <s v="Credit Card"/>
    <x v="1"/>
    <x v="24"/>
    <x v="0"/>
    <s v="Women'S Yoga Pants - Gonzales-Davis"/>
    <x v="4"/>
    <n v="306.45999999999998"/>
    <x v="0"/>
    <x v="0"/>
    <n v="1860.5400000000002"/>
  </r>
  <r>
    <s v="SALE189"/>
    <d v="2024-04-29T00:00:00"/>
    <s v="CUST1091"/>
    <s v="PROD46"/>
    <s v="STORE3"/>
    <n v="1"/>
    <n v="580.76"/>
    <n v="0.1"/>
    <s v="COD"/>
    <x v="1"/>
    <x v="28"/>
    <x v="2"/>
    <s v="Men'S Winter Jacket - Kelly, Smith And Perez"/>
    <x v="4"/>
    <n v="167.34"/>
    <x v="0"/>
    <x v="0"/>
    <n v="580.66"/>
  </r>
  <r>
    <s v="SALE190"/>
    <d v="2025-04-28T00:00:00"/>
    <s v="CUST1334"/>
    <s v="PROD71"/>
    <s v="STORE9"/>
    <n v="3"/>
    <n v="444.55"/>
    <n v="0.14000000000000001"/>
    <s v="PayPal"/>
    <x v="1"/>
    <x v="40"/>
    <x v="2"/>
    <s v="Hair Repair Oil Treatment - Hopkins Ltd"/>
    <x v="2"/>
    <n v="214.32"/>
    <x v="2"/>
    <x v="1"/>
    <n v="1333.23"/>
  </r>
  <r>
    <s v="SALE191"/>
    <d v="2024-06-16T00:00:00"/>
    <s v="CUST1138"/>
    <s v="PROD46"/>
    <s v="STORE18"/>
    <n v="1"/>
    <n v="804.9"/>
    <n v="0.03"/>
    <s v="PayPal"/>
    <x v="0"/>
    <x v="45"/>
    <x v="0"/>
    <s v="Men'S Winter Jacket - Kelly, Smith And Perez"/>
    <x v="4"/>
    <n v="167.34"/>
    <x v="3"/>
    <x v="1"/>
    <n v="804.87"/>
  </r>
  <r>
    <s v="SALE192"/>
    <d v="2024-11-21T00:00:00"/>
    <s v="CUST1424"/>
    <s v="PROD92"/>
    <s v="STORE14"/>
    <n v="3"/>
    <n v="361.65"/>
    <n v="0.15"/>
    <s v="COD"/>
    <x v="0"/>
    <x v="29"/>
    <x v="3"/>
    <s v="Microwave Oven - Green, Powell And Palmer"/>
    <x v="3"/>
    <n v="447.43"/>
    <x v="2"/>
    <x v="0"/>
    <n v="1084.5"/>
  </r>
  <r>
    <s v="SALE193"/>
    <d v="2025-04-16T00:00:00"/>
    <s v="CUST1162"/>
    <s v="PROD7"/>
    <s v="STORE4"/>
    <n v="1"/>
    <n v="271.76"/>
    <n v="0.03"/>
    <s v="Credit Card"/>
    <x v="0"/>
    <x v="3"/>
    <x v="2"/>
    <s v="Led Table Lamp - Harrell Llc"/>
    <x v="3"/>
    <n v="218.86"/>
    <x v="2"/>
    <x v="2"/>
    <n v="271.73"/>
  </r>
  <r>
    <s v="SALE194"/>
    <d v="2024-11-22T00:00:00"/>
    <s v="CUST1323"/>
    <s v="PROD49"/>
    <s v="STORE10"/>
    <n v="3"/>
    <n v="958.15"/>
    <n v="0.24"/>
    <s v="COD"/>
    <x v="1"/>
    <x v="29"/>
    <x v="1"/>
    <s v="Men'S Roll-On Perfume - Sullivan And Sons"/>
    <x v="2"/>
    <n v="43.29"/>
    <x v="3"/>
    <x v="2"/>
    <n v="2873.73"/>
  </r>
  <r>
    <s v="SALE195"/>
    <d v="2023-12-30T00:00:00"/>
    <s v="CUST1427"/>
    <s v="PROD60"/>
    <s v="STORE17"/>
    <n v="1"/>
    <n v="889.19"/>
    <n v="0.03"/>
    <s v="Credit Card"/>
    <x v="1"/>
    <x v="17"/>
    <x v="0"/>
    <s v="Luxury Perfume Spray - Gibson, Green And Lopez"/>
    <x v="2"/>
    <n v="482.75"/>
    <x v="0"/>
    <x v="1"/>
    <n v="889.16000000000008"/>
  </r>
  <r>
    <s v="SALE196"/>
    <d v="2025-09-04T00:00:00"/>
    <s v="CUST1464"/>
    <s v="PROD57"/>
    <s v="STORE16"/>
    <n v="4"/>
    <n v="689.67"/>
    <n v="0.05"/>
    <s v="COD"/>
    <x v="1"/>
    <x v="7"/>
    <x v="1"/>
    <s v="Foam Roller - Atkinson, Camacho And Oliver"/>
    <x v="0"/>
    <n v="30.62"/>
    <x v="1"/>
    <x v="1"/>
    <n v="2758.48"/>
  </r>
  <r>
    <s v="SALE197"/>
    <d v="2023-10-28T00:00:00"/>
    <s v="CUST1135"/>
    <s v="PROD44"/>
    <s v="STORE11"/>
    <n v="1"/>
    <n v="541.24"/>
    <n v="0.03"/>
    <s v="PayPal"/>
    <x v="1"/>
    <x v="20"/>
    <x v="1"/>
    <s v="Adjustable Jump Rope - Cox Inc"/>
    <x v="0"/>
    <n v="167.12"/>
    <x v="2"/>
    <x v="2"/>
    <n v="541.21"/>
  </r>
  <r>
    <s v="SALE198"/>
    <d v="2024-11-04T00:00:00"/>
    <s v="CUST1448"/>
    <s v="PROD81"/>
    <s v="STORE6"/>
    <n v="1"/>
    <n v="454.71"/>
    <n v="0.16"/>
    <s v="PayPal"/>
    <x v="1"/>
    <x v="0"/>
    <x v="3"/>
    <s v="Badminton Racket Set - Robinson-Brown"/>
    <x v="0"/>
    <n v="285.54000000000002"/>
    <x v="3"/>
    <x v="2"/>
    <n v="454.54999999999995"/>
  </r>
  <r>
    <s v="SALE199"/>
    <d v="2024-12-20T00:00:00"/>
    <s v="CUST1038"/>
    <s v="PROD66"/>
    <s v="STORE5"/>
    <n v="2"/>
    <n v="397.63"/>
    <n v="0.26"/>
    <s v="Credit Card"/>
    <x v="1"/>
    <x v="16"/>
    <x v="3"/>
    <s v="Women'S Hair Dryer Brush - Torres, Spencer And Potter"/>
    <x v="2"/>
    <n v="340.39"/>
    <x v="0"/>
    <x v="0"/>
    <n v="794.74"/>
  </r>
  <r>
    <s v="SALE200"/>
    <d v="2025-03-09T00:00:00"/>
    <s v="CUST1170"/>
    <s v="PROD83"/>
    <s v="STORE6"/>
    <n v="3"/>
    <n v="748.56"/>
    <n v="0.26"/>
    <s v="PayPal"/>
    <x v="0"/>
    <x v="6"/>
    <x v="0"/>
    <s v="Hydrating Face Cleanser - Butler Group"/>
    <x v="2"/>
    <n v="289.35937499999994"/>
    <x v="3"/>
    <x v="2"/>
    <n v="2244.8999999999996"/>
  </r>
  <r>
    <s v="SALE201"/>
    <d v="2025-03-26T00:00:00"/>
    <s v="CUST1144"/>
    <s v="PROD33"/>
    <s v="STORE4"/>
    <n v="1"/>
    <n v="885.72"/>
    <n v="0.15"/>
    <s v="Credit Card"/>
    <x v="1"/>
    <x v="8"/>
    <x v="3"/>
    <s v="Modern Wall Clock - Weiss-Watson"/>
    <x v="3"/>
    <n v="179.77"/>
    <x v="2"/>
    <x v="2"/>
    <n v="885.57"/>
  </r>
  <r>
    <s v="SALE202"/>
    <d v="2025-04-03T00:00:00"/>
    <s v="CUST1108"/>
    <s v="PROD62"/>
    <s v="STORE1"/>
    <n v="4"/>
    <n v="408.07"/>
    <n v="0.28000000000000003"/>
    <s v="COD"/>
    <x v="0"/>
    <x v="21"/>
    <x v="3"/>
    <s v="Laptop Cooling Pad - Murray, Gould And Ware"/>
    <x v="1"/>
    <n v="86.42"/>
    <x v="0"/>
    <x v="1"/>
    <n v="1631.16"/>
  </r>
  <r>
    <s v="SALE203"/>
    <d v="2024-02-05T00:00:00"/>
    <s v="CUST1472"/>
    <s v="PROD34"/>
    <s v="STORE9"/>
    <n v="2"/>
    <n v="597.07000000000005"/>
    <n v="0.28000000000000003"/>
    <s v="PayPal"/>
    <x v="0"/>
    <x v="43"/>
    <x v="2"/>
    <s v="Gaming Mechanical Keyboard - Lucero Llc"/>
    <x v="1"/>
    <n v="419.28"/>
    <x v="2"/>
    <x v="1"/>
    <n v="1193.5800000000002"/>
  </r>
  <r>
    <s v="SALE204"/>
    <d v="2024-06-22T00:00:00"/>
    <s v="CUST1022"/>
    <s v="PROD67"/>
    <s v="STORE9"/>
    <n v="3"/>
    <n v="723.47"/>
    <n v="0.12"/>
    <s v="COD"/>
    <x v="1"/>
    <x v="22"/>
    <x v="2"/>
    <s v="Smart Led Light Strip - Flores-Davis"/>
    <x v="1"/>
    <n v="349.17"/>
    <x v="2"/>
    <x v="1"/>
    <n v="2170.0500000000002"/>
  </r>
  <r>
    <s v="SALE205"/>
    <d v="2025-08-14T00:00:00"/>
    <s v="CUST1437"/>
    <s v="PROD88"/>
    <s v="STORE5"/>
    <n v="1"/>
    <n v="479.93"/>
    <n v="0.22"/>
    <s v="Credit Card"/>
    <x v="1"/>
    <x v="21"/>
    <x v="1"/>
    <s v="Sports Wrist Sweatbands - Olsen-Daniels"/>
    <x v="0"/>
    <n v="131.24"/>
    <x v="0"/>
    <x v="0"/>
    <n v="479.71"/>
  </r>
  <r>
    <s v="SALE206"/>
    <d v="2024-06-02T00:00:00"/>
    <s v="CUST1243"/>
    <s v="PROD34"/>
    <s v="STORE16"/>
    <n v="4"/>
    <n v="362.81"/>
    <n v="0.21"/>
    <s v="COD"/>
    <x v="1"/>
    <x v="11"/>
    <x v="0"/>
    <s v="Gaming Mechanical Keyboard - Lucero Llc"/>
    <x v="1"/>
    <n v="419.28"/>
    <x v="1"/>
    <x v="1"/>
    <n v="1450.4"/>
  </r>
  <r>
    <s v="SALE207"/>
    <d v="2024-12-14T00:00:00"/>
    <s v="CUST1185"/>
    <s v="PROD79"/>
    <s v="STORE3"/>
    <n v="1"/>
    <n v="127.11"/>
    <n v="0.01"/>
    <s v="PayPal"/>
    <x v="1"/>
    <x v="19"/>
    <x v="1"/>
    <s v="Decorative Lamp Shade - Ramirez-Hanson"/>
    <x v="3"/>
    <n v="228.53"/>
    <x v="0"/>
    <x v="0"/>
    <n v="127.1"/>
  </r>
  <r>
    <s v="SALE208"/>
    <d v="2024-04-29T00:00:00"/>
    <s v="CUST1184"/>
    <s v="PROD34"/>
    <s v="STORE17"/>
    <n v="4"/>
    <n v="931.26"/>
    <n v="0.04"/>
    <s v="Credit Card"/>
    <x v="1"/>
    <x v="16"/>
    <x v="2"/>
    <s v="Gaming Mechanical Keyboard - Lucero Llc"/>
    <x v="1"/>
    <n v="419.28"/>
    <x v="0"/>
    <x v="1"/>
    <n v="3724.88"/>
  </r>
  <r>
    <s v="SALE209"/>
    <d v="2023-10-25T00:00:00"/>
    <s v="CUST1371"/>
    <s v="PROD67"/>
    <s v="STORE8"/>
    <n v="1"/>
    <n v="620.80999999999995"/>
    <n v="0.04"/>
    <s v="PayPal"/>
    <x v="1"/>
    <x v="21"/>
    <x v="1"/>
    <s v="Smart Led Light Strip - Flores-Davis"/>
    <x v="1"/>
    <n v="349.17"/>
    <x v="1"/>
    <x v="2"/>
    <n v="620.77"/>
  </r>
  <r>
    <s v="SALE210"/>
    <d v="2024-07-24T00:00:00"/>
    <s v="CUST1094"/>
    <s v="PROD50"/>
    <s v="STORE2"/>
    <n v="1"/>
    <n v="823.26"/>
    <n v="0.27"/>
    <s v="COD"/>
    <x v="1"/>
    <x v="8"/>
    <x v="0"/>
    <s v="Boxing Hand Wraps - Smith-King"/>
    <x v="0"/>
    <n v="190.29"/>
    <x v="2"/>
    <x v="0"/>
    <n v="822.99"/>
  </r>
  <r>
    <s v="SALE211"/>
    <d v="2025-05-30T00:00:00"/>
    <s v="CUST1012"/>
    <s v="PROD27"/>
    <s v="STORE8"/>
    <n v="3"/>
    <n v="681.01"/>
    <n v="0.27"/>
    <s v="COD"/>
    <x v="1"/>
    <x v="32"/>
    <x v="1"/>
    <s v="Decorative Floor Vase - Khan, Jones And Paul"/>
    <x v="3"/>
    <n v="250.02157142857135"/>
    <x v="1"/>
    <x v="2"/>
    <n v="2042.22"/>
  </r>
  <r>
    <s v="SALE212"/>
    <d v="2025-10-12T00:00:00"/>
    <s v="CUST1442"/>
    <s v="PROD56"/>
    <s v="STORE19"/>
    <n v="4"/>
    <n v="119.83"/>
    <n v="0.13"/>
    <s v="Credit Card"/>
    <x v="1"/>
    <x v="47"/>
    <x v="3"/>
    <s v="Premium Blanket Throw - Hernandez, Kennedy And Porter"/>
    <x v="3"/>
    <n v="461.47"/>
    <x v="3"/>
    <x v="2"/>
    <n v="478.8"/>
  </r>
  <r>
    <s v="SALE213"/>
    <d v="2024-01-23T00:00:00"/>
    <s v="CUST1307"/>
    <s v="PROD78"/>
    <s v="STORE2"/>
    <n v="1"/>
    <n v="575.66"/>
    <n v="0.03"/>
    <s v="PayPal"/>
    <x v="1"/>
    <x v="4"/>
    <x v="3"/>
    <s v="Essential Oil Diffuser - Hernandez Inc"/>
    <x v="3"/>
    <n v="325.26"/>
    <x v="2"/>
    <x v="0"/>
    <n v="575.63"/>
  </r>
  <r>
    <s v="SALE214"/>
    <d v="2025-10-13T00:00:00"/>
    <s v="CUST1199"/>
    <s v="PROD48"/>
    <s v="STORE16"/>
    <n v="1"/>
    <n v="775.84"/>
    <n v="0.26"/>
    <s v="Credit Card"/>
    <x v="0"/>
    <x v="3"/>
    <x v="3"/>
    <s v="Car Dashboard Phone Holder - Byrd, Stewart And Valdez"/>
    <x v="1"/>
    <n v="177.98"/>
    <x v="1"/>
    <x v="1"/>
    <n v="775.58"/>
  </r>
  <r>
    <s v="SALE215"/>
    <d v="2024-03-05T00:00:00"/>
    <s v="CUST1443"/>
    <s v="PROD14"/>
    <s v="STORE9"/>
    <n v="3"/>
    <n v="318.43"/>
    <n v="0.05"/>
    <s v="Credit Card"/>
    <x v="0"/>
    <x v="11"/>
    <x v="2"/>
    <s v="Decorative Wall Mirror - Luna, Anderson And Bowman"/>
    <x v="3"/>
    <n v="48.01"/>
    <x v="2"/>
    <x v="1"/>
    <n v="955.14"/>
  </r>
  <r>
    <s v="SALE216"/>
    <d v="2025-07-16T00:00:00"/>
    <s v="CUST1153"/>
    <s v="PROD72"/>
    <s v="STORE8"/>
    <n v="3"/>
    <n v="141.6"/>
    <n v="0.08"/>
    <s v="COD"/>
    <x v="0"/>
    <x v="16"/>
    <x v="3"/>
    <s v="Professional Jump Rope - Davis Plc"/>
    <x v="0"/>
    <n v="477.61"/>
    <x v="1"/>
    <x v="2"/>
    <n v="424.55999999999995"/>
  </r>
  <r>
    <s v="SALE217"/>
    <d v="2023-10-20T00:00:00"/>
    <s v="CUST1266"/>
    <s v="PROD15"/>
    <s v="STORE19"/>
    <n v="1"/>
    <n v="332.82"/>
    <n v="0.14000000000000001"/>
    <s v="PayPal"/>
    <x v="1"/>
    <x v="27"/>
    <x v="3"/>
    <s v="4K Home Projector - Thomas Llc"/>
    <x v="1"/>
    <n v="465.34"/>
    <x v="3"/>
    <x v="2"/>
    <n v="332.68"/>
  </r>
  <r>
    <s v="SALE218"/>
    <d v="2024-06-04T00:00:00"/>
    <s v="CUST1246"/>
    <s v="PROD72"/>
    <s v="STORE1"/>
    <n v="4"/>
    <n v="640.97"/>
    <n v="0.11"/>
    <s v="COD"/>
    <x v="0"/>
    <x v="13"/>
    <x v="3"/>
    <s v="Professional Jump Rope - Davis Plc"/>
    <x v="0"/>
    <n v="477.61"/>
    <x v="0"/>
    <x v="1"/>
    <n v="2563.44"/>
  </r>
  <r>
    <s v="SALE219"/>
    <d v="2023-10-26T00:00:00"/>
    <s v="CUST1203"/>
    <s v="PROD90"/>
    <s v="STORE15"/>
    <n v="4"/>
    <n v="75.37"/>
    <n v="0.02"/>
    <s v="COD"/>
    <x v="0"/>
    <x v="9"/>
    <x v="1"/>
    <s v="Gaming Mouse Pad Xl - Sharp, Taylor And Rodriguez"/>
    <x v="1"/>
    <n v="340.14"/>
    <x v="0"/>
    <x v="1"/>
    <n v="301.40000000000003"/>
  </r>
  <r>
    <s v="SALE220"/>
    <d v="2025-04-07T00:00:00"/>
    <s v="CUST1075"/>
    <s v="PROD16"/>
    <s v="STORE18"/>
    <n v="3"/>
    <n v="434.55"/>
    <n v="0.08"/>
    <s v="COD"/>
    <x v="1"/>
    <x v="24"/>
    <x v="0"/>
    <s v="Beard Grooming Kit - Erickson-Green"/>
    <x v="2"/>
    <n v="337.42"/>
    <x v="3"/>
    <x v="1"/>
    <n v="1303.4100000000001"/>
  </r>
  <r>
    <s v="SALE221"/>
    <d v="2025-03-13T00:00:00"/>
    <s v="CUST1099"/>
    <s v="PROD26"/>
    <s v="STORE14"/>
    <n v="4"/>
    <n v="652.28"/>
    <n v="0.15"/>
    <s v="Credit Card"/>
    <x v="0"/>
    <x v="3"/>
    <x v="2"/>
    <s v="Wireless Bluetooth Speaker - Reed-Schmidt"/>
    <x v="1"/>
    <n v="322.41000000000003"/>
    <x v="2"/>
    <x v="0"/>
    <n v="2608.52"/>
  </r>
  <r>
    <s v="SALE222"/>
    <d v="2024-07-07T00:00:00"/>
    <s v="CUST1269"/>
    <s v="PROD76"/>
    <s v="STORE17"/>
    <n v="3"/>
    <n v="207.8"/>
    <n v="0.15"/>
    <s v="Credit Card"/>
    <x v="1"/>
    <x v="24"/>
    <x v="2"/>
    <s v="Wireless Mouse - Larson Ltd"/>
    <x v="1"/>
    <n v="392.89"/>
    <x v="0"/>
    <x v="1"/>
    <n v="622.95000000000005"/>
  </r>
  <r>
    <s v="SALE223"/>
    <d v="2024-03-10T00:00:00"/>
    <s v="CUST1495"/>
    <s v="PROD61"/>
    <s v="STORE15"/>
    <n v="4"/>
    <n v="385.5"/>
    <n v="0.03"/>
    <s v="PayPal"/>
    <x v="1"/>
    <x v="37"/>
    <x v="3"/>
    <s v="Tennis Ball 3-Pack - Lopez Llc"/>
    <x v="0"/>
    <n v="103.45"/>
    <x v="0"/>
    <x v="1"/>
    <n v="1541.88"/>
  </r>
  <r>
    <s v="SALE224"/>
    <d v="2025-09-15T00:00:00"/>
    <s v="CUST1096"/>
    <s v="PROD65"/>
    <s v="STORE6"/>
    <n v="3"/>
    <n v="548.19000000000005"/>
    <n v="0.12"/>
    <s v="Credit Card"/>
    <x v="1"/>
    <x v="38"/>
    <x v="1"/>
    <s v="Adjustable Dumbbells 20Kg - Montgomery, Benton And Miller"/>
    <x v="0"/>
    <n v="240.63"/>
    <x v="3"/>
    <x v="2"/>
    <n v="1644.21"/>
  </r>
  <r>
    <s v="SALE225"/>
    <d v="2024-11-11T00:00:00"/>
    <s v="CUST1069"/>
    <s v="PROD73"/>
    <s v="STORE9"/>
    <n v="3"/>
    <n v="927.6"/>
    <n v="0.09"/>
    <s v="Credit Card"/>
    <x v="1"/>
    <x v="19"/>
    <x v="1"/>
    <s v="Shin Guards – Adult - French Ltd"/>
    <x v="0"/>
    <n v="107.06"/>
    <x v="2"/>
    <x v="1"/>
    <n v="2782.5299999999997"/>
  </r>
  <r>
    <s v="SALE226"/>
    <d v="2025-01-09T00:00:00"/>
    <s v="CUST1266"/>
    <s v="PROD61"/>
    <s v="STORE3"/>
    <n v="4"/>
    <n v="585.04"/>
    <n v="0.22"/>
    <s v="PayPal"/>
    <x v="1"/>
    <x v="27"/>
    <x v="3"/>
    <s v="Tennis Ball 3-Pack - Lopez Llc"/>
    <x v="0"/>
    <n v="103.45"/>
    <x v="0"/>
    <x v="0"/>
    <n v="2339.2799999999997"/>
  </r>
  <r>
    <s v="SALE227"/>
    <d v="2024-04-24T00:00:00"/>
    <s v="CUST1499"/>
    <s v="PROD39"/>
    <s v="STORE2"/>
    <n v="2"/>
    <n v="999.89"/>
    <n v="0.09"/>
    <s v="Credit Card"/>
    <x v="1"/>
    <x v="47"/>
    <x v="1"/>
    <s v="Portable Power Bank - Cummings And Sons"/>
    <x v="1"/>
    <n v="326.06"/>
    <x v="2"/>
    <x v="0"/>
    <n v="1999.6"/>
  </r>
  <r>
    <s v="SALE228"/>
    <d v="2023-12-24T00:00:00"/>
    <s v="CUST1107"/>
    <s v="PROD75"/>
    <s v="STORE3"/>
    <n v="2"/>
    <n v="848.98"/>
    <n v="0.04"/>
    <s v="PayPal"/>
    <x v="1"/>
    <x v="16"/>
    <x v="1"/>
    <s v="Women'S Ankle Boots - Poole Plc"/>
    <x v="4"/>
    <n v="158.13999999999999"/>
    <x v="0"/>
    <x v="0"/>
    <n v="1697.88"/>
  </r>
  <r>
    <s v="SALE229"/>
    <d v="2024-02-26T00:00:00"/>
    <s v="CUST1142"/>
    <s v="PROD60"/>
    <s v="STORE14"/>
    <n v="3"/>
    <n v="769.56"/>
    <n v="0.08"/>
    <s v="Credit Card"/>
    <x v="0"/>
    <x v="10"/>
    <x v="3"/>
    <s v="Luxury Perfume Spray - Gibson, Green And Lopez"/>
    <x v="2"/>
    <n v="482.75"/>
    <x v="2"/>
    <x v="0"/>
    <n v="2308.4399999999996"/>
  </r>
  <r>
    <s v="SALE230"/>
    <d v="2025-01-19T00:00:00"/>
    <s v="CUST1049"/>
    <s v="PROD48"/>
    <s v="STORE13"/>
    <n v="3"/>
    <n v="449.88"/>
    <n v="0.1"/>
    <s v="PayPal"/>
    <x v="1"/>
    <x v="31"/>
    <x v="0"/>
    <s v="Car Dashboard Phone Holder - Byrd, Stewart And Valdez"/>
    <x v="1"/>
    <n v="177.98"/>
    <x v="3"/>
    <x v="1"/>
    <n v="1349.34"/>
  </r>
  <r>
    <s v="SALE231"/>
    <d v="2025-07-25T00:00:00"/>
    <s v="CUST1275"/>
    <s v="PROD69"/>
    <s v="STORE12"/>
    <n v="4"/>
    <n v="383.74"/>
    <n v="0.01"/>
    <s v="Credit Card"/>
    <x v="0"/>
    <x v="27"/>
    <x v="0"/>
    <s v="Men'S Sports Shorts - Fitzpatrick Ltd"/>
    <x v="4"/>
    <n v="218.22"/>
    <x v="0"/>
    <x v="2"/>
    <n v="1534.92"/>
  </r>
  <r>
    <s v="SALE232"/>
    <d v="2024-04-27T00:00:00"/>
    <s v="CUST1148"/>
    <s v="PROD58"/>
    <s v="STORE10"/>
    <n v="4"/>
    <n v="794.97"/>
    <n v="0.24"/>
    <s v="PayPal"/>
    <x v="1"/>
    <x v="18"/>
    <x v="3"/>
    <s v="Womens Cotton Scarf - Shepherd-Gould"/>
    <x v="4"/>
    <n v="113.83"/>
    <x v="3"/>
    <x v="2"/>
    <n v="3178.92"/>
  </r>
  <r>
    <s v="SALE233"/>
    <d v="2025-08-11T00:00:00"/>
    <s v="CUST1010"/>
    <s v="PROD79"/>
    <s v="STORE5"/>
    <n v="1"/>
    <n v="989.63"/>
    <n v="0.05"/>
    <s v="PayPal"/>
    <x v="0"/>
    <x v="2"/>
    <x v="3"/>
    <s v="Decorative Lamp Shade - Ramirez-Hanson"/>
    <x v="3"/>
    <n v="228.53"/>
    <x v="0"/>
    <x v="0"/>
    <n v="989.58"/>
  </r>
  <r>
    <s v="SALE234"/>
    <d v="2025-03-15T00:00:00"/>
    <s v="CUST1335"/>
    <s v="PROD54"/>
    <s v="STORE0"/>
    <n v="1"/>
    <n v="447.16"/>
    <n v="0.22"/>
    <s v="COD"/>
    <x v="0"/>
    <x v="29"/>
    <x v="1"/>
    <s v="Sports Stopwatch Pro - Thompson-French"/>
    <x v="0"/>
    <n v="434.84"/>
    <x v="3"/>
    <x v="1"/>
    <n v="446.94"/>
  </r>
  <r>
    <s v="SALE235"/>
    <d v="2025-01-14T00:00:00"/>
    <s v="CUST1008"/>
    <s v="PROD94"/>
    <s v="STORE6"/>
    <n v="1"/>
    <n v="946.9"/>
    <n v="0.28999999999999998"/>
    <s v="COD"/>
    <x v="1"/>
    <x v="21"/>
    <x v="0"/>
    <s v="Vitamin E Body Lotion - Hoffman-Williams"/>
    <x v="2"/>
    <n v="358.47"/>
    <x v="3"/>
    <x v="2"/>
    <n v="946.61"/>
  </r>
  <r>
    <s v="SALE236"/>
    <d v="2025-06-01T00:00:00"/>
    <s v="CUST1169"/>
    <s v="PROD17"/>
    <s v="STORE0"/>
    <n v="4"/>
    <n v="469.68"/>
    <n v="0.19"/>
    <s v="Credit Card"/>
    <x v="0"/>
    <x v="21"/>
    <x v="3"/>
    <s v="Soccer Training Cone Set - Ford, Murphy And Wilson"/>
    <x v="0"/>
    <n v="144.53"/>
    <x v="3"/>
    <x v="1"/>
    <n v="1877.96"/>
  </r>
  <r>
    <s v="SALE237"/>
    <d v="2024-09-24T00:00:00"/>
    <s v="CUST1494"/>
    <s v="PROD28"/>
    <s v="STORE17"/>
    <n v="4"/>
    <n v="320.64"/>
    <n v="0.2"/>
    <s v="COD"/>
    <x v="0"/>
    <x v="11"/>
    <x v="0"/>
    <s v="Sports Stopwatch Timer - Burns-Hansen"/>
    <x v="0"/>
    <n v="38.76"/>
    <x v="0"/>
    <x v="1"/>
    <n v="1281.76"/>
  </r>
  <r>
    <s v="SALE238"/>
    <d v="2023-11-23T00:00:00"/>
    <s v="CUST1135"/>
    <s v="PROD15"/>
    <s v="STORE5"/>
    <n v="1"/>
    <n v="594.44000000000005"/>
    <n v="0.21"/>
    <s v="Credit Card"/>
    <x v="1"/>
    <x v="20"/>
    <x v="1"/>
    <s v="4K Home Projector - Thomas Llc"/>
    <x v="1"/>
    <n v="465.34"/>
    <x v="0"/>
    <x v="0"/>
    <n v="594.23"/>
  </r>
  <r>
    <s v="SALE239"/>
    <d v="2025-07-23T00:00:00"/>
    <s v="CUST1216"/>
    <s v="PROD86"/>
    <s v="STORE8"/>
    <n v="3"/>
    <n v="91.7"/>
    <n v="0.08"/>
    <s v="COD"/>
    <x v="0"/>
    <x v="24"/>
    <x v="1"/>
    <s v="Kitchen Cutting Board - Taylor, Dodson And Johnston"/>
    <x v="3"/>
    <n v="176.07"/>
    <x v="1"/>
    <x v="2"/>
    <n v="274.86"/>
  </r>
  <r>
    <s v="SALE240"/>
    <d v="2025-09-17T00:00:00"/>
    <s v="CUST1031"/>
    <s v="PROD62"/>
    <s v="STORE12"/>
    <n v="3"/>
    <n v="741.33"/>
    <n v="0.03"/>
    <s v="Credit Card"/>
    <x v="0"/>
    <x v="47"/>
    <x v="2"/>
    <s v="Laptop Cooling Pad - Murray, Gould And Ware"/>
    <x v="1"/>
    <n v="86.42"/>
    <x v="0"/>
    <x v="2"/>
    <n v="2223.9"/>
  </r>
  <r>
    <s v="SALE241"/>
    <d v="2025-04-07T00:00:00"/>
    <s v="CUST1476"/>
    <s v="PROD16"/>
    <s v="STORE19"/>
    <n v="1"/>
    <n v="922.78"/>
    <n v="0.28999999999999998"/>
    <s v="COD"/>
    <x v="1"/>
    <x v="15"/>
    <x v="0"/>
    <s v="Beard Grooming Kit - Erickson-Green"/>
    <x v="2"/>
    <n v="337.42"/>
    <x v="3"/>
    <x v="2"/>
    <n v="922.49"/>
  </r>
  <r>
    <s v="SALE242"/>
    <d v="2024-01-21T00:00:00"/>
    <s v="CUST1325"/>
    <s v="PROD8"/>
    <s v="STORE16"/>
    <n v="1"/>
    <n v="394.35"/>
    <n v="0.09"/>
    <s v="PayPal"/>
    <x v="0"/>
    <x v="18"/>
    <x v="3"/>
    <s v="Wireless Bluetooth Earbuds - Perez-Johnston"/>
    <x v="1"/>
    <n v="439.07"/>
    <x v="1"/>
    <x v="1"/>
    <n v="394.26000000000005"/>
  </r>
  <r>
    <s v="SALE243"/>
    <d v="2024-07-07T00:00:00"/>
    <s v="CUST1364"/>
    <s v="PROD65"/>
    <s v="STORE11"/>
    <n v="2"/>
    <n v="703.95"/>
    <n v="0.03"/>
    <s v="Credit Card"/>
    <x v="0"/>
    <x v="28"/>
    <x v="3"/>
    <s v="Adjustable Dumbbells 20Kg - Montgomery, Benton And Miller"/>
    <x v="0"/>
    <n v="240.63"/>
    <x v="2"/>
    <x v="2"/>
    <n v="1407.8400000000001"/>
  </r>
  <r>
    <s v="SALE244"/>
    <d v="2025-05-03T00:00:00"/>
    <s v="CUST1200"/>
    <s v="PROD14"/>
    <s v="STORE0"/>
    <n v="4"/>
    <n v="452.67"/>
    <n v="0.28000000000000003"/>
    <s v="PayPal"/>
    <x v="0"/>
    <x v="17"/>
    <x v="1"/>
    <s v="Decorative Wall Mirror - Luna, Anderson And Bowman"/>
    <x v="3"/>
    <n v="48.01"/>
    <x v="3"/>
    <x v="1"/>
    <n v="1809.5600000000002"/>
  </r>
  <r>
    <s v="SALE245"/>
    <d v="2024-02-27T00:00:00"/>
    <s v="CUST1463"/>
    <s v="PROD8"/>
    <s v="STORE7"/>
    <n v="2"/>
    <n v="377.3"/>
    <n v="0.15"/>
    <s v="PayPal"/>
    <x v="1"/>
    <x v="40"/>
    <x v="3"/>
    <s v="Wireless Bluetooth Earbuds - Perez-Johnston"/>
    <x v="1"/>
    <n v="439.07"/>
    <x v="2"/>
    <x v="2"/>
    <n v="754.30000000000007"/>
  </r>
  <r>
    <s v="SALE246"/>
    <d v="2025-07-08T00:00:00"/>
    <s v="CUST1344"/>
    <s v="PROD74"/>
    <s v="STORE7"/>
    <n v="2"/>
    <n v="130.47999999999999"/>
    <n v="0.23"/>
    <s v="PayPal"/>
    <x v="0"/>
    <x v="23"/>
    <x v="0"/>
    <s v="Bluetooth Car Audio System - Bruce-Bowen"/>
    <x v="1"/>
    <n v="403.71"/>
    <x v="2"/>
    <x v="2"/>
    <n v="260.5"/>
  </r>
  <r>
    <s v="SALE247"/>
    <d v="2025-03-13T00:00:00"/>
    <s v="CUST1435"/>
    <s v="PROD94"/>
    <s v="STORE12"/>
    <n v="1"/>
    <n v="809.45"/>
    <n v="0.09"/>
    <s v="COD"/>
    <x v="1"/>
    <x v="12"/>
    <x v="2"/>
    <s v="Vitamin E Body Lotion - Hoffman-Williams"/>
    <x v="2"/>
    <n v="358.47"/>
    <x v="0"/>
    <x v="2"/>
    <n v="809.36"/>
  </r>
  <r>
    <s v="SALE248"/>
    <d v="2025-04-21T00:00:00"/>
    <s v="CUST1083"/>
    <s v="PROD45"/>
    <s v="STORE9"/>
    <n v="3"/>
    <n v="499.12"/>
    <n v="0.05"/>
    <s v="PayPal"/>
    <x v="1"/>
    <x v="36"/>
    <x v="3"/>
    <s v="High-Grip Football - Bridges, Banks And Cummings"/>
    <x v="0"/>
    <n v="318.91000000000003"/>
    <x v="2"/>
    <x v="1"/>
    <n v="1497.21"/>
  </r>
  <r>
    <s v="SALE249"/>
    <d v="2024-11-10T00:00:00"/>
    <s v="CUST1023"/>
    <s v="PROD68"/>
    <s v="STORE3"/>
    <n v="2"/>
    <n v="894.58"/>
    <n v="0.25"/>
    <s v="Credit Card"/>
    <x v="1"/>
    <x v="47"/>
    <x v="2"/>
    <s v="Wooden Nightstand - Wolfe, Ross And Hester"/>
    <x v="3"/>
    <n v="243.7"/>
    <x v="0"/>
    <x v="0"/>
    <n v="1788.66"/>
  </r>
  <r>
    <s v="SALE250"/>
    <d v="2024-08-09T00:00:00"/>
    <s v="CUST1131"/>
    <s v="PROD75"/>
    <s v="STORE9"/>
    <n v="4"/>
    <n v="578.39"/>
    <n v="0.01"/>
    <s v="Credit Card"/>
    <x v="1"/>
    <x v="4"/>
    <x v="3"/>
    <s v="Women'S Ankle Boots - Poole Plc"/>
    <x v="4"/>
    <n v="158.13999999999999"/>
    <x v="2"/>
    <x v="1"/>
    <n v="2313.52"/>
  </r>
  <r>
    <s v="SALE251"/>
    <d v="2024-03-05T00:00:00"/>
    <s v="CUST1485"/>
    <s v="PROD41"/>
    <s v="STORE17"/>
    <n v="4"/>
    <n v="982.45"/>
    <n v="0.2"/>
    <s v="PayPal"/>
    <x v="1"/>
    <x v="45"/>
    <x v="3"/>
    <s v="Yoga Exercise Mat - Carroll, Long And Mendoza"/>
    <x v="0"/>
    <n v="313.26"/>
    <x v="0"/>
    <x v="1"/>
    <n v="3929"/>
  </r>
  <r>
    <s v="SALE252"/>
    <d v="2025-09-25T00:00:00"/>
    <s v="CUST1449"/>
    <s v="PROD98"/>
    <s v="STORE19"/>
    <n v="1"/>
    <n v="549.52"/>
    <n v="0.1"/>
    <s v="PayPal"/>
    <x v="0"/>
    <x v="31"/>
    <x v="3"/>
    <s v="Portable Bluetooth Speaker - Flores-King"/>
    <x v="1"/>
    <n v="431.67"/>
    <x v="3"/>
    <x v="2"/>
    <n v="549.41999999999996"/>
  </r>
  <r>
    <s v="SALE253"/>
    <d v="2025-08-07T00:00:00"/>
    <s v="CUST1240"/>
    <s v="PROD92"/>
    <s v="STORE18"/>
    <n v="2"/>
    <n v="239.92"/>
    <n v="0.16"/>
    <s v="Credit Card"/>
    <x v="1"/>
    <x v="20"/>
    <x v="1"/>
    <s v="Microwave Oven - Green, Powell And Palmer"/>
    <x v="3"/>
    <n v="447.43"/>
    <x v="3"/>
    <x v="1"/>
    <n v="479.52"/>
  </r>
  <r>
    <s v="SALE254"/>
    <d v="2024-02-16T00:00:00"/>
    <s v="CUST1082"/>
    <s v="PROD92"/>
    <s v="STORE6"/>
    <n v="2"/>
    <n v="878.05"/>
    <n v="0.11"/>
    <s v="PayPal"/>
    <x v="0"/>
    <x v="26"/>
    <x v="3"/>
    <s v="Microwave Oven - Green, Powell And Palmer"/>
    <x v="3"/>
    <n v="447.43"/>
    <x v="3"/>
    <x v="2"/>
    <n v="1755.8799999999999"/>
  </r>
  <r>
    <s v="SALE255"/>
    <d v="2025-03-30T00:00:00"/>
    <s v="CUST1044"/>
    <s v="PROD1"/>
    <s v="STORE9"/>
    <n v="3"/>
    <n v="546.96"/>
    <n v="0.19"/>
    <s v="Credit Card"/>
    <x v="0"/>
    <x v="22"/>
    <x v="3"/>
    <s v="Men'S Graphic T-Shirt - Terry-Moore"/>
    <x v="4"/>
    <n v="342.56"/>
    <x v="2"/>
    <x v="1"/>
    <n v="1640.31"/>
  </r>
  <r>
    <s v="SALE256"/>
    <d v="2025-02-18T00:00:00"/>
    <s v="CUST1471"/>
    <s v="PROD17"/>
    <s v="STORE10"/>
    <n v="2"/>
    <n v="71.77"/>
    <n v="0.22"/>
    <s v="Credit Card"/>
    <x v="0"/>
    <x v="10"/>
    <x v="1"/>
    <s v="Soccer Training Cone Set - Ford, Murphy And Wilson"/>
    <x v="0"/>
    <n v="144.53"/>
    <x v="3"/>
    <x v="2"/>
    <n v="143.1"/>
  </r>
  <r>
    <s v="SALE257"/>
    <d v="2025-03-01T00:00:00"/>
    <s v="CUST1013"/>
    <s v="PROD24"/>
    <s v="STORE1"/>
    <n v="2"/>
    <n v="679.86"/>
    <n v="0.22"/>
    <s v="COD"/>
    <x v="1"/>
    <x v="10"/>
    <x v="2"/>
    <s v="Foldable Camping Chair - Cook Ltd"/>
    <x v="0"/>
    <n v="166.06"/>
    <x v="0"/>
    <x v="1"/>
    <n v="1359.28"/>
  </r>
  <r>
    <s v="SALE258"/>
    <d v="2024-01-09T00:00:00"/>
    <s v="CUST1136"/>
    <s v="PROD35"/>
    <s v="STORE17"/>
    <n v="1"/>
    <n v="222.94"/>
    <n v="0.19"/>
    <s v="Credit Card"/>
    <x v="0"/>
    <x v="48"/>
    <x v="2"/>
    <s v="Bedroom Table Lamp - Jones Llc"/>
    <x v="3"/>
    <n v="382.22"/>
    <x v="0"/>
    <x v="1"/>
    <n v="222.75"/>
  </r>
  <r>
    <s v="SALE259"/>
    <d v="2025-04-26T00:00:00"/>
    <s v="CUST1248"/>
    <s v="PROD35"/>
    <s v="STORE2"/>
    <n v="2"/>
    <n v="355.3"/>
    <n v="0.14799999999999999"/>
    <s v="PayPal"/>
    <x v="0"/>
    <x v="8"/>
    <x v="0"/>
    <s v="Bedroom Table Lamp - Jones Llc"/>
    <x v="3"/>
    <n v="382.22"/>
    <x v="2"/>
    <x v="0"/>
    <n v="710.30399999999997"/>
  </r>
  <r>
    <s v="SALE260"/>
    <d v="2024-07-24T00:00:00"/>
    <s v="CUST1103"/>
    <s v="PROD89"/>
    <s v="STORE19"/>
    <n v="4"/>
    <n v="611.29999999999995"/>
    <n v="0.11"/>
    <s v="PayPal"/>
    <x v="0"/>
    <x v="40"/>
    <x v="3"/>
    <s v="Face Foundation Kit - Taylor-Elliott"/>
    <x v="2"/>
    <n v="183.04"/>
    <x v="3"/>
    <x v="2"/>
    <n v="2444.7599999999998"/>
  </r>
  <r>
    <s v="SALE261"/>
    <d v="2025-03-26T00:00:00"/>
    <s v="CUST1333"/>
    <s v="PROD0"/>
    <s v="STORE8"/>
    <n v="4"/>
    <n v="849.21"/>
    <n v="7.0000000000000007E-2"/>
    <s v="Credit Card"/>
    <x v="1"/>
    <x v="36"/>
    <x v="0"/>
    <s v="Brother Laser Printer - Hunt Inc"/>
    <x v="1"/>
    <n v="112.42"/>
    <x v="1"/>
    <x v="2"/>
    <n v="3396.56"/>
  </r>
  <r>
    <s v="SALE262"/>
    <d v="2025-02-25T00:00:00"/>
    <s v="CUST1209"/>
    <s v="PROD42"/>
    <s v="STORE7"/>
    <n v="3"/>
    <n v="553.12"/>
    <n v="0.28000000000000003"/>
    <s v="COD"/>
    <x v="1"/>
    <x v="17"/>
    <x v="1"/>
    <s v="Smart Home Wifi Camera - Holmes Llc"/>
    <x v="1"/>
    <n v="450.71"/>
    <x v="2"/>
    <x v="2"/>
    <n v="1658.52"/>
  </r>
  <r>
    <s v="SALE263"/>
    <d v="2025-06-18T00:00:00"/>
    <s v="CUST1282"/>
    <s v="PROD91"/>
    <s v="STORE9"/>
    <n v="2"/>
    <n v="903.08"/>
    <n v="0.18"/>
    <s v="COD"/>
    <x v="1"/>
    <x v="19"/>
    <x v="0"/>
    <s v="Women'S High Heels - Smith-Charles"/>
    <x v="4"/>
    <n v="438.25"/>
    <x v="2"/>
    <x v="1"/>
    <n v="1805.8000000000002"/>
  </r>
  <r>
    <s v="SALE264"/>
    <d v="2024-12-22T00:00:00"/>
    <s v="CUST1478"/>
    <s v="PROD16"/>
    <s v="STORE11"/>
    <n v="4"/>
    <n v="640.23"/>
    <n v="0.06"/>
    <s v="COD"/>
    <x v="0"/>
    <x v="34"/>
    <x v="0"/>
    <s v="Beard Grooming Kit - Erickson-Green"/>
    <x v="2"/>
    <n v="337.42"/>
    <x v="2"/>
    <x v="2"/>
    <n v="2560.6800000000003"/>
  </r>
  <r>
    <s v="SALE265"/>
    <d v="2025-06-28T00:00:00"/>
    <s v="CUST1141"/>
    <s v="PROD21"/>
    <s v="STORE6"/>
    <n v="1"/>
    <n v="518"/>
    <n v="0.25"/>
    <s v="Credit Card"/>
    <x v="0"/>
    <x v="24"/>
    <x v="3"/>
    <s v="Multi-Purpose Storage Box - Gardner-Montes"/>
    <x v="3"/>
    <n v="123.46"/>
    <x v="3"/>
    <x v="2"/>
    <n v="517.75"/>
  </r>
  <r>
    <s v="SALE266"/>
    <d v="2024-05-25T00:00:00"/>
    <s v="CUST1433"/>
    <s v="PROD64"/>
    <s v="STORE4"/>
    <n v="4"/>
    <n v="779.25"/>
    <n v="0.25"/>
    <s v="Credit Card"/>
    <x v="1"/>
    <x v="14"/>
    <x v="2"/>
    <s v="Matte Lipstick Set - Zhang Inc"/>
    <x v="2"/>
    <n v="299.11"/>
    <x v="2"/>
    <x v="2"/>
    <n v="3116"/>
  </r>
  <r>
    <s v="SALE267"/>
    <d v="2025-05-30T00:00:00"/>
    <s v="CUST1118"/>
    <s v="PROD83"/>
    <s v="STORE7"/>
    <n v="2"/>
    <n v="467.75"/>
    <n v="0.26"/>
    <s v="Credit Card"/>
    <x v="0"/>
    <x v="48"/>
    <x v="1"/>
    <s v="Hydrating Face Cleanser - Butler Group"/>
    <x v="2"/>
    <n v="289.35937499999994"/>
    <x v="2"/>
    <x v="2"/>
    <n v="934.98"/>
  </r>
  <r>
    <s v="SALE268"/>
    <d v="2024-09-20T00:00:00"/>
    <s v="CUST1406"/>
    <s v="PROD90"/>
    <s v="STORE18"/>
    <n v="3"/>
    <n v="513.98477215823721"/>
    <n v="0.06"/>
    <s v="Credit Card"/>
    <x v="1"/>
    <x v="18"/>
    <x v="0"/>
    <s v="Gaming Mouse Pad Xl - Sharp, Taylor And Rodriguez"/>
    <x v="1"/>
    <n v="340.14"/>
    <x v="3"/>
    <x v="1"/>
    <n v="1541.7743164747117"/>
  </r>
  <r>
    <s v="SALE269"/>
    <d v="2025-05-26T00:00:00"/>
    <s v="CUST1219"/>
    <s v="PROD37"/>
    <s v="STORE0"/>
    <n v="4"/>
    <n v="747.01"/>
    <n v="0.13"/>
    <s v="PayPal"/>
    <x v="1"/>
    <x v="19"/>
    <x v="0"/>
    <s v="Men'S Casual Sneakers - Hogan-Lee"/>
    <x v="4"/>
    <n v="353.47"/>
    <x v="3"/>
    <x v="1"/>
    <n v="2987.52"/>
  </r>
  <r>
    <s v="SALE270"/>
    <d v="2025-03-19T00:00:00"/>
    <s v="CUST1101"/>
    <s v="PROD89"/>
    <s v="STORE12"/>
    <n v="4"/>
    <n v="461.83"/>
    <n v="0.28000000000000003"/>
    <s v="PayPal"/>
    <x v="0"/>
    <x v="39"/>
    <x v="0"/>
    <s v="Face Foundation Kit - Taylor-Elliott"/>
    <x v="2"/>
    <n v="183.04"/>
    <x v="0"/>
    <x v="2"/>
    <n v="1846.2"/>
  </r>
  <r>
    <s v="SALE271"/>
    <d v="2025-04-03T00:00:00"/>
    <s v="CUST1134"/>
    <s v="PROD70"/>
    <s v="STORE8"/>
    <n v="2"/>
    <n v="105.15"/>
    <n v="0.06"/>
    <s v="Credit Card"/>
    <x v="0"/>
    <x v="7"/>
    <x v="0"/>
    <s v="Kitchen Storage Rack - Duran Group"/>
    <x v="3"/>
    <n v="138.05000000000001"/>
    <x v="1"/>
    <x v="2"/>
    <n v="210.18"/>
  </r>
  <r>
    <s v="SALE272"/>
    <d v="2025-02-05T00:00:00"/>
    <s v="CUST1033"/>
    <s v="PROD23"/>
    <s v="STORE3"/>
    <n v="3"/>
    <n v="610.24"/>
    <n v="0.17"/>
    <s v="COD"/>
    <x v="0"/>
    <x v="15"/>
    <x v="1"/>
    <s v="Men'S Formal Shirt - Moon, Mora And Santos"/>
    <x v="4"/>
    <n v="248.82191780821913"/>
    <x v="0"/>
    <x v="0"/>
    <n v="1830.21"/>
  </r>
  <r>
    <s v="SALE273"/>
    <d v="2025-01-10T00:00:00"/>
    <s v="CUST1312"/>
    <s v="PROD74"/>
    <s v="STORE8"/>
    <n v="1"/>
    <n v="872.12"/>
    <n v="7.0000000000000007E-2"/>
    <s v="PayPal"/>
    <x v="1"/>
    <x v="37"/>
    <x v="2"/>
    <s v="Bluetooth Car Audio System - Bruce-Bowen"/>
    <x v="1"/>
    <n v="403.71"/>
    <x v="1"/>
    <x v="2"/>
    <n v="872.05"/>
  </r>
  <r>
    <s v="SALE274"/>
    <d v="2024-01-25T00:00:00"/>
    <s v="CUST1433"/>
    <s v="PROD10"/>
    <s v="STORE1"/>
    <n v="1"/>
    <n v="406.79"/>
    <n v="0.03"/>
    <s v="COD"/>
    <x v="1"/>
    <x v="14"/>
    <x v="2"/>
    <s v="Ceramic Kitchen Bowl Set - Hamilton Group"/>
    <x v="3"/>
    <n v="298.86"/>
    <x v="0"/>
    <x v="1"/>
    <n v="406.76000000000005"/>
  </r>
  <r>
    <s v="SALE275"/>
    <d v="2025-10-02T00:00:00"/>
    <s v="CUST1372"/>
    <s v="PROD54"/>
    <s v="STORE14"/>
    <n v="1"/>
    <n v="606.01"/>
    <n v="0.04"/>
    <s v="PayPal"/>
    <x v="0"/>
    <x v="31"/>
    <x v="3"/>
    <s v="Sports Stopwatch Pro - Thompson-French"/>
    <x v="0"/>
    <n v="434.84"/>
    <x v="2"/>
    <x v="0"/>
    <n v="605.97"/>
  </r>
  <r>
    <s v="SALE276"/>
    <d v="2024-07-10T00:00:00"/>
    <s v="CUST1349"/>
    <s v="PROD17"/>
    <s v="STORE5"/>
    <n v="4"/>
    <n v="322.58"/>
    <n v="0.06"/>
    <s v="Credit Card"/>
    <x v="0"/>
    <x v="41"/>
    <x v="3"/>
    <s v="Soccer Training Cone Set - Ford, Murphy And Wilson"/>
    <x v="0"/>
    <n v="144.53"/>
    <x v="0"/>
    <x v="0"/>
    <n v="1290.08"/>
  </r>
  <r>
    <s v="SALE277"/>
    <d v="2025-01-04T00:00:00"/>
    <s v="CUST1484"/>
    <s v="PROD77"/>
    <s v="STORE18"/>
    <n v="4"/>
    <n v="463.17"/>
    <n v="0.06"/>
    <s v="PayPal"/>
    <x v="0"/>
    <x v="43"/>
    <x v="3"/>
    <s v="Wifi Mesh Router - White, Reeves And Woods"/>
    <x v="1"/>
    <n v="480.9"/>
    <x v="3"/>
    <x v="1"/>
    <n v="1852.44"/>
  </r>
  <r>
    <s v="SALE278"/>
    <d v="2025-05-21T00:00:00"/>
    <s v="CUST1316"/>
    <s v="PROD25"/>
    <s v="STORE7"/>
    <n v="4"/>
    <n v="285.82"/>
    <n v="0.18"/>
    <s v="PayPal"/>
    <x v="0"/>
    <x v="33"/>
    <x v="0"/>
    <s v="Women'S Scarf Set - Brown And Sons"/>
    <x v="4"/>
    <n v="174.02"/>
    <x v="2"/>
    <x v="2"/>
    <n v="1142.56"/>
  </r>
  <r>
    <s v="SALE279"/>
    <d v="2025-07-30T00:00:00"/>
    <s v="CUST1326"/>
    <s v="PROD37"/>
    <s v="STORE11"/>
    <n v="3"/>
    <n v="995.38"/>
    <n v="0.1"/>
    <s v="PayPal"/>
    <x v="1"/>
    <x v="5"/>
    <x v="0"/>
    <s v="Men'S Casual Sneakers - Hogan-Lee"/>
    <x v="4"/>
    <n v="353.47"/>
    <x v="2"/>
    <x v="2"/>
    <n v="2985.84"/>
  </r>
  <r>
    <s v="SALE280"/>
    <d v="2025-04-10T00:00:00"/>
    <s v="CUST1119"/>
    <s v="PROD62"/>
    <s v="STORE8"/>
    <n v="1"/>
    <n v="329.31"/>
    <n v="0.09"/>
    <s v="Credit Card"/>
    <x v="0"/>
    <x v="3"/>
    <x v="3"/>
    <s v="Laptop Cooling Pad - Murray, Gould And Ware"/>
    <x v="1"/>
    <n v="86.42"/>
    <x v="1"/>
    <x v="2"/>
    <n v="329.22"/>
  </r>
  <r>
    <s v="SALE281"/>
    <d v="2024-07-02T00:00:00"/>
    <s v="CUST1490"/>
    <s v="PROD47"/>
    <s v="STORE16"/>
    <n v="3"/>
    <n v="64.2"/>
    <n v="0.08"/>
    <s v="COD"/>
    <x v="0"/>
    <x v="33"/>
    <x v="1"/>
    <s v="Makeup Brush Set - Cook Inc"/>
    <x v="2"/>
    <n v="255.04901960784306"/>
    <x v="1"/>
    <x v="1"/>
    <n v="192.36"/>
  </r>
  <r>
    <s v="SALE282"/>
    <d v="2025-06-21T00:00:00"/>
    <s v="CUST1262"/>
    <s v="PROD11"/>
    <s v="STORE13"/>
    <n v="3"/>
    <n v="697.13"/>
    <n v="0.25"/>
    <s v="COD"/>
    <x v="1"/>
    <x v="10"/>
    <x v="2"/>
    <s v="Hd Smart Tv Stick - Gibson, Hobbs And Weaver"/>
    <x v="1"/>
    <n v="449.4"/>
    <x v="3"/>
    <x v="1"/>
    <n v="2090.64"/>
  </r>
  <r>
    <s v="SALE283"/>
    <d v="2024-12-13T00:00:00"/>
    <s v="CUST1022"/>
    <s v="PROD9"/>
    <s v="STORE5"/>
    <n v="3"/>
    <n v="134.30000000000001"/>
    <n v="0.14000000000000001"/>
    <s v="Credit Card"/>
    <x v="1"/>
    <x v="22"/>
    <x v="2"/>
    <s v="Adjustable Dumbbell Set - Hill Plc"/>
    <x v="0"/>
    <n v="495.72"/>
    <x v="0"/>
    <x v="0"/>
    <n v="402.48000000000008"/>
  </r>
  <r>
    <s v="SALE284"/>
    <d v="2024-08-14T00:00:00"/>
    <s v="CUST1260"/>
    <s v="PROD84"/>
    <s v="STORE13"/>
    <n v="1"/>
    <n v="520.92999999999995"/>
    <n v="0.15"/>
    <s v="Credit Card"/>
    <x v="1"/>
    <x v="28"/>
    <x v="1"/>
    <s v="Wooden Bookshelf - Collins-Stephenson"/>
    <x v="3"/>
    <n v="388.46"/>
    <x v="3"/>
    <x v="1"/>
    <n v="520.78"/>
  </r>
  <r>
    <s v="SALE285"/>
    <d v="2025-03-05T00:00:00"/>
    <s v="CUST1225"/>
    <s v="PROD19"/>
    <s v="STORE7"/>
    <n v="2"/>
    <n v="350.12"/>
    <n v="0.21"/>
    <s v="COD"/>
    <x v="1"/>
    <x v="39"/>
    <x v="1"/>
    <s v="Knee Support Brace - May-Reese"/>
    <x v="0"/>
    <n v="21.34"/>
    <x v="2"/>
    <x v="2"/>
    <n v="699.82"/>
  </r>
  <r>
    <s v="SALE286"/>
    <d v="2024-01-17T00:00:00"/>
    <s v="CUST1466"/>
    <s v="PROD48"/>
    <s v="STORE19"/>
    <n v="3"/>
    <n v="807.95"/>
    <n v="0.1"/>
    <s v="PayPal"/>
    <x v="0"/>
    <x v="46"/>
    <x v="2"/>
    <s v="Car Dashboard Phone Holder - Byrd, Stewart And Valdez"/>
    <x v="1"/>
    <n v="177.98"/>
    <x v="3"/>
    <x v="2"/>
    <n v="2423.5500000000002"/>
  </r>
  <r>
    <s v="SALE287"/>
    <d v="2025-08-20T00:00:00"/>
    <s v="CUST1335"/>
    <s v="PROD38"/>
    <s v="STORE6"/>
    <n v="4"/>
    <n v="766.03"/>
    <n v="0.28999999999999998"/>
    <s v="PayPal"/>
    <x v="0"/>
    <x v="29"/>
    <x v="1"/>
    <s v="Sports Water Hydration Pack - Sims-Smith"/>
    <x v="0"/>
    <n v="135.61000000000001"/>
    <x v="3"/>
    <x v="2"/>
    <n v="3062.96"/>
  </r>
  <r>
    <s v="SALE288"/>
    <d v="2024-04-04T00:00:00"/>
    <s v="CUST1182"/>
    <s v="PROD57"/>
    <s v="STORE8"/>
    <n v="3"/>
    <n v="545.1"/>
    <n v="0.08"/>
    <s v="COD"/>
    <x v="1"/>
    <x v="15"/>
    <x v="2"/>
    <s v="Foam Roller - Atkinson, Camacho And Oliver"/>
    <x v="0"/>
    <n v="30.62"/>
    <x v="1"/>
    <x v="2"/>
    <n v="1635.06"/>
  </r>
  <r>
    <s v="SALE289"/>
    <d v="2024-05-26T00:00:00"/>
    <s v="CUST1263"/>
    <s v="PROD65"/>
    <s v="STORE7"/>
    <n v="1"/>
    <n v="203.61"/>
    <n v="0.24"/>
    <s v="COD"/>
    <x v="0"/>
    <x v="38"/>
    <x v="3"/>
    <s v="Adjustable Dumbbells 20Kg - Montgomery, Benton And Miller"/>
    <x v="0"/>
    <n v="240.63"/>
    <x v="2"/>
    <x v="2"/>
    <n v="203.37"/>
  </r>
  <r>
    <s v="SALE290"/>
    <d v="2025-07-18T00:00:00"/>
    <s v="CUST1417"/>
    <s v="PROD97"/>
    <s v="STORE15"/>
    <n v="4"/>
    <n v="493.8"/>
    <n v="0.24"/>
    <s v="COD"/>
    <x v="1"/>
    <x v="29"/>
    <x v="3"/>
    <s v="Cricket Bat - Khan Llc"/>
    <x v="0"/>
    <n v="245.98"/>
    <x v="0"/>
    <x v="1"/>
    <n v="1974.24"/>
  </r>
  <r>
    <s v="SALE291"/>
    <d v="2024-07-12T00:00:00"/>
    <s v="CUST1017"/>
    <s v="PROD41"/>
    <s v="STORE17"/>
    <n v="1"/>
    <n v="640.54999999999995"/>
    <n v="0.25"/>
    <s v="Credit Card"/>
    <x v="1"/>
    <x v="36"/>
    <x v="1"/>
    <s v="Yoga Exercise Mat - Carroll, Long And Mendoza"/>
    <x v="0"/>
    <n v="313.26"/>
    <x v="0"/>
    <x v="1"/>
    <n v="640.29999999999995"/>
  </r>
  <r>
    <s v="SALE292"/>
    <d v="2024-09-10T00:00:00"/>
    <s v="CUST1119"/>
    <s v="PROD74"/>
    <s v="STORE4"/>
    <n v="1"/>
    <n v="702.53"/>
    <n v="0.3"/>
    <s v="Credit Card"/>
    <x v="0"/>
    <x v="3"/>
    <x v="3"/>
    <s v="Bluetooth Car Audio System - Bruce-Bowen"/>
    <x v="1"/>
    <n v="403.71"/>
    <x v="2"/>
    <x v="2"/>
    <n v="702.23"/>
  </r>
  <r>
    <s v="SALE293"/>
    <d v="2025-06-18T00:00:00"/>
    <s v="CUST1224"/>
    <s v="PROD39"/>
    <s v="STORE8"/>
    <n v="4"/>
    <n v="139.94"/>
    <n v="0.24"/>
    <s v="Credit Card"/>
    <x v="0"/>
    <x v="6"/>
    <x v="2"/>
    <s v="Portable Power Bank - Cummings And Sons"/>
    <x v="1"/>
    <n v="326.06"/>
    <x v="1"/>
    <x v="2"/>
    <n v="558.79999999999995"/>
  </r>
  <r>
    <s v="SALE294"/>
    <d v="2024-12-28T00:00:00"/>
    <s v="CUST1277"/>
    <s v="PROD19"/>
    <s v="STORE8"/>
    <n v="2"/>
    <n v="230.85"/>
    <n v="0.18"/>
    <s v="Credit Card"/>
    <x v="1"/>
    <x v="44"/>
    <x v="1"/>
    <s v="Knee Support Brace - May-Reese"/>
    <x v="0"/>
    <n v="21.34"/>
    <x v="1"/>
    <x v="2"/>
    <n v="461.34"/>
  </r>
  <r>
    <s v="SALE295"/>
    <d v="2024-09-21T00:00:00"/>
    <s v="CUST1211"/>
    <s v="PROD85"/>
    <s v="STORE17"/>
    <n v="4"/>
    <n v="626.35"/>
    <n v="0.25"/>
    <s v="COD"/>
    <x v="1"/>
    <x v="37"/>
    <x v="2"/>
    <s v="Women'S Beanie Hat - Richardson-Carrillo"/>
    <x v="4"/>
    <n v="119.57"/>
    <x v="0"/>
    <x v="1"/>
    <n v="2504.4"/>
  </r>
  <r>
    <s v="SALE296"/>
    <d v="2024-05-22T00:00:00"/>
    <s v="CUST1082"/>
    <s v="PROD41"/>
    <s v="STORE14"/>
    <n v="4"/>
    <n v="108.55"/>
    <n v="0.18"/>
    <s v="PayPal"/>
    <x v="0"/>
    <x v="26"/>
    <x v="3"/>
    <s v="Yoga Exercise Mat - Carroll, Long And Mendoza"/>
    <x v="0"/>
    <n v="313.26"/>
    <x v="2"/>
    <x v="0"/>
    <n v="433.47999999999996"/>
  </r>
  <r>
    <s v="SALE297"/>
    <d v="2025-08-02T00:00:00"/>
    <s v="CUST1191"/>
    <s v="PROD17"/>
    <s v="STORE1"/>
    <n v="4"/>
    <n v="353.67"/>
    <n v="0.03"/>
    <s v="COD"/>
    <x v="1"/>
    <x v="31"/>
    <x v="3"/>
    <s v="Soccer Training Cone Set - Ford, Murphy And Wilson"/>
    <x v="0"/>
    <n v="144.53"/>
    <x v="0"/>
    <x v="1"/>
    <n v="1414.5600000000002"/>
  </r>
  <r>
    <s v="SALE298"/>
    <d v="2024-10-18T00:00:00"/>
    <s v="CUST1065"/>
    <s v="PROD90"/>
    <s v="STORE1"/>
    <n v="4"/>
    <n v="61.98"/>
    <n v="0.16"/>
    <s v="Credit Card"/>
    <x v="1"/>
    <x v="8"/>
    <x v="2"/>
    <s v="Gaming Mouse Pad Xl - Sharp, Taylor And Rodriguez"/>
    <x v="1"/>
    <n v="340.14"/>
    <x v="0"/>
    <x v="1"/>
    <n v="247.28"/>
  </r>
  <r>
    <s v="SALE299"/>
    <d v="2024-02-26T00:00:00"/>
    <s v="CUST1216"/>
    <s v="PROD22"/>
    <s v="STORE19"/>
    <n v="2"/>
    <n v="873.1"/>
    <n v="0.12"/>
    <s v="PayPal"/>
    <x v="0"/>
    <x v="24"/>
    <x v="1"/>
    <s v="Carbon Fiber Tennis Racket - Flores, Pineda And Rodriguez"/>
    <x v="0"/>
    <n v="484.62"/>
    <x v="3"/>
    <x v="2"/>
    <n v="1745.96"/>
  </r>
  <r>
    <s v="SALE300"/>
    <d v="2023-12-08T00:00:00"/>
    <s v="CUST1198"/>
    <s v="PROD12"/>
    <s v="STORE15"/>
    <n v="4"/>
    <n v="889.47"/>
    <n v="0.24"/>
    <s v="Credit Card"/>
    <x v="0"/>
    <x v="1"/>
    <x v="3"/>
    <s v="Hair Strengthening Shampoo - Rice Llc"/>
    <x v="2"/>
    <n v="115.82"/>
    <x v="0"/>
    <x v="1"/>
    <n v="3556.92"/>
  </r>
  <r>
    <s v="SALE301"/>
    <d v="2024-10-31T00:00:00"/>
    <s v="CUST1028"/>
    <s v="PROD74"/>
    <s v="STORE11"/>
    <n v="3"/>
    <n v="803.76"/>
    <n v="0.19"/>
    <s v="COD"/>
    <x v="1"/>
    <x v="19"/>
    <x v="1"/>
    <s v="Bluetooth Car Audio System - Bruce-Bowen"/>
    <x v="1"/>
    <n v="403.71"/>
    <x v="2"/>
    <x v="2"/>
    <n v="2410.71"/>
  </r>
  <r>
    <s v="SALE302"/>
    <d v="2024-11-28T00:00:00"/>
    <s v="CUST1468"/>
    <s v="PROD75"/>
    <s v="STORE5"/>
    <n v="2"/>
    <n v="865.14"/>
    <n v="0.2"/>
    <s v="PayPal"/>
    <x v="0"/>
    <x v="1"/>
    <x v="3"/>
    <s v="Women'S Ankle Boots - Poole Plc"/>
    <x v="4"/>
    <n v="158.13999999999999"/>
    <x v="0"/>
    <x v="0"/>
    <n v="1729.8799999999999"/>
  </r>
  <r>
    <s v="SALE303"/>
    <d v="2025-06-05T00:00:00"/>
    <s v="CUST1097"/>
    <s v="PROD31"/>
    <s v="STORE9"/>
    <n v="2"/>
    <n v="916.49"/>
    <n v="0.3"/>
    <s v="COD"/>
    <x v="0"/>
    <x v="34"/>
    <x v="2"/>
    <s v="Basketball - Nolan-Snow"/>
    <x v="0"/>
    <n v="204.39"/>
    <x v="2"/>
    <x v="1"/>
    <n v="1832.38"/>
  </r>
  <r>
    <s v="SALE304"/>
    <d v="2024-11-19T00:00:00"/>
    <s v="CUST1042"/>
    <s v="PROD51"/>
    <s v="STORE12"/>
    <n v="3"/>
    <n v="781.39"/>
    <n v="0.12"/>
    <s v="Credit Card"/>
    <x v="0"/>
    <x v="40"/>
    <x v="1"/>
    <s v="Hdmi Cable – 2M - Bautista, Green And Hale"/>
    <x v="1"/>
    <n v="88.49"/>
    <x v="0"/>
    <x v="2"/>
    <n v="2343.81"/>
  </r>
  <r>
    <s v="SALE305"/>
    <d v="2024-05-19T00:00:00"/>
    <s v="CUST1211"/>
    <s v="PROD38"/>
    <s v="STORE12"/>
    <n v="4"/>
    <n v="619.74"/>
    <n v="0.13"/>
    <s v="COD"/>
    <x v="1"/>
    <x v="37"/>
    <x v="2"/>
    <s v="Sports Water Hydration Pack - Sims-Smith"/>
    <x v="0"/>
    <n v="135.61000000000001"/>
    <x v="0"/>
    <x v="2"/>
    <n v="2478.44"/>
  </r>
  <r>
    <s v="SALE306"/>
    <d v="2025-01-22T00:00:00"/>
    <s v="CUST1481"/>
    <s v="PROD62"/>
    <s v="STORE14"/>
    <n v="2"/>
    <n v="837.76"/>
    <n v="0.03"/>
    <s v="COD"/>
    <x v="0"/>
    <x v="36"/>
    <x v="0"/>
    <s v="Laptop Cooling Pad - Murray, Gould And Ware"/>
    <x v="1"/>
    <n v="86.42"/>
    <x v="2"/>
    <x v="0"/>
    <n v="1675.46"/>
  </r>
  <r>
    <s v="SALE307"/>
    <d v="2025-07-04T00:00:00"/>
    <s v="CUST1451"/>
    <s v="PROD90"/>
    <s v="STORE1"/>
    <n v="3"/>
    <n v="135.94"/>
    <n v="0.2"/>
    <s v="Credit Card"/>
    <x v="0"/>
    <x v="23"/>
    <x v="0"/>
    <s v="Gaming Mouse Pad Xl - Sharp, Taylor And Rodriguez"/>
    <x v="1"/>
    <n v="340.14"/>
    <x v="0"/>
    <x v="1"/>
    <n v="407.22"/>
  </r>
  <r>
    <s v="SALE308"/>
    <d v="2025-05-19T00:00:00"/>
    <s v="CUST1479"/>
    <s v="PROD74"/>
    <s v="STORE1"/>
    <n v="4"/>
    <n v="396.53"/>
    <n v="7.0000000000000007E-2"/>
    <s v="PayPal"/>
    <x v="0"/>
    <x v="35"/>
    <x v="3"/>
    <s v="Bluetooth Car Audio System - Bruce-Bowen"/>
    <x v="1"/>
    <n v="403.71"/>
    <x v="0"/>
    <x v="1"/>
    <n v="1585.84"/>
  </r>
  <r>
    <s v="SALE309"/>
    <d v="2023-12-04T00:00:00"/>
    <s v="CUST1220"/>
    <s v="PROD29"/>
    <s v="STORE14"/>
    <n v="2"/>
    <n v="722.45"/>
    <n v="0.22"/>
    <s v="PayPal"/>
    <x v="1"/>
    <x v="43"/>
    <x v="3"/>
    <s v="Fabric Sofa Throw Blanket - Hoffman Group"/>
    <x v="3"/>
    <n v="218.48"/>
    <x v="2"/>
    <x v="0"/>
    <n v="1444.46"/>
  </r>
  <r>
    <s v="SALE310"/>
    <d v="2024-07-31T00:00:00"/>
    <s v="CUST1047"/>
    <s v="PROD64"/>
    <s v="STORE2"/>
    <n v="2"/>
    <n v="138.41"/>
    <n v="0.02"/>
    <s v="Credit Card"/>
    <x v="1"/>
    <x v="8"/>
    <x v="2"/>
    <s v="Matte Lipstick Set - Zhang Inc"/>
    <x v="2"/>
    <n v="299.11"/>
    <x v="2"/>
    <x v="0"/>
    <n v="276.77999999999997"/>
  </r>
  <r>
    <s v="SALE311"/>
    <d v="2025-01-22T00:00:00"/>
    <s v="CUST1126"/>
    <s v="PROD80"/>
    <s v="STORE2"/>
    <n v="4"/>
    <n v="741.51"/>
    <n v="0.09"/>
    <s v="COD"/>
    <x v="1"/>
    <x v="28"/>
    <x v="0"/>
    <s v="Wall-Mounted Spice Rack - Allison Ltd"/>
    <x v="3"/>
    <n v="143.43"/>
    <x v="2"/>
    <x v="0"/>
    <n v="2965.68"/>
  </r>
  <r>
    <s v="SALE312"/>
    <d v="2024-11-15T00:00:00"/>
    <s v="CUST1023"/>
    <s v="PROD80"/>
    <s v="STORE17"/>
    <n v="2"/>
    <n v="588.9"/>
    <n v="0.19"/>
    <s v="PayPal"/>
    <x v="1"/>
    <x v="47"/>
    <x v="2"/>
    <s v="Wall-Mounted Spice Rack - Allison Ltd"/>
    <x v="3"/>
    <n v="143.43"/>
    <x v="0"/>
    <x v="1"/>
    <n v="1177.4199999999998"/>
  </r>
  <r>
    <s v="SALE313"/>
    <d v="2024-04-07T00:00:00"/>
    <s v="CUST1304"/>
    <s v="PROD50"/>
    <s v="STORE2"/>
    <n v="1"/>
    <n v="88.92"/>
    <n v="0.19"/>
    <s v="PayPal"/>
    <x v="0"/>
    <x v="32"/>
    <x v="2"/>
    <s v="Boxing Hand Wraps - Smith-King"/>
    <x v="0"/>
    <n v="190.29"/>
    <x v="2"/>
    <x v="0"/>
    <n v="88.73"/>
  </r>
  <r>
    <s v="SALE314"/>
    <d v="2024-02-17T00:00:00"/>
    <s v="CUST1118"/>
    <s v="PROD61"/>
    <s v="STORE16"/>
    <n v="1"/>
    <n v="299.13"/>
    <n v="0.1"/>
    <s v="COD"/>
    <x v="0"/>
    <x v="48"/>
    <x v="1"/>
    <s v="Tennis Ball 3-Pack - Lopez Llc"/>
    <x v="0"/>
    <n v="103.45"/>
    <x v="1"/>
    <x v="1"/>
    <n v="299.02999999999997"/>
  </r>
  <r>
    <s v="SALE315"/>
    <d v="2024-05-21T00:00:00"/>
    <s v="CUST1116"/>
    <s v="PROD77"/>
    <s v="STORE3"/>
    <n v="2"/>
    <n v="548.29999999999995"/>
    <n v="0.23"/>
    <s v="Credit Card"/>
    <x v="1"/>
    <x v="5"/>
    <x v="1"/>
    <s v="Wifi Mesh Router - White, Reeves And Woods"/>
    <x v="1"/>
    <n v="480.9"/>
    <x v="0"/>
    <x v="0"/>
    <n v="1096.1399999999999"/>
  </r>
  <r>
    <s v="SALE316"/>
    <d v="2024-05-23T00:00:00"/>
    <s v="CUST1262"/>
    <s v="PROD54"/>
    <s v="STORE10"/>
    <n v="3"/>
    <n v="977.55"/>
    <n v="0.02"/>
    <s v="PayPal"/>
    <x v="1"/>
    <x v="10"/>
    <x v="2"/>
    <s v="Sports Stopwatch Pro - Thompson-French"/>
    <x v="0"/>
    <n v="434.84"/>
    <x v="3"/>
    <x v="2"/>
    <n v="2932.59"/>
  </r>
  <r>
    <s v="SALE317"/>
    <d v="2025-06-15T00:00:00"/>
    <s v="CUST1346"/>
    <s v="PROD44"/>
    <s v="STORE18"/>
    <n v="1"/>
    <n v="459.42"/>
    <n v="0.28000000000000003"/>
    <s v="COD"/>
    <x v="1"/>
    <x v="3"/>
    <x v="1"/>
    <s v="Adjustable Jump Rope - Cox Inc"/>
    <x v="0"/>
    <n v="167.12"/>
    <x v="3"/>
    <x v="1"/>
    <n v="459.14000000000004"/>
  </r>
  <r>
    <s v="SALE318"/>
    <d v="2025-01-06T00:00:00"/>
    <s v="CUST1088"/>
    <s v="PROD2"/>
    <s v="STORE4"/>
    <n v="2"/>
    <n v="123.19"/>
    <n v="0.19"/>
    <s v="Credit Card"/>
    <x v="0"/>
    <x v="13"/>
    <x v="2"/>
    <s v="Women'S Casual Hoodie - Sims Inc"/>
    <x v="4"/>
    <n v="254.62086956521742"/>
    <x v="2"/>
    <x v="2"/>
    <n v="246"/>
  </r>
  <r>
    <s v="SALE319"/>
    <d v="2025-08-10T00:00:00"/>
    <s v="CUST1358"/>
    <s v="PROD55"/>
    <s v="STORE19"/>
    <n v="1"/>
    <n v="222.95"/>
    <n v="0.02"/>
    <s v="PayPal"/>
    <x v="1"/>
    <x v="25"/>
    <x v="0"/>
    <s v="Ceramic Plant Pot - Hatfield, Baird And Torres"/>
    <x v="3"/>
    <n v="81.75"/>
    <x v="3"/>
    <x v="2"/>
    <n v="222.92999999999998"/>
  </r>
  <r>
    <s v="SALE320"/>
    <d v="2025-07-02T00:00:00"/>
    <s v="CUST1332"/>
    <s v="PROD32"/>
    <s v="STORE4"/>
    <n v="3"/>
    <n v="601.92999999999995"/>
    <n v="0.14000000000000001"/>
    <s v="Credit Card"/>
    <x v="1"/>
    <x v="22"/>
    <x v="3"/>
    <s v="Vitamin C Face Serum - Griffin Ltd"/>
    <x v="2"/>
    <n v="283.83"/>
    <x v="2"/>
    <x v="2"/>
    <n v="1805.37"/>
  </r>
  <r>
    <s v="SALE321"/>
    <d v="2024-03-29T00:00:00"/>
    <s v="CUST1297"/>
    <s v="PROD69"/>
    <s v="STORE2"/>
    <n v="1"/>
    <n v="564.1"/>
    <n v="0.03"/>
    <s v="Credit Card"/>
    <x v="1"/>
    <x v="6"/>
    <x v="2"/>
    <s v="Men'S Sports Shorts - Fitzpatrick Ltd"/>
    <x v="4"/>
    <n v="218.22"/>
    <x v="2"/>
    <x v="0"/>
    <n v="564.07000000000005"/>
  </r>
  <r>
    <s v="SALE322"/>
    <d v="2025-01-15T00:00:00"/>
    <s v="CUST1095"/>
    <s v="PROD80"/>
    <s v="STORE5"/>
    <n v="1"/>
    <n v="516.62"/>
    <n v="0.18"/>
    <s v="Credit Card"/>
    <x v="1"/>
    <x v="14"/>
    <x v="1"/>
    <s v="Wall-Mounted Spice Rack - Allison Ltd"/>
    <x v="3"/>
    <n v="143.43"/>
    <x v="0"/>
    <x v="0"/>
    <n v="516.44000000000005"/>
  </r>
  <r>
    <s v="SALE323"/>
    <d v="2024-07-24T00:00:00"/>
    <s v="CUST1438"/>
    <s v="PROD63"/>
    <s v="STORE12"/>
    <n v="1"/>
    <n v="934.75"/>
    <n v="0.11"/>
    <s v="PayPal"/>
    <x v="1"/>
    <x v="3"/>
    <x v="1"/>
    <s v="Organic Sunscreen Lotion - Anderson-Riley"/>
    <x v="2"/>
    <n v="266.86"/>
    <x v="0"/>
    <x v="2"/>
    <n v="934.64"/>
  </r>
  <r>
    <s v="SALE324"/>
    <d v="2024-04-25T00:00:00"/>
    <s v="CUST1234"/>
    <s v="PROD98"/>
    <s v="STORE7"/>
    <n v="4"/>
    <n v="548.44000000000005"/>
    <n v="0.05"/>
    <s v="PayPal"/>
    <x v="1"/>
    <x v="32"/>
    <x v="0"/>
    <s v="Portable Bluetooth Speaker - Flores-King"/>
    <x v="1"/>
    <n v="431.67"/>
    <x v="2"/>
    <x v="2"/>
    <n v="2193.5600000000004"/>
  </r>
  <r>
    <s v="SALE325"/>
    <d v="2025-04-17T00:00:00"/>
    <s v="CUST1013"/>
    <s v="PROD37"/>
    <s v="STORE3"/>
    <n v="3"/>
    <n v="361.11"/>
    <n v="0.06"/>
    <s v="Credit Card"/>
    <x v="1"/>
    <x v="10"/>
    <x v="2"/>
    <s v="Men'S Casual Sneakers - Hogan-Lee"/>
    <x v="4"/>
    <n v="353.47"/>
    <x v="0"/>
    <x v="0"/>
    <n v="1083.1500000000001"/>
  </r>
  <r>
    <s v="SALE326"/>
    <d v="2025-09-24T00:00:00"/>
    <s v="CUST1187"/>
    <s v="PROD13"/>
    <s v="STORE1"/>
    <n v="2"/>
    <n v="610.37"/>
    <n v="0.1"/>
    <s v="PayPal"/>
    <x v="1"/>
    <x v="4"/>
    <x v="1"/>
    <s v="Usb-C Fast Charger - Dawson-Perkins"/>
    <x v="1"/>
    <n v="242.23"/>
    <x v="0"/>
    <x v="1"/>
    <n v="1220.54"/>
  </r>
  <r>
    <s v="SALE327"/>
    <d v="2023-11-10T00:00:00"/>
    <s v="CUST1334"/>
    <s v="PROD51"/>
    <s v="STORE16"/>
    <n v="1"/>
    <n v="272.2"/>
    <n v="0.3"/>
    <s v="Credit Card"/>
    <x v="1"/>
    <x v="40"/>
    <x v="2"/>
    <s v="Hdmi Cable – 2M - Bautista, Green And Hale"/>
    <x v="1"/>
    <n v="88.49"/>
    <x v="1"/>
    <x v="1"/>
    <n v="271.89999999999998"/>
  </r>
  <r>
    <s v="SALE328"/>
    <d v="2024-02-27T00:00:00"/>
    <s v="CUST1438"/>
    <s v="PROD77"/>
    <s v="STORE6"/>
    <n v="3"/>
    <n v="573.1"/>
    <n v="0.16"/>
    <s v="COD"/>
    <x v="1"/>
    <x v="3"/>
    <x v="1"/>
    <s v="Wifi Mesh Router - White, Reeves And Woods"/>
    <x v="1"/>
    <n v="480.9"/>
    <x v="3"/>
    <x v="2"/>
    <n v="1718.8200000000002"/>
  </r>
  <r>
    <s v="SALE329"/>
    <d v="2025-04-09T00:00:00"/>
    <s v="CUST1322"/>
    <s v="PROD6"/>
    <s v="STORE0"/>
    <n v="4"/>
    <n v="24.72"/>
    <n v="0.28000000000000003"/>
    <s v="Credit Card"/>
    <x v="0"/>
    <x v="0"/>
    <x v="3"/>
    <s v="Herbal Face Moisturizer - Davidson Plc"/>
    <x v="2"/>
    <n v="312.8"/>
    <x v="3"/>
    <x v="1"/>
    <n v="97.759999999999991"/>
  </r>
  <r>
    <s v="SALE330"/>
    <d v="2024-07-05T00:00:00"/>
    <s v="CUST1251"/>
    <s v="PROD9"/>
    <s v="STORE9"/>
    <n v="3"/>
    <n v="268.89"/>
    <n v="7.0000000000000007E-2"/>
    <s v="COD"/>
    <x v="0"/>
    <x v="4"/>
    <x v="2"/>
    <s v="Adjustable Dumbbell Set - Hill Plc"/>
    <x v="0"/>
    <n v="495.72"/>
    <x v="2"/>
    <x v="1"/>
    <n v="806.46"/>
  </r>
  <r>
    <s v="SALE331"/>
    <d v="2025-08-21T00:00:00"/>
    <s v="CUST1257"/>
    <s v="PROD68"/>
    <s v="STORE9"/>
    <n v="1"/>
    <n v="78.5"/>
    <n v="0.17"/>
    <s v="COD"/>
    <x v="0"/>
    <x v="43"/>
    <x v="2"/>
    <s v="Wooden Nightstand - Wolfe, Ross And Hester"/>
    <x v="3"/>
    <n v="243.7"/>
    <x v="2"/>
    <x v="1"/>
    <n v="78.33"/>
  </r>
  <r>
    <s v="SALE332"/>
    <d v="2025-06-07T00:00:00"/>
    <s v="CUST1133"/>
    <s v="PROD36"/>
    <s v="STORE4"/>
    <n v="3"/>
    <n v="399.42"/>
    <n v="0.02"/>
    <s v="Credit Card"/>
    <x v="1"/>
    <x v="26"/>
    <x v="3"/>
    <s v="Women'S Summer Dress - Smith-Mills"/>
    <x v="4"/>
    <n v="223.43"/>
    <x v="2"/>
    <x v="2"/>
    <n v="1198.2"/>
  </r>
  <r>
    <s v="SALE333"/>
    <d v="2025-08-22T00:00:00"/>
    <s v="CUST1085"/>
    <s v="PROD31"/>
    <s v="STORE19"/>
    <n v="3"/>
    <n v="455.82"/>
    <n v="0.01"/>
    <s v="PayPal"/>
    <x v="0"/>
    <x v="2"/>
    <x v="2"/>
    <s v="Basketball - Nolan-Snow"/>
    <x v="0"/>
    <n v="204.39"/>
    <x v="3"/>
    <x v="2"/>
    <n v="1367.43"/>
  </r>
  <r>
    <s v="SALE334"/>
    <d v="2024-11-13T00:00:00"/>
    <s v="CUST1349"/>
    <s v="PROD50"/>
    <s v="STORE5"/>
    <n v="2"/>
    <n v="613.23"/>
    <n v="0.15"/>
    <s v="PayPal"/>
    <x v="0"/>
    <x v="41"/>
    <x v="3"/>
    <s v="Boxing Hand Wraps - Smith-King"/>
    <x v="0"/>
    <n v="190.29"/>
    <x v="0"/>
    <x v="0"/>
    <n v="1226.1600000000001"/>
  </r>
  <r>
    <s v="SALE335"/>
    <d v="2024-01-18T00:00:00"/>
    <s v="CUST1458"/>
    <s v="PROD2"/>
    <s v="STORE14"/>
    <n v="4"/>
    <n v="971.9"/>
    <n v="0.28000000000000003"/>
    <s v="PayPal"/>
    <x v="1"/>
    <x v="2"/>
    <x v="2"/>
    <s v="Women'S Casual Hoodie - Sims Inc"/>
    <x v="4"/>
    <n v="254.62086956521742"/>
    <x v="2"/>
    <x v="0"/>
    <n v="3886.48"/>
  </r>
  <r>
    <s v="SALE336"/>
    <d v="2024-08-15T00:00:00"/>
    <s v="CUST1034"/>
    <s v="PROD28"/>
    <s v="STORE7"/>
    <n v="3"/>
    <n v="884.92"/>
    <n v="0.06"/>
    <s v="PayPal"/>
    <x v="1"/>
    <x v="33"/>
    <x v="1"/>
    <s v="Sports Stopwatch Timer - Burns-Hansen"/>
    <x v="0"/>
    <n v="38.76"/>
    <x v="2"/>
    <x v="2"/>
    <n v="2654.58"/>
  </r>
  <r>
    <s v="SALE337"/>
    <d v="2025-09-21T00:00:00"/>
    <s v="CUST1087"/>
    <s v="PROD8"/>
    <s v="STORE9"/>
    <n v="1"/>
    <n v="125"/>
    <n v="0.23"/>
    <s v="Credit Card"/>
    <x v="1"/>
    <x v="42"/>
    <x v="3"/>
    <s v="Wireless Bluetooth Earbuds - Perez-Johnston"/>
    <x v="1"/>
    <n v="439.07"/>
    <x v="2"/>
    <x v="1"/>
    <n v="124.77"/>
  </r>
  <r>
    <s v="SALE338"/>
    <d v="2024-06-22T00:00:00"/>
    <s v="CUST1128"/>
    <s v="PROD10"/>
    <s v="STORE15"/>
    <n v="2"/>
    <n v="188.25"/>
    <n v="0.08"/>
    <s v="PayPal"/>
    <x v="0"/>
    <x v="13"/>
    <x v="2"/>
    <s v="Ceramic Kitchen Bowl Set - Hamilton Group"/>
    <x v="3"/>
    <n v="298.86"/>
    <x v="0"/>
    <x v="1"/>
    <n v="376.34"/>
  </r>
  <r>
    <s v="SALE339"/>
    <d v="2024-01-12T00:00:00"/>
    <s v="CUST1222"/>
    <s v="PROD46"/>
    <s v="STORE6"/>
    <n v="4"/>
    <n v="344.12"/>
    <n v="0.25"/>
    <s v="PayPal"/>
    <x v="0"/>
    <x v="23"/>
    <x v="1"/>
    <s v="Men'S Winter Jacket - Kelly, Smith And Perez"/>
    <x v="4"/>
    <n v="167.34"/>
    <x v="3"/>
    <x v="2"/>
    <n v="1375.48"/>
  </r>
  <r>
    <s v="SALE340"/>
    <d v="2023-10-19T00:00:00"/>
    <s v="CUST1047"/>
    <s v="PROD17"/>
    <s v="STORE19"/>
    <n v="3"/>
    <n v="997.95"/>
    <n v="0.09"/>
    <s v="COD"/>
    <x v="1"/>
    <x v="8"/>
    <x v="2"/>
    <s v="Soccer Training Cone Set - Ford, Murphy And Wilson"/>
    <x v="0"/>
    <n v="144.53"/>
    <x v="3"/>
    <x v="2"/>
    <n v="2993.58"/>
  </r>
  <r>
    <s v="SALE341"/>
    <d v="2025-03-11T00:00:00"/>
    <s v="CUST1150"/>
    <s v="PROD11"/>
    <s v="STORE15"/>
    <n v="3"/>
    <n v="121.64"/>
    <n v="7.0000000000000007E-2"/>
    <s v="PayPal"/>
    <x v="0"/>
    <x v="25"/>
    <x v="0"/>
    <s v="Hd Smart Tv Stick - Gibson, Hobbs And Weaver"/>
    <x v="1"/>
    <n v="449.4"/>
    <x v="0"/>
    <x v="1"/>
    <n v="364.71000000000004"/>
  </r>
  <r>
    <s v="SALE342"/>
    <d v="2024-09-22T00:00:00"/>
    <s v="CUST1221"/>
    <s v="PROD68"/>
    <s v="STORE10"/>
    <n v="2"/>
    <n v="692.72"/>
    <n v="0.13"/>
    <s v="PayPal"/>
    <x v="0"/>
    <x v="36"/>
    <x v="1"/>
    <s v="Wooden Nightstand - Wolfe, Ross And Hester"/>
    <x v="3"/>
    <n v="243.7"/>
    <x v="3"/>
    <x v="2"/>
    <n v="1385.18"/>
  </r>
  <r>
    <s v="SALE343"/>
    <d v="2024-11-27T00:00:00"/>
    <s v="CUST1027"/>
    <s v="PROD24"/>
    <s v="STORE19"/>
    <n v="3"/>
    <n v="794.59"/>
    <n v="0.03"/>
    <s v="PayPal"/>
    <x v="0"/>
    <x v="39"/>
    <x v="4"/>
    <s v="Foldable Camping Chair - Cook Ltd"/>
    <x v="0"/>
    <n v="166.06"/>
    <x v="3"/>
    <x v="2"/>
    <n v="2383.6800000000003"/>
  </r>
  <r>
    <s v="SALE344"/>
    <d v="2023-10-25T00:00:00"/>
    <s v="CUST1014"/>
    <s v="PROD26"/>
    <s v="STORE9"/>
    <n v="1"/>
    <n v="907.95"/>
    <n v="0.1"/>
    <s v="PayPal"/>
    <x v="1"/>
    <x v="48"/>
    <x v="2"/>
    <s v="Wireless Bluetooth Speaker - Reed-Schmidt"/>
    <x v="1"/>
    <n v="322.41000000000003"/>
    <x v="2"/>
    <x v="1"/>
    <n v="907.85"/>
  </r>
  <r>
    <s v="SALE345"/>
    <d v="2025-10-10T00:00:00"/>
    <s v="CUST1287"/>
    <s v="PROD50"/>
    <s v="STORE0"/>
    <n v="2"/>
    <n v="660.81"/>
    <n v="0.18"/>
    <s v="Credit Card"/>
    <x v="1"/>
    <x v="1"/>
    <x v="0"/>
    <s v="Boxing Hand Wraps - Smith-King"/>
    <x v="0"/>
    <n v="190.29"/>
    <x v="3"/>
    <x v="1"/>
    <n v="1321.26"/>
  </r>
  <r>
    <s v="SALE346"/>
    <d v="2025-09-15T00:00:00"/>
    <s v="CUST1061"/>
    <s v="PROD51"/>
    <s v="STORE8"/>
    <n v="3"/>
    <n v="564.94000000000005"/>
    <n v="0.22"/>
    <s v="COD"/>
    <x v="0"/>
    <x v="6"/>
    <x v="2"/>
    <s v="Hdmi Cable – 2M - Bautista, Green And Hale"/>
    <x v="1"/>
    <n v="88.49"/>
    <x v="1"/>
    <x v="2"/>
    <n v="1694.16"/>
  </r>
  <r>
    <s v="SALE347"/>
    <d v="2024-09-06T00:00:00"/>
    <s v="CUST1054"/>
    <s v="PROD15"/>
    <s v="STORE15"/>
    <n v="2"/>
    <n v="280.37"/>
    <n v="0.22"/>
    <s v="COD"/>
    <x v="0"/>
    <x v="15"/>
    <x v="1"/>
    <s v="4K Home Projector - Thomas Llc"/>
    <x v="1"/>
    <n v="465.34"/>
    <x v="0"/>
    <x v="1"/>
    <n v="560.29999999999995"/>
  </r>
  <r>
    <s v="SALE348"/>
    <d v="2024-07-16T00:00:00"/>
    <s v="CUST1372"/>
    <s v="PROD50"/>
    <s v="STORE3"/>
    <n v="2"/>
    <n v="85.23"/>
    <n v="0.13"/>
    <s v="Credit Card"/>
    <x v="0"/>
    <x v="31"/>
    <x v="3"/>
    <s v="Boxing Hand Wraps - Smith-King"/>
    <x v="0"/>
    <n v="190.29"/>
    <x v="0"/>
    <x v="0"/>
    <n v="170.20000000000002"/>
  </r>
  <r>
    <s v="SALE349"/>
    <d v="2025-04-01T00:00:00"/>
    <s v="CUST1312"/>
    <s v="PROD27"/>
    <s v="STORE13"/>
    <n v="2"/>
    <n v="563.29999999999995"/>
    <n v="0.26"/>
    <s v="Credit Card"/>
    <x v="1"/>
    <x v="37"/>
    <x v="2"/>
    <s v="Decorative Floor Vase - Khan, Jones And Paul"/>
    <x v="3"/>
    <n v="250.02157142857135"/>
    <x v="3"/>
    <x v="1"/>
    <n v="1126.08"/>
  </r>
  <r>
    <s v="SALE350"/>
    <d v="2024-01-18T00:00:00"/>
    <s v="CUST1033"/>
    <s v="PROD80"/>
    <s v="STORE18"/>
    <n v="2"/>
    <n v="827.81"/>
    <n v="0.04"/>
    <s v="PayPal"/>
    <x v="0"/>
    <x v="15"/>
    <x v="1"/>
    <s v="Wall-Mounted Spice Rack - Allison Ltd"/>
    <x v="3"/>
    <n v="143.43"/>
    <x v="3"/>
    <x v="1"/>
    <n v="1655.54"/>
  </r>
  <r>
    <s v="SALE351"/>
    <d v="2024-11-25T00:00:00"/>
    <s v="CUST1214"/>
    <s v="PROD12"/>
    <s v="STORE18"/>
    <n v="3"/>
    <n v="877.71"/>
    <n v="0.12"/>
    <s v="PayPal"/>
    <x v="0"/>
    <x v="10"/>
    <x v="0"/>
    <s v="Hair Strengthening Shampoo - Rice Llc"/>
    <x v="2"/>
    <n v="115.82"/>
    <x v="3"/>
    <x v="1"/>
    <n v="2632.77"/>
  </r>
  <r>
    <s v="SALE352"/>
    <d v="2024-11-07T00:00:00"/>
    <s v="CUST1257"/>
    <s v="PROD57"/>
    <s v="STORE9"/>
    <n v="4"/>
    <n v="488.56"/>
    <n v="0.26"/>
    <s v="COD"/>
    <x v="0"/>
    <x v="43"/>
    <x v="2"/>
    <s v="Foam Roller - Atkinson, Camacho And Oliver"/>
    <x v="0"/>
    <n v="30.62"/>
    <x v="2"/>
    <x v="1"/>
    <n v="1953.2"/>
  </r>
  <r>
    <s v="SALE353"/>
    <d v="2024-07-28T00:00:00"/>
    <s v="CUST1104"/>
    <s v="PROD25"/>
    <s v="STORE12"/>
    <n v="4"/>
    <n v="175.91"/>
    <n v="0.13"/>
    <s v="PayPal"/>
    <x v="0"/>
    <x v="36"/>
    <x v="2"/>
    <s v="Women'S Scarf Set - Brown And Sons"/>
    <x v="4"/>
    <n v="174.02"/>
    <x v="0"/>
    <x v="2"/>
    <n v="703.12"/>
  </r>
  <r>
    <s v="SALE354"/>
    <d v="2024-04-16T00:00:00"/>
    <s v="CUST1248"/>
    <s v="PROD87"/>
    <s v="STORE8"/>
    <n v="4"/>
    <n v="289.66000000000003"/>
    <n v="0.25"/>
    <s v="COD"/>
    <x v="0"/>
    <x v="8"/>
    <x v="0"/>
    <s v="Led Bedside Lamp - Aguilar, Horton And Lewis"/>
    <x v="3"/>
    <n v="371.38"/>
    <x v="1"/>
    <x v="2"/>
    <n v="1157.6400000000001"/>
  </r>
  <r>
    <s v="SALE355"/>
    <d v="2024-01-13T00:00:00"/>
    <s v="CUST1241"/>
    <s v="PROD15"/>
    <s v="STORE15"/>
    <n v="2"/>
    <n v="899.27"/>
    <n v="0.17"/>
    <s v="Credit Card"/>
    <x v="0"/>
    <x v="45"/>
    <x v="1"/>
    <s v="4K Home Projector - Thomas Llc"/>
    <x v="1"/>
    <n v="465.34"/>
    <x v="0"/>
    <x v="1"/>
    <n v="1798.2"/>
  </r>
  <r>
    <s v="SALE356"/>
    <d v="2024-01-08T00:00:00"/>
    <s v="CUST1065"/>
    <s v="PROD18"/>
    <s v="STORE1"/>
    <n v="1"/>
    <n v="691.38"/>
    <n v="0.11"/>
    <s v="COD"/>
    <x v="1"/>
    <x v="8"/>
    <x v="2"/>
    <s v="Women'S Denim Jeans - Guerra-Hendrix"/>
    <x v="4"/>
    <n v="245.7783116883117"/>
    <x v="0"/>
    <x v="1"/>
    <n v="691.27"/>
  </r>
  <r>
    <s v="SALE357"/>
    <d v="2024-09-29T00:00:00"/>
    <s v="CUST1165"/>
    <s v="PROD27"/>
    <s v="STORE0"/>
    <n v="3"/>
    <n v="158.72"/>
    <n v="0.13"/>
    <s v="Credit Card"/>
    <x v="1"/>
    <x v="49"/>
    <x v="1"/>
    <s v="Decorative Floor Vase - Khan, Jones And Paul"/>
    <x v="3"/>
    <n v="250.02157142857135"/>
    <x v="3"/>
    <x v="1"/>
    <n v="475.77"/>
  </r>
  <r>
    <s v="SALE358"/>
    <d v="2024-05-01T00:00:00"/>
    <s v="CUST1210"/>
    <s v="PROD60"/>
    <s v="STORE16"/>
    <n v="4"/>
    <n v="537.15"/>
    <n v="0.06"/>
    <s v="COD"/>
    <x v="0"/>
    <x v="36"/>
    <x v="2"/>
    <s v="Luxury Perfume Spray - Gibson, Green And Lopez"/>
    <x v="2"/>
    <n v="482.75"/>
    <x v="1"/>
    <x v="1"/>
    <n v="2148.36"/>
  </r>
  <r>
    <s v="SALE359"/>
    <d v="2024-07-07T00:00:00"/>
    <s v="CUST1417"/>
    <s v="PROD41"/>
    <s v="STORE9"/>
    <n v="3"/>
    <n v="771.7"/>
    <n v="0.05"/>
    <s v="COD"/>
    <x v="1"/>
    <x v="29"/>
    <x v="3"/>
    <s v="Yoga Exercise Mat - Carroll, Long And Mendoza"/>
    <x v="0"/>
    <n v="313.26"/>
    <x v="2"/>
    <x v="1"/>
    <n v="2314.9500000000003"/>
  </r>
  <r>
    <s v="SALE360"/>
    <d v="2024-11-14T00:00:00"/>
    <s v="CUST1108"/>
    <s v="PROD88"/>
    <s v="STORE1"/>
    <n v="4"/>
    <n v="677.25"/>
    <n v="0.14000000000000001"/>
    <s v="PayPal"/>
    <x v="0"/>
    <x v="21"/>
    <x v="3"/>
    <s v="Sports Wrist Sweatbands - Olsen-Daniels"/>
    <x v="0"/>
    <n v="131.24"/>
    <x v="0"/>
    <x v="1"/>
    <n v="2708.44"/>
  </r>
  <r>
    <s v="SALE361"/>
    <d v="2025-04-16T00:00:00"/>
    <s v="CUST1102"/>
    <s v="PROD98"/>
    <s v="STORE11"/>
    <n v="1"/>
    <n v="645.48"/>
    <n v="0.26"/>
    <s v="COD"/>
    <x v="1"/>
    <x v="2"/>
    <x v="3"/>
    <s v="Portable Bluetooth Speaker - Flores-King"/>
    <x v="1"/>
    <n v="431.67"/>
    <x v="2"/>
    <x v="2"/>
    <n v="645.22"/>
  </r>
  <r>
    <s v="SALE362"/>
    <d v="2025-07-18T00:00:00"/>
    <s v="CUST1360"/>
    <s v="PROD73"/>
    <s v="STORE2"/>
    <n v="2"/>
    <n v="934"/>
    <n v="0.3"/>
    <s v="COD"/>
    <x v="0"/>
    <x v="13"/>
    <x v="1"/>
    <s v="Shin Guards – Adult - French Ltd"/>
    <x v="0"/>
    <n v="107.06"/>
    <x v="2"/>
    <x v="0"/>
    <n v="1867.4"/>
  </r>
  <r>
    <s v="SALE363"/>
    <d v="2025-02-24T00:00:00"/>
    <s v="CUST1334"/>
    <s v="PROD46"/>
    <s v="STORE2"/>
    <n v="1"/>
    <n v="669.53"/>
    <n v="0.2"/>
    <s v="Credit Card"/>
    <x v="1"/>
    <x v="40"/>
    <x v="2"/>
    <s v="Men'S Winter Jacket - Kelly, Smith And Perez"/>
    <x v="4"/>
    <n v="167.34"/>
    <x v="2"/>
    <x v="0"/>
    <n v="669.32999999999993"/>
  </r>
  <r>
    <s v="SALE364"/>
    <d v="2025-03-07T00:00:00"/>
    <s v="CUST1216"/>
    <s v="PROD35"/>
    <s v="STORE18"/>
    <n v="1"/>
    <n v="213.69"/>
    <n v="0.28000000000000003"/>
    <s v="COD"/>
    <x v="0"/>
    <x v="24"/>
    <x v="1"/>
    <s v="Bedroom Table Lamp - Jones Llc"/>
    <x v="3"/>
    <n v="382.22"/>
    <x v="3"/>
    <x v="1"/>
    <n v="213.41"/>
  </r>
  <r>
    <s v="SALE365"/>
    <d v="2025-02-18T00:00:00"/>
    <s v="CUST1077"/>
    <s v="PROD21"/>
    <s v="STORE19"/>
    <n v="2"/>
    <n v="99.1"/>
    <n v="0.2"/>
    <s v="PayPal"/>
    <x v="0"/>
    <x v="1"/>
    <x v="0"/>
    <s v="Multi-Purpose Storage Box - Gardner-Montes"/>
    <x v="3"/>
    <n v="123.46"/>
    <x v="3"/>
    <x v="2"/>
    <n v="197.79999999999998"/>
  </r>
  <r>
    <s v="SALE366"/>
    <d v="2024-06-26T00:00:00"/>
    <s v="CUST1370"/>
    <s v="PROD37"/>
    <s v="STORE16"/>
    <n v="1"/>
    <n v="628.98"/>
    <n v="0.03"/>
    <s v="COD"/>
    <x v="0"/>
    <x v="30"/>
    <x v="2"/>
    <s v="Men'S Casual Sneakers - Hogan-Lee"/>
    <x v="4"/>
    <n v="353.47"/>
    <x v="1"/>
    <x v="1"/>
    <n v="628.95000000000005"/>
  </r>
  <r>
    <s v="SALE367"/>
    <d v="2025-02-23T00:00:00"/>
    <s v="CUST1085"/>
    <s v="PROD84"/>
    <s v="STORE4"/>
    <n v="3"/>
    <n v="944.64"/>
    <n v="0.26"/>
    <s v="Credit Card"/>
    <x v="0"/>
    <x v="2"/>
    <x v="2"/>
    <s v="Wooden Bookshelf - Collins-Stephenson"/>
    <x v="3"/>
    <n v="388.46"/>
    <x v="2"/>
    <x v="2"/>
    <n v="2833.14"/>
  </r>
  <r>
    <s v="SALE368"/>
    <d v="2025-06-15T00:00:00"/>
    <s v="CUST1471"/>
    <s v="PROD93"/>
    <s v="STORE12"/>
    <n v="2"/>
    <n v="121.7"/>
    <n v="0.06"/>
    <s v="COD"/>
    <x v="0"/>
    <x v="10"/>
    <x v="1"/>
    <s v="Usb-C Laptop Charger - Martin Llc"/>
    <x v="1"/>
    <n v="377.52"/>
    <x v="0"/>
    <x v="2"/>
    <n v="243.28"/>
  </r>
  <r>
    <s v="SALE369"/>
    <d v="2023-10-18T00:00:00"/>
    <s v="CUST1448"/>
    <s v="PROD65"/>
    <s v="STORE3"/>
    <n v="4"/>
    <n v="269.49"/>
    <n v="7.0000000000000007E-2"/>
    <s v="PayPal"/>
    <x v="1"/>
    <x v="0"/>
    <x v="3"/>
    <s v="Adjustable Dumbbells 20Kg - Montgomery, Benton And Miller"/>
    <x v="0"/>
    <n v="240.63"/>
    <x v="0"/>
    <x v="0"/>
    <n v="1077.68"/>
  </r>
  <r>
    <s v="SALE370"/>
    <d v="2025-03-17T00:00:00"/>
    <s v="CUST1099"/>
    <s v="PROD22"/>
    <s v="STORE18"/>
    <n v="1"/>
    <n v="678.2"/>
    <n v="0.14000000000000001"/>
    <s v="Credit Card"/>
    <x v="0"/>
    <x v="3"/>
    <x v="2"/>
    <s v="Carbon Fiber Tennis Racket - Flores, Pineda And Rodriguez"/>
    <x v="0"/>
    <n v="484.62"/>
    <x v="3"/>
    <x v="1"/>
    <n v="678.06000000000006"/>
  </r>
  <r>
    <s v="SALE371"/>
    <d v="2024-08-16T00:00:00"/>
    <s v="CUST1231"/>
    <s v="PROD90"/>
    <s v="STORE13"/>
    <n v="1"/>
    <n v="752.45"/>
    <n v="0.21"/>
    <s v="COD"/>
    <x v="1"/>
    <x v="42"/>
    <x v="3"/>
    <s v="Gaming Mouse Pad Xl - Sharp, Taylor And Rodriguez"/>
    <x v="1"/>
    <n v="340.14"/>
    <x v="3"/>
    <x v="1"/>
    <n v="752.24"/>
  </r>
  <r>
    <s v="SALE372"/>
    <d v="2024-03-22T00:00:00"/>
    <s v="CUST1037"/>
    <s v="PROD94"/>
    <s v="STORE13"/>
    <n v="2"/>
    <n v="209.66"/>
    <n v="0.21"/>
    <s v="Credit Card"/>
    <x v="1"/>
    <x v="34"/>
    <x v="4"/>
    <s v="Vitamin E Body Lotion - Hoffman-Williams"/>
    <x v="2"/>
    <n v="358.47"/>
    <x v="3"/>
    <x v="1"/>
    <n v="418.9"/>
  </r>
  <r>
    <s v="SALE373"/>
    <d v="2025-01-31T00:00:00"/>
    <s v="CUST1161"/>
    <s v="PROD97"/>
    <s v="STORE19"/>
    <n v="2"/>
    <n v="739.95"/>
    <n v="0.1"/>
    <s v="COD"/>
    <x v="1"/>
    <x v="28"/>
    <x v="2"/>
    <s v="Cricket Bat - Khan Llc"/>
    <x v="0"/>
    <n v="245.98"/>
    <x v="3"/>
    <x v="2"/>
    <n v="1479.7"/>
  </r>
  <r>
    <s v="SALE374"/>
    <d v="2023-12-16T00:00:00"/>
    <s v="CUST1469"/>
    <s v="PROD45"/>
    <s v="STORE15"/>
    <n v="1"/>
    <n v="496.19"/>
    <n v="0.08"/>
    <s v="COD"/>
    <x v="0"/>
    <x v="39"/>
    <x v="0"/>
    <s v="High-Grip Football - Bridges, Banks And Cummings"/>
    <x v="0"/>
    <n v="318.91000000000003"/>
    <x v="0"/>
    <x v="1"/>
    <n v="496.11"/>
  </r>
  <r>
    <s v="SALE375"/>
    <d v="2025-04-09T00:00:00"/>
    <s v="CUST1044"/>
    <s v="PROD9"/>
    <s v="STORE12"/>
    <n v="1"/>
    <n v="306.36"/>
    <n v="0.01"/>
    <s v="PayPal"/>
    <x v="0"/>
    <x v="22"/>
    <x v="3"/>
    <s v="Adjustable Dumbbell Set - Hill Plc"/>
    <x v="0"/>
    <n v="495.72"/>
    <x v="0"/>
    <x v="2"/>
    <n v="306.35000000000002"/>
  </r>
  <r>
    <s v="SALE376"/>
    <d v="2024-01-18T00:00:00"/>
    <s v="CUST1120"/>
    <s v="PROD73"/>
    <s v="STORE4"/>
    <n v="4"/>
    <n v="693.16"/>
    <n v="0.05"/>
    <s v="PayPal"/>
    <x v="1"/>
    <x v="2"/>
    <x v="1"/>
    <s v="Shin Guards – Adult - French Ltd"/>
    <x v="0"/>
    <n v="107.06"/>
    <x v="2"/>
    <x v="2"/>
    <n v="2772.44"/>
  </r>
  <r>
    <s v="SALE377"/>
    <d v="2025-03-28T00:00:00"/>
    <s v="CUST1455"/>
    <s v="PROD83"/>
    <s v="STORE10"/>
    <n v="1"/>
    <n v="995.52"/>
    <n v="0.22"/>
    <s v="PayPal"/>
    <x v="0"/>
    <x v="49"/>
    <x v="0"/>
    <s v="Hydrating Face Cleanser - Butler Group"/>
    <x v="2"/>
    <n v="289.35937499999994"/>
    <x v="3"/>
    <x v="2"/>
    <n v="995.3"/>
  </r>
  <r>
    <s v="SALE378"/>
    <d v="2024-08-31T00:00:00"/>
    <s v="CUST1125"/>
    <s v="PROD7"/>
    <s v="STORE18"/>
    <n v="4"/>
    <n v="241.32"/>
    <n v="0.28999999999999998"/>
    <s v="COD"/>
    <x v="1"/>
    <x v="17"/>
    <x v="1"/>
    <s v="Led Table Lamp - Harrell Llc"/>
    <x v="3"/>
    <n v="218.86"/>
    <x v="3"/>
    <x v="1"/>
    <n v="964.12"/>
  </r>
  <r>
    <s v="SALE379"/>
    <d v="2023-11-10T00:00:00"/>
    <s v="CUST1239"/>
    <s v="PROD78"/>
    <s v="STORE1"/>
    <n v="3"/>
    <n v="636.03"/>
    <n v="0.06"/>
    <s v="COD"/>
    <x v="1"/>
    <x v="8"/>
    <x v="1"/>
    <s v="Essential Oil Diffuser - Hernandez Inc"/>
    <x v="3"/>
    <n v="325.26"/>
    <x v="0"/>
    <x v="1"/>
    <n v="1907.91"/>
  </r>
  <r>
    <s v="SALE380"/>
    <d v="2023-12-15T00:00:00"/>
    <s v="CUST1096"/>
    <s v="PROD4"/>
    <s v="STORE19"/>
    <n v="4"/>
    <n v="603.30999999999995"/>
    <n v="0.15"/>
    <s v="Credit Card"/>
    <x v="1"/>
    <x v="38"/>
    <x v="1"/>
    <s v="Women'S Yoga Pants - Gonzales-Davis"/>
    <x v="4"/>
    <n v="306.45999999999998"/>
    <x v="3"/>
    <x v="2"/>
    <n v="2412.64"/>
  </r>
  <r>
    <s v="SALE381"/>
    <d v="2024-05-15T00:00:00"/>
    <s v="CUST1075"/>
    <s v="PROD89"/>
    <s v="STORE10"/>
    <n v="3"/>
    <n v="437.96"/>
    <n v="0.27"/>
    <s v="COD"/>
    <x v="1"/>
    <x v="24"/>
    <x v="0"/>
    <s v="Face Foundation Kit - Taylor-Elliott"/>
    <x v="2"/>
    <n v="183.04"/>
    <x v="3"/>
    <x v="2"/>
    <n v="1313.07"/>
  </r>
  <r>
    <s v="SALE382"/>
    <d v="2024-01-31T00:00:00"/>
    <s v="CUST1208"/>
    <s v="PROD34"/>
    <s v="STORE4"/>
    <n v="2"/>
    <n v="56.91"/>
    <n v="0.08"/>
    <s v="COD"/>
    <x v="0"/>
    <x v="38"/>
    <x v="1"/>
    <s v="Gaming Mechanical Keyboard - Lucero Llc"/>
    <x v="1"/>
    <n v="419.28"/>
    <x v="2"/>
    <x v="2"/>
    <n v="113.66"/>
  </r>
  <r>
    <s v="SALE383"/>
    <d v="2023-12-06T00:00:00"/>
    <s v="CUST1334"/>
    <s v="PROD76"/>
    <s v="STORE6"/>
    <n v="1"/>
    <n v="141.79"/>
    <n v="0.1"/>
    <s v="Credit Card"/>
    <x v="1"/>
    <x v="40"/>
    <x v="2"/>
    <s v="Wireless Mouse - Larson Ltd"/>
    <x v="1"/>
    <n v="392.89"/>
    <x v="3"/>
    <x v="2"/>
    <n v="141.69"/>
  </r>
  <r>
    <s v="SALE384"/>
    <d v="2024-01-11T00:00:00"/>
    <s v="CUST1483"/>
    <s v="PROD9"/>
    <s v="STORE15"/>
    <n v="4"/>
    <n v="355.14"/>
    <n v="0.16"/>
    <s v="COD"/>
    <x v="0"/>
    <x v="8"/>
    <x v="0"/>
    <s v="Adjustable Dumbbell Set - Hill Plc"/>
    <x v="0"/>
    <n v="495.72"/>
    <x v="0"/>
    <x v="1"/>
    <n v="1419.9199999999998"/>
  </r>
  <r>
    <s v="SALE385"/>
    <d v="2025-09-07T00:00:00"/>
    <s v="CUST1211"/>
    <s v="PROD38"/>
    <s v="STORE6"/>
    <n v="4"/>
    <n v="960.38"/>
    <n v="0.15"/>
    <s v="COD"/>
    <x v="1"/>
    <x v="37"/>
    <x v="2"/>
    <s v="Sports Water Hydration Pack - Sims-Smith"/>
    <x v="0"/>
    <n v="135.61000000000001"/>
    <x v="3"/>
    <x v="2"/>
    <n v="3840.92"/>
  </r>
  <r>
    <s v="SALE386"/>
    <d v="2024-05-21T00:00:00"/>
    <s v="CUST1420"/>
    <s v="PROD69"/>
    <s v="STORE16"/>
    <n v="3"/>
    <n v="847.21"/>
    <n v="0.06"/>
    <s v="PayPal"/>
    <x v="0"/>
    <x v="29"/>
    <x v="3"/>
    <s v="Men'S Sports Shorts - Fitzpatrick Ltd"/>
    <x v="4"/>
    <n v="218.22"/>
    <x v="1"/>
    <x v="1"/>
    <n v="2541.4500000000003"/>
  </r>
  <r>
    <s v="SALE387"/>
    <d v="2025-08-23T00:00:00"/>
    <s v="CUST1066"/>
    <s v="PROD80"/>
    <s v="STORE10"/>
    <n v="4"/>
    <n v="773.81"/>
    <n v="0.08"/>
    <s v="COD"/>
    <x v="1"/>
    <x v="21"/>
    <x v="2"/>
    <s v="Wall-Mounted Spice Rack - Allison Ltd"/>
    <x v="3"/>
    <n v="143.43"/>
    <x v="3"/>
    <x v="2"/>
    <n v="3094.9199999999996"/>
  </r>
  <r>
    <s v="SALE388"/>
    <d v="2025-05-03T00:00:00"/>
    <s v="CUST1000"/>
    <s v="PROD63"/>
    <s v="STORE16"/>
    <n v="1"/>
    <n v="664.71"/>
    <n v="0.1"/>
    <s v="PayPal"/>
    <x v="0"/>
    <x v="29"/>
    <x v="4"/>
    <s v="Organic Sunscreen Lotion - Anderson-Riley"/>
    <x v="2"/>
    <n v="266.86"/>
    <x v="1"/>
    <x v="1"/>
    <n v="664.61"/>
  </r>
  <r>
    <s v="SALE389"/>
    <d v="2023-11-03T00:00:00"/>
    <s v="CUST1347"/>
    <s v="PROD37"/>
    <s v="STORE7"/>
    <n v="4"/>
    <n v="482.06"/>
    <n v="7.0000000000000007E-2"/>
    <s v="PayPal"/>
    <x v="1"/>
    <x v="40"/>
    <x v="0"/>
    <s v="Men'S Casual Sneakers - Hogan-Lee"/>
    <x v="4"/>
    <n v="353.47"/>
    <x v="2"/>
    <x v="2"/>
    <n v="1927.96"/>
  </r>
  <r>
    <s v="SALE390"/>
    <d v="2025-03-26T00:00:00"/>
    <s v="CUST1089"/>
    <s v="PROD57"/>
    <s v="STORE3"/>
    <n v="4"/>
    <n v="995.55"/>
    <n v="0.19"/>
    <s v="PayPal"/>
    <x v="0"/>
    <x v="18"/>
    <x v="1"/>
    <s v="Foam Roller - Atkinson, Camacho And Oliver"/>
    <x v="0"/>
    <n v="30.62"/>
    <x v="0"/>
    <x v="0"/>
    <n v="3981.4399999999996"/>
  </r>
  <r>
    <s v="SALE391"/>
    <d v="2024-07-05T00:00:00"/>
    <s v="CUST1141"/>
    <s v="PROD93"/>
    <s v="STORE13"/>
    <n v="2"/>
    <n v="153.84"/>
    <n v="0.27"/>
    <s v="PayPal"/>
    <x v="0"/>
    <x v="24"/>
    <x v="3"/>
    <s v="Usb-C Laptop Charger - Martin Llc"/>
    <x v="1"/>
    <n v="377.52"/>
    <x v="3"/>
    <x v="1"/>
    <n v="307.14"/>
  </r>
  <r>
    <s v="SALE392"/>
    <d v="2025-05-12T00:00:00"/>
    <s v="CUST1153"/>
    <s v="PROD78"/>
    <s v="STORE6"/>
    <n v="3"/>
    <n v="362.11"/>
    <n v="0.23"/>
    <s v="COD"/>
    <x v="0"/>
    <x v="16"/>
    <x v="3"/>
    <s v="Essential Oil Diffuser - Hernandez Inc"/>
    <x v="3"/>
    <n v="325.26"/>
    <x v="3"/>
    <x v="2"/>
    <n v="1085.6399999999999"/>
  </r>
  <r>
    <s v="SALE393"/>
    <d v="2024-09-26T00:00:00"/>
    <s v="CUST1472"/>
    <s v="PROD43"/>
    <s v="STORE8"/>
    <n v="3"/>
    <n v="112.26"/>
    <n v="0.11"/>
    <s v="Credit Card"/>
    <x v="0"/>
    <x v="43"/>
    <x v="2"/>
    <s v="Usb External Hard Drive - Robinson Inc"/>
    <x v="1"/>
    <n v="253.33"/>
    <x v="1"/>
    <x v="2"/>
    <n v="336.45000000000005"/>
  </r>
  <r>
    <s v="SALE394"/>
    <d v="2024-03-27T00:00:00"/>
    <s v="CUST1203"/>
    <s v="PROD94"/>
    <s v="STORE19"/>
    <n v="2"/>
    <n v="962.81"/>
    <n v="0.06"/>
    <s v="COD"/>
    <x v="0"/>
    <x v="9"/>
    <x v="1"/>
    <s v="Vitamin E Body Lotion - Hoffman-Williams"/>
    <x v="2"/>
    <n v="358.47"/>
    <x v="3"/>
    <x v="2"/>
    <n v="1925.5"/>
  </r>
  <r>
    <s v="SALE395"/>
    <d v="2024-01-17T00:00:00"/>
    <s v="CUST1213"/>
    <s v="PROD21"/>
    <s v="STORE0"/>
    <n v="4"/>
    <n v="276.23"/>
    <n v="0.12"/>
    <s v="Credit Card"/>
    <x v="1"/>
    <x v="16"/>
    <x v="1"/>
    <s v="Multi-Purpose Storage Box - Gardner-Montes"/>
    <x v="3"/>
    <n v="123.46"/>
    <x v="3"/>
    <x v="1"/>
    <n v="1104.44"/>
  </r>
  <r>
    <s v="SALE396"/>
    <d v="2024-04-25T00:00:00"/>
    <s v="CUST1015"/>
    <s v="PROD18"/>
    <s v="STORE14"/>
    <n v="3"/>
    <n v="991.37"/>
    <n v="0.1"/>
    <s v="PayPal"/>
    <x v="1"/>
    <x v="7"/>
    <x v="1"/>
    <s v="Women'S Denim Jeans - Guerra-Hendrix"/>
    <x v="4"/>
    <n v="245.7783116883117"/>
    <x v="2"/>
    <x v="0"/>
    <n v="2973.81"/>
  </r>
  <r>
    <s v="SALE397"/>
    <d v="2025-09-29T00:00:00"/>
    <s v="CUST1168"/>
    <s v="PROD21"/>
    <s v="STORE13"/>
    <n v="3"/>
    <n v="977.47"/>
    <n v="0.05"/>
    <s v="Credit Card"/>
    <x v="1"/>
    <x v="26"/>
    <x v="1"/>
    <s v="Multi-Purpose Storage Box - Gardner-Montes"/>
    <x v="3"/>
    <n v="123.46"/>
    <x v="3"/>
    <x v="1"/>
    <n v="2932.26"/>
  </r>
  <r>
    <s v="SALE398"/>
    <d v="2025-07-06T00:00:00"/>
    <s v="CUST1206"/>
    <s v="PROD94"/>
    <s v="STORE12"/>
    <n v="2"/>
    <n v="308.7"/>
    <n v="0.2"/>
    <s v="PayPal"/>
    <x v="1"/>
    <x v="3"/>
    <x v="2"/>
    <s v="Vitamin E Body Lotion - Hoffman-Williams"/>
    <x v="2"/>
    <n v="358.47"/>
    <x v="0"/>
    <x v="2"/>
    <n v="617"/>
  </r>
  <r>
    <s v="SALE399"/>
    <d v="2024-10-14T00:00:00"/>
    <s v="CUST1037"/>
    <s v="PROD6"/>
    <s v="STORE16"/>
    <n v="2"/>
    <n v="733.87"/>
    <n v="0.1"/>
    <s v="PayPal"/>
    <x v="1"/>
    <x v="34"/>
    <x v="4"/>
    <s v="Herbal Face Moisturizer - Davidson Plc"/>
    <x v="2"/>
    <n v="312.8"/>
    <x v="1"/>
    <x v="1"/>
    <n v="1467.54"/>
  </r>
  <r>
    <s v="SALE400"/>
    <d v="2023-10-28T00:00:00"/>
    <s v="CUST1095"/>
    <s v="PROD19"/>
    <s v="STORE16"/>
    <n v="2"/>
    <n v="22.47"/>
    <n v="0.22"/>
    <s v="PayPal"/>
    <x v="1"/>
    <x v="14"/>
    <x v="1"/>
    <s v="Knee Support Brace - May-Reese"/>
    <x v="0"/>
    <n v="21.34"/>
    <x v="1"/>
    <x v="1"/>
    <n v="44.5"/>
  </r>
  <r>
    <s v="SALE401"/>
    <d v="2024-03-29T00:00:00"/>
    <s v="CUST1348"/>
    <s v="PROD57"/>
    <s v="STORE13"/>
    <n v="4"/>
    <n v="651.36"/>
    <n v="0.13"/>
    <s v="Credit Card"/>
    <x v="0"/>
    <x v="2"/>
    <x v="2"/>
    <s v="Foam Roller - Atkinson, Camacho And Oliver"/>
    <x v="0"/>
    <n v="30.62"/>
    <x v="3"/>
    <x v="1"/>
    <n v="2604.92"/>
  </r>
  <r>
    <s v="SALE402"/>
    <d v="2025-06-09T00:00:00"/>
    <s v="CUST1296"/>
    <s v="PROD14"/>
    <s v="STORE10"/>
    <n v="1"/>
    <n v="753.39"/>
    <n v="0.04"/>
    <s v="COD"/>
    <x v="1"/>
    <x v="35"/>
    <x v="3"/>
    <s v="Decorative Wall Mirror - Luna, Anderson And Bowman"/>
    <x v="3"/>
    <n v="48.01"/>
    <x v="3"/>
    <x v="2"/>
    <n v="753.35"/>
  </r>
  <r>
    <s v="SALE403"/>
    <d v="2024-10-11T00:00:00"/>
    <s v="CUST1201"/>
    <s v="PROD71"/>
    <s v="STORE12"/>
    <n v="4"/>
    <n v="849.17"/>
    <n v="0.12"/>
    <s v="COD"/>
    <x v="1"/>
    <x v="20"/>
    <x v="3"/>
    <s v="Hair Repair Oil Treatment - Hopkins Ltd"/>
    <x v="2"/>
    <n v="214.32"/>
    <x v="0"/>
    <x v="2"/>
    <n v="3396.2"/>
  </r>
  <r>
    <s v="SALE404"/>
    <d v="2024-07-22T00:00:00"/>
    <s v="CUST1379"/>
    <s v="PROD20"/>
    <s v="STORE0"/>
    <n v="4"/>
    <n v="585.45000000000005"/>
    <n v="0.25"/>
    <s v="COD"/>
    <x v="1"/>
    <x v="9"/>
    <x v="0"/>
    <s v="Outdoor Sports Water Bottle - Soto-Ellis"/>
    <x v="0"/>
    <n v="131.51"/>
    <x v="3"/>
    <x v="1"/>
    <n v="2340.8000000000002"/>
  </r>
  <r>
    <s v="SALE405"/>
    <d v="2024-12-02T00:00:00"/>
    <s v="CUST1476"/>
    <s v="PROD75"/>
    <s v="STORE16"/>
    <n v="1"/>
    <n v="745.15"/>
    <n v="0.25"/>
    <s v="COD"/>
    <x v="1"/>
    <x v="15"/>
    <x v="0"/>
    <s v="Women'S Ankle Boots - Poole Plc"/>
    <x v="4"/>
    <n v="158.13999999999999"/>
    <x v="1"/>
    <x v="1"/>
    <n v="744.9"/>
  </r>
  <r>
    <s v="SALE406"/>
    <d v="2023-11-14T00:00:00"/>
    <s v="CUST1050"/>
    <s v="PROD99"/>
    <s v="STORE2"/>
    <n v="1"/>
    <n v="848.69"/>
    <n v="0.04"/>
    <s v="COD"/>
    <x v="1"/>
    <x v="49"/>
    <x v="0"/>
    <s v="Stainless Steel Cookware Set - Campbell Ltd"/>
    <x v="3"/>
    <n v="201.41"/>
    <x v="2"/>
    <x v="0"/>
    <n v="848.65000000000009"/>
  </r>
  <r>
    <s v="SALE407"/>
    <d v="2024-02-14T00:00:00"/>
    <s v="CUST1413"/>
    <s v="PROD70"/>
    <s v="STORE14"/>
    <n v="2"/>
    <n v="247.67"/>
    <n v="0.1"/>
    <s v="PayPal"/>
    <x v="1"/>
    <x v="12"/>
    <x v="3"/>
    <s v="Kitchen Storage Rack - Duran Group"/>
    <x v="3"/>
    <n v="138.05000000000001"/>
    <x v="2"/>
    <x v="0"/>
    <n v="495.14"/>
  </r>
  <r>
    <s v="SALE408"/>
    <d v="2024-06-22T00:00:00"/>
    <s v="CUST1039"/>
    <s v="PROD74"/>
    <s v="STORE3"/>
    <n v="3"/>
    <n v="220.51"/>
    <n v="0.02"/>
    <s v="PayPal"/>
    <x v="1"/>
    <x v="20"/>
    <x v="0"/>
    <s v="Bluetooth Car Audio System - Bruce-Bowen"/>
    <x v="1"/>
    <n v="403.71"/>
    <x v="0"/>
    <x v="0"/>
    <n v="661.46999999999991"/>
  </r>
  <r>
    <s v="SALE409"/>
    <d v="2025-06-29T00:00:00"/>
    <s v="CUST1327"/>
    <s v="PROD15"/>
    <s v="STORE16"/>
    <n v="4"/>
    <n v="370.63"/>
    <n v="0.08"/>
    <s v="Credit Card"/>
    <x v="1"/>
    <x v="14"/>
    <x v="3"/>
    <s v="4K Home Projector - Thomas Llc"/>
    <x v="1"/>
    <n v="465.34"/>
    <x v="1"/>
    <x v="1"/>
    <n v="1482.2"/>
  </r>
  <r>
    <s v="SALE410"/>
    <d v="2025-02-18T00:00:00"/>
    <s v="CUST1391"/>
    <s v="PROD29"/>
    <s v="STORE19"/>
    <n v="4"/>
    <n v="349.84"/>
    <n v="0.11"/>
    <s v="Credit Card"/>
    <x v="1"/>
    <x v="47"/>
    <x v="3"/>
    <s v="Fabric Sofa Throw Blanket - Hoffman Group"/>
    <x v="3"/>
    <n v="218.48"/>
    <x v="3"/>
    <x v="2"/>
    <n v="1398.9199999999998"/>
  </r>
  <r>
    <s v="SALE411"/>
    <d v="2025-06-15T00:00:00"/>
    <s v="CUST1043"/>
    <s v="PROD39"/>
    <s v="STORE12"/>
    <n v="1"/>
    <n v="770.87"/>
    <n v="0.1"/>
    <s v="COD"/>
    <x v="0"/>
    <x v="1"/>
    <x v="0"/>
    <s v="Portable Power Bank - Cummings And Sons"/>
    <x v="1"/>
    <n v="326.06"/>
    <x v="0"/>
    <x v="2"/>
    <n v="770.77"/>
  </r>
  <r>
    <s v="SALE412"/>
    <d v="2024-08-14T00:00:00"/>
    <s v="CUST1479"/>
    <s v="PROD99"/>
    <s v="STORE17"/>
    <n v="3"/>
    <n v="507.33"/>
    <n v="0.06"/>
    <s v="PayPal"/>
    <x v="0"/>
    <x v="35"/>
    <x v="3"/>
    <s v="Stainless Steel Cookware Set - Campbell Ltd"/>
    <x v="3"/>
    <n v="201.41"/>
    <x v="0"/>
    <x v="1"/>
    <n v="1521.81"/>
  </r>
  <r>
    <s v="SALE413"/>
    <d v="2025-07-25T00:00:00"/>
    <s v="CUST1185"/>
    <s v="PROD66"/>
    <s v="STORE9"/>
    <n v="1"/>
    <n v="87.78"/>
    <n v="0.06"/>
    <s v="Credit Card"/>
    <x v="1"/>
    <x v="19"/>
    <x v="1"/>
    <s v="Women'S Hair Dryer Brush - Torres, Spencer And Potter"/>
    <x v="2"/>
    <n v="340.39"/>
    <x v="2"/>
    <x v="1"/>
    <n v="87.72"/>
  </r>
  <r>
    <s v="SALE414"/>
    <d v="2025-01-09T00:00:00"/>
    <s v="CUST1006"/>
    <s v="PROD93"/>
    <s v="STORE4"/>
    <n v="2"/>
    <n v="772.24"/>
    <n v="0.22"/>
    <s v="Credit Card"/>
    <x v="1"/>
    <x v="34"/>
    <x v="1"/>
    <s v="Usb-C Laptop Charger - Martin Llc"/>
    <x v="1"/>
    <n v="377.52"/>
    <x v="2"/>
    <x v="2"/>
    <n v="1544.04"/>
  </r>
  <r>
    <s v="SALE415"/>
    <d v="2025-06-05T00:00:00"/>
    <s v="CUST1047"/>
    <s v="PROD70"/>
    <s v="STORE14"/>
    <n v="1"/>
    <n v="108.27"/>
    <n v="0.1"/>
    <s v="COD"/>
    <x v="1"/>
    <x v="8"/>
    <x v="2"/>
    <s v="Kitchen Storage Rack - Duran Group"/>
    <x v="3"/>
    <n v="138.05000000000001"/>
    <x v="2"/>
    <x v="0"/>
    <n v="108.17"/>
  </r>
  <r>
    <s v="SALE416"/>
    <d v="2024-12-07T00:00:00"/>
    <s v="CUST1347"/>
    <s v="PROD38"/>
    <s v="STORE17"/>
    <n v="2"/>
    <n v="839.24"/>
    <n v="0.21"/>
    <s v="PayPal"/>
    <x v="1"/>
    <x v="40"/>
    <x v="0"/>
    <s v="Sports Water Hydration Pack - Sims-Smith"/>
    <x v="0"/>
    <n v="135.61000000000001"/>
    <x v="0"/>
    <x v="1"/>
    <n v="1678.06"/>
  </r>
  <r>
    <s v="SALE417"/>
    <d v="2024-02-09T00:00:00"/>
    <s v="CUST1383"/>
    <s v="PROD58"/>
    <s v="STORE10"/>
    <n v="2"/>
    <n v="466.27"/>
    <n v="0.11"/>
    <s v="PayPal"/>
    <x v="1"/>
    <x v="42"/>
    <x v="2"/>
    <s v="Womens Cotton Scarf - Shepherd-Gould"/>
    <x v="4"/>
    <n v="113.83"/>
    <x v="3"/>
    <x v="2"/>
    <n v="932.31999999999994"/>
  </r>
  <r>
    <s v="SALE418"/>
    <d v="2025-10-12T00:00:00"/>
    <s v="CUST1398"/>
    <s v="PROD62"/>
    <s v="STORE14"/>
    <n v="3"/>
    <n v="969.83"/>
    <n v="0.02"/>
    <s v="Credit Card"/>
    <x v="0"/>
    <x v="21"/>
    <x v="3"/>
    <s v="Laptop Cooling Pad - Murray, Gould And Ware"/>
    <x v="1"/>
    <n v="86.42"/>
    <x v="2"/>
    <x v="0"/>
    <n v="2909.4300000000003"/>
  </r>
  <r>
    <s v="SALE419"/>
    <d v="2025-06-16T00:00:00"/>
    <s v="CUST1417"/>
    <s v="PROD91"/>
    <s v="STORE19"/>
    <n v="2"/>
    <n v="782.11"/>
    <n v="0.17"/>
    <s v="PayPal"/>
    <x v="1"/>
    <x v="29"/>
    <x v="3"/>
    <s v="Women'S High Heels - Smith-Charles"/>
    <x v="4"/>
    <n v="438.25"/>
    <x v="3"/>
    <x v="2"/>
    <n v="1563.88"/>
  </r>
  <r>
    <s v="SALE420"/>
    <d v="2025-09-21T00:00:00"/>
    <s v="CUST1451"/>
    <s v="PROD40"/>
    <s v="STORE11"/>
    <n v="2"/>
    <n v="74.63"/>
    <n v="0.01"/>
    <s v="PayPal"/>
    <x v="0"/>
    <x v="23"/>
    <x v="0"/>
    <s v="Noise-Canceling Headphones - Taylor-Hart"/>
    <x v="1"/>
    <n v="38.520000000000003"/>
    <x v="2"/>
    <x v="2"/>
    <n v="149.23999999999998"/>
  </r>
  <r>
    <s v="SALE421"/>
    <d v="2025-09-09T00:00:00"/>
    <s v="CUST1041"/>
    <s v="PROD85"/>
    <s v="STORE6"/>
    <n v="3"/>
    <n v="522.78"/>
    <n v="0.25"/>
    <s v="PayPal"/>
    <x v="0"/>
    <x v="41"/>
    <x v="1"/>
    <s v="Women'S Beanie Hat - Richardson-Carrillo"/>
    <x v="4"/>
    <n v="119.57"/>
    <x v="3"/>
    <x v="2"/>
    <n v="1567.59"/>
  </r>
  <r>
    <s v="SALE422"/>
    <d v="2025-07-15T00:00:00"/>
    <s v="CUST1338"/>
    <s v="PROD13"/>
    <s v="STORE15"/>
    <n v="1"/>
    <n v="206.45"/>
    <n v="0.15"/>
    <s v="PayPal"/>
    <x v="1"/>
    <x v="40"/>
    <x v="2"/>
    <s v="Usb-C Fast Charger - Dawson-Perkins"/>
    <x v="1"/>
    <n v="242.23"/>
    <x v="0"/>
    <x v="1"/>
    <n v="206.29999999999998"/>
  </r>
  <r>
    <s v="SALE423"/>
    <d v="2024-10-15T00:00:00"/>
    <s v="CUST1145"/>
    <s v="PROD69"/>
    <s v="STORE5"/>
    <n v="1"/>
    <n v="815.53"/>
    <n v="0.3"/>
    <s v="PayPal"/>
    <x v="0"/>
    <x v="30"/>
    <x v="1"/>
    <s v="Men'S Sports Shorts - Fitzpatrick Ltd"/>
    <x v="4"/>
    <n v="218.22"/>
    <x v="0"/>
    <x v="0"/>
    <n v="815.23"/>
  </r>
  <r>
    <s v="SALE424"/>
    <d v="2023-10-21T00:00:00"/>
    <s v="CUST1037"/>
    <s v="PROD79"/>
    <s v="STORE13"/>
    <n v="1"/>
    <n v="823.61"/>
    <n v="0.28000000000000003"/>
    <s v="COD"/>
    <x v="1"/>
    <x v="34"/>
    <x v="4"/>
    <s v="Decorative Lamp Shade - Ramirez-Hanson"/>
    <x v="3"/>
    <n v="228.53"/>
    <x v="3"/>
    <x v="1"/>
    <n v="823.33"/>
  </r>
  <r>
    <s v="SALE425"/>
    <d v="2025-05-30T00:00:00"/>
    <s v="CUST1478"/>
    <s v="PROD87"/>
    <s v="STORE9"/>
    <n v="2"/>
    <n v="209.96"/>
    <n v="0"/>
    <s v="Credit Card"/>
    <x v="0"/>
    <x v="34"/>
    <x v="0"/>
    <s v="Led Bedside Lamp - Aguilar, Horton And Lewis"/>
    <x v="3"/>
    <n v="371.38"/>
    <x v="2"/>
    <x v="1"/>
    <n v="419.92"/>
  </r>
  <r>
    <s v="SALE426"/>
    <d v="2024-06-19T00:00:00"/>
    <s v="CUST1175"/>
    <s v="PROD0"/>
    <s v="STORE16"/>
    <n v="4"/>
    <n v="897.93"/>
    <n v="0.05"/>
    <s v="COD"/>
    <x v="0"/>
    <x v="22"/>
    <x v="1"/>
    <s v="Brother Laser Printer - Hunt Inc"/>
    <x v="1"/>
    <n v="112.42"/>
    <x v="1"/>
    <x v="1"/>
    <n v="3591.52"/>
  </r>
  <r>
    <s v="SALE427"/>
    <d v="2024-12-20T00:00:00"/>
    <s v="CUST1181"/>
    <s v="PROD63"/>
    <s v="STORE0"/>
    <n v="4"/>
    <n v="925.95"/>
    <n v="0.16"/>
    <s v="COD"/>
    <x v="0"/>
    <x v="14"/>
    <x v="3"/>
    <s v="Organic Sunscreen Lotion - Anderson-Riley"/>
    <x v="2"/>
    <n v="266.86"/>
    <x v="3"/>
    <x v="1"/>
    <n v="3703.1600000000003"/>
  </r>
  <r>
    <s v="SALE428"/>
    <d v="2024-08-16T00:00:00"/>
    <s v="CUST1084"/>
    <s v="PROD51"/>
    <s v="STORE6"/>
    <n v="2"/>
    <n v="573.09"/>
    <n v="0.03"/>
    <s v="COD"/>
    <x v="1"/>
    <x v="30"/>
    <x v="1"/>
    <s v="Hdmi Cable – 2M - Bautista, Green And Hale"/>
    <x v="1"/>
    <n v="88.49"/>
    <x v="3"/>
    <x v="2"/>
    <n v="1146.1200000000001"/>
  </r>
  <r>
    <s v="SALE429"/>
    <d v="2025-03-15T00:00:00"/>
    <s v="CUST1183"/>
    <s v="PROD7"/>
    <s v="STORE4"/>
    <n v="4"/>
    <n v="149.83000000000001"/>
    <n v="0.02"/>
    <s v="Credit Card"/>
    <x v="0"/>
    <x v="14"/>
    <x v="1"/>
    <s v="Led Table Lamp - Harrell Llc"/>
    <x v="3"/>
    <n v="218.86"/>
    <x v="2"/>
    <x v="2"/>
    <n v="599.24"/>
  </r>
  <r>
    <s v="SALE430"/>
    <d v="2024-06-02T00:00:00"/>
    <s v="CUST1001"/>
    <s v="PROD51"/>
    <s v="STORE14"/>
    <n v="3"/>
    <n v="287.70999999999998"/>
    <n v="0.03"/>
    <s v="COD"/>
    <x v="1"/>
    <x v="16"/>
    <x v="1"/>
    <s v="Hdmi Cable – 2M - Bautista, Green And Hale"/>
    <x v="1"/>
    <n v="88.49"/>
    <x v="2"/>
    <x v="0"/>
    <n v="863.04"/>
  </r>
  <r>
    <s v="SALE431"/>
    <d v="2025-07-22T00:00:00"/>
    <s v="CUST1094"/>
    <s v="PROD67"/>
    <s v="STORE6"/>
    <n v="2"/>
    <n v="849.8"/>
    <n v="0.06"/>
    <s v="COD"/>
    <x v="1"/>
    <x v="8"/>
    <x v="0"/>
    <s v="Smart Led Light Strip - Flores-Davis"/>
    <x v="1"/>
    <n v="349.17"/>
    <x v="3"/>
    <x v="2"/>
    <n v="1699.48"/>
  </r>
  <r>
    <s v="SALE432"/>
    <d v="2025-03-09T00:00:00"/>
    <s v="CUST1016"/>
    <s v="PROD41"/>
    <s v="STORE3"/>
    <n v="3"/>
    <n v="482.58"/>
    <n v="0.28000000000000003"/>
    <s v="PayPal"/>
    <x v="1"/>
    <x v="2"/>
    <x v="3"/>
    <s v="Yoga Exercise Mat - Carroll, Long And Mendoza"/>
    <x v="0"/>
    <n v="313.26"/>
    <x v="0"/>
    <x v="0"/>
    <n v="1446.9"/>
  </r>
  <r>
    <s v="SALE433"/>
    <d v="2025-02-11T00:00:00"/>
    <s v="CUST1114"/>
    <s v="PROD59"/>
    <s v="STORE2"/>
    <n v="2"/>
    <n v="64.7"/>
    <n v="0"/>
    <s v="Credit Card"/>
    <x v="0"/>
    <x v="8"/>
    <x v="3"/>
    <s v="Men'S Hair Styling Gel - Cline-Mccarthy"/>
    <x v="2"/>
    <n v="17.309999999999999"/>
    <x v="2"/>
    <x v="0"/>
    <n v="129.4"/>
  </r>
  <r>
    <s v="SALE434"/>
    <d v="2023-12-06T00:00:00"/>
    <s v="CUST1148"/>
    <s v="PROD5"/>
    <s v="STORE5"/>
    <n v="3"/>
    <n v="589.83000000000004"/>
    <n v="0.26"/>
    <s v="Credit Card"/>
    <x v="1"/>
    <x v="18"/>
    <x v="3"/>
    <s v="Men'S Leather Belt - Baldwin, Garza And Gonzalez"/>
    <x v="4"/>
    <n v="261"/>
    <x v="0"/>
    <x v="0"/>
    <n v="1768.71"/>
  </r>
  <r>
    <s v="SALE435"/>
    <d v="2025-08-20T00:00:00"/>
    <s v="CUST1288"/>
    <s v="PROD3"/>
    <s v="STORE9"/>
    <n v="4"/>
    <n v="758.49"/>
    <n v="0.16"/>
    <s v="COD"/>
    <x v="0"/>
    <x v="40"/>
    <x v="0"/>
    <s v="Men'S Running Jacket - Pineda Ltd"/>
    <x v="4"/>
    <n v="364.67"/>
    <x v="2"/>
    <x v="1"/>
    <n v="3033.32"/>
  </r>
  <r>
    <s v="SALE436"/>
    <d v="2024-09-20T00:00:00"/>
    <s v="CUST1053"/>
    <s v="PROD37"/>
    <s v="STORE12"/>
    <n v="4"/>
    <n v="747.56"/>
    <n v="0.09"/>
    <s v="COD"/>
    <x v="1"/>
    <x v="20"/>
    <x v="0"/>
    <s v="Men'S Casual Sneakers - Hogan-Lee"/>
    <x v="4"/>
    <n v="353.47"/>
    <x v="0"/>
    <x v="2"/>
    <n v="2989.8799999999997"/>
  </r>
  <r>
    <s v="SALE437"/>
    <d v="2025-06-05T00:00:00"/>
    <s v="CUST1253"/>
    <s v="PROD40"/>
    <s v="STORE17"/>
    <n v="3"/>
    <n v="551.22"/>
    <n v="0.12"/>
    <s v="PayPal"/>
    <x v="0"/>
    <x v="18"/>
    <x v="3"/>
    <s v="Noise-Canceling Headphones - Taylor-Hart"/>
    <x v="1"/>
    <n v="38.520000000000003"/>
    <x v="0"/>
    <x v="1"/>
    <n v="1653.3000000000002"/>
  </r>
  <r>
    <s v="SALE438"/>
    <d v="2025-06-03T00:00:00"/>
    <s v="CUST1159"/>
    <s v="PROD69"/>
    <s v="STORE14"/>
    <n v="2"/>
    <n v="527.05999999999995"/>
    <n v="0.17"/>
    <s v="PayPal"/>
    <x v="1"/>
    <x v="19"/>
    <x v="0"/>
    <s v="Men'S Sports Shorts - Fitzpatrick Ltd"/>
    <x v="4"/>
    <n v="218.22"/>
    <x v="2"/>
    <x v="0"/>
    <n v="1053.78"/>
  </r>
  <r>
    <s v="SALE439"/>
    <d v="2025-01-13T00:00:00"/>
    <s v="CUST1098"/>
    <s v="PROD62"/>
    <s v="STORE5"/>
    <n v="4"/>
    <n v="875.41"/>
    <n v="0.27"/>
    <s v="Credit Card"/>
    <x v="0"/>
    <x v="41"/>
    <x v="0"/>
    <s v="Laptop Cooling Pad - Murray, Gould And Ware"/>
    <x v="1"/>
    <n v="86.42"/>
    <x v="0"/>
    <x v="0"/>
    <n v="3500.56"/>
  </r>
  <r>
    <s v="SALE440"/>
    <d v="2025-03-20T00:00:00"/>
    <s v="CUST1007"/>
    <s v="PROD85"/>
    <s v="STORE0"/>
    <n v="2"/>
    <n v="226.43"/>
    <n v="0.03"/>
    <s v="Credit Card"/>
    <x v="1"/>
    <x v="35"/>
    <x v="3"/>
    <s v="Women'S Beanie Hat - Richardson-Carrillo"/>
    <x v="4"/>
    <n v="119.57"/>
    <x v="3"/>
    <x v="1"/>
    <n v="452.8"/>
  </r>
  <r>
    <s v="SALE441"/>
    <d v="2024-07-07T00:00:00"/>
    <s v="CUST1035"/>
    <s v="PROD79"/>
    <s v="STORE5"/>
    <n v="2"/>
    <n v="285.39"/>
    <n v="0.1"/>
    <s v="Credit Card"/>
    <x v="0"/>
    <x v="16"/>
    <x v="2"/>
    <s v="Decorative Lamp Shade - Ramirez-Hanson"/>
    <x v="3"/>
    <n v="228.53"/>
    <x v="0"/>
    <x v="0"/>
    <n v="570.57999999999993"/>
  </r>
  <r>
    <s v="SALE442"/>
    <d v="2025-09-29T00:00:00"/>
    <s v="CUST1334"/>
    <s v="PROD11"/>
    <s v="STORE15"/>
    <n v="2"/>
    <n v="298.01"/>
    <n v="0.05"/>
    <s v="Credit Card"/>
    <x v="1"/>
    <x v="40"/>
    <x v="2"/>
    <s v="Hd Smart Tv Stick - Gibson, Hobbs And Weaver"/>
    <x v="1"/>
    <n v="449.4"/>
    <x v="0"/>
    <x v="1"/>
    <n v="595.91999999999996"/>
  </r>
  <r>
    <s v="SALE443"/>
    <d v="2024-11-30T00:00:00"/>
    <s v="CUST1159"/>
    <s v="PROD40"/>
    <s v="STORE4"/>
    <n v="4"/>
    <n v="753.49"/>
    <n v="0.26"/>
    <s v="COD"/>
    <x v="1"/>
    <x v="19"/>
    <x v="0"/>
    <s v="Noise-Canceling Headphones - Taylor-Hart"/>
    <x v="1"/>
    <n v="38.520000000000003"/>
    <x v="2"/>
    <x v="2"/>
    <n v="3012.92"/>
  </r>
  <r>
    <s v="SALE444"/>
    <d v="2024-06-17T00:00:00"/>
    <s v="CUST1488"/>
    <s v="PROD78"/>
    <s v="STORE12"/>
    <n v="2"/>
    <n v="130.38999999999999"/>
    <n v="0.17"/>
    <s v="PayPal"/>
    <x v="1"/>
    <x v="24"/>
    <x v="1"/>
    <s v="Essential Oil Diffuser - Hernandez Inc"/>
    <x v="3"/>
    <n v="325.26"/>
    <x v="0"/>
    <x v="2"/>
    <n v="260.44"/>
  </r>
  <r>
    <s v="SALE445"/>
    <d v="2025-02-21T00:00:00"/>
    <s v="CUST1345"/>
    <s v="PROD22"/>
    <s v="STORE9"/>
    <n v="4"/>
    <n v="164.02"/>
    <n v="0.01"/>
    <s v="PayPal"/>
    <x v="0"/>
    <x v="15"/>
    <x v="3"/>
    <s v="Carbon Fiber Tennis Racket - Flores, Pineda And Rodriguez"/>
    <x v="0"/>
    <n v="484.62"/>
    <x v="2"/>
    <x v="1"/>
    <n v="656.04000000000008"/>
  </r>
  <r>
    <s v="SALE446"/>
    <d v="2024-09-16T00:00:00"/>
    <s v="CUST1164"/>
    <s v="PROD29"/>
    <s v="STORE4"/>
    <n v="2"/>
    <n v="527.51"/>
    <n v="0.18"/>
    <s v="PayPal"/>
    <x v="1"/>
    <x v="36"/>
    <x v="2"/>
    <s v="Fabric Sofa Throw Blanket - Hoffman Group"/>
    <x v="3"/>
    <n v="218.48"/>
    <x v="2"/>
    <x v="2"/>
    <n v="1054.6600000000001"/>
  </r>
  <r>
    <s v="SALE447"/>
    <d v="2025-10-09T00:00:00"/>
    <s v="CUST1253"/>
    <s v="PROD57"/>
    <s v="STORE13"/>
    <n v="3"/>
    <n v="628.17999999999995"/>
    <n v="0.26"/>
    <s v="Credit Card"/>
    <x v="0"/>
    <x v="18"/>
    <x v="3"/>
    <s v="Foam Roller - Atkinson, Camacho And Oliver"/>
    <x v="0"/>
    <n v="30.62"/>
    <x v="3"/>
    <x v="1"/>
    <n v="1883.7599999999998"/>
  </r>
  <r>
    <s v="SALE448"/>
    <d v="2024-09-18T00:00:00"/>
    <s v="CUST1269"/>
    <s v="PROD56"/>
    <s v="STORE3"/>
    <n v="1"/>
    <n v="862.31"/>
    <n v="0.06"/>
    <s v="Credit Card"/>
    <x v="1"/>
    <x v="24"/>
    <x v="2"/>
    <s v="Premium Blanket Throw - Hernandez, Kennedy And Porter"/>
    <x v="3"/>
    <n v="461.47"/>
    <x v="0"/>
    <x v="0"/>
    <n v="862.25"/>
  </r>
  <r>
    <s v="SALE449"/>
    <d v="2025-05-29T00:00:00"/>
    <s v="CUST1071"/>
    <s v="PROD83"/>
    <s v="STORE14"/>
    <n v="2"/>
    <n v="541.39"/>
    <n v="0.03"/>
    <s v="COD"/>
    <x v="1"/>
    <x v="23"/>
    <x v="0"/>
    <s v="Hydrating Face Cleanser - Butler Group"/>
    <x v="2"/>
    <n v="289.35937499999994"/>
    <x v="2"/>
    <x v="0"/>
    <n v="1082.72"/>
  </r>
  <r>
    <s v="SALE450"/>
    <d v="2025-06-03T00:00:00"/>
    <s v="CUST1477"/>
    <s v="PROD76"/>
    <s v="STORE16"/>
    <n v="3"/>
    <n v="761.8"/>
    <n v="0.06"/>
    <s v="COD"/>
    <x v="1"/>
    <x v="32"/>
    <x v="1"/>
    <s v="Wireless Mouse - Larson Ltd"/>
    <x v="1"/>
    <n v="392.89"/>
    <x v="1"/>
    <x v="1"/>
    <n v="2285.2200000000003"/>
  </r>
  <r>
    <s v="SALE451"/>
    <d v="2024-08-04T00:00:00"/>
    <s v="CUST1422"/>
    <s v="PROD49"/>
    <s v="STORE2"/>
    <n v="4"/>
    <n v="829.36"/>
    <n v="0.11"/>
    <s v="PayPal"/>
    <x v="1"/>
    <x v="32"/>
    <x v="1"/>
    <s v="Men'S Roll-On Perfume - Sullivan And Sons"/>
    <x v="2"/>
    <n v="43.29"/>
    <x v="2"/>
    <x v="0"/>
    <n v="3317"/>
  </r>
  <r>
    <s v="SALE452"/>
    <d v="2024-06-17T00:00:00"/>
    <s v="CUST1404"/>
    <s v="PROD23"/>
    <s v="STORE16"/>
    <n v="2"/>
    <n v="425.06"/>
    <n v="0.09"/>
    <s v="PayPal"/>
    <x v="1"/>
    <x v="13"/>
    <x v="2"/>
    <s v="Men'S Formal Shirt - Moon, Mora And Santos"/>
    <x v="4"/>
    <n v="248.82191780821913"/>
    <x v="1"/>
    <x v="1"/>
    <n v="849.94"/>
  </r>
  <r>
    <s v="SALE453"/>
    <d v="2024-01-20T00:00:00"/>
    <s v="CUST1127"/>
    <s v="PROD55"/>
    <s v="STORE0"/>
    <n v="2"/>
    <n v="911.14"/>
    <n v="0.1"/>
    <s v="Credit Card"/>
    <x v="0"/>
    <x v="1"/>
    <x v="1"/>
    <s v="Ceramic Plant Pot - Hatfield, Baird And Torres"/>
    <x v="3"/>
    <n v="81.75"/>
    <x v="3"/>
    <x v="1"/>
    <n v="1822.08"/>
  </r>
  <r>
    <s v="SALE454"/>
    <d v="2025-09-06T00:00:00"/>
    <s v="CUST1084"/>
    <s v="PROD68"/>
    <s v="STORE8"/>
    <n v="3"/>
    <n v="811.96"/>
    <n v="0.28999999999999998"/>
    <s v="Credit Card"/>
    <x v="1"/>
    <x v="30"/>
    <x v="1"/>
    <s v="Wooden Nightstand - Wolfe, Ross And Hester"/>
    <x v="3"/>
    <n v="243.7"/>
    <x v="1"/>
    <x v="2"/>
    <n v="2435.0100000000002"/>
  </r>
  <r>
    <s v="SALE455"/>
    <d v="2024-03-29T00:00:00"/>
    <s v="CUST1273"/>
    <s v="PROD31"/>
    <s v="STORE10"/>
    <n v="2"/>
    <n v="780.05"/>
    <n v="0.12"/>
    <s v="COD"/>
    <x v="0"/>
    <x v="25"/>
    <x v="3"/>
    <s v="Basketball - Nolan-Snow"/>
    <x v="0"/>
    <n v="204.39"/>
    <x v="3"/>
    <x v="2"/>
    <n v="1559.86"/>
  </r>
  <r>
    <s v="SALE456"/>
    <d v="2024-08-23T00:00:00"/>
    <s v="CUST1215"/>
    <s v="PROD32"/>
    <s v="STORE9"/>
    <n v="4"/>
    <n v="315.95"/>
    <n v="0.19"/>
    <s v="COD"/>
    <x v="1"/>
    <x v="47"/>
    <x v="0"/>
    <s v="Vitamin C Face Serum - Griffin Ltd"/>
    <x v="2"/>
    <n v="283.83"/>
    <x v="2"/>
    <x v="1"/>
    <n v="1263.04"/>
  </r>
  <r>
    <s v="SALE457"/>
    <d v="2025-05-19T00:00:00"/>
    <s v="CUST1229"/>
    <s v="PROD52"/>
    <s v="STORE9"/>
    <n v="2"/>
    <n v="810.17"/>
    <n v="0.27"/>
    <s v="Credit Card"/>
    <x v="1"/>
    <x v="33"/>
    <x v="3"/>
    <s v="Rugby Ball - Harris Inc"/>
    <x v="0"/>
    <n v="212.26"/>
    <x v="2"/>
    <x v="1"/>
    <n v="1619.8"/>
  </r>
  <r>
    <s v="SALE458"/>
    <d v="2024-04-07T00:00:00"/>
    <s v="CUST1205"/>
    <s v="PROD84"/>
    <s v="STORE4"/>
    <n v="3"/>
    <n v="505.01"/>
    <n v="0.02"/>
    <s v="PayPal"/>
    <x v="1"/>
    <x v="19"/>
    <x v="0"/>
    <s v="Wooden Bookshelf - Collins-Stephenson"/>
    <x v="3"/>
    <n v="388.46"/>
    <x v="2"/>
    <x v="2"/>
    <n v="1514.97"/>
  </r>
  <r>
    <s v="SALE459"/>
    <d v="2024-01-24T00:00:00"/>
    <s v="CUST1467"/>
    <s v="PROD72"/>
    <s v="STORE17"/>
    <n v="2"/>
    <n v="736.75"/>
    <n v="0.18"/>
    <s v="Credit Card"/>
    <x v="1"/>
    <x v="1"/>
    <x v="0"/>
    <s v="Professional Jump Rope - Davis Plc"/>
    <x v="0"/>
    <n v="477.61"/>
    <x v="0"/>
    <x v="1"/>
    <n v="1473.14"/>
  </r>
  <r>
    <s v="SALE460"/>
    <d v="2024-01-20T00:00:00"/>
    <s v="CUST1027"/>
    <s v="PROD77"/>
    <s v="STORE9"/>
    <n v="4"/>
    <n v="700.31"/>
    <n v="0.2"/>
    <s v="PayPal"/>
    <x v="0"/>
    <x v="39"/>
    <x v="4"/>
    <s v="Wifi Mesh Router - White, Reeves And Woods"/>
    <x v="1"/>
    <n v="480.9"/>
    <x v="2"/>
    <x v="1"/>
    <n v="2800.4399999999996"/>
  </r>
  <r>
    <s v="SALE461"/>
    <d v="2023-12-10T00:00:00"/>
    <s v="CUST1129"/>
    <s v="PROD91"/>
    <s v="STORE11"/>
    <n v="4"/>
    <n v="202.46"/>
    <n v="0.24"/>
    <s v="Credit Card"/>
    <x v="1"/>
    <x v="34"/>
    <x v="2"/>
    <s v="Women'S High Heels - Smith-Charles"/>
    <x v="4"/>
    <n v="438.25"/>
    <x v="2"/>
    <x v="2"/>
    <n v="808.88"/>
  </r>
  <r>
    <s v="SALE462"/>
    <d v="2023-12-19T00:00:00"/>
    <s v="CUST1265"/>
    <s v="PROD87"/>
    <s v="STORE1"/>
    <n v="2"/>
    <n v="291.83999999999997"/>
    <n v="0.25"/>
    <s v="PayPal"/>
    <x v="0"/>
    <x v="3"/>
    <x v="2"/>
    <s v="Led Bedside Lamp - Aguilar, Horton And Lewis"/>
    <x v="3"/>
    <n v="371.38"/>
    <x v="0"/>
    <x v="1"/>
    <n v="583.17999999999995"/>
  </r>
  <r>
    <s v="SALE463"/>
    <d v="2023-11-22T00:00:00"/>
    <s v="CUST1163"/>
    <s v="PROD97"/>
    <s v="STORE5"/>
    <n v="2"/>
    <n v="261.48"/>
    <n v="0.17"/>
    <s v="Credit Card"/>
    <x v="0"/>
    <x v="49"/>
    <x v="3"/>
    <s v="Cricket Bat - Khan Llc"/>
    <x v="0"/>
    <n v="245.98"/>
    <x v="0"/>
    <x v="0"/>
    <n v="522.62"/>
  </r>
  <r>
    <s v="SALE464"/>
    <d v="2025-10-08T00:00:00"/>
    <s v="CUST1300"/>
    <s v="PROD36"/>
    <s v="STORE14"/>
    <n v="1"/>
    <n v="850.83"/>
    <n v="0.28000000000000003"/>
    <s v="PayPal"/>
    <x v="0"/>
    <x v="47"/>
    <x v="2"/>
    <s v="Women'S Summer Dress - Smith-Mills"/>
    <x v="4"/>
    <n v="223.43"/>
    <x v="2"/>
    <x v="0"/>
    <n v="850.55000000000007"/>
  </r>
  <r>
    <s v="SALE465"/>
    <d v="2025-02-23T00:00:00"/>
    <s v="CUST1405"/>
    <s v="PROD46"/>
    <s v="STORE9"/>
    <n v="1"/>
    <n v="83.83"/>
    <n v="0.05"/>
    <s v="Credit Card"/>
    <x v="1"/>
    <x v="38"/>
    <x v="0"/>
    <s v="Men'S Winter Jacket - Kelly, Smith And Perez"/>
    <x v="4"/>
    <n v="167.34"/>
    <x v="2"/>
    <x v="1"/>
    <n v="83.78"/>
  </r>
  <r>
    <s v="SALE466"/>
    <d v="2025-02-25T00:00:00"/>
    <s v="CUST1006"/>
    <s v="PROD88"/>
    <s v="STORE16"/>
    <n v="3"/>
    <n v="649.95000000000005"/>
    <n v="0.28000000000000003"/>
    <s v="COD"/>
    <x v="1"/>
    <x v="34"/>
    <x v="1"/>
    <s v="Sports Wrist Sweatbands - Olsen-Daniels"/>
    <x v="0"/>
    <n v="131.24"/>
    <x v="1"/>
    <x v="1"/>
    <n v="1949.0100000000002"/>
  </r>
  <r>
    <s v="SALE467"/>
    <d v="2024-09-30T00:00:00"/>
    <s v="CUST1366"/>
    <s v="PROD73"/>
    <s v="STORE6"/>
    <n v="4"/>
    <n v="934.96"/>
    <n v="0.18"/>
    <s v="PayPal"/>
    <x v="1"/>
    <x v="4"/>
    <x v="1"/>
    <s v="Shin Guards – Adult - French Ltd"/>
    <x v="0"/>
    <n v="107.06"/>
    <x v="3"/>
    <x v="2"/>
    <n v="3739.1200000000003"/>
  </r>
  <r>
    <s v="SALE468"/>
    <d v="2023-12-19T00:00:00"/>
    <s v="CUST1206"/>
    <s v="PROD17"/>
    <s v="STORE14"/>
    <n v="1"/>
    <n v="880.89"/>
    <n v="0.13"/>
    <s v="COD"/>
    <x v="1"/>
    <x v="3"/>
    <x v="2"/>
    <s v="Soccer Training Cone Set - Ford, Murphy And Wilson"/>
    <x v="0"/>
    <n v="144.53"/>
    <x v="2"/>
    <x v="0"/>
    <n v="880.76"/>
  </r>
  <r>
    <s v="SALE469"/>
    <d v="2024-11-18T00:00:00"/>
    <s v="CUST1477"/>
    <s v="PROD98"/>
    <s v="STORE8"/>
    <n v="4"/>
    <n v="610.6"/>
    <n v="0.1"/>
    <s v="PayPal"/>
    <x v="1"/>
    <x v="32"/>
    <x v="1"/>
    <s v="Portable Bluetooth Speaker - Flores-King"/>
    <x v="1"/>
    <n v="431.67"/>
    <x v="1"/>
    <x v="2"/>
    <n v="2442"/>
  </r>
  <r>
    <s v="SALE470"/>
    <d v="2025-09-12T00:00:00"/>
    <s v="CUST1075"/>
    <s v="PROD28"/>
    <s v="STORE18"/>
    <n v="1"/>
    <n v="514.19000000000005"/>
    <n v="0.2"/>
    <s v="Credit Card"/>
    <x v="1"/>
    <x v="24"/>
    <x v="0"/>
    <s v="Sports Stopwatch Timer - Burns-Hansen"/>
    <x v="0"/>
    <n v="38.76"/>
    <x v="3"/>
    <x v="1"/>
    <n v="513.99"/>
  </r>
  <r>
    <s v="SALE471"/>
    <d v="2025-01-31T00:00:00"/>
    <s v="CUST1399"/>
    <s v="PROD37"/>
    <s v="STORE13"/>
    <n v="1"/>
    <n v="546.20000000000005"/>
    <n v="0.22"/>
    <s v="PayPal"/>
    <x v="0"/>
    <x v="17"/>
    <x v="3"/>
    <s v="Men'S Casual Sneakers - Hogan-Lee"/>
    <x v="4"/>
    <n v="353.47"/>
    <x v="3"/>
    <x v="1"/>
    <n v="545.98"/>
  </r>
  <r>
    <s v="SALE472"/>
    <d v="2024-10-26T00:00:00"/>
    <s v="CUST1197"/>
    <s v="PROD37"/>
    <s v="STORE0"/>
    <n v="3"/>
    <n v="416.01"/>
    <n v="0.02"/>
    <s v="Credit Card"/>
    <x v="1"/>
    <x v="46"/>
    <x v="1"/>
    <s v="Men'S Casual Sneakers - Hogan-Lee"/>
    <x v="4"/>
    <n v="353.47"/>
    <x v="3"/>
    <x v="1"/>
    <n v="1247.97"/>
  </r>
  <r>
    <s v="SALE473"/>
    <d v="2025-07-26T00:00:00"/>
    <s v="CUST1384"/>
    <s v="PROD74"/>
    <s v="STORE10"/>
    <n v="1"/>
    <n v="30.94"/>
    <n v="0.21"/>
    <s v="COD"/>
    <x v="1"/>
    <x v="9"/>
    <x v="3"/>
    <s v="Bluetooth Car Audio System - Bruce-Bowen"/>
    <x v="1"/>
    <n v="403.71"/>
    <x v="3"/>
    <x v="2"/>
    <n v="30.73"/>
  </r>
  <r>
    <s v="SALE474"/>
    <d v="2025-08-06T00:00:00"/>
    <s v="CUST1200"/>
    <s v="PROD58"/>
    <s v="STORE16"/>
    <n v="3"/>
    <n v="666.39"/>
    <n v="0.21"/>
    <s v="COD"/>
    <x v="0"/>
    <x v="17"/>
    <x v="1"/>
    <s v="Womens Cotton Scarf - Shepherd-Gould"/>
    <x v="4"/>
    <n v="113.83"/>
    <x v="1"/>
    <x v="1"/>
    <n v="1998.54"/>
  </r>
  <r>
    <s v="SALE475"/>
    <d v="2025-05-20T00:00:00"/>
    <s v="CUST1166"/>
    <s v="PROD81"/>
    <s v="STORE10"/>
    <n v="2"/>
    <n v="145.26"/>
    <n v="0.19"/>
    <s v="PayPal"/>
    <x v="1"/>
    <x v="20"/>
    <x v="2"/>
    <s v="Badminton Racket Set - Robinson-Brown"/>
    <x v="0"/>
    <n v="285.54000000000002"/>
    <x v="3"/>
    <x v="2"/>
    <n v="290.14"/>
  </r>
  <r>
    <s v="SALE476"/>
    <d v="2024-03-13T00:00:00"/>
    <s v="CUST1118"/>
    <s v="PROD91"/>
    <s v="STORE5"/>
    <n v="4"/>
    <n v="940.77"/>
    <n v="0.24"/>
    <s v="COD"/>
    <x v="0"/>
    <x v="48"/>
    <x v="1"/>
    <s v="Women'S High Heels - Smith-Charles"/>
    <x v="4"/>
    <n v="438.25"/>
    <x v="0"/>
    <x v="0"/>
    <n v="3762.12"/>
  </r>
  <r>
    <s v="SALE477"/>
    <d v="2025-02-12T00:00:00"/>
    <s v="CUST1469"/>
    <s v="PROD46"/>
    <s v="STORE17"/>
    <n v="1"/>
    <n v="708.88"/>
    <n v="0.09"/>
    <s v="Credit Card"/>
    <x v="0"/>
    <x v="39"/>
    <x v="0"/>
    <s v="Men'S Winter Jacket - Kelly, Smith And Perez"/>
    <x v="4"/>
    <n v="167.34"/>
    <x v="0"/>
    <x v="1"/>
    <n v="708.79"/>
  </r>
  <r>
    <s v="SALE478"/>
    <d v="2025-09-24T00:00:00"/>
    <s v="CUST1307"/>
    <s v="PROD30"/>
    <s v="STORE2"/>
    <n v="1"/>
    <n v="790.73"/>
    <n v="0.24"/>
    <s v="PayPal"/>
    <x v="1"/>
    <x v="4"/>
    <x v="3"/>
    <s v="Stainless Steel Cutlery Set - Stevens, Fernandez And Martin"/>
    <x v="3"/>
    <n v="19.52"/>
    <x v="2"/>
    <x v="0"/>
    <n v="790.49"/>
  </r>
  <r>
    <s v="SALE479"/>
    <d v="2024-10-09T00:00:00"/>
    <s v="CUST1449"/>
    <s v="PROD15"/>
    <s v="STORE9"/>
    <n v="3"/>
    <n v="635.13"/>
    <n v="0.09"/>
    <s v="PayPal"/>
    <x v="0"/>
    <x v="31"/>
    <x v="3"/>
    <s v="4K Home Projector - Thomas Llc"/>
    <x v="1"/>
    <n v="465.34"/>
    <x v="2"/>
    <x v="1"/>
    <n v="1905.12"/>
  </r>
  <r>
    <s v="SALE480"/>
    <d v="2023-11-03T00:00:00"/>
    <s v="CUST1266"/>
    <s v="PROD93"/>
    <s v="STORE14"/>
    <n v="1"/>
    <n v="744.88"/>
    <n v="0.15"/>
    <s v="COD"/>
    <x v="1"/>
    <x v="27"/>
    <x v="3"/>
    <s v="Usb-C Laptop Charger - Martin Llc"/>
    <x v="1"/>
    <n v="377.52"/>
    <x v="2"/>
    <x v="0"/>
    <n v="744.73"/>
  </r>
  <r>
    <s v="SALE481"/>
    <d v="2025-03-29T00:00:00"/>
    <s v="CUST1183"/>
    <s v="PROD28"/>
    <s v="STORE1"/>
    <n v="3"/>
    <n v="205.34"/>
    <n v="0.25"/>
    <s v="Credit Card"/>
    <x v="0"/>
    <x v="14"/>
    <x v="1"/>
    <s v="Sports Stopwatch Timer - Burns-Hansen"/>
    <x v="0"/>
    <n v="38.76"/>
    <x v="0"/>
    <x v="1"/>
    <n v="615.27"/>
  </r>
  <r>
    <s v="SALE482"/>
    <d v="2025-07-13T00:00:00"/>
    <s v="CUST1419"/>
    <s v="PROD29"/>
    <s v="STORE8"/>
    <n v="2"/>
    <n v="756.8"/>
    <n v="0.15"/>
    <s v="Credit Card"/>
    <x v="0"/>
    <x v="25"/>
    <x v="0"/>
    <s v="Fabric Sofa Throw Blanket - Hoffman Group"/>
    <x v="3"/>
    <n v="218.48"/>
    <x v="1"/>
    <x v="2"/>
    <n v="1513.3"/>
  </r>
  <r>
    <s v="SALE483"/>
    <d v="2024-01-17T00:00:00"/>
    <s v="CUST1044"/>
    <s v="PROD21"/>
    <s v="STORE10"/>
    <n v="1"/>
    <n v="771.73"/>
    <n v="0.2"/>
    <s v="Credit Card"/>
    <x v="0"/>
    <x v="22"/>
    <x v="3"/>
    <s v="Multi-Purpose Storage Box - Gardner-Montes"/>
    <x v="3"/>
    <n v="123.46"/>
    <x v="3"/>
    <x v="2"/>
    <n v="771.53"/>
  </r>
  <r>
    <s v="SALE484"/>
    <d v="2024-12-13T00:00:00"/>
    <s v="CUST1479"/>
    <s v="PROD66"/>
    <s v="STORE17"/>
    <n v="1"/>
    <n v="440.19"/>
    <n v="0.03"/>
    <s v="PayPal"/>
    <x v="0"/>
    <x v="35"/>
    <x v="3"/>
    <s v="Women'S Hair Dryer Brush - Torres, Spencer And Potter"/>
    <x v="2"/>
    <n v="340.39"/>
    <x v="0"/>
    <x v="1"/>
    <n v="440.16"/>
  </r>
  <r>
    <s v="SALE485"/>
    <d v="2025-09-19T00:00:00"/>
    <s v="CUST1047"/>
    <s v="PROD4"/>
    <s v="STORE2"/>
    <n v="2"/>
    <n v="409"/>
    <n v="0.17"/>
    <s v="Credit Card"/>
    <x v="1"/>
    <x v="8"/>
    <x v="2"/>
    <s v="Women'S Yoga Pants - Gonzales-Davis"/>
    <x v="4"/>
    <n v="306.45999999999998"/>
    <x v="2"/>
    <x v="0"/>
    <n v="817.66"/>
  </r>
  <r>
    <s v="SALE486"/>
    <d v="2024-02-11T00:00:00"/>
    <s v="CUST1343"/>
    <s v="PROD38"/>
    <s v="STORE19"/>
    <n v="3"/>
    <n v="134.58000000000001"/>
    <n v="0.04"/>
    <s v="COD"/>
    <x v="0"/>
    <x v="45"/>
    <x v="3"/>
    <s v="Sports Water Hydration Pack - Sims-Smith"/>
    <x v="0"/>
    <n v="135.61000000000001"/>
    <x v="3"/>
    <x v="2"/>
    <n v="403.62000000000006"/>
  </r>
  <r>
    <s v="SALE487"/>
    <d v="2025-06-03T00:00:00"/>
    <s v="CUST1348"/>
    <s v="PROD39"/>
    <s v="STORE7"/>
    <n v="4"/>
    <n v="284.44"/>
    <n v="0.02"/>
    <s v="Credit Card"/>
    <x v="0"/>
    <x v="2"/>
    <x v="2"/>
    <s v="Portable Power Bank - Cummings And Sons"/>
    <x v="1"/>
    <n v="326.06"/>
    <x v="2"/>
    <x v="2"/>
    <n v="1137.68"/>
  </r>
  <r>
    <s v="SALE488"/>
    <d v="2025-03-10T00:00:00"/>
    <s v="CUST1405"/>
    <s v="PROD73"/>
    <s v="STORE13"/>
    <n v="4"/>
    <n v="922.69"/>
    <n v="0.16"/>
    <s v="Credit Card"/>
    <x v="1"/>
    <x v="38"/>
    <x v="0"/>
    <s v="Shin Guards – Adult - French Ltd"/>
    <x v="0"/>
    <n v="107.06"/>
    <x v="3"/>
    <x v="1"/>
    <n v="3690.1200000000003"/>
  </r>
  <r>
    <s v="SALE489"/>
    <d v="2024-12-18T00:00:00"/>
    <s v="CUST1275"/>
    <s v="PROD36"/>
    <s v="STORE6"/>
    <n v="2"/>
    <n v="992.55"/>
    <n v="0.28000000000000003"/>
    <s v="Credit Card"/>
    <x v="0"/>
    <x v="27"/>
    <x v="0"/>
    <s v="Women'S Summer Dress - Smith-Mills"/>
    <x v="4"/>
    <n v="223.43"/>
    <x v="3"/>
    <x v="2"/>
    <n v="1984.54"/>
  </r>
  <r>
    <s v="SALE490"/>
    <d v="2024-03-20T00:00:00"/>
    <s v="CUST1418"/>
    <s v="PROD89"/>
    <s v="STORE18"/>
    <n v="1"/>
    <n v="170.43"/>
    <n v="0.03"/>
    <s v="Credit Card"/>
    <x v="1"/>
    <x v="21"/>
    <x v="2"/>
    <s v="Face Foundation Kit - Taylor-Elliott"/>
    <x v="2"/>
    <n v="183.04"/>
    <x v="3"/>
    <x v="1"/>
    <n v="170.4"/>
  </r>
  <r>
    <s v="SALE491"/>
    <d v="2024-06-19T00:00:00"/>
    <s v="CUST1223"/>
    <s v="PROD72"/>
    <s v="STORE2"/>
    <n v="3"/>
    <n v="480.51"/>
    <n v="0.03"/>
    <s v="Credit Card"/>
    <x v="0"/>
    <x v="9"/>
    <x v="1"/>
    <s v="Professional Jump Rope - Davis Plc"/>
    <x v="0"/>
    <n v="477.61"/>
    <x v="2"/>
    <x v="0"/>
    <n v="1441.44"/>
  </r>
  <r>
    <s v="SALE492"/>
    <d v="2024-12-06T00:00:00"/>
    <s v="CUST1156"/>
    <s v="PROD49"/>
    <s v="STORE7"/>
    <n v="2"/>
    <n v="955.66"/>
    <n v="0.28999999999999998"/>
    <s v="COD"/>
    <x v="0"/>
    <x v="16"/>
    <x v="3"/>
    <s v="Men'S Roll-On Perfume - Sullivan And Sons"/>
    <x v="2"/>
    <n v="43.29"/>
    <x v="2"/>
    <x v="2"/>
    <n v="1910.74"/>
  </r>
  <r>
    <s v="SALE493"/>
    <d v="2025-07-25T00:00:00"/>
    <s v="CUST1451"/>
    <s v="PROD72"/>
    <s v="STORE0"/>
    <n v="2"/>
    <n v="488.02"/>
    <n v="0.27"/>
    <s v="PayPal"/>
    <x v="0"/>
    <x v="23"/>
    <x v="0"/>
    <s v="Professional Jump Rope - Davis Plc"/>
    <x v="0"/>
    <n v="477.61"/>
    <x v="3"/>
    <x v="1"/>
    <n v="975.5"/>
  </r>
  <r>
    <s v="SALE494"/>
    <d v="2024-07-28T00:00:00"/>
    <s v="CUST1240"/>
    <s v="PROD18"/>
    <s v="STORE0"/>
    <n v="1"/>
    <n v="917.17"/>
    <n v="0.13"/>
    <s v="COD"/>
    <x v="1"/>
    <x v="20"/>
    <x v="1"/>
    <s v="Women'S Denim Jeans - Guerra-Hendrix"/>
    <x v="4"/>
    <n v="245.7783116883117"/>
    <x v="3"/>
    <x v="1"/>
    <n v="917.04"/>
  </r>
  <r>
    <s v="SALE495"/>
    <d v="2024-10-03T00:00:00"/>
    <s v="CUST1324"/>
    <s v="PROD8"/>
    <s v="STORE5"/>
    <n v="2"/>
    <n v="406.46"/>
    <n v="0.3"/>
    <s v="PayPal"/>
    <x v="0"/>
    <x v="15"/>
    <x v="3"/>
    <s v="Wireless Bluetooth Earbuds - Perez-Johnston"/>
    <x v="1"/>
    <n v="439.07"/>
    <x v="0"/>
    <x v="0"/>
    <n v="812.31999999999994"/>
  </r>
  <r>
    <s v="SALE496"/>
    <d v="2023-11-08T00:00:00"/>
    <s v="CUST1232"/>
    <s v="PROD95"/>
    <s v="STORE0"/>
    <n v="2"/>
    <n v="264.39"/>
    <n v="0.11"/>
    <s v="COD"/>
    <x v="1"/>
    <x v="19"/>
    <x v="1"/>
    <s v="Sports Stopwatch Basic - Wilson Group"/>
    <x v="0"/>
    <n v="60.65"/>
    <x v="3"/>
    <x v="1"/>
    <n v="528.55999999999995"/>
  </r>
  <r>
    <s v="SALE497"/>
    <d v="2025-04-07T00:00:00"/>
    <s v="CUST1191"/>
    <s v="PROD68"/>
    <s v="STORE16"/>
    <n v="1"/>
    <n v="414.97"/>
    <n v="0.22"/>
    <s v="PayPal"/>
    <x v="1"/>
    <x v="31"/>
    <x v="3"/>
    <s v="Wooden Nightstand - Wolfe, Ross And Hester"/>
    <x v="3"/>
    <n v="243.7"/>
    <x v="1"/>
    <x v="1"/>
    <n v="414.75"/>
  </r>
  <r>
    <s v="SALE498"/>
    <d v="2023-12-20T00:00:00"/>
    <s v="CUST1146"/>
    <s v="PROD25"/>
    <s v="STORE12"/>
    <n v="2"/>
    <n v="583.51"/>
    <n v="0.2"/>
    <s v="COD"/>
    <x v="1"/>
    <x v="42"/>
    <x v="0"/>
    <s v="Women'S Scarf Set - Brown And Sons"/>
    <x v="4"/>
    <n v="174.02"/>
    <x v="0"/>
    <x v="2"/>
    <n v="1166.6199999999999"/>
  </r>
  <r>
    <s v="SALE499"/>
    <d v="2025-09-11T00:00:00"/>
    <s v="CUST1011"/>
    <s v="PROD31"/>
    <s v="STORE17"/>
    <n v="1"/>
    <n v="659.27"/>
    <n v="0.15"/>
    <s v="PayPal"/>
    <x v="1"/>
    <x v="14"/>
    <x v="0"/>
    <s v="Basketball - Nolan-Snow"/>
    <x v="0"/>
    <n v="204.39"/>
    <x v="0"/>
    <x v="1"/>
    <n v="659.12"/>
  </r>
  <r>
    <s v="SALE500"/>
    <d v="2024-12-01T00:00:00"/>
    <s v="CUST1445"/>
    <s v="PROD2"/>
    <s v="STORE4"/>
    <n v="4"/>
    <n v="106.66"/>
    <n v="0.2"/>
    <s v="COD"/>
    <x v="1"/>
    <x v="45"/>
    <x v="1"/>
    <s v="Women'S Casual Hoodie - Sims Inc"/>
    <x v="4"/>
    <n v="254.62086956521742"/>
    <x v="2"/>
    <x v="2"/>
    <n v="425.84"/>
  </r>
  <r>
    <s v="SALE501"/>
    <d v="2024-11-21T00:00:00"/>
    <s v="CUST1163"/>
    <s v="PROD10"/>
    <s v="STORE5"/>
    <n v="4"/>
    <n v="168.55"/>
    <n v="0.15"/>
    <s v="PayPal"/>
    <x v="0"/>
    <x v="49"/>
    <x v="3"/>
    <s v="Ceramic Kitchen Bowl Set - Hamilton Group"/>
    <x v="3"/>
    <n v="298.86"/>
    <x v="0"/>
    <x v="0"/>
    <n v="673.6"/>
  </r>
  <r>
    <s v="SALE502"/>
    <d v="2025-08-30T00:00:00"/>
    <s v="CUST1488"/>
    <s v="PROD44"/>
    <s v="STORE2"/>
    <n v="1"/>
    <n v="230.53"/>
    <n v="0.06"/>
    <s v="COD"/>
    <x v="1"/>
    <x v="24"/>
    <x v="1"/>
    <s v="Adjustable Jump Rope - Cox Inc"/>
    <x v="0"/>
    <n v="167.12"/>
    <x v="2"/>
    <x v="0"/>
    <n v="230.47"/>
  </r>
  <r>
    <s v="SALE503"/>
    <d v="2025-08-20T00:00:00"/>
    <s v="CUST1007"/>
    <s v="PROD54"/>
    <s v="STORE1"/>
    <n v="2"/>
    <n v="355.41"/>
    <n v="0.13"/>
    <s v="COD"/>
    <x v="1"/>
    <x v="35"/>
    <x v="3"/>
    <s v="Sports Stopwatch Pro - Thompson-French"/>
    <x v="0"/>
    <n v="434.84"/>
    <x v="0"/>
    <x v="1"/>
    <n v="710.56000000000006"/>
  </r>
  <r>
    <s v="SALE504"/>
    <d v="2025-10-13T00:00:00"/>
    <s v="CUST1167"/>
    <s v="PROD47"/>
    <s v="STORE2"/>
    <n v="3"/>
    <n v="843.44"/>
    <n v="0.22"/>
    <s v="Credit Card"/>
    <x v="1"/>
    <x v="3"/>
    <x v="0"/>
    <s v="Makeup Brush Set - Cook Inc"/>
    <x v="2"/>
    <n v="255.04901960784306"/>
    <x v="2"/>
    <x v="0"/>
    <n v="2529.66"/>
  </r>
  <r>
    <s v="SALE505"/>
    <d v="2024-01-15T00:00:00"/>
    <s v="CUST1163"/>
    <s v="PROD95"/>
    <s v="STORE1"/>
    <n v="1"/>
    <n v="301.60000000000002"/>
    <n v="0.27"/>
    <s v="Credit Card"/>
    <x v="0"/>
    <x v="49"/>
    <x v="3"/>
    <s v="Sports Stopwatch Basic - Wilson Group"/>
    <x v="0"/>
    <n v="60.65"/>
    <x v="0"/>
    <x v="1"/>
    <n v="301.33000000000004"/>
  </r>
  <r>
    <s v="SALE506"/>
    <d v="2025-04-25T00:00:00"/>
    <s v="CUST1042"/>
    <s v="PROD89"/>
    <s v="STORE2"/>
    <n v="3"/>
    <n v="21.59"/>
    <n v="0.16"/>
    <s v="COD"/>
    <x v="0"/>
    <x v="40"/>
    <x v="1"/>
    <s v="Face Foundation Kit - Taylor-Elliott"/>
    <x v="2"/>
    <n v="183.04"/>
    <x v="2"/>
    <x v="0"/>
    <n v="64.289999999999992"/>
  </r>
  <r>
    <s v="SALE507"/>
    <d v="2024-02-24T00:00:00"/>
    <s v="CUST1212"/>
    <s v="PROD13"/>
    <s v="STORE2"/>
    <n v="4"/>
    <n v="284.24"/>
    <n v="0.09"/>
    <s v="Credit Card"/>
    <x v="1"/>
    <x v="7"/>
    <x v="1"/>
    <s v="Usb-C Fast Charger - Dawson-Perkins"/>
    <x v="1"/>
    <n v="242.23"/>
    <x v="2"/>
    <x v="0"/>
    <n v="1136.6000000000001"/>
  </r>
  <r>
    <s v="SALE508"/>
    <d v="2024-12-30T00:00:00"/>
    <s v="CUST1368"/>
    <s v="PROD5"/>
    <s v="STORE9"/>
    <n v="1"/>
    <n v="191.6"/>
    <n v="0.27"/>
    <s v="PayPal"/>
    <x v="1"/>
    <x v="14"/>
    <x v="1"/>
    <s v="Men'S Leather Belt - Baldwin, Garza And Gonzalez"/>
    <x v="4"/>
    <n v="261"/>
    <x v="2"/>
    <x v="1"/>
    <n v="191.32999999999998"/>
  </r>
  <r>
    <s v="SALE509"/>
    <d v="2025-04-15T00:00:00"/>
    <s v="CUST1311"/>
    <s v="PROD78"/>
    <s v="STORE12"/>
    <n v="2"/>
    <n v="616.97"/>
    <n v="0.22"/>
    <s v="Credit Card"/>
    <x v="0"/>
    <x v="47"/>
    <x v="1"/>
    <s v="Essential Oil Diffuser - Hernandez Inc"/>
    <x v="3"/>
    <n v="325.26"/>
    <x v="0"/>
    <x v="2"/>
    <n v="1233.5"/>
  </r>
  <r>
    <s v="SALE510"/>
    <d v="2024-10-15T00:00:00"/>
    <s v="CUST1168"/>
    <s v="PROD28"/>
    <s v="STORE10"/>
    <n v="3"/>
    <n v="125.68"/>
    <n v="0.26"/>
    <s v="COD"/>
    <x v="1"/>
    <x v="26"/>
    <x v="1"/>
    <s v="Sports Stopwatch Timer - Burns-Hansen"/>
    <x v="0"/>
    <n v="38.76"/>
    <x v="3"/>
    <x v="2"/>
    <n v="376.26"/>
  </r>
  <r>
    <s v="SALE511"/>
    <d v="2025-01-19T00:00:00"/>
    <s v="CUST1352"/>
    <s v="PROD43"/>
    <s v="STORE4"/>
    <n v="3"/>
    <n v="307.48"/>
    <n v="0.24"/>
    <s v="Credit Card"/>
    <x v="1"/>
    <x v="18"/>
    <x v="2"/>
    <s v="Usb External Hard Drive - Robinson Inc"/>
    <x v="1"/>
    <n v="253.33"/>
    <x v="2"/>
    <x v="2"/>
    <n v="921.72"/>
  </r>
  <r>
    <s v="SALE512"/>
    <d v="2024-07-22T00:00:00"/>
    <s v="CUST1298"/>
    <s v="PROD2"/>
    <s v="STORE19"/>
    <n v="1"/>
    <n v="505.23"/>
    <n v="0.11"/>
    <s v="Credit Card"/>
    <x v="0"/>
    <x v="17"/>
    <x v="1"/>
    <s v="Women'S Casual Hoodie - Sims Inc"/>
    <x v="4"/>
    <n v="254.62086956521742"/>
    <x v="3"/>
    <x v="2"/>
    <n v="505.12"/>
  </r>
  <r>
    <s v="SALE513"/>
    <d v="2025-03-19T00:00:00"/>
    <s v="CUST1365"/>
    <s v="PROD45"/>
    <s v="STORE16"/>
    <n v="1"/>
    <n v="853.12"/>
    <n v="0.19"/>
    <s v="COD"/>
    <x v="1"/>
    <x v="41"/>
    <x v="1"/>
    <s v="High-Grip Football - Bridges, Banks And Cummings"/>
    <x v="0"/>
    <n v="318.91000000000003"/>
    <x v="1"/>
    <x v="1"/>
    <n v="852.93"/>
  </r>
  <r>
    <s v="SALE514"/>
    <d v="2024-01-21T00:00:00"/>
    <s v="CUST1129"/>
    <s v="PROD0"/>
    <s v="STORE7"/>
    <n v="4"/>
    <n v="191.65"/>
    <n v="0.19"/>
    <s v="PayPal"/>
    <x v="1"/>
    <x v="34"/>
    <x v="2"/>
    <s v="Brother Laser Printer - Hunt Inc"/>
    <x v="1"/>
    <n v="112.42"/>
    <x v="2"/>
    <x v="2"/>
    <n v="765.84"/>
  </r>
  <r>
    <s v="SALE515"/>
    <d v="2023-12-26T00:00:00"/>
    <s v="CUST1160"/>
    <s v="PROD47"/>
    <s v="STORE3"/>
    <n v="1"/>
    <n v="169.69"/>
    <n v="0.22"/>
    <s v="Credit Card"/>
    <x v="1"/>
    <x v="29"/>
    <x v="1"/>
    <s v="Makeup Brush Set - Cook Inc"/>
    <x v="2"/>
    <n v="255.04901960784306"/>
    <x v="0"/>
    <x v="0"/>
    <n v="169.47"/>
  </r>
  <r>
    <s v="SALE516"/>
    <d v="2024-03-21T00:00:00"/>
    <s v="CUST1175"/>
    <s v="PROD62"/>
    <s v="STORE14"/>
    <n v="1"/>
    <n v="145.43"/>
    <n v="0.08"/>
    <s v="Credit Card"/>
    <x v="0"/>
    <x v="22"/>
    <x v="1"/>
    <s v="Laptop Cooling Pad - Murray, Gould And Ware"/>
    <x v="1"/>
    <n v="86.42"/>
    <x v="2"/>
    <x v="0"/>
    <n v="145.35"/>
  </r>
  <r>
    <s v="SALE517"/>
    <d v="2024-12-07T00:00:00"/>
    <s v="CUST1084"/>
    <s v="PROD93"/>
    <s v="STORE12"/>
    <n v="4"/>
    <n v="828.35"/>
    <n v="0.17"/>
    <s v="Credit Card"/>
    <x v="1"/>
    <x v="30"/>
    <x v="1"/>
    <s v="Usb-C Laptop Charger - Martin Llc"/>
    <x v="1"/>
    <n v="377.52"/>
    <x v="0"/>
    <x v="2"/>
    <n v="3312.7200000000003"/>
  </r>
  <r>
    <s v="SALE518"/>
    <d v="2024-11-02T00:00:00"/>
    <s v="CUST1362"/>
    <s v="PROD95"/>
    <s v="STORE7"/>
    <n v="3"/>
    <n v="268.76"/>
    <n v="0.01"/>
    <s v="PayPal"/>
    <x v="0"/>
    <x v="41"/>
    <x v="0"/>
    <s v="Sports Stopwatch Basic - Wilson Group"/>
    <x v="0"/>
    <n v="60.65"/>
    <x v="2"/>
    <x v="2"/>
    <n v="806.25"/>
  </r>
  <r>
    <s v="SALE519"/>
    <d v="2024-07-22T00:00:00"/>
    <s v="CUST1233"/>
    <s v="PROD88"/>
    <s v="STORE0"/>
    <n v="4"/>
    <n v="370.09"/>
    <n v="0.22"/>
    <s v="COD"/>
    <x v="0"/>
    <x v="35"/>
    <x v="2"/>
    <s v="Sports Wrist Sweatbands - Olsen-Daniels"/>
    <x v="0"/>
    <n v="131.24"/>
    <x v="3"/>
    <x v="1"/>
    <n v="1479.4799999999998"/>
  </r>
  <r>
    <s v="SALE520"/>
    <d v="2023-10-30T00:00:00"/>
    <s v="CUST1253"/>
    <s v="PROD78"/>
    <s v="STORE6"/>
    <n v="3"/>
    <n v="679.22"/>
    <n v="0.11"/>
    <s v="PayPal"/>
    <x v="0"/>
    <x v="18"/>
    <x v="3"/>
    <s v="Essential Oil Diffuser - Hernandez Inc"/>
    <x v="3"/>
    <n v="325.26"/>
    <x v="3"/>
    <x v="2"/>
    <n v="2037.33"/>
  </r>
  <r>
    <s v="SALE521"/>
    <d v="2024-05-21T00:00:00"/>
    <s v="CUST1373"/>
    <s v="PROD73"/>
    <s v="STORE0"/>
    <n v="3"/>
    <n v="780.69"/>
    <n v="0.1"/>
    <s v="COD"/>
    <x v="1"/>
    <x v="17"/>
    <x v="0"/>
    <s v="Shin Guards – Adult - French Ltd"/>
    <x v="0"/>
    <n v="107.06"/>
    <x v="3"/>
    <x v="1"/>
    <n v="2341.77"/>
  </r>
  <r>
    <s v="SALE522"/>
    <d v="2025-04-19T00:00:00"/>
    <s v="CUST1261"/>
    <s v="PROD42"/>
    <s v="STORE2"/>
    <n v="2"/>
    <n v="42.97"/>
    <n v="0.18"/>
    <s v="PayPal"/>
    <x v="1"/>
    <x v="47"/>
    <x v="2"/>
    <s v="Smart Home Wifi Camera - Holmes Llc"/>
    <x v="1"/>
    <n v="450.71"/>
    <x v="2"/>
    <x v="0"/>
    <n v="85.58"/>
  </r>
  <r>
    <s v="SALE523"/>
    <d v="2024-12-13T00:00:00"/>
    <s v="CUST1286"/>
    <s v="PROD82"/>
    <s v="STORE0"/>
    <n v="4"/>
    <n v="854.37"/>
    <n v="7.0000000000000007E-2"/>
    <s v="PayPal"/>
    <x v="0"/>
    <x v="34"/>
    <x v="2"/>
    <s v="Fitness Resistance Bands - Reese-Watson"/>
    <x v="0"/>
    <n v="152.91999999999999"/>
    <x v="3"/>
    <x v="1"/>
    <n v="3417.2"/>
  </r>
  <r>
    <s v="SALE524"/>
    <d v="2025-04-27T00:00:00"/>
    <s v="CUST1100"/>
    <s v="PROD24"/>
    <s v="STORE16"/>
    <n v="2"/>
    <n v="409.52"/>
    <n v="0.06"/>
    <s v="COD"/>
    <x v="1"/>
    <x v="11"/>
    <x v="1"/>
    <s v="Foldable Camping Chair - Cook Ltd"/>
    <x v="0"/>
    <n v="166.06"/>
    <x v="1"/>
    <x v="1"/>
    <n v="818.92"/>
  </r>
  <r>
    <s v="SALE525"/>
    <d v="2024-10-04T00:00:00"/>
    <s v="CUST1164"/>
    <s v="PROD74"/>
    <s v="STORE10"/>
    <n v="2"/>
    <n v="407.46"/>
    <n v="0.21"/>
    <s v="Credit Card"/>
    <x v="1"/>
    <x v="36"/>
    <x v="2"/>
    <s v="Bluetooth Car Audio System - Bruce-Bowen"/>
    <x v="1"/>
    <n v="403.71"/>
    <x v="3"/>
    <x v="2"/>
    <n v="814.5"/>
  </r>
  <r>
    <s v="SALE526"/>
    <d v="2025-07-18T00:00:00"/>
    <s v="CUST1228"/>
    <s v="PROD4"/>
    <s v="STORE8"/>
    <n v="1"/>
    <n v="728.84"/>
    <n v="0.28000000000000003"/>
    <s v="PayPal"/>
    <x v="1"/>
    <x v="39"/>
    <x v="0"/>
    <s v="Women'S Yoga Pants - Gonzales-Davis"/>
    <x v="4"/>
    <n v="306.45999999999998"/>
    <x v="1"/>
    <x v="2"/>
    <n v="728.56000000000006"/>
  </r>
  <r>
    <s v="SALE527"/>
    <d v="2024-03-11T00:00:00"/>
    <s v="CUST1453"/>
    <s v="PROD78"/>
    <s v="STORE6"/>
    <n v="4"/>
    <n v="467.24"/>
    <n v="0.08"/>
    <s v="PayPal"/>
    <x v="1"/>
    <x v="22"/>
    <x v="1"/>
    <s v="Essential Oil Diffuser - Hernandez Inc"/>
    <x v="3"/>
    <n v="325.26"/>
    <x v="3"/>
    <x v="2"/>
    <n v="1868.64"/>
  </r>
  <r>
    <s v="SALE528"/>
    <d v="2024-06-14T00:00:00"/>
    <s v="CUST1092"/>
    <s v="PROD10"/>
    <s v="STORE11"/>
    <n v="1"/>
    <n v="57.94"/>
    <n v="0.13"/>
    <s v="PayPal"/>
    <x v="1"/>
    <x v="3"/>
    <x v="1"/>
    <s v="Ceramic Kitchen Bowl Set - Hamilton Group"/>
    <x v="3"/>
    <n v="298.86"/>
    <x v="2"/>
    <x v="2"/>
    <n v="57.809999999999995"/>
  </r>
  <r>
    <s v="SALE529"/>
    <d v="2024-02-16T00:00:00"/>
    <s v="CUST1344"/>
    <s v="PROD49"/>
    <s v="STORE17"/>
    <n v="1"/>
    <n v="540.1"/>
    <n v="0.22"/>
    <s v="Credit Card"/>
    <x v="0"/>
    <x v="23"/>
    <x v="0"/>
    <s v="Men'S Roll-On Perfume - Sullivan And Sons"/>
    <x v="2"/>
    <n v="43.29"/>
    <x v="0"/>
    <x v="1"/>
    <n v="539.88"/>
  </r>
  <r>
    <s v="SALE530"/>
    <d v="2024-09-17T00:00:00"/>
    <s v="CUST1077"/>
    <s v="PROD8"/>
    <s v="STORE19"/>
    <n v="4"/>
    <n v="816.28"/>
    <n v="0.15"/>
    <s v="COD"/>
    <x v="0"/>
    <x v="1"/>
    <x v="0"/>
    <s v="Wireless Bluetooth Earbuds - Perez-Johnston"/>
    <x v="1"/>
    <n v="439.07"/>
    <x v="3"/>
    <x v="2"/>
    <n v="3264.52"/>
  </r>
  <r>
    <s v="SALE531"/>
    <d v="2025-08-26T00:00:00"/>
    <s v="CUST1178"/>
    <s v="PROD42"/>
    <s v="STORE8"/>
    <n v="4"/>
    <n v="727.49"/>
    <n v="0.11"/>
    <s v="Credit Card"/>
    <x v="1"/>
    <x v="42"/>
    <x v="3"/>
    <s v="Smart Home Wifi Camera - Holmes Llc"/>
    <x v="1"/>
    <n v="450.71"/>
    <x v="1"/>
    <x v="2"/>
    <n v="2909.52"/>
  </r>
  <r>
    <s v="SALE532"/>
    <d v="2024-06-04T00:00:00"/>
    <s v="CUST1171"/>
    <s v="PROD86"/>
    <s v="STORE13"/>
    <n v="4"/>
    <n v="817.92"/>
    <n v="0.21"/>
    <s v="Credit Card"/>
    <x v="1"/>
    <x v="30"/>
    <x v="1"/>
    <s v="Kitchen Cutting Board - Taylor, Dodson And Johnston"/>
    <x v="3"/>
    <n v="176.07"/>
    <x v="3"/>
    <x v="1"/>
    <n v="3270.8399999999997"/>
  </r>
  <r>
    <s v="SALE533"/>
    <d v="2024-10-13T00:00:00"/>
    <s v="CUST1325"/>
    <s v="PROD38"/>
    <s v="STORE7"/>
    <n v="2"/>
    <n v="358.45"/>
    <n v="7.0000000000000007E-2"/>
    <s v="COD"/>
    <x v="0"/>
    <x v="18"/>
    <x v="3"/>
    <s v="Sports Water Hydration Pack - Sims-Smith"/>
    <x v="0"/>
    <n v="135.61000000000001"/>
    <x v="2"/>
    <x v="2"/>
    <n v="716.76"/>
  </r>
  <r>
    <s v="SALE534"/>
    <d v="2025-02-09T00:00:00"/>
    <s v="CUST1201"/>
    <s v="PROD87"/>
    <s v="STORE9"/>
    <n v="1"/>
    <n v="972.06"/>
    <n v="0.3"/>
    <s v="COD"/>
    <x v="1"/>
    <x v="20"/>
    <x v="3"/>
    <s v="Led Bedside Lamp - Aguilar, Horton And Lewis"/>
    <x v="3"/>
    <n v="371.38"/>
    <x v="2"/>
    <x v="1"/>
    <n v="971.76"/>
  </r>
  <r>
    <s v="SALE535"/>
    <d v="2023-12-21T00:00:00"/>
    <s v="CUST1032"/>
    <s v="PROD16"/>
    <s v="STORE0"/>
    <n v="1"/>
    <n v="791.36"/>
    <n v="0.06"/>
    <s v="PayPal"/>
    <x v="1"/>
    <x v="28"/>
    <x v="0"/>
    <s v="Beard Grooming Kit - Erickson-Green"/>
    <x v="2"/>
    <n v="337.42"/>
    <x v="3"/>
    <x v="1"/>
    <n v="791.30000000000007"/>
  </r>
  <r>
    <s v="SALE536"/>
    <d v="2025-07-17T00:00:00"/>
    <s v="CUST1314"/>
    <s v="PROD64"/>
    <s v="STORE5"/>
    <n v="4"/>
    <n v="839.65"/>
    <n v="0.26"/>
    <s v="COD"/>
    <x v="1"/>
    <x v="7"/>
    <x v="2"/>
    <s v="Matte Lipstick Set - Zhang Inc"/>
    <x v="2"/>
    <n v="299.11"/>
    <x v="0"/>
    <x v="0"/>
    <n v="3357.56"/>
  </r>
  <r>
    <s v="SALE537"/>
    <d v="2025-05-16T00:00:00"/>
    <s v="CUST1255"/>
    <s v="PROD72"/>
    <s v="STORE2"/>
    <n v="2"/>
    <n v="245.52"/>
    <n v="0.11"/>
    <s v="COD"/>
    <x v="0"/>
    <x v="31"/>
    <x v="0"/>
    <s v="Professional Jump Rope - Davis Plc"/>
    <x v="0"/>
    <n v="477.61"/>
    <x v="2"/>
    <x v="0"/>
    <n v="490.82"/>
  </r>
  <r>
    <s v="SALE538"/>
    <d v="2025-08-12T00:00:00"/>
    <s v="CUST1388"/>
    <s v="PROD82"/>
    <s v="STORE8"/>
    <n v="3"/>
    <n v="787.91"/>
    <n v="0.06"/>
    <s v="PayPal"/>
    <x v="0"/>
    <x v="6"/>
    <x v="1"/>
    <s v="Fitness Resistance Bands - Reese-Watson"/>
    <x v="0"/>
    <n v="152.91999999999999"/>
    <x v="1"/>
    <x v="2"/>
    <n v="2363.5500000000002"/>
  </r>
  <r>
    <s v="SALE539"/>
    <d v="2025-08-21T00:00:00"/>
    <s v="CUST1053"/>
    <s v="PROD75"/>
    <s v="STORE4"/>
    <n v="2"/>
    <n v="709.17"/>
    <n v="0.22"/>
    <s v="Credit Card"/>
    <x v="1"/>
    <x v="20"/>
    <x v="0"/>
    <s v="Women'S Ankle Boots - Poole Plc"/>
    <x v="4"/>
    <n v="158.13999999999999"/>
    <x v="2"/>
    <x v="2"/>
    <n v="1417.8999999999999"/>
  </r>
  <r>
    <s v="SALE540"/>
    <d v="2023-11-21T00:00:00"/>
    <s v="CUST1235"/>
    <s v="PROD91"/>
    <s v="STORE7"/>
    <n v="2"/>
    <n v="533.91999999999996"/>
    <n v="0.13"/>
    <s v="Credit Card"/>
    <x v="1"/>
    <x v="37"/>
    <x v="3"/>
    <s v="Women'S High Heels - Smith-Charles"/>
    <x v="4"/>
    <n v="438.25"/>
    <x v="2"/>
    <x v="2"/>
    <n v="1067.58"/>
  </r>
  <r>
    <s v="SALE541"/>
    <d v="2025-02-07T00:00:00"/>
    <s v="CUST1492"/>
    <s v="PROD42"/>
    <s v="STORE0"/>
    <n v="1"/>
    <n v="878.84"/>
    <n v="0.28000000000000003"/>
    <s v="COD"/>
    <x v="1"/>
    <x v="26"/>
    <x v="1"/>
    <s v="Smart Home Wifi Camera - Holmes Llc"/>
    <x v="1"/>
    <n v="450.71"/>
    <x v="3"/>
    <x v="1"/>
    <n v="878.56000000000006"/>
  </r>
  <r>
    <s v="SALE542"/>
    <d v="2023-12-27T00:00:00"/>
    <s v="CUST1204"/>
    <s v="PROD44"/>
    <s v="STORE16"/>
    <n v="1"/>
    <n v="442.36"/>
    <n v="0.14000000000000001"/>
    <s v="Credit Card"/>
    <x v="0"/>
    <x v="45"/>
    <x v="1"/>
    <s v="Adjustable Jump Rope - Cox Inc"/>
    <x v="0"/>
    <n v="167.12"/>
    <x v="1"/>
    <x v="1"/>
    <n v="442.22"/>
  </r>
  <r>
    <s v="SALE543"/>
    <d v="2025-02-23T00:00:00"/>
    <s v="CUST1333"/>
    <s v="PROD35"/>
    <s v="STORE6"/>
    <n v="1"/>
    <n v="763.34"/>
    <n v="0.11"/>
    <s v="COD"/>
    <x v="1"/>
    <x v="36"/>
    <x v="0"/>
    <s v="Bedroom Table Lamp - Jones Llc"/>
    <x v="3"/>
    <n v="382.22"/>
    <x v="3"/>
    <x v="2"/>
    <n v="763.23"/>
  </r>
  <r>
    <s v="SALE544"/>
    <d v="2025-07-04T00:00:00"/>
    <s v="CUST1166"/>
    <s v="PROD59"/>
    <s v="STORE18"/>
    <n v="3"/>
    <n v="178.22"/>
    <n v="0.15"/>
    <s v="COD"/>
    <x v="1"/>
    <x v="20"/>
    <x v="2"/>
    <s v="Men'S Hair Styling Gel - Cline-Mccarthy"/>
    <x v="2"/>
    <n v="17.309999999999999"/>
    <x v="3"/>
    <x v="1"/>
    <n v="534.21"/>
  </r>
  <r>
    <s v="SALE545"/>
    <d v="2023-11-25T00:00:00"/>
    <s v="CUST1103"/>
    <s v="PROD26"/>
    <s v="STORE1"/>
    <n v="4"/>
    <n v="90.32"/>
    <n v="0.08"/>
    <s v="PayPal"/>
    <x v="0"/>
    <x v="40"/>
    <x v="3"/>
    <s v="Wireless Bluetooth Speaker - Reed-Schmidt"/>
    <x v="1"/>
    <n v="322.41000000000003"/>
    <x v="0"/>
    <x v="1"/>
    <n v="360.96"/>
  </r>
  <r>
    <s v="SALE546"/>
    <d v="2025-02-07T00:00:00"/>
    <s v="CUST1378"/>
    <s v="PROD10"/>
    <s v="STORE6"/>
    <n v="3"/>
    <n v="370.93"/>
    <n v="0"/>
    <s v="Credit Card"/>
    <x v="1"/>
    <x v="37"/>
    <x v="3"/>
    <s v="Ceramic Kitchen Bowl Set - Hamilton Group"/>
    <x v="3"/>
    <n v="298.86"/>
    <x v="3"/>
    <x v="2"/>
    <n v="1112.79"/>
  </r>
  <r>
    <s v="SALE547"/>
    <d v="2023-12-21T00:00:00"/>
    <s v="CUST1046"/>
    <s v="PROD23"/>
    <s v="STORE15"/>
    <n v="1"/>
    <n v="352.43"/>
    <n v="0.14000000000000001"/>
    <s v="PayPal"/>
    <x v="1"/>
    <x v="31"/>
    <x v="1"/>
    <s v="Men'S Formal Shirt - Moon, Mora And Santos"/>
    <x v="4"/>
    <n v="248.82191780821913"/>
    <x v="0"/>
    <x v="1"/>
    <n v="352.29"/>
  </r>
  <r>
    <s v="SALE548"/>
    <d v="2024-01-04T00:00:00"/>
    <s v="CUST1123"/>
    <s v="PROD12"/>
    <s v="STORE15"/>
    <n v="2"/>
    <n v="562.97"/>
    <n v="0.2"/>
    <s v="Credit Card"/>
    <x v="0"/>
    <x v="9"/>
    <x v="2"/>
    <s v="Hair Strengthening Shampoo - Rice Llc"/>
    <x v="2"/>
    <n v="115.82"/>
    <x v="0"/>
    <x v="1"/>
    <n v="1125.54"/>
  </r>
  <r>
    <s v="SALE549"/>
    <d v="2023-11-30T00:00:00"/>
    <s v="CUST1157"/>
    <s v="PROD55"/>
    <s v="STORE7"/>
    <n v="1"/>
    <n v="522.85"/>
    <n v="0.12"/>
    <s v="PayPal"/>
    <x v="0"/>
    <x v="16"/>
    <x v="1"/>
    <s v="Ceramic Plant Pot - Hatfield, Baird And Torres"/>
    <x v="3"/>
    <n v="81.75"/>
    <x v="2"/>
    <x v="2"/>
    <n v="522.73"/>
  </r>
  <r>
    <s v="SALE550"/>
    <d v="2025-07-13T00:00:00"/>
    <s v="CUST1349"/>
    <s v="PROD21"/>
    <s v="STORE16"/>
    <n v="4"/>
    <n v="714.89"/>
    <n v="0.15"/>
    <s v="Credit Card"/>
    <x v="0"/>
    <x v="41"/>
    <x v="3"/>
    <s v="Multi-Purpose Storage Box - Gardner-Montes"/>
    <x v="3"/>
    <n v="123.46"/>
    <x v="1"/>
    <x v="1"/>
    <n v="2858.96"/>
  </r>
  <r>
    <s v="SALE551"/>
    <d v="2023-10-23T00:00:00"/>
    <s v="CUST1187"/>
    <s v="PROD43"/>
    <s v="STORE2"/>
    <n v="3"/>
    <n v="137.77000000000001"/>
    <n v="0.26"/>
    <s v="PayPal"/>
    <x v="1"/>
    <x v="4"/>
    <x v="1"/>
    <s v="Usb External Hard Drive - Robinson Inc"/>
    <x v="1"/>
    <n v="253.33"/>
    <x v="2"/>
    <x v="0"/>
    <n v="412.53000000000009"/>
  </r>
  <r>
    <s v="SALE552"/>
    <d v="2025-10-10T00:00:00"/>
    <s v="CUST1027"/>
    <s v="PROD92"/>
    <s v="STORE11"/>
    <n v="3"/>
    <n v="862.18"/>
    <n v="0.22"/>
    <s v="PayPal"/>
    <x v="0"/>
    <x v="39"/>
    <x v="4"/>
    <s v="Microwave Oven - Green, Powell And Palmer"/>
    <x v="3"/>
    <n v="447.43"/>
    <x v="2"/>
    <x v="2"/>
    <n v="2585.8799999999997"/>
  </r>
  <r>
    <s v="SALE553"/>
    <d v="2025-06-14T00:00:00"/>
    <s v="CUST1057"/>
    <s v="PROD38"/>
    <s v="STORE14"/>
    <n v="2"/>
    <n v="833.64"/>
    <n v="0.24"/>
    <s v="PayPal"/>
    <x v="1"/>
    <x v="5"/>
    <x v="1"/>
    <s v="Sports Water Hydration Pack - Sims-Smith"/>
    <x v="0"/>
    <n v="135.61000000000001"/>
    <x v="2"/>
    <x v="0"/>
    <n v="1666.8"/>
  </r>
  <r>
    <s v="SALE554"/>
    <d v="2025-04-05T00:00:00"/>
    <s v="CUST1270"/>
    <s v="PROD19"/>
    <s v="STORE15"/>
    <n v="3"/>
    <n v="543.22"/>
    <n v="0.05"/>
    <s v="COD"/>
    <x v="1"/>
    <x v="38"/>
    <x v="0"/>
    <s v="Knee Support Brace - May-Reese"/>
    <x v="0"/>
    <n v="21.34"/>
    <x v="0"/>
    <x v="1"/>
    <n v="1629.5100000000002"/>
  </r>
  <r>
    <s v="SALE555"/>
    <d v="2025-01-20T00:00:00"/>
    <s v="CUST1278"/>
    <s v="PROD88"/>
    <s v="STORE2"/>
    <n v="3"/>
    <n v="691.02"/>
    <n v="0.12"/>
    <s v="COD"/>
    <x v="1"/>
    <x v="5"/>
    <x v="1"/>
    <s v="Sports Wrist Sweatbands - Olsen-Daniels"/>
    <x v="0"/>
    <n v="131.24"/>
    <x v="2"/>
    <x v="0"/>
    <n v="2072.6999999999998"/>
  </r>
  <r>
    <s v="SALE556"/>
    <d v="2023-11-23T00:00:00"/>
    <s v="CUST1087"/>
    <s v="PROD86"/>
    <s v="STORE17"/>
    <n v="4"/>
    <n v="338.73"/>
    <n v="0.18"/>
    <s v="Credit Card"/>
    <x v="1"/>
    <x v="42"/>
    <x v="3"/>
    <s v="Kitchen Cutting Board - Taylor, Dodson And Johnston"/>
    <x v="3"/>
    <n v="176.07"/>
    <x v="0"/>
    <x v="1"/>
    <n v="1354.2"/>
  </r>
  <r>
    <s v="SALE557"/>
    <d v="2024-04-07T00:00:00"/>
    <s v="CUST1062"/>
    <s v="PROD84"/>
    <s v="STORE16"/>
    <n v="3"/>
    <n v="366.08"/>
    <n v="0.05"/>
    <s v="Credit Card"/>
    <x v="0"/>
    <x v="23"/>
    <x v="3"/>
    <s v="Wooden Bookshelf - Collins-Stephenson"/>
    <x v="3"/>
    <n v="388.46"/>
    <x v="1"/>
    <x v="1"/>
    <n v="1098.0899999999999"/>
  </r>
  <r>
    <s v="SALE558"/>
    <d v="2025-07-02T00:00:00"/>
    <s v="CUST1105"/>
    <s v="PROD13"/>
    <s v="STORE13"/>
    <n v="4"/>
    <n v="539.48"/>
    <n v="0.28000000000000003"/>
    <s v="COD"/>
    <x v="1"/>
    <x v="26"/>
    <x v="0"/>
    <s v="Usb-C Fast Charger - Dawson-Perkins"/>
    <x v="1"/>
    <n v="242.23"/>
    <x v="3"/>
    <x v="1"/>
    <n v="2156.8000000000002"/>
  </r>
  <r>
    <s v="SALE559"/>
    <d v="2023-11-26T00:00:00"/>
    <s v="CUST1389"/>
    <s v="PROD91"/>
    <s v="STORE16"/>
    <n v="1"/>
    <n v="499.59"/>
    <n v="0.03"/>
    <s v="COD"/>
    <x v="0"/>
    <x v="48"/>
    <x v="1"/>
    <s v="Women'S High Heels - Smith-Charles"/>
    <x v="4"/>
    <n v="438.25"/>
    <x v="1"/>
    <x v="1"/>
    <n v="499.56"/>
  </r>
  <r>
    <s v="SALE560"/>
    <d v="2024-02-04T00:00:00"/>
    <s v="CUST1188"/>
    <s v="PROD30"/>
    <s v="STORE8"/>
    <n v="3"/>
    <n v="330.04"/>
    <n v="0.2"/>
    <s v="Credit Card"/>
    <x v="0"/>
    <x v="23"/>
    <x v="2"/>
    <s v="Stainless Steel Cutlery Set - Stevens, Fernandez And Martin"/>
    <x v="3"/>
    <n v="19.52"/>
    <x v="1"/>
    <x v="2"/>
    <n v="989.5200000000001"/>
  </r>
  <r>
    <s v="SALE561"/>
    <d v="2024-06-16T00:00:00"/>
    <s v="CUST1182"/>
    <s v="PROD11"/>
    <s v="STORE17"/>
    <n v="2"/>
    <n v="813.01"/>
    <n v="0.06"/>
    <s v="PayPal"/>
    <x v="1"/>
    <x v="15"/>
    <x v="2"/>
    <s v="Hd Smart Tv Stick - Gibson, Hobbs And Weaver"/>
    <x v="1"/>
    <n v="449.4"/>
    <x v="0"/>
    <x v="1"/>
    <n v="1625.9"/>
  </r>
  <r>
    <s v="SALE562"/>
    <d v="2025-02-27T00:00:00"/>
    <s v="CUST1026"/>
    <s v="PROD1"/>
    <s v="STORE2"/>
    <n v="4"/>
    <n v="204.8"/>
    <n v="0.03"/>
    <s v="PayPal"/>
    <x v="1"/>
    <x v="6"/>
    <x v="0"/>
    <s v="Men'S Graphic T-Shirt - Terry-Moore"/>
    <x v="4"/>
    <n v="342.56"/>
    <x v="2"/>
    <x v="0"/>
    <n v="819.08"/>
  </r>
  <r>
    <s v="SALE563"/>
    <d v="2023-10-24T00:00:00"/>
    <s v="CUST1011"/>
    <s v="PROD3"/>
    <s v="STORE3"/>
    <n v="3"/>
    <n v="728.32"/>
    <n v="0.01"/>
    <s v="Credit Card"/>
    <x v="1"/>
    <x v="14"/>
    <x v="0"/>
    <s v="Men'S Running Jacket - Pineda Ltd"/>
    <x v="4"/>
    <n v="364.67"/>
    <x v="0"/>
    <x v="0"/>
    <n v="2184.9300000000003"/>
  </r>
  <r>
    <s v="SALE564"/>
    <d v="2024-08-03T00:00:00"/>
    <s v="CUST1452"/>
    <s v="PROD59"/>
    <s v="STORE7"/>
    <n v="3"/>
    <n v="836.4"/>
    <n v="0"/>
    <s v="Credit Card"/>
    <x v="1"/>
    <x v="25"/>
    <x v="3"/>
    <s v="Men'S Hair Styling Gel - Cline-Mccarthy"/>
    <x v="2"/>
    <n v="17.309999999999999"/>
    <x v="2"/>
    <x v="2"/>
    <n v="2509.1999999999998"/>
  </r>
  <r>
    <s v="SALE565"/>
    <d v="2025-07-05T00:00:00"/>
    <s v="CUST1149"/>
    <s v="PROD90"/>
    <s v="STORE12"/>
    <n v="1"/>
    <n v="780.16"/>
    <n v="0.02"/>
    <s v="COD"/>
    <x v="0"/>
    <x v="26"/>
    <x v="1"/>
    <s v="Gaming Mouse Pad Xl - Sharp, Taylor And Rodriguez"/>
    <x v="1"/>
    <n v="340.14"/>
    <x v="0"/>
    <x v="2"/>
    <n v="780.14"/>
  </r>
  <r>
    <s v="SALE566"/>
    <d v="2025-05-27T00:00:00"/>
    <s v="CUST1470"/>
    <s v="PROD46"/>
    <s v="STORE13"/>
    <n v="4"/>
    <n v="354.12"/>
    <n v="0.06"/>
    <s v="PayPal"/>
    <x v="1"/>
    <x v="21"/>
    <x v="0"/>
    <s v="Men'S Winter Jacket - Kelly, Smith And Perez"/>
    <x v="4"/>
    <n v="167.34"/>
    <x v="3"/>
    <x v="1"/>
    <n v="1416.24"/>
  </r>
  <r>
    <s v="SALE567"/>
    <d v="2024-11-06T00:00:00"/>
    <s v="CUST1452"/>
    <s v="PROD63"/>
    <s v="STORE2"/>
    <n v="4"/>
    <n v="282.48"/>
    <n v="0.11"/>
    <s v="PayPal"/>
    <x v="1"/>
    <x v="25"/>
    <x v="3"/>
    <s v="Organic Sunscreen Lotion - Anderson-Riley"/>
    <x v="2"/>
    <n v="266.86"/>
    <x v="2"/>
    <x v="0"/>
    <n v="1129.48"/>
  </r>
  <r>
    <s v="SALE568"/>
    <d v="2024-06-03T00:00:00"/>
    <s v="CUST1328"/>
    <s v="PROD20"/>
    <s v="STORE6"/>
    <n v="2"/>
    <n v="740.68"/>
    <n v="0.02"/>
    <s v="PayPal"/>
    <x v="0"/>
    <x v="46"/>
    <x v="1"/>
    <s v="Outdoor Sports Water Bottle - Soto-Ellis"/>
    <x v="0"/>
    <n v="131.51"/>
    <x v="3"/>
    <x v="2"/>
    <n v="1481.32"/>
  </r>
  <r>
    <s v="SALE569"/>
    <d v="2024-04-02T00:00:00"/>
    <s v="CUST1105"/>
    <s v="PROD56"/>
    <s v="STORE9"/>
    <n v="3"/>
    <n v="600.58000000000004"/>
    <n v="0.28999999999999998"/>
    <s v="COD"/>
    <x v="1"/>
    <x v="26"/>
    <x v="0"/>
    <s v="Premium Blanket Throw - Hernandez, Kennedy And Porter"/>
    <x v="3"/>
    <n v="461.47"/>
    <x v="2"/>
    <x v="1"/>
    <n v="1800.8700000000003"/>
  </r>
  <r>
    <s v="SALE570"/>
    <d v="2024-02-26T00:00:00"/>
    <s v="CUST1461"/>
    <s v="PROD65"/>
    <s v="STORE3"/>
    <n v="3"/>
    <n v="345.58"/>
    <n v="0.22"/>
    <s v="Credit Card"/>
    <x v="1"/>
    <x v="32"/>
    <x v="2"/>
    <s v="Adjustable Dumbbells 20Kg - Montgomery, Benton And Miller"/>
    <x v="0"/>
    <n v="240.63"/>
    <x v="0"/>
    <x v="0"/>
    <n v="1036.08"/>
  </r>
  <r>
    <s v="SALE571"/>
    <d v="2025-01-31T00:00:00"/>
    <s v="CUST1284"/>
    <s v="PROD18"/>
    <s v="STORE11"/>
    <n v="1"/>
    <n v="974.52"/>
    <n v="0.01"/>
    <s v="PayPal"/>
    <x v="0"/>
    <x v="40"/>
    <x v="0"/>
    <s v="Women'S Denim Jeans - Guerra-Hendrix"/>
    <x v="4"/>
    <n v="245.7783116883117"/>
    <x v="2"/>
    <x v="2"/>
    <n v="974.51"/>
  </r>
  <r>
    <s v="SALE572"/>
    <d v="2023-11-19T00:00:00"/>
    <s v="CUST1040"/>
    <s v="PROD17"/>
    <s v="STORE1"/>
    <n v="3"/>
    <n v="282.33"/>
    <n v="7.0000000000000007E-2"/>
    <s v="Credit Card"/>
    <x v="0"/>
    <x v="32"/>
    <x v="0"/>
    <s v="Soccer Training Cone Set - Ford, Murphy And Wilson"/>
    <x v="0"/>
    <n v="144.53"/>
    <x v="0"/>
    <x v="1"/>
    <n v="846.78"/>
  </r>
  <r>
    <s v="SALE573"/>
    <d v="2025-03-10T00:00:00"/>
    <s v="CUST1382"/>
    <s v="PROD76"/>
    <s v="STORE19"/>
    <n v="4"/>
    <n v="158.46"/>
    <n v="0.09"/>
    <s v="PayPal"/>
    <x v="1"/>
    <x v="24"/>
    <x v="0"/>
    <s v="Wireless Mouse - Larson Ltd"/>
    <x v="1"/>
    <n v="392.89"/>
    <x v="3"/>
    <x v="2"/>
    <n v="633.48"/>
  </r>
  <r>
    <s v="SALE574"/>
    <d v="2023-12-23T00:00:00"/>
    <s v="CUST1343"/>
    <s v="PROD55"/>
    <s v="STORE7"/>
    <n v="2"/>
    <n v="778.56"/>
    <n v="0.11"/>
    <s v="COD"/>
    <x v="0"/>
    <x v="45"/>
    <x v="3"/>
    <s v="Ceramic Plant Pot - Hatfield, Baird And Torres"/>
    <x v="3"/>
    <n v="81.75"/>
    <x v="2"/>
    <x v="2"/>
    <n v="1556.8999999999999"/>
  </r>
  <r>
    <s v="SALE575"/>
    <d v="2024-03-02T00:00:00"/>
    <s v="CUST1237"/>
    <s v="PROD50"/>
    <s v="STORE19"/>
    <n v="4"/>
    <n v="280.16000000000003"/>
    <n v="0.18"/>
    <s v="COD"/>
    <x v="1"/>
    <x v="10"/>
    <x v="0"/>
    <s v="Boxing Hand Wraps - Smith-King"/>
    <x v="0"/>
    <n v="190.29"/>
    <x v="3"/>
    <x v="2"/>
    <n v="1119.92"/>
  </r>
  <r>
    <s v="SALE576"/>
    <d v="2024-10-27T00:00:00"/>
    <s v="CUST1287"/>
    <s v="PROD71"/>
    <s v="STORE13"/>
    <n v="2"/>
    <n v="649.54999999999995"/>
    <n v="0.28999999999999998"/>
    <s v="PayPal"/>
    <x v="1"/>
    <x v="1"/>
    <x v="0"/>
    <s v="Hair Repair Oil Treatment - Hopkins Ltd"/>
    <x v="2"/>
    <n v="214.32"/>
    <x v="3"/>
    <x v="1"/>
    <n v="1298.52"/>
  </r>
  <r>
    <s v="SALE577"/>
    <d v="2024-03-09T00:00:00"/>
    <s v="CUST1007"/>
    <s v="PROD88"/>
    <s v="STORE2"/>
    <n v="2"/>
    <n v="994.32"/>
    <n v="0.27"/>
    <s v="PayPal"/>
    <x v="1"/>
    <x v="35"/>
    <x v="3"/>
    <s v="Sports Wrist Sweatbands - Olsen-Daniels"/>
    <x v="0"/>
    <n v="131.24"/>
    <x v="2"/>
    <x v="0"/>
    <n v="1988.1000000000001"/>
  </r>
  <r>
    <s v="SALE578"/>
    <d v="2024-12-23T00:00:00"/>
    <s v="CUST1223"/>
    <s v="PROD81"/>
    <s v="STORE12"/>
    <n v="1"/>
    <n v="64.94"/>
    <n v="0.21"/>
    <s v="PayPal"/>
    <x v="0"/>
    <x v="9"/>
    <x v="1"/>
    <s v="Badminton Racket Set - Robinson-Brown"/>
    <x v="0"/>
    <n v="285.54000000000002"/>
    <x v="0"/>
    <x v="2"/>
    <n v="64.73"/>
  </r>
  <r>
    <s v="SALE579"/>
    <d v="2025-02-21T00:00:00"/>
    <s v="CUST1136"/>
    <s v="PROD39"/>
    <s v="STORE7"/>
    <n v="2"/>
    <n v="507.66"/>
    <n v="0"/>
    <s v="COD"/>
    <x v="0"/>
    <x v="48"/>
    <x v="2"/>
    <s v="Portable Power Bank - Cummings And Sons"/>
    <x v="1"/>
    <n v="326.06"/>
    <x v="2"/>
    <x v="2"/>
    <n v="1015.32"/>
  </r>
  <r>
    <s v="SALE580"/>
    <d v="2023-12-13T00:00:00"/>
    <s v="CUST1242"/>
    <s v="PROD81"/>
    <s v="STORE4"/>
    <n v="4"/>
    <n v="968.27"/>
    <n v="0.03"/>
    <s v="PayPal"/>
    <x v="1"/>
    <x v="40"/>
    <x v="2"/>
    <s v="Badminton Racket Set - Robinson-Brown"/>
    <x v="0"/>
    <n v="285.54000000000002"/>
    <x v="2"/>
    <x v="2"/>
    <n v="3872.96"/>
  </r>
  <r>
    <s v="SALE581"/>
    <d v="2023-11-20T00:00:00"/>
    <s v="CUST1017"/>
    <s v="PROD88"/>
    <s v="STORE5"/>
    <n v="4"/>
    <n v="510.33"/>
    <n v="0.2"/>
    <s v="PayPal"/>
    <x v="1"/>
    <x v="36"/>
    <x v="1"/>
    <s v="Sports Wrist Sweatbands - Olsen-Daniels"/>
    <x v="0"/>
    <n v="131.24"/>
    <x v="0"/>
    <x v="0"/>
    <n v="2040.52"/>
  </r>
  <r>
    <s v="SALE582"/>
    <d v="2024-09-04T00:00:00"/>
    <s v="CUST1011"/>
    <s v="PROD44"/>
    <s v="STORE19"/>
    <n v="2"/>
    <n v="156.72999999999999"/>
    <n v="0.18"/>
    <s v="COD"/>
    <x v="1"/>
    <x v="14"/>
    <x v="0"/>
    <s v="Adjustable Jump Rope - Cox Inc"/>
    <x v="0"/>
    <n v="167.12"/>
    <x v="3"/>
    <x v="2"/>
    <n v="313.09999999999997"/>
  </r>
  <r>
    <s v="SALE583"/>
    <d v="2025-06-02T00:00:00"/>
    <s v="CUST1142"/>
    <s v="PROD99"/>
    <s v="STORE10"/>
    <n v="3"/>
    <n v="53.83"/>
    <n v="0.24"/>
    <s v="Credit Card"/>
    <x v="0"/>
    <x v="10"/>
    <x v="3"/>
    <s v="Stainless Steel Cookware Set - Campbell Ltd"/>
    <x v="3"/>
    <n v="201.41"/>
    <x v="3"/>
    <x v="2"/>
    <n v="160.76999999999998"/>
  </r>
  <r>
    <s v="SALE584"/>
    <d v="2024-02-28T00:00:00"/>
    <s v="CUST1377"/>
    <s v="PROD78"/>
    <s v="STORE4"/>
    <n v="1"/>
    <n v="34.71"/>
    <n v="0.1"/>
    <s v="COD"/>
    <x v="1"/>
    <x v="17"/>
    <x v="0"/>
    <s v="Essential Oil Diffuser - Hernandez Inc"/>
    <x v="3"/>
    <n v="325.26"/>
    <x v="2"/>
    <x v="2"/>
    <n v="34.61"/>
  </r>
  <r>
    <s v="SALE585"/>
    <d v="2024-12-07T00:00:00"/>
    <s v="CUST1229"/>
    <s v="PROD77"/>
    <s v="STORE1"/>
    <n v="2"/>
    <n v="829.15"/>
    <n v="0.11"/>
    <s v="PayPal"/>
    <x v="1"/>
    <x v="33"/>
    <x v="3"/>
    <s v="Wifi Mesh Router - White, Reeves And Woods"/>
    <x v="1"/>
    <n v="480.9"/>
    <x v="0"/>
    <x v="1"/>
    <n v="1658.08"/>
  </r>
  <r>
    <s v="SALE586"/>
    <d v="2025-05-21T00:00:00"/>
    <s v="CUST1264"/>
    <s v="PROD98"/>
    <s v="STORE3"/>
    <n v="2"/>
    <n v="481.86"/>
    <n v="0.1"/>
    <s v="COD"/>
    <x v="0"/>
    <x v="0"/>
    <x v="0"/>
    <s v="Portable Bluetooth Speaker - Flores-King"/>
    <x v="1"/>
    <n v="431.67"/>
    <x v="0"/>
    <x v="0"/>
    <n v="963.52"/>
  </r>
  <r>
    <s v="SALE587"/>
    <d v="2024-03-03T00:00:00"/>
    <s v="CUST1147"/>
    <s v="PROD52"/>
    <s v="STORE7"/>
    <n v="4"/>
    <n v="915.17"/>
    <n v="0.19"/>
    <s v="COD"/>
    <x v="1"/>
    <x v="41"/>
    <x v="1"/>
    <s v="Rugby Ball - Harris Inc"/>
    <x v="0"/>
    <n v="212.26"/>
    <x v="2"/>
    <x v="2"/>
    <n v="3659.9199999999996"/>
  </r>
  <r>
    <s v="SALE588"/>
    <d v="2024-03-06T00:00:00"/>
    <s v="CUST1214"/>
    <s v="PROD71"/>
    <s v="STORE18"/>
    <n v="1"/>
    <n v="250.95"/>
    <n v="0.03"/>
    <s v="PayPal"/>
    <x v="0"/>
    <x v="10"/>
    <x v="0"/>
    <s v="Hair Repair Oil Treatment - Hopkins Ltd"/>
    <x v="2"/>
    <n v="214.32"/>
    <x v="3"/>
    <x v="1"/>
    <n v="250.92"/>
  </r>
  <r>
    <s v="SALE589"/>
    <d v="2023-11-27T00:00:00"/>
    <s v="CUST1325"/>
    <s v="PROD96"/>
    <s v="STORE5"/>
    <n v="3"/>
    <n v="882.84"/>
    <n v="0.1"/>
    <s v="Credit Card"/>
    <x v="0"/>
    <x v="18"/>
    <x v="3"/>
    <s v="Women'S Formal Blazer - Phillips And Sons"/>
    <x v="4"/>
    <n v="358.47"/>
    <x v="0"/>
    <x v="0"/>
    <n v="2648.2200000000003"/>
  </r>
  <r>
    <s v="SALE590"/>
    <d v="2025-02-14T00:00:00"/>
    <s v="CUST1138"/>
    <s v="PROD19"/>
    <s v="STORE18"/>
    <n v="4"/>
    <n v="573.37"/>
    <n v="0.04"/>
    <s v="COD"/>
    <x v="0"/>
    <x v="45"/>
    <x v="0"/>
    <s v="Knee Support Brace - May-Reese"/>
    <x v="0"/>
    <n v="21.34"/>
    <x v="3"/>
    <x v="1"/>
    <n v="2293.3200000000002"/>
  </r>
  <r>
    <s v="SALE591"/>
    <d v="2024-01-27T00:00:00"/>
    <s v="CUST1058"/>
    <s v="PROD32"/>
    <s v="STORE12"/>
    <n v="3"/>
    <n v="622.72"/>
    <n v="0.04"/>
    <s v="Credit Card"/>
    <x v="0"/>
    <x v="33"/>
    <x v="1"/>
    <s v="Vitamin C Face Serum - Griffin Ltd"/>
    <x v="2"/>
    <n v="283.83"/>
    <x v="0"/>
    <x v="2"/>
    <n v="1868.0400000000002"/>
  </r>
  <r>
    <s v="SALE592"/>
    <d v="2025-10-13T00:00:00"/>
    <s v="CUST1388"/>
    <s v="PROD92"/>
    <s v="STORE17"/>
    <n v="3"/>
    <n v="259.74"/>
    <n v="0.24"/>
    <s v="Credit Card"/>
    <x v="0"/>
    <x v="6"/>
    <x v="1"/>
    <s v="Microwave Oven - Green, Powell And Palmer"/>
    <x v="3"/>
    <n v="447.43"/>
    <x v="0"/>
    <x v="1"/>
    <n v="778.5"/>
  </r>
  <r>
    <s v="SALE593"/>
    <d v="2025-04-22T00:00:00"/>
    <s v="CUST1054"/>
    <s v="PROD28"/>
    <s v="STORE13"/>
    <n v="4"/>
    <n v="951.09"/>
    <n v="0.14000000000000001"/>
    <s v="COD"/>
    <x v="0"/>
    <x v="15"/>
    <x v="1"/>
    <s v="Sports Stopwatch Timer - Burns-Hansen"/>
    <x v="0"/>
    <n v="38.76"/>
    <x v="3"/>
    <x v="1"/>
    <n v="3803.8"/>
  </r>
  <r>
    <s v="SALE594"/>
    <d v="2025-04-18T00:00:00"/>
    <s v="CUST1199"/>
    <s v="PROD99"/>
    <s v="STORE2"/>
    <n v="1"/>
    <n v="71.709999999999994"/>
    <n v="0.23"/>
    <s v="COD"/>
    <x v="0"/>
    <x v="3"/>
    <x v="3"/>
    <s v="Stainless Steel Cookware Set - Campbell Ltd"/>
    <x v="3"/>
    <n v="201.41"/>
    <x v="2"/>
    <x v="0"/>
    <n v="71.47999999999999"/>
  </r>
  <r>
    <s v="SALE595"/>
    <d v="2025-08-22T00:00:00"/>
    <s v="CUST1173"/>
    <s v="PROD20"/>
    <s v="STORE7"/>
    <n v="4"/>
    <n v="894.93"/>
    <n v="0.05"/>
    <s v="COD"/>
    <x v="1"/>
    <x v="9"/>
    <x v="1"/>
    <s v="Outdoor Sports Water Bottle - Soto-Ellis"/>
    <x v="0"/>
    <n v="131.51"/>
    <x v="2"/>
    <x v="2"/>
    <n v="3579.52"/>
  </r>
  <r>
    <s v="SALE596"/>
    <d v="2025-07-04T00:00:00"/>
    <s v="CUST1202"/>
    <s v="PROD78"/>
    <s v="STORE8"/>
    <n v="4"/>
    <n v="870.18"/>
    <n v="0.13"/>
    <s v="COD"/>
    <x v="1"/>
    <x v="32"/>
    <x v="1"/>
    <s v="Essential Oil Diffuser - Hernandez Inc"/>
    <x v="3"/>
    <n v="325.26"/>
    <x v="1"/>
    <x v="2"/>
    <n v="3480.2"/>
  </r>
  <r>
    <s v="SALE597"/>
    <d v="2024-03-31T00:00:00"/>
    <s v="CUST1278"/>
    <s v="PROD64"/>
    <s v="STORE2"/>
    <n v="2"/>
    <n v="552.72"/>
    <n v="0.06"/>
    <s v="PayPal"/>
    <x v="1"/>
    <x v="5"/>
    <x v="1"/>
    <s v="Matte Lipstick Set - Zhang Inc"/>
    <x v="2"/>
    <n v="299.11"/>
    <x v="2"/>
    <x v="0"/>
    <n v="1105.3200000000002"/>
  </r>
  <r>
    <s v="SALE598"/>
    <d v="2023-11-06T00:00:00"/>
    <s v="CUST1246"/>
    <s v="PROD39"/>
    <s v="STORE8"/>
    <n v="3"/>
    <n v="700.43"/>
    <n v="0.01"/>
    <s v="COD"/>
    <x v="0"/>
    <x v="13"/>
    <x v="3"/>
    <s v="Portable Power Bank - Cummings And Sons"/>
    <x v="1"/>
    <n v="326.06"/>
    <x v="1"/>
    <x v="2"/>
    <n v="2101.2599999999998"/>
  </r>
  <r>
    <s v="SALE599"/>
    <d v="2025-05-29T00:00:00"/>
    <s v="CUST1339"/>
    <s v="PROD9"/>
    <s v="STORE2"/>
    <n v="2"/>
    <n v="823.03"/>
    <n v="0.18"/>
    <s v="PayPal"/>
    <x v="1"/>
    <x v="28"/>
    <x v="1"/>
    <s v="Adjustable Dumbbell Set - Hill Plc"/>
    <x v="0"/>
    <n v="495.72"/>
    <x v="2"/>
    <x v="0"/>
    <n v="1645.7"/>
  </r>
  <r>
    <s v="SALE600"/>
    <d v="2024-04-19T00:00:00"/>
    <s v="CUST1255"/>
    <s v="PROD92"/>
    <s v="STORE6"/>
    <n v="1"/>
    <n v="117.37"/>
    <n v="0.21"/>
    <s v="Credit Card"/>
    <x v="0"/>
    <x v="31"/>
    <x v="0"/>
    <s v="Microwave Oven - Green, Powell And Palmer"/>
    <x v="3"/>
    <n v="447.43"/>
    <x v="3"/>
    <x v="2"/>
    <n v="117.16000000000001"/>
  </r>
  <r>
    <s v="SALE601"/>
    <d v="2025-02-28T00:00:00"/>
    <s v="CUST1104"/>
    <s v="PROD56"/>
    <s v="STORE1"/>
    <n v="4"/>
    <n v="165.37"/>
    <n v="0.28999999999999998"/>
    <s v="Credit Card"/>
    <x v="0"/>
    <x v="36"/>
    <x v="2"/>
    <s v="Premium Blanket Throw - Hernandez, Kennedy And Porter"/>
    <x v="3"/>
    <n v="461.47"/>
    <x v="0"/>
    <x v="1"/>
    <n v="660.32"/>
  </r>
  <r>
    <s v="SALE602"/>
    <d v="2025-03-02T00:00:00"/>
    <s v="CUST1378"/>
    <s v="PROD6"/>
    <s v="STORE10"/>
    <n v="3"/>
    <n v="483.06"/>
    <n v="0.05"/>
    <s v="Credit Card"/>
    <x v="1"/>
    <x v="37"/>
    <x v="3"/>
    <s v="Herbal Face Moisturizer - Davidson Plc"/>
    <x v="2"/>
    <n v="312.8"/>
    <x v="3"/>
    <x v="2"/>
    <n v="1449.03"/>
  </r>
  <r>
    <s v="SALE603"/>
    <d v="2024-03-28T00:00:00"/>
    <s v="CUST1293"/>
    <s v="PROD81"/>
    <s v="STORE7"/>
    <n v="4"/>
    <n v="262.05"/>
    <n v="0.24"/>
    <s v="PayPal"/>
    <x v="1"/>
    <x v="38"/>
    <x v="1"/>
    <s v="Badminton Racket Set - Robinson-Brown"/>
    <x v="0"/>
    <n v="285.54000000000002"/>
    <x v="2"/>
    <x v="2"/>
    <n v="1047.24"/>
  </r>
  <r>
    <s v="SALE604"/>
    <d v="2024-12-09T00:00:00"/>
    <s v="CUST1463"/>
    <s v="PROD14"/>
    <s v="STORE14"/>
    <n v="3"/>
    <n v="970.89"/>
    <n v="0.11"/>
    <s v="COD"/>
    <x v="1"/>
    <x v="40"/>
    <x v="3"/>
    <s v="Decorative Wall Mirror - Luna, Anderson And Bowman"/>
    <x v="3"/>
    <n v="48.01"/>
    <x v="2"/>
    <x v="0"/>
    <n v="2912.34"/>
  </r>
  <r>
    <s v="SALE605"/>
    <d v="2023-10-23T00:00:00"/>
    <s v="CUST1216"/>
    <s v="PROD72"/>
    <s v="STORE0"/>
    <n v="1"/>
    <n v="61.11"/>
    <n v="0.1"/>
    <s v="PayPal"/>
    <x v="0"/>
    <x v="24"/>
    <x v="1"/>
    <s v="Professional Jump Rope - Davis Plc"/>
    <x v="0"/>
    <n v="477.61"/>
    <x v="3"/>
    <x v="1"/>
    <n v="61.01"/>
  </r>
  <r>
    <s v="SALE606"/>
    <d v="2024-09-20T00:00:00"/>
    <s v="CUST1029"/>
    <s v="PROD27"/>
    <s v="STORE8"/>
    <n v="3"/>
    <n v="827.88"/>
    <n v="0.19"/>
    <s v="PayPal"/>
    <x v="1"/>
    <x v="24"/>
    <x v="2"/>
    <s v="Decorative Floor Vase - Khan, Jones And Paul"/>
    <x v="3"/>
    <n v="250.02157142857135"/>
    <x v="1"/>
    <x v="2"/>
    <n v="2483.0699999999997"/>
  </r>
  <r>
    <s v="SALE607"/>
    <d v="2024-10-18T00:00:00"/>
    <s v="CUST1430"/>
    <s v="PROD87"/>
    <s v="STORE13"/>
    <n v="3"/>
    <n v="926.85"/>
    <n v="0.18"/>
    <s v="COD"/>
    <x v="1"/>
    <x v="19"/>
    <x v="0"/>
    <s v="Led Bedside Lamp - Aguilar, Horton And Lewis"/>
    <x v="3"/>
    <n v="371.38"/>
    <x v="3"/>
    <x v="1"/>
    <n v="2780.01"/>
  </r>
  <r>
    <s v="SALE608"/>
    <d v="2025-01-05T00:00:00"/>
    <s v="CUST1317"/>
    <s v="PROD10"/>
    <s v="STORE14"/>
    <n v="1"/>
    <n v="874.59"/>
    <n v="0.28999999999999998"/>
    <s v="PayPal"/>
    <x v="1"/>
    <x v="21"/>
    <x v="0"/>
    <s v="Ceramic Kitchen Bowl Set - Hamilton Group"/>
    <x v="3"/>
    <n v="298.86"/>
    <x v="2"/>
    <x v="0"/>
    <n v="874.30000000000007"/>
  </r>
  <r>
    <s v="SALE609"/>
    <d v="2025-09-21T00:00:00"/>
    <s v="CUST1470"/>
    <s v="PROD15"/>
    <s v="STORE1"/>
    <n v="4"/>
    <n v="479.11"/>
    <n v="0.24"/>
    <s v="PayPal"/>
    <x v="1"/>
    <x v="21"/>
    <x v="0"/>
    <s v="4K Home Projector - Thomas Llc"/>
    <x v="1"/>
    <n v="465.34"/>
    <x v="0"/>
    <x v="1"/>
    <n v="1915.48"/>
  </r>
  <r>
    <s v="SALE610"/>
    <d v="2024-07-17T00:00:00"/>
    <s v="CUST1213"/>
    <s v="PROD32"/>
    <s v="STORE17"/>
    <n v="3"/>
    <n v="182.91"/>
    <n v="0.28999999999999998"/>
    <s v="Credit Card"/>
    <x v="1"/>
    <x v="16"/>
    <x v="1"/>
    <s v="Vitamin C Face Serum - Griffin Ltd"/>
    <x v="2"/>
    <n v="283.83"/>
    <x v="0"/>
    <x v="1"/>
    <n v="547.86"/>
  </r>
  <r>
    <s v="SALE611"/>
    <d v="2024-12-26T00:00:00"/>
    <s v="CUST1272"/>
    <s v="PROD34"/>
    <s v="STORE5"/>
    <n v="4"/>
    <n v="745.51"/>
    <n v="0.05"/>
    <s v="Credit Card"/>
    <x v="1"/>
    <x v="24"/>
    <x v="0"/>
    <s v="Gaming Mechanical Keyboard - Lucero Llc"/>
    <x v="1"/>
    <n v="419.28"/>
    <x v="0"/>
    <x v="0"/>
    <n v="2981.84"/>
  </r>
  <r>
    <s v="SALE612"/>
    <d v="2024-11-02T00:00:00"/>
    <s v="CUST1481"/>
    <s v="PROD88"/>
    <s v="STORE15"/>
    <n v="3"/>
    <n v="920.61"/>
    <n v="0.04"/>
    <s v="Credit Card"/>
    <x v="0"/>
    <x v="36"/>
    <x v="0"/>
    <s v="Sports Wrist Sweatbands - Olsen-Daniels"/>
    <x v="0"/>
    <n v="131.24"/>
    <x v="0"/>
    <x v="1"/>
    <n v="2761.71"/>
  </r>
  <r>
    <s v="SALE613"/>
    <d v="2025-04-25T00:00:00"/>
    <s v="CUST1425"/>
    <s v="PROD75"/>
    <s v="STORE10"/>
    <n v="4"/>
    <n v="659.03"/>
    <n v="0.15"/>
    <s v="Credit Card"/>
    <x v="0"/>
    <x v="39"/>
    <x v="3"/>
    <s v="Women'S Ankle Boots - Poole Plc"/>
    <x v="4"/>
    <n v="158.13999999999999"/>
    <x v="3"/>
    <x v="2"/>
    <n v="2635.52"/>
  </r>
  <r>
    <s v="SALE614"/>
    <d v="2024-02-16T00:00:00"/>
    <s v="CUST1491"/>
    <s v="PROD9"/>
    <s v="STORE2"/>
    <n v="1"/>
    <n v="312.91000000000003"/>
    <n v="0.12"/>
    <s v="PayPal"/>
    <x v="1"/>
    <x v="34"/>
    <x v="0"/>
    <s v="Adjustable Dumbbell Set - Hill Plc"/>
    <x v="0"/>
    <n v="495.72"/>
    <x v="2"/>
    <x v="0"/>
    <n v="312.79000000000002"/>
  </r>
  <r>
    <s v="SALE615"/>
    <d v="2024-08-20T00:00:00"/>
    <s v="CUST1228"/>
    <s v="PROD12"/>
    <s v="STORE18"/>
    <n v="4"/>
    <n v="705.64"/>
    <n v="0.11"/>
    <s v="PayPal"/>
    <x v="1"/>
    <x v="39"/>
    <x v="0"/>
    <s v="Hair Strengthening Shampoo - Rice Llc"/>
    <x v="2"/>
    <n v="115.82"/>
    <x v="3"/>
    <x v="1"/>
    <n v="2822.12"/>
  </r>
  <r>
    <s v="SALE616"/>
    <d v="2024-07-24T00:00:00"/>
    <s v="CUST1144"/>
    <s v="PROD9"/>
    <s v="STORE10"/>
    <n v="4"/>
    <n v="386.41"/>
    <n v="0.13"/>
    <s v="COD"/>
    <x v="1"/>
    <x v="8"/>
    <x v="3"/>
    <s v="Adjustable Dumbbell Set - Hill Plc"/>
    <x v="0"/>
    <n v="495.72"/>
    <x v="3"/>
    <x v="2"/>
    <n v="1545.1200000000001"/>
  </r>
  <r>
    <s v="SALE617"/>
    <d v="2024-08-30T00:00:00"/>
    <s v="CUST1029"/>
    <s v="PROD94"/>
    <s v="STORE11"/>
    <n v="3"/>
    <n v="265.89"/>
    <n v="0.08"/>
    <s v="COD"/>
    <x v="1"/>
    <x v="24"/>
    <x v="2"/>
    <s v="Vitamin E Body Lotion - Hoffman-Williams"/>
    <x v="2"/>
    <n v="358.47"/>
    <x v="2"/>
    <x v="2"/>
    <n v="797.43000000000006"/>
  </r>
  <r>
    <s v="SALE618"/>
    <d v="2025-09-25T00:00:00"/>
    <s v="CUST1075"/>
    <s v="PROD30"/>
    <s v="STORE16"/>
    <n v="1"/>
    <n v="703.16"/>
    <n v="0.28999999999999998"/>
    <s v="Credit Card"/>
    <x v="1"/>
    <x v="24"/>
    <x v="0"/>
    <s v="Stainless Steel Cutlery Set - Stevens, Fernandez And Martin"/>
    <x v="3"/>
    <n v="19.52"/>
    <x v="1"/>
    <x v="1"/>
    <n v="702.87"/>
  </r>
  <r>
    <s v="SALE619"/>
    <d v="2025-04-18T00:00:00"/>
    <s v="CUST1471"/>
    <s v="PROD97"/>
    <s v="STORE13"/>
    <n v="2"/>
    <n v="394.5"/>
    <n v="0.28999999999999998"/>
    <s v="COD"/>
    <x v="0"/>
    <x v="10"/>
    <x v="1"/>
    <s v="Cricket Bat - Khan Llc"/>
    <x v="0"/>
    <n v="245.98"/>
    <x v="3"/>
    <x v="1"/>
    <n v="788.42"/>
  </r>
  <r>
    <s v="SALE620"/>
    <d v="2025-08-13T00:00:00"/>
    <s v="CUST1117"/>
    <s v="PROD97"/>
    <s v="STORE7"/>
    <n v="3"/>
    <n v="411.25"/>
    <n v="0.05"/>
    <s v="Credit Card"/>
    <x v="1"/>
    <x v="7"/>
    <x v="1"/>
    <s v="Cricket Bat - Khan Llc"/>
    <x v="0"/>
    <n v="245.98"/>
    <x v="2"/>
    <x v="2"/>
    <n v="1233.5999999999999"/>
  </r>
  <r>
    <s v="SALE621"/>
    <d v="2025-09-23T00:00:00"/>
    <s v="CUST1353"/>
    <s v="PROD48"/>
    <s v="STORE2"/>
    <n v="4"/>
    <n v="395.45"/>
    <n v="0.01"/>
    <s v="Credit Card"/>
    <x v="1"/>
    <x v="47"/>
    <x v="1"/>
    <s v="Car Dashboard Phone Holder - Byrd, Stewart And Valdez"/>
    <x v="1"/>
    <n v="177.98"/>
    <x v="2"/>
    <x v="0"/>
    <n v="1581.76"/>
  </r>
  <r>
    <s v="SALE622"/>
    <d v="2024-05-09T00:00:00"/>
    <s v="CUST1036"/>
    <s v="PROD90"/>
    <s v="STORE5"/>
    <n v="2"/>
    <n v="678.98"/>
    <n v="0.23"/>
    <s v="Credit Card"/>
    <x v="1"/>
    <x v="36"/>
    <x v="0"/>
    <s v="Gaming Mouse Pad Xl - Sharp, Taylor And Rodriguez"/>
    <x v="1"/>
    <n v="340.14"/>
    <x v="0"/>
    <x v="0"/>
    <n v="1357.5"/>
  </r>
  <r>
    <s v="SALE623"/>
    <d v="2024-11-12T00:00:00"/>
    <s v="CUST1072"/>
    <s v="PROD27"/>
    <s v="STORE14"/>
    <n v="4"/>
    <n v="757.71"/>
    <n v="0.26"/>
    <s v="COD"/>
    <x v="1"/>
    <x v="9"/>
    <x v="0"/>
    <s v="Decorative Floor Vase - Khan, Jones And Paul"/>
    <x v="3"/>
    <n v="250.02157142857135"/>
    <x v="2"/>
    <x v="0"/>
    <n v="3029.8"/>
  </r>
  <r>
    <s v="SALE624"/>
    <d v="2024-12-18T00:00:00"/>
    <s v="CUST1059"/>
    <s v="PROD94"/>
    <s v="STORE4"/>
    <n v="1"/>
    <n v="647.86"/>
    <n v="0.05"/>
    <s v="COD"/>
    <x v="0"/>
    <x v="10"/>
    <x v="1"/>
    <s v="Vitamin E Body Lotion - Hoffman-Williams"/>
    <x v="2"/>
    <n v="358.47"/>
    <x v="2"/>
    <x v="2"/>
    <n v="647.81000000000006"/>
  </r>
  <r>
    <s v="SALE625"/>
    <d v="2024-08-13T00:00:00"/>
    <s v="CUST1135"/>
    <s v="PROD12"/>
    <s v="STORE6"/>
    <n v="2"/>
    <n v="179.64"/>
    <n v="0.1"/>
    <s v="PayPal"/>
    <x v="1"/>
    <x v="20"/>
    <x v="1"/>
    <s v="Hair Strengthening Shampoo - Rice Llc"/>
    <x v="2"/>
    <n v="115.82"/>
    <x v="3"/>
    <x v="2"/>
    <n v="359.08"/>
  </r>
  <r>
    <s v="SALE626"/>
    <d v="2024-09-10T00:00:00"/>
    <s v="CUST1396"/>
    <s v="PROD62"/>
    <s v="STORE4"/>
    <n v="3"/>
    <n v="392.65"/>
    <n v="0.17"/>
    <s v="PayPal"/>
    <x v="1"/>
    <x v="14"/>
    <x v="2"/>
    <s v="Laptop Cooling Pad - Murray, Gould And Ware"/>
    <x v="1"/>
    <n v="86.42"/>
    <x v="2"/>
    <x v="2"/>
    <n v="1177.4399999999998"/>
  </r>
  <r>
    <s v="SALE627"/>
    <d v="2024-09-12T00:00:00"/>
    <s v="CUST1176"/>
    <s v="PROD91"/>
    <s v="STORE16"/>
    <n v="4"/>
    <n v="969.55"/>
    <n v="0.09"/>
    <s v="COD"/>
    <x v="0"/>
    <x v="1"/>
    <x v="2"/>
    <s v="Women'S High Heels - Smith-Charles"/>
    <x v="4"/>
    <n v="438.25"/>
    <x v="1"/>
    <x v="1"/>
    <n v="3877.8399999999997"/>
  </r>
  <r>
    <s v="SALE628"/>
    <d v="2024-05-21T00:00:00"/>
    <s v="CUST1462"/>
    <s v="PROD74"/>
    <s v="STORE12"/>
    <n v="3"/>
    <n v="322.94"/>
    <n v="0.01"/>
    <s v="Credit Card"/>
    <x v="1"/>
    <x v="35"/>
    <x v="2"/>
    <s v="Bluetooth Car Audio System - Bruce-Bowen"/>
    <x v="1"/>
    <n v="403.71"/>
    <x v="0"/>
    <x v="2"/>
    <n v="968.79"/>
  </r>
  <r>
    <s v="SALE629"/>
    <d v="2025-05-15T00:00:00"/>
    <s v="CUST1362"/>
    <s v="PROD83"/>
    <s v="STORE0"/>
    <n v="1"/>
    <n v="92.83"/>
    <n v="0.26"/>
    <s v="PayPal"/>
    <x v="0"/>
    <x v="41"/>
    <x v="0"/>
    <s v="Hydrating Face Cleanser - Butler Group"/>
    <x v="2"/>
    <n v="289.35937499999994"/>
    <x v="3"/>
    <x v="1"/>
    <n v="92.57"/>
  </r>
  <r>
    <s v="SALE630"/>
    <d v="2025-05-27T00:00:00"/>
    <s v="CUST1420"/>
    <s v="PROD8"/>
    <s v="STORE3"/>
    <n v="4"/>
    <n v="432.29"/>
    <n v="0.16"/>
    <s v="COD"/>
    <x v="0"/>
    <x v="29"/>
    <x v="3"/>
    <s v="Wireless Bluetooth Earbuds - Perez-Johnston"/>
    <x v="1"/>
    <n v="439.07"/>
    <x v="0"/>
    <x v="0"/>
    <n v="1728.52"/>
  </r>
  <r>
    <s v="SALE631"/>
    <d v="2024-01-20T00:00:00"/>
    <s v="CUST1080"/>
    <s v="PROD39"/>
    <s v="STORE13"/>
    <n v="2"/>
    <n v="925.78"/>
    <n v="0.14000000000000001"/>
    <s v="COD"/>
    <x v="1"/>
    <x v="23"/>
    <x v="3"/>
    <s v="Portable Power Bank - Cummings And Sons"/>
    <x v="1"/>
    <n v="326.06"/>
    <x v="3"/>
    <x v="1"/>
    <n v="1851.28"/>
  </r>
  <r>
    <s v="SALE632"/>
    <d v="2024-11-09T00:00:00"/>
    <s v="CUST1477"/>
    <s v="PROD25"/>
    <s v="STORE11"/>
    <n v="2"/>
    <n v="151.47"/>
    <n v="0.21"/>
    <s v="PayPal"/>
    <x v="1"/>
    <x v="32"/>
    <x v="1"/>
    <s v="Women'S Scarf Set - Brown And Sons"/>
    <x v="4"/>
    <n v="174.02"/>
    <x v="2"/>
    <x v="2"/>
    <n v="302.52"/>
  </r>
  <r>
    <s v="SALE633"/>
    <d v="2024-02-16T00:00:00"/>
    <s v="CUST1449"/>
    <s v="PROD83"/>
    <s v="STORE10"/>
    <n v="1"/>
    <n v="343.05"/>
    <n v="0.28000000000000003"/>
    <s v="PayPal"/>
    <x v="0"/>
    <x v="31"/>
    <x v="3"/>
    <s v="Hydrating Face Cleanser - Butler Group"/>
    <x v="2"/>
    <n v="289.35937499999994"/>
    <x v="3"/>
    <x v="2"/>
    <n v="342.77000000000004"/>
  </r>
  <r>
    <s v="SALE634"/>
    <d v="2024-12-16T00:00:00"/>
    <s v="CUST1066"/>
    <s v="PROD17"/>
    <s v="STORE4"/>
    <n v="1"/>
    <n v="373.06"/>
    <n v="0.11"/>
    <s v="PayPal"/>
    <x v="1"/>
    <x v="21"/>
    <x v="2"/>
    <s v="Soccer Training Cone Set - Ford, Murphy And Wilson"/>
    <x v="0"/>
    <n v="144.53"/>
    <x v="2"/>
    <x v="2"/>
    <n v="372.95"/>
  </r>
  <r>
    <s v="SALE635"/>
    <d v="2025-02-05T00:00:00"/>
    <s v="CUST1411"/>
    <s v="PROD18"/>
    <s v="STORE15"/>
    <n v="1"/>
    <n v="124.98"/>
    <n v="7.0000000000000007E-2"/>
    <s v="COD"/>
    <x v="0"/>
    <x v="31"/>
    <x v="2"/>
    <s v="Women'S Denim Jeans - Guerra-Hendrix"/>
    <x v="4"/>
    <n v="245.7783116883117"/>
    <x v="0"/>
    <x v="1"/>
    <n v="124.91000000000001"/>
  </r>
  <r>
    <s v="SALE636"/>
    <d v="2025-04-16T00:00:00"/>
    <s v="CUST1272"/>
    <s v="PROD73"/>
    <s v="STORE19"/>
    <n v="4"/>
    <n v="221.49"/>
    <n v="0.26"/>
    <s v="PayPal"/>
    <x v="1"/>
    <x v="24"/>
    <x v="0"/>
    <s v="Shin Guards – Adult - French Ltd"/>
    <x v="0"/>
    <n v="107.06"/>
    <x v="3"/>
    <x v="2"/>
    <n v="884.92000000000007"/>
  </r>
  <r>
    <s v="SALE637"/>
    <d v="2024-10-07T00:00:00"/>
    <s v="CUST1170"/>
    <s v="PROD23"/>
    <s v="STORE15"/>
    <n v="1"/>
    <n v="563.32000000000005"/>
    <n v="0.01"/>
    <s v="PayPal"/>
    <x v="0"/>
    <x v="6"/>
    <x v="0"/>
    <s v="Men'S Formal Shirt - Moon, Mora And Santos"/>
    <x v="4"/>
    <n v="248.82191780821913"/>
    <x v="0"/>
    <x v="1"/>
    <n v="563.31000000000006"/>
  </r>
  <r>
    <s v="SALE638"/>
    <d v="2024-02-16T00:00:00"/>
    <s v="CUST1390"/>
    <s v="PROD11"/>
    <s v="STORE0"/>
    <n v="1"/>
    <n v="362.93"/>
    <n v="0.27"/>
    <s v="Credit Card"/>
    <x v="0"/>
    <x v="13"/>
    <x v="2"/>
    <s v="Hd Smart Tv Stick - Gibson, Hobbs And Weaver"/>
    <x v="1"/>
    <n v="449.4"/>
    <x v="3"/>
    <x v="1"/>
    <n v="362.66"/>
  </r>
  <r>
    <s v="SALE639"/>
    <d v="2024-03-22T00:00:00"/>
    <s v="CUST1336"/>
    <s v="PROD11"/>
    <s v="STORE15"/>
    <n v="4"/>
    <n v="369.22"/>
    <n v="0.18"/>
    <s v="COD"/>
    <x v="1"/>
    <x v="47"/>
    <x v="2"/>
    <s v="Hd Smart Tv Stick - Gibson, Hobbs And Weaver"/>
    <x v="1"/>
    <n v="449.4"/>
    <x v="0"/>
    <x v="1"/>
    <n v="1476.16"/>
  </r>
  <r>
    <s v="SALE640"/>
    <d v="2024-10-25T00:00:00"/>
    <s v="CUST1410"/>
    <s v="PROD96"/>
    <s v="STORE14"/>
    <n v="3"/>
    <n v="950.83"/>
    <n v="0.06"/>
    <s v="PayPal"/>
    <x v="1"/>
    <x v="19"/>
    <x v="3"/>
    <s v="Women'S Formal Blazer - Phillips And Sons"/>
    <x v="4"/>
    <n v="358.47"/>
    <x v="2"/>
    <x v="0"/>
    <n v="2852.3100000000004"/>
  </r>
  <r>
    <s v="SALE641"/>
    <d v="2024-03-14T00:00:00"/>
    <s v="CUST1143"/>
    <s v="PROD37"/>
    <s v="STORE13"/>
    <n v="3"/>
    <n v="338.79"/>
    <n v="0.01"/>
    <s v="Credit Card"/>
    <x v="0"/>
    <x v="4"/>
    <x v="3"/>
    <s v="Men'S Casual Sneakers - Hogan-Lee"/>
    <x v="4"/>
    <n v="353.47"/>
    <x v="3"/>
    <x v="1"/>
    <n v="1016.3400000000001"/>
  </r>
  <r>
    <s v="SALE642"/>
    <d v="2025-02-23T00:00:00"/>
    <s v="CUST1146"/>
    <s v="PROD90"/>
    <s v="STORE1"/>
    <n v="3"/>
    <n v="853.32"/>
    <n v="7.0000000000000007E-2"/>
    <s v="COD"/>
    <x v="1"/>
    <x v="42"/>
    <x v="0"/>
    <s v="Gaming Mouse Pad Xl - Sharp, Taylor And Rodriguez"/>
    <x v="1"/>
    <n v="340.14"/>
    <x v="0"/>
    <x v="1"/>
    <n v="2559.75"/>
  </r>
  <r>
    <s v="SALE643"/>
    <d v="2024-10-21T00:00:00"/>
    <s v="CUST1149"/>
    <s v="PROD76"/>
    <s v="STORE6"/>
    <n v="3"/>
    <n v="89.78"/>
    <n v="0.2"/>
    <s v="COD"/>
    <x v="0"/>
    <x v="26"/>
    <x v="1"/>
    <s v="Wireless Mouse - Larson Ltd"/>
    <x v="1"/>
    <n v="392.89"/>
    <x v="3"/>
    <x v="2"/>
    <n v="268.74"/>
  </r>
  <r>
    <s v="SALE644"/>
    <d v="2024-02-12T00:00:00"/>
    <s v="CUST1191"/>
    <s v="PROD55"/>
    <s v="STORE1"/>
    <n v="1"/>
    <n v="172.04"/>
    <n v="0.04"/>
    <s v="PayPal"/>
    <x v="1"/>
    <x v="31"/>
    <x v="3"/>
    <s v="Ceramic Plant Pot - Hatfield, Baird And Torres"/>
    <x v="3"/>
    <n v="81.75"/>
    <x v="0"/>
    <x v="1"/>
    <n v="172"/>
  </r>
  <r>
    <s v="SALE645"/>
    <d v="2024-02-11T00:00:00"/>
    <s v="CUST1467"/>
    <s v="PROD54"/>
    <s v="STORE1"/>
    <n v="1"/>
    <n v="389.2"/>
    <n v="0.05"/>
    <s v="Credit Card"/>
    <x v="1"/>
    <x v="1"/>
    <x v="0"/>
    <s v="Sports Stopwatch Pro - Thompson-French"/>
    <x v="0"/>
    <n v="434.84"/>
    <x v="0"/>
    <x v="1"/>
    <n v="389.15"/>
  </r>
  <r>
    <s v="SALE646"/>
    <d v="2025-05-01T00:00:00"/>
    <s v="CUST1461"/>
    <s v="PROD77"/>
    <s v="STORE13"/>
    <n v="3"/>
    <n v="865.96"/>
    <n v="0.12"/>
    <s v="PayPal"/>
    <x v="1"/>
    <x v="32"/>
    <x v="2"/>
    <s v="Wifi Mesh Router - White, Reeves And Woods"/>
    <x v="1"/>
    <n v="480.9"/>
    <x v="3"/>
    <x v="1"/>
    <n v="2597.52"/>
  </r>
  <r>
    <s v="SALE647"/>
    <d v="2024-10-27T00:00:00"/>
    <s v="CUST1169"/>
    <s v="PROD19"/>
    <s v="STORE1"/>
    <n v="3"/>
    <n v="79.95"/>
    <n v="0.2"/>
    <s v="COD"/>
    <x v="0"/>
    <x v="21"/>
    <x v="3"/>
    <s v="Knee Support Brace - May-Reese"/>
    <x v="0"/>
    <n v="21.34"/>
    <x v="0"/>
    <x v="1"/>
    <n v="239.25"/>
  </r>
  <r>
    <s v="SALE648"/>
    <d v="2023-11-29T00:00:00"/>
    <s v="CUST1381"/>
    <s v="PROD26"/>
    <s v="STORE7"/>
    <n v="1"/>
    <n v="566.5"/>
    <n v="0.25"/>
    <s v="COD"/>
    <x v="0"/>
    <x v="4"/>
    <x v="2"/>
    <s v="Wireless Bluetooth Speaker - Reed-Schmidt"/>
    <x v="1"/>
    <n v="322.41000000000003"/>
    <x v="2"/>
    <x v="2"/>
    <n v="566.25"/>
  </r>
  <r>
    <s v="SALE649"/>
    <d v="2025-05-24T00:00:00"/>
    <s v="CUST1402"/>
    <s v="PROD21"/>
    <s v="STORE0"/>
    <n v="2"/>
    <n v="347.95"/>
    <n v="0.13"/>
    <s v="COD"/>
    <x v="0"/>
    <x v="25"/>
    <x v="3"/>
    <s v="Multi-Purpose Storage Box - Gardner-Montes"/>
    <x v="3"/>
    <n v="123.46"/>
    <x v="3"/>
    <x v="1"/>
    <n v="695.64"/>
  </r>
  <r>
    <s v="SALE650"/>
    <d v="2024-02-25T00:00:00"/>
    <s v="CUST1209"/>
    <s v="PROD58"/>
    <s v="STORE3"/>
    <n v="2"/>
    <n v="250.83"/>
    <n v="0.15"/>
    <s v="PayPal"/>
    <x v="1"/>
    <x v="17"/>
    <x v="1"/>
    <s v="Womens Cotton Scarf - Shepherd-Gould"/>
    <x v="4"/>
    <n v="113.83"/>
    <x v="0"/>
    <x v="0"/>
    <n v="501.36"/>
  </r>
  <r>
    <s v="SALE651"/>
    <d v="2025-03-05T00:00:00"/>
    <s v="CUST1149"/>
    <s v="PROD71"/>
    <s v="STORE1"/>
    <n v="1"/>
    <n v="888.05"/>
    <n v="0.2"/>
    <s v="PayPal"/>
    <x v="0"/>
    <x v="26"/>
    <x v="1"/>
    <s v="Hair Repair Oil Treatment - Hopkins Ltd"/>
    <x v="2"/>
    <n v="214.32"/>
    <x v="0"/>
    <x v="1"/>
    <n v="887.84999999999991"/>
  </r>
  <r>
    <s v="SALE652"/>
    <d v="2024-08-27T00:00:00"/>
    <s v="CUST1006"/>
    <s v="PROD39"/>
    <s v="STORE18"/>
    <n v="2"/>
    <n v="673.02"/>
    <n v="0.11"/>
    <s v="PayPal"/>
    <x v="1"/>
    <x v="34"/>
    <x v="1"/>
    <s v="Portable Power Bank - Cummings And Sons"/>
    <x v="1"/>
    <n v="326.06"/>
    <x v="3"/>
    <x v="1"/>
    <n v="1345.82"/>
  </r>
  <r>
    <s v="SALE653"/>
    <d v="2024-02-10T00:00:00"/>
    <s v="CUST1440"/>
    <s v="PROD64"/>
    <s v="STORE3"/>
    <n v="2"/>
    <n v="492.62"/>
    <n v="0.26"/>
    <s v="COD"/>
    <x v="0"/>
    <x v="16"/>
    <x v="2"/>
    <s v="Matte Lipstick Set - Zhang Inc"/>
    <x v="2"/>
    <n v="299.11"/>
    <x v="0"/>
    <x v="0"/>
    <n v="984.72"/>
  </r>
  <r>
    <s v="SALE654"/>
    <d v="2024-02-22T00:00:00"/>
    <s v="CUST1376"/>
    <s v="PROD85"/>
    <s v="STORE3"/>
    <n v="4"/>
    <n v="986.93"/>
    <n v="0.01"/>
    <s v="Credit Card"/>
    <x v="0"/>
    <x v="40"/>
    <x v="3"/>
    <s v="Women'S Beanie Hat - Richardson-Carrillo"/>
    <x v="4"/>
    <n v="119.57"/>
    <x v="0"/>
    <x v="0"/>
    <n v="3947.68"/>
  </r>
  <r>
    <s v="SALE655"/>
    <d v="2024-04-06T00:00:00"/>
    <s v="CUST1479"/>
    <s v="PROD22"/>
    <s v="STORE12"/>
    <n v="4"/>
    <n v="411.68"/>
    <n v="0.06"/>
    <s v="PayPal"/>
    <x v="0"/>
    <x v="35"/>
    <x v="3"/>
    <s v="Carbon Fiber Tennis Racket - Flores, Pineda And Rodriguez"/>
    <x v="0"/>
    <n v="484.62"/>
    <x v="0"/>
    <x v="2"/>
    <n v="1646.48"/>
  </r>
  <r>
    <s v="SALE656"/>
    <d v="2024-04-15T00:00:00"/>
    <s v="CUST1219"/>
    <s v="PROD36"/>
    <s v="STORE17"/>
    <n v="2"/>
    <n v="637.55999999999995"/>
    <n v="0.05"/>
    <s v="COD"/>
    <x v="1"/>
    <x v="19"/>
    <x v="0"/>
    <s v="Women'S Summer Dress - Smith-Mills"/>
    <x v="4"/>
    <n v="223.43"/>
    <x v="0"/>
    <x v="1"/>
    <n v="1275.02"/>
  </r>
  <r>
    <s v="SALE657"/>
    <d v="2024-12-07T00:00:00"/>
    <s v="CUST1014"/>
    <s v="PROD13"/>
    <s v="STORE3"/>
    <n v="3"/>
    <n v="706.87"/>
    <n v="0.27"/>
    <s v="Credit Card"/>
    <x v="1"/>
    <x v="48"/>
    <x v="2"/>
    <s v="Usb-C Fast Charger - Dawson-Perkins"/>
    <x v="1"/>
    <n v="242.23"/>
    <x v="0"/>
    <x v="0"/>
    <n v="2119.8000000000002"/>
  </r>
  <r>
    <s v="SALE658"/>
    <d v="2024-12-03T00:00:00"/>
    <s v="CUST1055"/>
    <s v="PROD15"/>
    <s v="STORE6"/>
    <n v="2"/>
    <n v="884.48"/>
    <n v="0"/>
    <s v="COD"/>
    <x v="1"/>
    <x v="46"/>
    <x v="3"/>
    <s v="4K Home Projector - Thomas Llc"/>
    <x v="1"/>
    <n v="465.34"/>
    <x v="3"/>
    <x v="2"/>
    <n v="1768.96"/>
  </r>
  <r>
    <s v="SALE659"/>
    <d v="2023-12-31T00:00:00"/>
    <s v="CUST1047"/>
    <s v="PROD92"/>
    <s v="STORE4"/>
    <n v="3"/>
    <n v="718.23"/>
    <n v="0.19"/>
    <s v="PayPal"/>
    <x v="1"/>
    <x v="8"/>
    <x v="2"/>
    <s v="Microwave Oven - Green, Powell And Palmer"/>
    <x v="3"/>
    <n v="447.43"/>
    <x v="2"/>
    <x v="2"/>
    <n v="2154.12"/>
  </r>
  <r>
    <s v="SALE660"/>
    <d v="2025-09-14T00:00:00"/>
    <s v="CUST1180"/>
    <s v="PROD90"/>
    <s v="STORE18"/>
    <n v="3"/>
    <n v="107.44"/>
    <n v="0.27"/>
    <s v="PayPal"/>
    <x v="0"/>
    <x v="17"/>
    <x v="3"/>
    <s v="Gaming Mouse Pad Xl - Sharp, Taylor And Rodriguez"/>
    <x v="1"/>
    <n v="340.14"/>
    <x v="3"/>
    <x v="1"/>
    <n v="321.51"/>
  </r>
  <r>
    <s v="SALE661"/>
    <d v="2025-01-16T00:00:00"/>
    <s v="CUST1056"/>
    <s v="PROD46"/>
    <s v="STORE3"/>
    <n v="4"/>
    <n v="608.97"/>
    <n v="0.14000000000000001"/>
    <s v="COD"/>
    <x v="1"/>
    <x v="2"/>
    <x v="0"/>
    <s v="Men'S Winter Jacket - Kelly, Smith And Perez"/>
    <x v="4"/>
    <n v="167.34"/>
    <x v="0"/>
    <x v="0"/>
    <n v="2435.3200000000002"/>
  </r>
  <r>
    <s v="SALE662"/>
    <d v="2025-02-01T00:00:00"/>
    <s v="CUST1354"/>
    <s v="PROD61"/>
    <s v="STORE6"/>
    <n v="3"/>
    <n v="260.45999999999998"/>
    <n v="0.09"/>
    <s v="Credit Card"/>
    <x v="0"/>
    <x v="40"/>
    <x v="2"/>
    <s v="Tennis Ball 3-Pack - Lopez Llc"/>
    <x v="0"/>
    <n v="103.45"/>
    <x v="3"/>
    <x v="2"/>
    <n v="781.11"/>
  </r>
  <r>
    <s v="SALE663"/>
    <d v="2024-12-20T00:00:00"/>
    <s v="CUST1123"/>
    <s v="PROD22"/>
    <s v="STORE6"/>
    <n v="1"/>
    <n v="747.03"/>
    <n v="0.01"/>
    <s v="Credit Card"/>
    <x v="0"/>
    <x v="9"/>
    <x v="2"/>
    <s v="Carbon Fiber Tennis Racket - Flores, Pineda And Rodriguez"/>
    <x v="0"/>
    <n v="484.62"/>
    <x v="3"/>
    <x v="2"/>
    <n v="747.02"/>
  </r>
  <r>
    <s v="SALE664"/>
    <d v="2024-07-02T00:00:00"/>
    <s v="CUST1404"/>
    <s v="PROD16"/>
    <s v="STORE8"/>
    <n v="4"/>
    <n v="700.88"/>
    <n v="0.23"/>
    <s v="PayPal"/>
    <x v="1"/>
    <x v="13"/>
    <x v="2"/>
    <s v="Beard Grooming Kit - Erickson-Green"/>
    <x v="2"/>
    <n v="337.42"/>
    <x v="1"/>
    <x v="2"/>
    <n v="2802.6"/>
  </r>
  <r>
    <s v="SALE665"/>
    <d v="2025-05-04T00:00:00"/>
    <s v="CUST1048"/>
    <s v="PROD95"/>
    <s v="STORE14"/>
    <n v="4"/>
    <n v="20.09"/>
    <n v="0.16"/>
    <s v="PayPal"/>
    <x v="0"/>
    <x v="29"/>
    <x v="1"/>
    <s v="Sports Stopwatch Basic - Wilson Group"/>
    <x v="0"/>
    <n v="60.65"/>
    <x v="2"/>
    <x v="0"/>
    <n v="79.72"/>
  </r>
  <r>
    <s v="SALE666"/>
    <d v="2024-12-28T00:00:00"/>
    <s v="CUST1062"/>
    <s v="PROD37"/>
    <s v="STORE11"/>
    <n v="3"/>
    <n v="917.64"/>
    <n v="0.24"/>
    <s v="PayPal"/>
    <x v="0"/>
    <x v="23"/>
    <x v="3"/>
    <s v="Men'S Casual Sneakers - Hogan-Lee"/>
    <x v="4"/>
    <n v="353.47"/>
    <x v="2"/>
    <x v="2"/>
    <n v="2752.2"/>
  </r>
  <r>
    <s v="SALE667"/>
    <d v="2024-10-29T00:00:00"/>
    <s v="CUST1051"/>
    <s v="PROD21"/>
    <s v="STORE0"/>
    <n v="1"/>
    <n v="242.08"/>
    <n v="0.18"/>
    <s v="PayPal"/>
    <x v="1"/>
    <x v="35"/>
    <x v="0"/>
    <s v="Multi-Purpose Storage Box - Gardner-Montes"/>
    <x v="3"/>
    <n v="123.46"/>
    <x v="3"/>
    <x v="1"/>
    <n v="241.9"/>
  </r>
  <r>
    <s v="SALE668"/>
    <d v="2024-10-16T00:00:00"/>
    <s v="CUST1057"/>
    <s v="PROD63"/>
    <s v="STORE7"/>
    <n v="1"/>
    <n v="536.67999999999995"/>
    <n v="0.27"/>
    <s v="Credit Card"/>
    <x v="1"/>
    <x v="5"/>
    <x v="1"/>
    <s v="Organic Sunscreen Lotion - Anderson-Riley"/>
    <x v="2"/>
    <n v="266.86"/>
    <x v="2"/>
    <x v="2"/>
    <n v="536.41"/>
  </r>
  <r>
    <s v="SALE669"/>
    <d v="2025-04-01T00:00:00"/>
    <s v="CUST1094"/>
    <s v="PROD29"/>
    <s v="STORE4"/>
    <n v="2"/>
    <n v="145.18"/>
    <n v="0.26"/>
    <s v="PayPal"/>
    <x v="1"/>
    <x v="8"/>
    <x v="0"/>
    <s v="Fabric Sofa Throw Blanket - Hoffman Group"/>
    <x v="3"/>
    <n v="218.48"/>
    <x v="2"/>
    <x v="2"/>
    <n v="289.84000000000003"/>
  </r>
  <r>
    <s v="SALE670"/>
    <d v="2024-03-18T00:00:00"/>
    <s v="CUST1221"/>
    <s v="PROD67"/>
    <s v="STORE4"/>
    <n v="2"/>
    <n v="132.77000000000001"/>
    <n v="0.13"/>
    <s v="COD"/>
    <x v="0"/>
    <x v="36"/>
    <x v="1"/>
    <s v="Smart Led Light Strip - Flores-Davis"/>
    <x v="1"/>
    <n v="349.17"/>
    <x v="2"/>
    <x v="2"/>
    <n v="265.28000000000003"/>
  </r>
  <r>
    <s v="SALE671"/>
    <d v="2025-02-13T00:00:00"/>
    <s v="CUST1013"/>
    <s v="PROD41"/>
    <s v="STORE9"/>
    <n v="4"/>
    <n v="682.11"/>
    <n v="0.14000000000000001"/>
    <s v="Credit Card"/>
    <x v="1"/>
    <x v="10"/>
    <x v="2"/>
    <s v="Yoga Exercise Mat - Carroll, Long And Mendoza"/>
    <x v="0"/>
    <n v="313.26"/>
    <x v="2"/>
    <x v="1"/>
    <n v="2727.88"/>
  </r>
  <r>
    <s v="SALE672"/>
    <d v="2024-08-06T00:00:00"/>
    <s v="CUST1486"/>
    <s v="PROD40"/>
    <s v="STORE17"/>
    <n v="4"/>
    <n v="502.95"/>
    <n v="0.14000000000000001"/>
    <s v="COD"/>
    <x v="1"/>
    <x v="1"/>
    <x v="3"/>
    <s v="Noise-Canceling Headphones - Taylor-Hart"/>
    <x v="1"/>
    <n v="38.520000000000003"/>
    <x v="0"/>
    <x v="1"/>
    <n v="2011.24"/>
  </r>
  <r>
    <s v="SALE673"/>
    <d v="2024-09-03T00:00:00"/>
    <s v="CUST1234"/>
    <s v="PROD37"/>
    <s v="STORE16"/>
    <n v="2"/>
    <n v="472.08"/>
    <n v="7.0000000000000007E-2"/>
    <s v="Credit Card"/>
    <x v="1"/>
    <x v="32"/>
    <x v="0"/>
    <s v="Men'S Casual Sneakers - Hogan-Lee"/>
    <x v="4"/>
    <n v="353.47"/>
    <x v="1"/>
    <x v="1"/>
    <n v="944.02"/>
  </r>
  <r>
    <s v="SALE674"/>
    <d v="2025-01-08T00:00:00"/>
    <s v="CUST1473"/>
    <s v="PROD57"/>
    <s v="STORE17"/>
    <n v="2"/>
    <n v="218.11"/>
    <n v="0.02"/>
    <s v="COD"/>
    <x v="0"/>
    <x v="18"/>
    <x v="3"/>
    <s v="Foam Roller - Atkinson, Camacho And Oliver"/>
    <x v="0"/>
    <n v="30.62"/>
    <x v="0"/>
    <x v="1"/>
    <n v="436.18"/>
  </r>
  <r>
    <s v="SALE675"/>
    <d v="2025-07-21T00:00:00"/>
    <s v="CUST1057"/>
    <s v="PROD1"/>
    <s v="STORE6"/>
    <n v="4"/>
    <n v="845.58"/>
    <n v="0.06"/>
    <s v="PayPal"/>
    <x v="1"/>
    <x v="5"/>
    <x v="1"/>
    <s v="Men'S Graphic T-Shirt - Terry-Moore"/>
    <x v="4"/>
    <n v="342.56"/>
    <x v="3"/>
    <x v="2"/>
    <n v="3382.0800000000004"/>
  </r>
  <r>
    <s v="SALE676"/>
    <d v="2023-11-25T00:00:00"/>
    <s v="CUST1128"/>
    <s v="PROD80"/>
    <s v="STORE2"/>
    <n v="2"/>
    <n v="111.28"/>
    <n v="0.14000000000000001"/>
    <s v="Credit Card"/>
    <x v="0"/>
    <x v="13"/>
    <x v="2"/>
    <s v="Wall-Mounted Spice Rack - Allison Ltd"/>
    <x v="3"/>
    <n v="143.43"/>
    <x v="2"/>
    <x v="0"/>
    <n v="222.28"/>
  </r>
  <r>
    <s v="SALE677"/>
    <d v="2025-07-04T00:00:00"/>
    <s v="CUST1177"/>
    <s v="PROD59"/>
    <s v="STORE14"/>
    <n v="2"/>
    <n v="37.21"/>
    <n v="0.19"/>
    <s v="Credit Card"/>
    <x v="0"/>
    <x v="27"/>
    <x v="1"/>
    <s v="Men'S Hair Styling Gel - Cline-Mccarthy"/>
    <x v="2"/>
    <n v="17.309999999999999"/>
    <x v="2"/>
    <x v="0"/>
    <n v="74.040000000000006"/>
  </r>
  <r>
    <s v="SALE678"/>
    <d v="2023-10-21T00:00:00"/>
    <s v="CUST1417"/>
    <s v="PROD62"/>
    <s v="STORE13"/>
    <n v="1"/>
    <n v="331.73"/>
    <n v="0.04"/>
    <s v="Credit Card"/>
    <x v="1"/>
    <x v="29"/>
    <x v="3"/>
    <s v="Laptop Cooling Pad - Murray, Gould And Ware"/>
    <x v="1"/>
    <n v="86.42"/>
    <x v="3"/>
    <x v="1"/>
    <n v="331.69"/>
  </r>
  <r>
    <s v="SALE679"/>
    <d v="2023-12-13T00:00:00"/>
    <s v="CUST1364"/>
    <s v="PROD70"/>
    <s v="STORE12"/>
    <n v="3"/>
    <n v="306.70999999999998"/>
    <n v="0.09"/>
    <s v="PayPal"/>
    <x v="0"/>
    <x v="28"/>
    <x v="3"/>
    <s v="Kitchen Storage Rack - Duran Group"/>
    <x v="3"/>
    <n v="138.05000000000001"/>
    <x v="0"/>
    <x v="2"/>
    <n v="919.86"/>
  </r>
  <r>
    <s v="SALE680"/>
    <d v="2024-06-13T00:00:00"/>
    <s v="CUST1270"/>
    <s v="PROD25"/>
    <s v="STORE6"/>
    <n v="4"/>
    <n v="484.92"/>
    <n v="0.28000000000000003"/>
    <s v="PayPal"/>
    <x v="1"/>
    <x v="38"/>
    <x v="0"/>
    <s v="Women'S Scarf Set - Brown And Sons"/>
    <x v="4"/>
    <n v="174.02"/>
    <x v="3"/>
    <x v="2"/>
    <n v="1938.5600000000002"/>
  </r>
  <r>
    <s v="SALE681"/>
    <d v="2024-01-01T00:00:00"/>
    <s v="CUST1043"/>
    <s v="PROD50"/>
    <s v="STORE5"/>
    <n v="2"/>
    <n v="42.04"/>
    <n v="7.0000000000000007E-2"/>
    <s v="Credit Card"/>
    <x v="0"/>
    <x v="1"/>
    <x v="0"/>
    <s v="Boxing Hand Wraps - Smith-King"/>
    <x v="0"/>
    <n v="190.29"/>
    <x v="0"/>
    <x v="0"/>
    <n v="83.94"/>
  </r>
  <r>
    <s v="SALE682"/>
    <d v="2023-12-18T00:00:00"/>
    <s v="CUST1281"/>
    <s v="PROD55"/>
    <s v="STORE6"/>
    <n v="3"/>
    <n v="599.48"/>
    <n v="0.22"/>
    <s v="PayPal"/>
    <x v="0"/>
    <x v="40"/>
    <x v="1"/>
    <s v="Ceramic Plant Pot - Hatfield, Baird And Torres"/>
    <x v="3"/>
    <n v="81.75"/>
    <x v="3"/>
    <x v="2"/>
    <n v="1797.78"/>
  </r>
  <r>
    <s v="SALE683"/>
    <d v="2023-11-02T00:00:00"/>
    <s v="CUST1357"/>
    <s v="PROD17"/>
    <s v="STORE1"/>
    <n v="3"/>
    <n v="401.42"/>
    <n v="0.01"/>
    <s v="COD"/>
    <x v="0"/>
    <x v="3"/>
    <x v="0"/>
    <s v="Soccer Training Cone Set - Ford, Murphy And Wilson"/>
    <x v="0"/>
    <n v="144.53"/>
    <x v="0"/>
    <x v="1"/>
    <n v="1204.23"/>
  </r>
  <r>
    <s v="SALE684"/>
    <d v="2025-09-07T00:00:00"/>
    <s v="CUST1192"/>
    <s v="PROD46"/>
    <s v="STORE8"/>
    <n v="4"/>
    <n v="442.54"/>
    <n v="0.06"/>
    <s v="Credit Card"/>
    <x v="0"/>
    <x v="12"/>
    <x v="0"/>
    <s v="Men'S Winter Jacket - Kelly, Smith And Perez"/>
    <x v="4"/>
    <n v="167.34"/>
    <x v="1"/>
    <x v="2"/>
    <n v="1769.92"/>
  </r>
  <r>
    <s v="SALE685"/>
    <d v="2023-12-10T00:00:00"/>
    <s v="CUST1456"/>
    <s v="PROD88"/>
    <s v="STORE13"/>
    <n v="4"/>
    <n v="451.41"/>
    <n v="0.06"/>
    <s v="PayPal"/>
    <x v="1"/>
    <x v="13"/>
    <x v="0"/>
    <s v="Sports Wrist Sweatbands - Olsen-Daniels"/>
    <x v="0"/>
    <n v="131.24"/>
    <x v="3"/>
    <x v="1"/>
    <n v="1805.4"/>
  </r>
  <r>
    <s v="SALE686"/>
    <d v="2025-10-12T00:00:00"/>
    <s v="CUST1265"/>
    <s v="PROD91"/>
    <s v="STORE9"/>
    <n v="4"/>
    <n v="547.21"/>
    <n v="0.25"/>
    <s v="Credit Card"/>
    <x v="0"/>
    <x v="3"/>
    <x v="2"/>
    <s v="Women'S High Heels - Smith-Charles"/>
    <x v="4"/>
    <n v="438.25"/>
    <x v="2"/>
    <x v="1"/>
    <n v="2187.84"/>
  </r>
  <r>
    <s v="SALE687"/>
    <d v="2025-04-03T00:00:00"/>
    <s v="CUST1203"/>
    <s v="PROD87"/>
    <s v="STORE4"/>
    <n v="1"/>
    <n v="979.28"/>
    <n v="0.2"/>
    <s v="PayPal"/>
    <x v="0"/>
    <x v="9"/>
    <x v="1"/>
    <s v="Led Bedside Lamp - Aguilar, Horton And Lewis"/>
    <x v="3"/>
    <n v="371.38"/>
    <x v="2"/>
    <x v="2"/>
    <n v="979.07999999999993"/>
  </r>
  <r>
    <s v="SALE688"/>
    <d v="2024-01-09T00:00:00"/>
    <s v="CUST1464"/>
    <s v="PROD56"/>
    <s v="STORE7"/>
    <n v="4"/>
    <n v="263.58999999999997"/>
    <n v="0.04"/>
    <s v="Credit Card"/>
    <x v="1"/>
    <x v="7"/>
    <x v="1"/>
    <s v="Premium Blanket Throw - Hernandez, Kennedy And Porter"/>
    <x v="3"/>
    <n v="461.47"/>
    <x v="2"/>
    <x v="2"/>
    <n v="1054.1999999999998"/>
  </r>
  <r>
    <s v="SALE689"/>
    <d v="2025-08-07T00:00:00"/>
    <s v="CUST1002"/>
    <s v="PROD54"/>
    <s v="STORE5"/>
    <n v="1"/>
    <n v="692.75"/>
    <n v="0.11"/>
    <s v="COD"/>
    <x v="1"/>
    <x v="4"/>
    <x v="1"/>
    <s v="Sports Stopwatch Pro - Thompson-French"/>
    <x v="0"/>
    <n v="434.84"/>
    <x v="0"/>
    <x v="0"/>
    <n v="692.64"/>
  </r>
  <r>
    <s v="SALE690"/>
    <d v="2024-01-10T00:00:00"/>
    <s v="CUST1163"/>
    <s v="PROD63"/>
    <s v="STORE3"/>
    <n v="3"/>
    <n v="142.83000000000001"/>
    <n v="0.01"/>
    <s v="Credit Card"/>
    <x v="0"/>
    <x v="49"/>
    <x v="3"/>
    <s v="Organic Sunscreen Lotion - Anderson-Riley"/>
    <x v="2"/>
    <n v="266.86"/>
    <x v="0"/>
    <x v="0"/>
    <n v="428.46000000000004"/>
  </r>
  <r>
    <s v="SALE691"/>
    <d v="2025-07-19T00:00:00"/>
    <s v="CUST1124"/>
    <s v="PROD22"/>
    <s v="STORE2"/>
    <n v="2"/>
    <n v="419.25"/>
    <n v="0.17"/>
    <s v="PayPal"/>
    <x v="0"/>
    <x v="49"/>
    <x v="3"/>
    <s v="Carbon Fiber Tennis Racket - Flores, Pineda And Rodriguez"/>
    <x v="0"/>
    <n v="484.62"/>
    <x v="2"/>
    <x v="0"/>
    <n v="838.16"/>
  </r>
  <r>
    <s v="SALE692"/>
    <d v="2024-12-24T00:00:00"/>
    <s v="CUST1240"/>
    <s v="PROD26"/>
    <s v="STORE19"/>
    <n v="2"/>
    <n v="800.84"/>
    <n v="0.27"/>
    <s v="COD"/>
    <x v="1"/>
    <x v="20"/>
    <x v="1"/>
    <s v="Wireless Bluetooth Speaker - Reed-Schmidt"/>
    <x v="1"/>
    <n v="322.41000000000003"/>
    <x v="3"/>
    <x v="2"/>
    <n v="1601.14"/>
  </r>
  <r>
    <s v="SALE693"/>
    <d v="2024-08-16T00:00:00"/>
    <s v="CUST1001"/>
    <s v="PROD48"/>
    <s v="STORE2"/>
    <n v="1"/>
    <n v="301.24"/>
    <n v="0.11"/>
    <s v="PayPal"/>
    <x v="1"/>
    <x v="16"/>
    <x v="1"/>
    <s v="Car Dashboard Phone Holder - Byrd, Stewart And Valdez"/>
    <x v="1"/>
    <n v="177.98"/>
    <x v="2"/>
    <x v="0"/>
    <n v="301.13"/>
  </r>
  <r>
    <s v="SALE694"/>
    <d v="2024-07-24T00:00:00"/>
    <s v="CUST1288"/>
    <s v="PROD85"/>
    <s v="STORE5"/>
    <n v="2"/>
    <n v="701.49"/>
    <n v="0.09"/>
    <s v="PayPal"/>
    <x v="0"/>
    <x v="40"/>
    <x v="0"/>
    <s v="Women'S Beanie Hat - Richardson-Carrillo"/>
    <x v="4"/>
    <n v="119.57"/>
    <x v="0"/>
    <x v="0"/>
    <n v="1402.8"/>
  </r>
  <r>
    <s v="SALE695"/>
    <d v="2024-11-19T00:00:00"/>
    <s v="CUST1351"/>
    <s v="PROD26"/>
    <s v="STORE10"/>
    <n v="4"/>
    <n v="413.48"/>
    <n v="0.02"/>
    <s v="PayPal"/>
    <x v="1"/>
    <x v="48"/>
    <x v="3"/>
    <s v="Wireless Bluetooth Speaker - Reed-Schmidt"/>
    <x v="1"/>
    <n v="322.41000000000003"/>
    <x v="3"/>
    <x v="2"/>
    <n v="1653.8400000000001"/>
  </r>
  <r>
    <s v="SALE696"/>
    <d v="2024-03-14T00:00:00"/>
    <s v="CUST1197"/>
    <s v="PROD8"/>
    <s v="STORE1"/>
    <n v="4"/>
    <n v="167.83"/>
    <n v="0.15"/>
    <s v="Credit Card"/>
    <x v="1"/>
    <x v="46"/>
    <x v="1"/>
    <s v="Wireless Bluetooth Earbuds - Perez-Johnston"/>
    <x v="1"/>
    <n v="439.07"/>
    <x v="0"/>
    <x v="1"/>
    <n v="670.72"/>
  </r>
  <r>
    <s v="SALE697"/>
    <d v="2025-06-24T00:00:00"/>
    <s v="CUST1139"/>
    <s v="PROD15"/>
    <s v="STORE18"/>
    <n v="2"/>
    <n v="669.12"/>
    <n v="0.22"/>
    <s v="Credit Card"/>
    <x v="0"/>
    <x v="39"/>
    <x v="3"/>
    <s v="4K Home Projector - Thomas Llc"/>
    <x v="1"/>
    <n v="465.34"/>
    <x v="3"/>
    <x v="1"/>
    <n v="1337.8"/>
  </r>
  <r>
    <s v="SALE698"/>
    <d v="2024-08-26T00:00:00"/>
    <s v="CUST1039"/>
    <s v="PROD37"/>
    <s v="STORE7"/>
    <n v="3"/>
    <n v="346.77"/>
    <n v="0.18"/>
    <s v="PayPal"/>
    <x v="1"/>
    <x v="20"/>
    <x v="0"/>
    <s v="Men'S Casual Sneakers - Hogan-Lee"/>
    <x v="4"/>
    <n v="353.47"/>
    <x v="2"/>
    <x v="2"/>
    <n v="1039.77"/>
  </r>
  <r>
    <s v="SALE699"/>
    <d v="2025-10-09T00:00:00"/>
    <s v="CUST1059"/>
    <s v="PROD23"/>
    <s v="STORE19"/>
    <n v="3"/>
    <n v="648.33000000000004"/>
    <n v="0.2"/>
    <s v="COD"/>
    <x v="0"/>
    <x v="10"/>
    <x v="1"/>
    <s v="Men'S Formal Shirt - Moon, Mora And Santos"/>
    <x v="4"/>
    <n v="248.82191780821913"/>
    <x v="3"/>
    <x v="2"/>
    <n v="1944.3899999999999"/>
  </r>
  <r>
    <s v="SALE700"/>
    <d v="2024-04-19T00:00:00"/>
    <s v="CUST1285"/>
    <s v="PROD6"/>
    <s v="STORE2"/>
    <n v="4"/>
    <n v="254.94"/>
    <n v="0.06"/>
    <s v="PayPal"/>
    <x v="1"/>
    <x v="43"/>
    <x v="2"/>
    <s v="Herbal Face Moisturizer - Davidson Plc"/>
    <x v="2"/>
    <n v="312.8"/>
    <x v="2"/>
    <x v="0"/>
    <n v="1019.52"/>
  </r>
  <r>
    <s v="SALE701"/>
    <d v="2024-05-08T00:00:00"/>
    <s v="CUST1338"/>
    <s v="PROD81"/>
    <s v="STORE4"/>
    <n v="1"/>
    <n v="445.5"/>
    <n v="0.28000000000000003"/>
    <s v="Credit Card"/>
    <x v="1"/>
    <x v="40"/>
    <x v="2"/>
    <s v="Badminton Racket Set - Robinson-Brown"/>
    <x v="0"/>
    <n v="285.54000000000002"/>
    <x v="2"/>
    <x v="2"/>
    <n v="445.22"/>
  </r>
  <r>
    <s v="SALE702"/>
    <d v="2024-06-16T00:00:00"/>
    <s v="CUST1221"/>
    <s v="PROD90"/>
    <s v="STORE4"/>
    <n v="1"/>
    <n v="900.94"/>
    <n v="0.1"/>
    <s v="Credit Card"/>
    <x v="0"/>
    <x v="36"/>
    <x v="1"/>
    <s v="Gaming Mouse Pad Xl - Sharp, Taylor And Rodriguez"/>
    <x v="1"/>
    <n v="340.14"/>
    <x v="2"/>
    <x v="2"/>
    <n v="900.84"/>
  </r>
  <r>
    <s v="SALE703"/>
    <d v="2024-05-17T00:00:00"/>
    <s v="CUST1196"/>
    <s v="PROD15"/>
    <s v="STORE16"/>
    <n v="3"/>
    <n v="262.69"/>
    <n v="0.04"/>
    <s v="PayPal"/>
    <x v="1"/>
    <x v="41"/>
    <x v="1"/>
    <s v="4K Home Projector - Thomas Llc"/>
    <x v="1"/>
    <n v="465.34"/>
    <x v="1"/>
    <x v="1"/>
    <n v="787.94999999999993"/>
  </r>
  <r>
    <s v="SALE704"/>
    <d v="2024-04-04T00:00:00"/>
    <s v="CUST1482"/>
    <s v="PROD68"/>
    <s v="STORE2"/>
    <n v="3"/>
    <n v="212.72"/>
    <n v="0.22"/>
    <s v="PayPal"/>
    <x v="0"/>
    <x v="27"/>
    <x v="1"/>
    <s v="Wooden Nightstand - Wolfe, Ross And Hester"/>
    <x v="3"/>
    <n v="243.7"/>
    <x v="2"/>
    <x v="0"/>
    <n v="637.5"/>
  </r>
  <r>
    <s v="SALE705"/>
    <d v="2025-05-26T00:00:00"/>
    <s v="CUST1151"/>
    <s v="PROD24"/>
    <s v="STORE18"/>
    <n v="4"/>
    <n v="757.9"/>
    <n v="0.22"/>
    <s v="PayPal"/>
    <x v="1"/>
    <x v="47"/>
    <x v="0"/>
    <s v="Foldable Camping Chair - Cook Ltd"/>
    <x v="0"/>
    <n v="166.06"/>
    <x v="3"/>
    <x v="1"/>
    <n v="3030.72"/>
  </r>
  <r>
    <s v="SALE706"/>
    <d v="2024-02-24T00:00:00"/>
    <s v="CUST1017"/>
    <s v="PROD80"/>
    <s v="STORE17"/>
    <n v="1"/>
    <n v="846.04"/>
    <n v="0.08"/>
    <s v="PayPal"/>
    <x v="1"/>
    <x v="36"/>
    <x v="1"/>
    <s v="Wall-Mounted Spice Rack - Allison Ltd"/>
    <x v="3"/>
    <n v="143.43"/>
    <x v="0"/>
    <x v="1"/>
    <n v="845.95999999999992"/>
  </r>
  <r>
    <s v="SALE707"/>
    <d v="2023-12-07T00:00:00"/>
    <s v="CUST1159"/>
    <s v="PROD38"/>
    <s v="STORE7"/>
    <n v="3"/>
    <n v="179.7"/>
    <n v="0.17"/>
    <s v="COD"/>
    <x v="1"/>
    <x v="19"/>
    <x v="0"/>
    <s v="Sports Water Hydration Pack - Sims-Smith"/>
    <x v="0"/>
    <n v="135.61000000000001"/>
    <x v="2"/>
    <x v="2"/>
    <n v="538.59"/>
  </r>
  <r>
    <s v="SALE708"/>
    <d v="2024-10-07T00:00:00"/>
    <s v="CUST1446"/>
    <s v="PROD31"/>
    <s v="STORE4"/>
    <n v="4"/>
    <n v="681.08"/>
    <n v="0"/>
    <s v="PayPal"/>
    <x v="0"/>
    <x v="15"/>
    <x v="2"/>
    <s v="Basketball - Nolan-Snow"/>
    <x v="0"/>
    <n v="204.39"/>
    <x v="2"/>
    <x v="2"/>
    <n v="2724.32"/>
  </r>
  <r>
    <s v="SALE709"/>
    <d v="2023-11-22T00:00:00"/>
    <s v="CUST1403"/>
    <s v="PROD4"/>
    <s v="STORE7"/>
    <n v="4"/>
    <n v="723.44"/>
    <n v="0.14000000000000001"/>
    <s v="PayPal"/>
    <x v="0"/>
    <x v="38"/>
    <x v="3"/>
    <s v="Women'S Yoga Pants - Gonzales-Davis"/>
    <x v="4"/>
    <n v="306.45999999999998"/>
    <x v="2"/>
    <x v="2"/>
    <n v="2893.2000000000003"/>
  </r>
  <r>
    <s v="SALE710"/>
    <d v="2025-10-09T00:00:00"/>
    <s v="CUST1126"/>
    <s v="PROD31"/>
    <s v="STORE14"/>
    <n v="4"/>
    <n v="471.89"/>
    <n v="0.12"/>
    <s v="COD"/>
    <x v="1"/>
    <x v="28"/>
    <x v="0"/>
    <s v="Basketball - Nolan-Snow"/>
    <x v="0"/>
    <n v="204.39"/>
    <x v="2"/>
    <x v="0"/>
    <n v="1887.08"/>
  </r>
  <r>
    <s v="SALE711"/>
    <d v="2024-09-24T00:00:00"/>
    <s v="CUST1366"/>
    <s v="PROD71"/>
    <s v="STORE17"/>
    <n v="1"/>
    <n v="613.17999999999995"/>
    <n v="0.14000000000000001"/>
    <s v="COD"/>
    <x v="1"/>
    <x v="4"/>
    <x v="1"/>
    <s v="Hair Repair Oil Treatment - Hopkins Ltd"/>
    <x v="2"/>
    <n v="214.32"/>
    <x v="0"/>
    <x v="1"/>
    <n v="613.04"/>
  </r>
  <r>
    <s v="SALE712"/>
    <d v="2023-10-30T00:00:00"/>
    <s v="CUST1051"/>
    <s v="PROD43"/>
    <s v="STORE4"/>
    <n v="1"/>
    <n v="651.30999999999995"/>
    <n v="0.24"/>
    <s v="PayPal"/>
    <x v="1"/>
    <x v="35"/>
    <x v="0"/>
    <s v="Usb External Hard Drive - Robinson Inc"/>
    <x v="1"/>
    <n v="253.33"/>
    <x v="2"/>
    <x v="2"/>
    <n v="651.06999999999994"/>
  </r>
  <r>
    <s v="SALE713"/>
    <d v="2024-02-11T00:00:00"/>
    <s v="CUST1024"/>
    <s v="PROD3"/>
    <s v="STORE6"/>
    <n v="2"/>
    <n v="635.14"/>
    <n v="0.1"/>
    <s v="COD"/>
    <x v="0"/>
    <x v="12"/>
    <x v="1"/>
    <s v="Men'S Running Jacket - Pineda Ltd"/>
    <x v="4"/>
    <n v="364.67"/>
    <x v="3"/>
    <x v="2"/>
    <n v="1270.08"/>
  </r>
  <r>
    <s v="SALE714"/>
    <d v="2025-04-05T00:00:00"/>
    <s v="CUST1380"/>
    <s v="PROD98"/>
    <s v="STORE14"/>
    <n v="4"/>
    <n v="912.61"/>
    <n v="0.14000000000000001"/>
    <s v="Credit Card"/>
    <x v="0"/>
    <x v="5"/>
    <x v="0"/>
    <s v="Portable Bluetooth Speaker - Flores-King"/>
    <x v="1"/>
    <n v="431.67"/>
    <x v="2"/>
    <x v="0"/>
    <n v="3649.88"/>
  </r>
  <r>
    <s v="SALE715"/>
    <d v="2025-05-18T00:00:00"/>
    <s v="CUST1274"/>
    <s v="PROD47"/>
    <s v="STORE7"/>
    <n v="3"/>
    <n v="79.77"/>
    <n v="0.09"/>
    <s v="Credit Card"/>
    <x v="0"/>
    <x v="1"/>
    <x v="2"/>
    <s v="Makeup Brush Set - Cook Inc"/>
    <x v="2"/>
    <n v="255.04901960784306"/>
    <x v="2"/>
    <x v="2"/>
    <n v="239.03999999999996"/>
  </r>
  <r>
    <s v="SALE716"/>
    <d v="2025-04-08T00:00:00"/>
    <s v="CUST1277"/>
    <s v="PROD94"/>
    <s v="STORE15"/>
    <n v="4"/>
    <n v="603.52"/>
    <n v="0.25"/>
    <s v="Credit Card"/>
    <x v="1"/>
    <x v="44"/>
    <x v="1"/>
    <s v="Vitamin E Body Lotion - Hoffman-Williams"/>
    <x v="2"/>
    <n v="358.47"/>
    <x v="0"/>
    <x v="1"/>
    <n v="2413.08"/>
  </r>
  <r>
    <s v="SALE717"/>
    <d v="2024-11-29T00:00:00"/>
    <s v="CUST1077"/>
    <s v="PROD77"/>
    <s v="STORE12"/>
    <n v="4"/>
    <n v="453.12"/>
    <n v="0.23"/>
    <s v="COD"/>
    <x v="0"/>
    <x v="1"/>
    <x v="0"/>
    <s v="Wifi Mesh Router - White, Reeves And Woods"/>
    <x v="1"/>
    <n v="480.9"/>
    <x v="0"/>
    <x v="2"/>
    <n v="1811.56"/>
  </r>
  <r>
    <s v="SALE718"/>
    <d v="2024-12-30T00:00:00"/>
    <s v="CUST1497"/>
    <s v="PROD33"/>
    <s v="STORE9"/>
    <n v="2"/>
    <n v="974.35"/>
    <n v="0.15"/>
    <s v="Credit Card"/>
    <x v="1"/>
    <x v="14"/>
    <x v="0"/>
    <s v="Modern Wall Clock - Weiss-Watson"/>
    <x v="3"/>
    <n v="179.77"/>
    <x v="2"/>
    <x v="1"/>
    <n v="1948.4"/>
  </r>
  <r>
    <s v="SALE719"/>
    <d v="2025-06-16T00:00:00"/>
    <s v="CUST1476"/>
    <s v="PROD95"/>
    <s v="STORE17"/>
    <n v="4"/>
    <n v="52.35"/>
    <n v="0.23"/>
    <s v="COD"/>
    <x v="1"/>
    <x v="15"/>
    <x v="0"/>
    <s v="Sports Stopwatch Basic - Wilson Group"/>
    <x v="0"/>
    <n v="60.65"/>
    <x v="0"/>
    <x v="1"/>
    <n v="208.48000000000002"/>
  </r>
  <r>
    <s v="SALE720"/>
    <d v="2025-06-16T00:00:00"/>
    <s v="CUST1370"/>
    <s v="PROD65"/>
    <s v="STORE17"/>
    <n v="3"/>
    <n v="681.58"/>
    <n v="0.23"/>
    <s v="Credit Card"/>
    <x v="0"/>
    <x v="30"/>
    <x v="2"/>
    <s v="Adjustable Dumbbells 20Kg - Montgomery, Benton And Miller"/>
    <x v="0"/>
    <n v="240.63"/>
    <x v="0"/>
    <x v="1"/>
    <n v="2044.0500000000002"/>
  </r>
  <r>
    <s v="SALE721"/>
    <d v="2024-04-02T00:00:00"/>
    <s v="CUST1177"/>
    <s v="PROD83"/>
    <s v="STORE15"/>
    <n v="3"/>
    <n v="71.23"/>
    <n v="0.03"/>
    <s v="Credit Card"/>
    <x v="0"/>
    <x v="27"/>
    <x v="1"/>
    <s v="Hydrating Face Cleanser - Butler Group"/>
    <x v="2"/>
    <n v="289.35937499999994"/>
    <x v="0"/>
    <x v="1"/>
    <n v="213.60000000000002"/>
  </r>
  <r>
    <s v="SALE722"/>
    <d v="2024-03-28T00:00:00"/>
    <s v="CUST1241"/>
    <s v="PROD15"/>
    <s v="STORE14"/>
    <n v="1"/>
    <n v="31.36"/>
    <n v="0.21"/>
    <s v="COD"/>
    <x v="0"/>
    <x v="45"/>
    <x v="1"/>
    <s v="4K Home Projector - Thomas Llc"/>
    <x v="1"/>
    <n v="465.34"/>
    <x v="2"/>
    <x v="0"/>
    <n v="31.15"/>
  </r>
  <r>
    <s v="SALE723"/>
    <d v="2025-01-17T00:00:00"/>
    <s v="CUST1341"/>
    <s v="PROD41"/>
    <s v="STORE13"/>
    <n v="2"/>
    <n v="555.54999999999995"/>
    <n v="0.14000000000000001"/>
    <s v="Credit Card"/>
    <x v="1"/>
    <x v="49"/>
    <x v="3"/>
    <s v="Yoga Exercise Mat - Carroll, Long And Mendoza"/>
    <x v="0"/>
    <n v="313.26"/>
    <x v="3"/>
    <x v="1"/>
    <n v="1110.82"/>
  </r>
  <r>
    <s v="SALE724"/>
    <d v="2025-04-13T00:00:00"/>
    <s v="CUST1251"/>
    <s v="PROD66"/>
    <s v="STORE16"/>
    <n v="4"/>
    <n v="805.99"/>
    <n v="0.06"/>
    <s v="Credit Card"/>
    <x v="0"/>
    <x v="4"/>
    <x v="2"/>
    <s v="Women'S Hair Dryer Brush - Torres, Spencer And Potter"/>
    <x v="2"/>
    <n v="340.39"/>
    <x v="1"/>
    <x v="1"/>
    <n v="3223.7200000000003"/>
  </r>
  <r>
    <s v="SALE725"/>
    <d v="2024-07-01T00:00:00"/>
    <s v="CUST1388"/>
    <s v="PROD71"/>
    <s v="STORE1"/>
    <n v="1"/>
    <n v="506.55"/>
    <n v="0.28000000000000003"/>
    <s v="Credit Card"/>
    <x v="0"/>
    <x v="6"/>
    <x v="1"/>
    <s v="Hair Repair Oil Treatment - Hopkins Ltd"/>
    <x v="2"/>
    <n v="214.32"/>
    <x v="0"/>
    <x v="1"/>
    <n v="506.27000000000004"/>
  </r>
  <r>
    <s v="SALE726"/>
    <d v="2024-12-14T00:00:00"/>
    <s v="CUST1130"/>
    <s v="PROD41"/>
    <s v="STORE11"/>
    <n v="3"/>
    <n v="28.69"/>
    <n v="0.02"/>
    <s v="Credit Card"/>
    <x v="0"/>
    <x v="40"/>
    <x v="1"/>
    <s v="Yoga Exercise Mat - Carroll, Long And Mendoza"/>
    <x v="0"/>
    <n v="313.26"/>
    <x v="2"/>
    <x v="2"/>
    <n v="86.01"/>
  </r>
  <r>
    <s v="SALE727"/>
    <d v="2023-11-23T00:00:00"/>
    <s v="CUST1387"/>
    <s v="PROD76"/>
    <s v="STORE4"/>
    <n v="1"/>
    <n v="106.07"/>
    <n v="0.23"/>
    <s v="COD"/>
    <x v="1"/>
    <x v="19"/>
    <x v="2"/>
    <s v="Wireless Mouse - Larson Ltd"/>
    <x v="1"/>
    <n v="392.89"/>
    <x v="2"/>
    <x v="2"/>
    <n v="105.83999999999999"/>
  </r>
  <r>
    <s v="SALE728"/>
    <d v="2023-10-26T00:00:00"/>
    <s v="CUST1260"/>
    <s v="PROD91"/>
    <s v="STORE0"/>
    <n v="4"/>
    <n v="289.77"/>
    <n v="0.06"/>
    <s v="PayPal"/>
    <x v="1"/>
    <x v="28"/>
    <x v="1"/>
    <s v="Women'S High Heels - Smith-Charles"/>
    <x v="4"/>
    <n v="438.25"/>
    <x v="3"/>
    <x v="1"/>
    <n v="1158.8399999999999"/>
  </r>
  <r>
    <s v="SALE729"/>
    <d v="2023-12-03T00:00:00"/>
    <s v="CUST1156"/>
    <s v="PROD83"/>
    <s v="STORE18"/>
    <n v="2"/>
    <n v="354.26"/>
    <n v="0.01"/>
    <s v="COD"/>
    <x v="0"/>
    <x v="16"/>
    <x v="3"/>
    <s v="Hydrating Face Cleanser - Butler Group"/>
    <x v="2"/>
    <n v="289.35937499999994"/>
    <x v="3"/>
    <x v="1"/>
    <n v="708.5"/>
  </r>
  <r>
    <s v="SALE730"/>
    <d v="2024-09-19T00:00:00"/>
    <s v="CUST1385"/>
    <s v="PROD68"/>
    <s v="STORE14"/>
    <n v="1"/>
    <n v="522.72"/>
    <n v="0.25"/>
    <s v="PayPal"/>
    <x v="0"/>
    <x v="42"/>
    <x v="0"/>
    <s v="Wooden Nightstand - Wolfe, Ross And Hester"/>
    <x v="3"/>
    <n v="243.7"/>
    <x v="2"/>
    <x v="0"/>
    <n v="522.47"/>
  </r>
  <r>
    <s v="SALE731"/>
    <d v="2024-10-04T00:00:00"/>
    <s v="CUST1057"/>
    <s v="PROD5"/>
    <s v="STORE9"/>
    <n v="3"/>
    <n v="966.02"/>
    <n v="0.03"/>
    <s v="COD"/>
    <x v="1"/>
    <x v="5"/>
    <x v="1"/>
    <s v="Men'S Leather Belt - Baldwin, Garza And Gonzalez"/>
    <x v="4"/>
    <n v="261"/>
    <x v="2"/>
    <x v="1"/>
    <n v="2897.9700000000003"/>
  </r>
  <r>
    <s v="SALE732"/>
    <d v="2023-10-18T00:00:00"/>
    <s v="CUST1224"/>
    <s v="PROD50"/>
    <s v="STORE17"/>
    <n v="1"/>
    <n v="498.61"/>
    <n v="0.04"/>
    <s v="PayPal"/>
    <x v="0"/>
    <x v="6"/>
    <x v="2"/>
    <s v="Boxing Hand Wraps - Smith-King"/>
    <x v="0"/>
    <n v="190.29"/>
    <x v="0"/>
    <x v="1"/>
    <n v="498.57"/>
  </r>
  <r>
    <s v="SALE733"/>
    <d v="2025-05-06T00:00:00"/>
    <s v="CUST1330"/>
    <s v="PROD42"/>
    <s v="STORE6"/>
    <n v="4"/>
    <n v="758.27"/>
    <n v="0.05"/>
    <s v="PayPal"/>
    <x v="0"/>
    <x v="49"/>
    <x v="1"/>
    <s v="Smart Home Wifi Camera - Holmes Llc"/>
    <x v="1"/>
    <n v="450.71"/>
    <x v="3"/>
    <x v="2"/>
    <n v="3032.88"/>
  </r>
  <r>
    <s v="SALE734"/>
    <d v="2024-03-20T00:00:00"/>
    <s v="CUST1198"/>
    <s v="PROD3"/>
    <s v="STORE2"/>
    <n v="2"/>
    <n v="371.03"/>
    <n v="0.23"/>
    <s v="PayPal"/>
    <x v="0"/>
    <x v="1"/>
    <x v="3"/>
    <s v="Men'S Running Jacket - Pineda Ltd"/>
    <x v="4"/>
    <n v="364.67"/>
    <x v="2"/>
    <x v="0"/>
    <n v="741.59999999999991"/>
  </r>
  <r>
    <s v="SALE735"/>
    <d v="2024-06-10T00:00:00"/>
    <s v="CUST1355"/>
    <s v="PROD91"/>
    <s v="STORE17"/>
    <n v="1"/>
    <n v="230.32"/>
    <n v="0.05"/>
    <s v="COD"/>
    <x v="0"/>
    <x v="7"/>
    <x v="0"/>
    <s v="Women'S High Heels - Smith-Charles"/>
    <x v="4"/>
    <n v="438.25"/>
    <x v="0"/>
    <x v="1"/>
    <n v="230.26999999999998"/>
  </r>
  <r>
    <s v="SALE736"/>
    <d v="2024-08-22T00:00:00"/>
    <s v="CUST1342"/>
    <s v="PROD61"/>
    <s v="STORE6"/>
    <n v="2"/>
    <n v="985.43"/>
    <n v="0.28000000000000003"/>
    <s v="COD"/>
    <x v="1"/>
    <x v="40"/>
    <x v="3"/>
    <s v="Tennis Ball 3-Pack - Lopez Llc"/>
    <x v="0"/>
    <n v="103.45"/>
    <x v="3"/>
    <x v="2"/>
    <n v="1970.3"/>
  </r>
  <r>
    <s v="SALE737"/>
    <d v="2025-04-09T00:00:00"/>
    <s v="CUST1422"/>
    <s v="PROD9"/>
    <s v="STORE4"/>
    <n v="2"/>
    <n v="492.5"/>
    <n v="0.3"/>
    <s v="PayPal"/>
    <x v="1"/>
    <x v="32"/>
    <x v="1"/>
    <s v="Adjustable Dumbbell Set - Hill Plc"/>
    <x v="0"/>
    <n v="495.72"/>
    <x v="2"/>
    <x v="2"/>
    <n v="984.4"/>
  </r>
  <r>
    <s v="SALE738"/>
    <d v="2024-12-31T00:00:00"/>
    <s v="CUST1364"/>
    <s v="PROD46"/>
    <s v="STORE11"/>
    <n v="2"/>
    <n v="213.69"/>
    <n v="0.28000000000000003"/>
    <s v="PayPal"/>
    <x v="0"/>
    <x v="28"/>
    <x v="3"/>
    <s v="Men'S Winter Jacket - Kelly, Smith And Perez"/>
    <x v="4"/>
    <n v="167.34"/>
    <x v="2"/>
    <x v="2"/>
    <n v="426.82"/>
  </r>
  <r>
    <s v="SALE739"/>
    <d v="2025-02-28T00:00:00"/>
    <s v="CUST1065"/>
    <s v="PROD20"/>
    <s v="STORE8"/>
    <n v="4"/>
    <n v="618.83000000000004"/>
    <n v="0.08"/>
    <s v="PayPal"/>
    <x v="1"/>
    <x v="8"/>
    <x v="2"/>
    <s v="Outdoor Sports Water Bottle - Soto-Ellis"/>
    <x v="0"/>
    <n v="131.51"/>
    <x v="1"/>
    <x v="2"/>
    <n v="2475"/>
  </r>
  <r>
    <s v="SALE740"/>
    <d v="2024-01-22T00:00:00"/>
    <s v="CUST1093"/>
    <s v="PROD59"/>
    <s v="STORE11"/>
    <n v="2"/>
    <n v="81.16"/>
    <n v="0.16"/>
    <s v="PayPal"/>
    <x v="1"/>
    <x v="42"/>
    <x v="0"/>
    <s v="Men'S Hair Styling Gel - Cline-Mccarthy"/>
    <x v="2"/>
    <n v="17.309999999999999"/>
    <x v="2"/>
    <x v="2"/>
    <n v="162"/>
  </r>
  <r>
    <s v="SALE741"/>
    <d v="2024-03-21T00:00:00"/>
    <s v="CUST1002"/>
    <s v="PROD86"/>
    <s v="STORE9"/>
    <n v="1"/>
    <n v="431.69"/>
    <n v="0.09"/>
    <s v="Credit Card"/>
    <x v="1"/>
    <x v="4"/>
    <x v="1"/>
    <s v="Kitchen Cutting Board - Taylor, Dodson And Johnston"/>
    <x v="3"/>
    <n v="176.07"/>
    <x v="2"/>
    <x v="1"/>
    <n v="431.6"/>
  </r>
  <r>
    <s v="SALE742"/>
    <d v="2024-12-22T00:00:00"/>
    <s v="CUST1405"/>
    <s v="PROD18"/>
    <s v="STORE5"/>
    <n v="3"/>
    <n v="438.65"/>
    <n v="0.28999999999999998"/>
    <s v="PayPal"/>
    <x v="1"/>
    <x v="38"/>
    <x v="0"/>
    <s v="Women'S Denim Jeans - Guerra-Hendrix"/>
    <x v="4"/>
    <n v="245.7783116883117"/>
    <x v="0"/>
    <x v="0"/>
    <n v="1315.08"/>
  </r>
  <r>
    <s v="SALE743"/>
    <d v="2024-04-02T00:00:00"/>
    <s v="CUST1172"/>
    <s v="PROD79"/>
    <s v="STORE3"/>
    <n v="3"/>
    <n v="339.41"/>
    <n v="0.26"/>
    <s v="Credit Card"/>
    <x v="1"/>
    <x v="35"/>
    <x v="3"/>
    <s v="Decorative Lamp Shade - Ramirez-Hanson"/>
    <x v="3"/>
    <n v="228.53"/>
    <x v="0"/>
    <x v="0"/>
    <n v="1017.45"/>
  </r>
  <r>
    <s v="SALE744"/>
    <d v="2025-01-30T00:00:00"/>
    <s v="CUST1470"/>
    <s v="PROD79"/>
    <s v="STORE9"/>
    <n v="4"/>
    <n v="848.47"/>
    <n v="0.21"/>
    <s v="COD"/>
    <x v="1"/>
    <x v="21"/>
    <x v="0"/>
    <s v="Decorative Lamp Shade - Ramirez-Hanson"/>
    <x v="3"/>
    <n v="228.53"/>
    <x v="2"/>
    <x v="1"/>
    <n v="3393.04"/>
  </r>
  <r>
    <s v="SALE745"/>
    <d v="2025-03-31T00:00:00"/>
    <s v="CUST1192"/>
    <s v="PROD67"/>
    <s v="STORE8"/>
    <n v="1"/>
    <n v="664.87"/>
    <n v="0.08"/>
    <s v="PayPal"/>
    <x v="0"/>
    <x v="12"/>
    <x v="0"/>
    <s v="Smart Led Light Strip - Flores-Davis"/>
    <x v="1"/>
    <n v="349.17"/>
    <x v="1"/>
    <x v="2"/>
    <n v="664.79"/>
  </r>
  <r>
    <s v="SALE746"/>
    <d v="2025-01-30T00:00:00"/>
    <s v="CUST1099"/>
    <s v="PROD24"/>
    <s v="STORE7"/>
    <n v="1"/>
    <n v="412.11"/>
    <n v="0.23"/>
    <s v="PayPal"/>
    <x v="0"/>
    <x v="3"/>
    <x v="2"/>
    <s v="Foldable Camping Chair - Cook Ltd"/>
    <x v="0"/>
    <n v="166.06"/>
    <x v="2"/>
    <x v="2"/>
    <n v="411.88"/>
  </r>
  <r>
    <s v="SALE747"/>
    <d v="2025-09-16T00:00:00"/>
    <s v="CUST1122"/>
    <s v="PROD94"/>
    <s v="STORE1"/>
    <n v="1"/>
    <n v="126.09"/>
    <n v="0.05"/>
    <s v="COD"/>
    <x v="0"/>
    <x v="29"/>
    <x v="1"/>
    <s v="Vitamin E Body Lotion - Hoffman-Williams"/>
    <x v="2"/>
    <n v="358.47"/>
    <x v="0"/>
    <x v="1"/>
    <n v="126.04"/>
  </r>
  <r>
    <s v="SALE748"/>
    <d v="2025-09-17T00:00:00"/>
    <s v="CUST1198"/>
    <s v="PROD67"/>
    <s v="STORE10"/>
    <n v="4"/>
    <n v="602.39"/>
    <n v="0.19"/>
    <s v="COD"/>
    <x v="0"/>
    <x v="1"/>
    <x v="3"/>
    <s v="Smart Led Light Strip - Flores-Davis"/>
    <x v="1"/>
    <n v="349.17"/>
    <x v="3"/>
    <x v="2"/>
    <n v="2408.7999999999997"/>
  </r>
  <r>
    <s v="SALE749"/>
    <d v="2025-10-11T00:00:00"/>
    <s v="CUST1325"/>
    <s v="PROD82"/>
    <s v="STORE3"/>
    <n v="3"/>
    <n v="447.69"/>
    <n v="0.02"/>
    <s v="COD"/>
    <x v="0"/>
    <x v="18"/>
    <x v="3"/>
    <s v="Fitness Resistance Bands - Reese-Watson"/>
    <x v="0"/>
    <n v="152.91999999999999"/>
    <x v="0"/>
    <x v="0"/>
    <n v="1343.01"/>
  </r>
  <r>
    <s v="SALE750"/>
    <d v="2025-05-01T00:00:00"/>
    <s v="CUST1248"/>
    <s v="PROD34"/>
    <s v="STORE3"/>
    <n v="3"/>
    <n v="35.159999999999997"/>
    <n v="0.04"/>
    <s v="COD"/>
    <x v="0"/>
    <x v="8"/>
    <x v="0"/>
    <s v="Gaming Mechanical Keyboard - Lucero Llc"/>
    <x v="1"/>
    <n v="419.28"/>
    <x v="0"/>
    <x v="0"/>
    <n v="105.35999999999999"/>
  </r>
  <r>
    <s v="SALE751"/>
    <d v="2025-03-24T00:00:00"/>
    <s v="CUST1330"/>
    <s v="PROD72"/>
    <s v="STORE11"/>
    <n v="2"/>
    <n v="838.59"/>
    <n v="0.18"/>
    <s v="COD"/>
    <x v="0"/>
    <x v="49"/>
    <x v="1"/>
    <s v="Professional Jump Rope - Davis Plc"/>
    <x v="0"/>
    <n v="477.61"/>
    <x v="2"/>
    <x v="2"/>
    <n v="1676.8200000000002"/>
  </r>
  <r>
    <s v="SALE752"/>
    <d v="2024-11-02T00:00:00"/>
    <s v="CUST1089"/>
    <s v="PROD59"/>
    <s v="STORE6"/>
    <n v="4"/>
    <n v="867.94"/>
    <n v="0.26"/>
    <s v="PayPal"/>
    <x v="0"/>
    <x v="18"/>
    <x v="1"/>
    <s v="Men'S Hair Styling Gel - Cline-Mccarthy"/>
    <x v="2"/>
    <n v="17.309999999999999"/>
    <x v="3"/>
    <x v="2"/>
    <n v="3470.7200000000003"/>
  </r>
  <r>
    <s v="SALE753"/>
    <d v="2024-10-26T00:00:00"/>
    <s v="CUST1196"/>
    <s v="PROD39"/>
    <s v="STORE17"/>
    <n v="1"/>
    <n v="623.88"/>
    <n v="0.25"/>
    <s v="Credit Card"/>
    <x v="1"/>
    <x v="41"/>
    <x v="1"/>
    <s v="Portable Power Bank - Cummings And Sons"/>
    <x v="1"/>
    <n v="326.06"/>
    <x v="0"/>
    <x v="1"/>
    <n v="623.63"/>
  </r>
  <r>
    <s v="SALE754"/>
    <d v="2024-09-11T00:00:00"/>
    <s v="CUST1177"/>
    <s v="PROD42"/>
    <s v="STORE14"/>
    <n v="2"/>
    <n v="567.95000000000005"/>
    <n v="0.12"/>
    <s v="PayPal"/>
    <x v="0"/>
    <x v="27"/>
    <x v="1"/>
    <s v="Smart Home Wifi Camera - Holmes Llc"/>
    <x v="1"/>
    <n v="450.71"/>
    <x v="2"/>
    <x v="0"/>
    <n v="1135.6600000000001"/>
  </r>
  <r>
    <s v="SALE755"/>
    <d v="2024-07-10T00:00:00"/>
    <s v="CUST1323"/>
    <s v="PROD31"/>
    <s v="STORE18"/>
    <n v="2"/>
    <n v="671.69"/>
    <n v="0.19"/>
    <s v="Credit Card"/>
    <x v="1"/>
    <x v="29"/>
    <x v="1"/>
    <s v="Basketball - Nolan-Snow"/>
    <x v="0"/>
    <n v="204.39"/>
    <x v="3"/>
    <x v="1"/>
    <n v="1343"/>
  </r>
  <r>
    <s v="SALE756"/>
    <d v="2025-05-09T00:00:00"/>
    <s v="CUST1206"/>
    <s v="PROD6"/>
    <s v="STORE7"/>
    <n v="2"/>
    <n v="257.95999999999998"/>
    <n v="0.21"/>
    <s v="PayPal"/>
    <x v="1"/>
    <x v="3"/>
    <x v="2"/>
    <s v="Herbal Face Moisturizer - Davidson Plc"/>
    <x v="2"/>
    <n v="312.8"/>
    <x v="2"/>
    <x v="2"/>
    <n v="515.5"/>
  </r>
  <r>
    <s v="SALE757"/>
    <d v="2024-07-02T00:00:00"/>
    <s v="CUST1204"/>
    <s v="PROD98"/>
    <s v="STORE19"/>
    <n v="4"/>
    <n v="281.48"/>
    <n v="0.27"/>
    <s v="PayPal"/>
    <x v="0"/>
    <x v="45"/>
    <x v="1"/>
    <s v="Portable Bluetooth Speaker - Flores-King"/>
    <x v="1"/>
    <n v="431.67"/>
    <x v="3"/>
    <x v="2"/>
    <n v="1124.8400000000001"/>
  </r>
  <r>
    <s v="SALE758"/>
    <d v="2024-06-27T00:00:00"/>
    <s v="CUST1316"/>
    <s v="PROD20"/>
    <s v="STORE11"/>
    <n v="1"/>
    <n v="202.13"/>
    <n v="0.13"/>
    <s v="COD"/>
    <x v="0"/>
    <x v="33"/>
    <x v="0"/>
    <s v="Outdoor Sports Water Bottle - Soto-Ellis"/>
    <x v="0"/>
    <n v="131.51"/>
    <x v="2"/>
    <x v="2"/>
    <n v="202"/>
  </r>
  <r>
    <s v="SALE759"/>
    <d v="2023-11-13T00:00:00"/>
    <s v="CUST1271"/>
    <s v="PROD74"/>
    <s v="STORE5"/>
    <n v="1"/>
    <n v="370.66"/>
    <n v="0.01"/>
    <s v="PayPal"/>
    <x v="0"/>
    <x v="48"/>
    <x v="1"/>
    <s v="Bluetooth Car Audio System - Bruce-Bowen"/>
    <x v="1"/>
    <n v="403.71"/>
    <x v="0"/>
    <x v="0"/>
    <n v="370.65000000000003"/>
  </r>
  <r>
    <s v="SALE760"/>
    <d v="2024-02-19T00:00:00"/>
    <s v="CUST1005"/>
    <s v="PROD61"/>
    <s v="STORE12"/>
    <n v="4"/>
    <n v="731.53"/>
    <n v="0.12"/>
    <s v="Credit Card"/>
    <x v="0"/>
    <x v="47"/>
    <x v="3"/>
    <s v="Tennis Ball 3-Pack - Lopez Llc"/>
    <x v="0"/>
    <n v="103.45"/>
    <x v="0"/>
    <x v="2"/>
    <n v="2925.64"/>
  </r>
  <r>
    <s v="SALE761"/>
    <d v="2024-03-20T00:00:00"/>
    <s v="CUST1165"/>
    <s v="PROD78"/>
    <s v="STORE1"/>
    <n v="3"/>
    <n v="468.25"/>
    <n v="7.0000000000000007E-2"/>
    <s v="PayPal"/>
    <x v="1"/>
    <x v="49"/>
    <x v="1"/>
    <s v="Essential Oil Diffuser - Hernandez Inc"/>
    <x v="3"/>
    <n v="325.26"/>
    <x v="0"/>
    <x v="1"/>
    <n v="1404.54"/>
  </r>
  <r>
    <s v="SALE762"/>
    <d v="2024-03-09T00:00:00"/>
    <s v="CUST1001"/>
    <s v="PROD67"/>
    <s v="STORE0"/>
    <n v="1"/>
    <n v="928.72"/>
    <n v="0.1"/>
    <s v="COD"/>
    <x v="1"/>
    <x v="16"/>
    <x v="1"/>
    <s v="Smart Led Light Strip - Flores-Davis"/>
    <x v="1"/>
    <n v="349.17"/>
    <x v="3"/>
    <x v="1"/>
    <n v="928.62"/>
  </r>
  <r>
    <s v="SALE763"/>
    <d v="2024-07-26T00:00:00"/>
    <s v="CUST1101"/>
    <s v="PROD4"/>
    <s v="STORE18"/>
    <n v="3"/>
    <n v="217.22"/>
    <n v="0.06"/>
    <s v="PayPal"/>
    <x v="0"/>
    <x v="39"/>
    <x v="0"/>
    <s v="Women'S Yoga Pants - Gonzales-Davis"/>
    <x v="4"/>
    <n v="306.45999999999998"/>
    <x v="3"/>
    <x v="1"/>
    <n v="651.48"/>
  </r>
  <r>
    <s v="SALE764"/>
    <d v="2025-03-29T00:00:00"/>
    <s v="CUST1405"/>
    <s v="PROD24"/>
    <s v="STORE3"/>
    <n v="1"/>
    <n v="387.99"/>
    <n v="0.3"/>
    <s v="Credit Card"/>
    <x v="1"/>
    <x v="38"/>
    <x v="0"/>
    <s v="Foldable Camping Chair - Cook Ltd"/>
    <x v="0"/>
    <n v="166.06"/>
    <x v="0"/>
    <x v="0"/>
    <n v="387.69"/>
  </r>
  <r>
    <s v="SALE765"/>
    <d v="2025-03-02T00:00:00"/>
    <s v="CUST1476"/>
    <s v="PROD18"/>
    <s v="STORE6"/>
    <n v="4"/>
    <n v="186.24"/>
    <n v="0.23"/>
    <s v="Credit Card"/>
    <x v="1"/>
    <x v="15"/>
    <x v="0"/>
    <s v="Women'S Denim Jeans - Guerra-Hendrix"/>
    <x v="4"/>
    <n v="245.7783116883117"/>
    <x v="3"/>
    <x v="2"/>
    <n v="744.04000000000008"/>
  </r>
  <r>
    <s v="SALE766"/>
    <d v="2024-06-11T00:00:00"/>
    <s v="CUST1296"/>
    <s v="PROD40"/>
    <s v="STORE8"/>
    <n v="4"/>
    <n v="609.05999999999995"/>
    <n v="0.22"/>
    <s v="COD"/>
    <x v="1"/>
    <x v="35"/>
    <x v="3"/>
    <s v="Noise-Canceling Headphones - Taylor-Hart"/>
    <x v="1"/>
    <n v="38.520000000000003"/>
    <x v="1"/>
    <x v="2"/>
    <n v="2435.3599999999997"/>
  </r>
  <r>
    <s v="SALE767"/>
    <d v="2024-05-22T00:00:00"/>
    <s v="CUST1437"/>
    <s v="PROD33"/>
    <s v="STORE11"/>
    <n v="1"/>
    <n v="827.91"/>
    <n v="0.21"/>
    <s v="PayPal"/>
    <x v="1"/>
    <x v="21"/>
    <x v="1"/>
    <s v="Modern Wall Clock - Weiss-Watson"/>
    <x v="3"/>
    <n v="179.77"/>
    <x v="2"/>
    <x v="2"/>
    <n v="827.69999999999993"/>
  </r>
  <r>
    <s v="SALE768"/>
    <d v="2024-07-13T00:00:00"/>
    <s v="CUST1176"/>
    <s v="PROD83"/>
    <s v="STORE0"/>
    <n v="1"/>
    <n v="303.79000000000002"/>
    <n v="0.24"/>
    <s v="PayPal"/>
    <x v="0"/>
    <x v="1"/>
    <x v="2"/>
    <s v="Hydrating Face Cleanser - Butler Group"/>
    <x v="2"/>
    <n v="289.35937499999994"/>
    <x v="3"/>
    <x v="1"/>
    <n v="303.55"/>
  </r>
  <r>
    <s v="SALE769"/>
    <d v="2025-09-02T00:00:00"/>
    <s v="CUST1104"/>
    <s v="PROD37"/>
    <s v="STORE6"/>
    <n v="2"/>
    <n v="365.91"/>
    <n v="0.14000000000000001"/>
    <s v="COD"/>
    <x v="0"/>
    <x v="36"/>
    <x v="2"/>
    <s v="Men'S Casual Sneakers - Hogan-Lee"/>
    <x v="4"/>
    <n v="353.47"/>
    <x v="3"/>
    <x v="2"/>
    <n v="731.54000000000008"/>
  </r>
  <r>
    <s v="SALE770"/>
    <d v="2025-04-15T00:00:00"/>
    <s v="CUST1069"/>
    <s v="PROD25"/>
    <s v="STORE17"/>
    <n v="3"/>
    <n v="852.72"/>
    <n v="0.16"/>
    <s v="Credit Card"/>
    <x v="1"/>
    <x v="19"/>
    <x v="1"/>
    <s v="Women'S Scarf Set - Brown And Sons"/>
    <x v="4"/>
    <n v="174.02"/>
    <x v="0"/>
    <x v="1"/>
    <n v="2557.6800000000003"/>
  </r>
  <r>
    <s v="SALE771"/>
    <d v="2025-04-05T00:00:00"/>
    <s v="CUST1247"/>
    <s v="PROD10"/>
    <s v="STORE4"/>
    <n v="1"/>
    <n v="768.25"/>
    <n v="0.18"/>
    <s v="Credit Card"/>
    <x v="0"/>
    <x v="21"/>
    <x v="1"/>
    <s v="Ceramic Kitchen Bowl Set - Hamilton Group"/>
    <x v="3"/>
    <n v="298.86"/>
    <x v="2"/>
    <x v="2"/>
    <n v="768.07"/>
  </r>
  <r>
    <s v="SALE772"/>
    <d v="2023-11-24T00:00:00"/>
    <s v="CUST1350"/>
    <s v="PROD92"/>
    <s v="STORE19"/>
    <n v="2"/>
    <n v="318.62"/>
    <n v="0.02"/>
    <s v="COD"/>
    <x v="0"/>
    <x v="9"/>
    <x v="2"/>
    <s v="Microwave Oven - Green, Powell And Palmer"/>
    <x v="3"/>
    <n v="447.43"/>
    <x v="3"/>
    <x v="2"/>
    <n v="637.20000000000005"/>
  </r>
  <r>
    <s v="SALE773"/>
    <d v="2025-01-26T00:00:00"/>
    <s v="CUST1049"/>
    <s v="PROD76"/>
    <s v="STORE2"/>
    <n v="4"/>
    <n v="402.11"/>
    <n v="0.14000000000000001"/>
    <s v="PayPal"/>
    <x v="1"/>
    <x v="31"/>
    <x v="0"/>
    <s v="Wireless Mouse - Larson Ltd"/>
    <x v="1"/>
    <n v="392.89"/>
    <x v="2"/>
    <x v="0"/>
    <n v="1607.88"/>
  </r>
  <r>
    <s v="SALE774"/>
    <d v="2025-05-27T00:00:00"/>
    <s v="CUST1408"/>
    <s v="PROD84"/>
    <s v="STORE17"/>
    <n v="3"/>
    <n v="846.31"/>
    <n v="0.18"/>
    <s v="COD"/>
    <x v="0"/>
    <x v="19"/>
    <x v="0"/>
    <s v="Wooden Bookshelf - Collins-Stephenson"/>
    <x v="3"/>
    <n v="388.46"/>
    <x v="0"/>
    <x v="1"/>
    <n v="2538.39"/>
  </r>
  <r>
    <s v="SALE775"/>
    <d v="2025-06-13T00:00:00"/>
    <s v="CUST1168"/>
    <s v="PROD94"/>
    <s v="STORE14"/>
    <n v="1"/>
    <n v="269.94"/>
    <n v="7.0000000000000007E-2"/>
    <s v="COD"/>
    <x v="1"/>
    <x v="26"/>
    <x v="1"/>
    <s v="Vitamin E Body Lotion - Hoffman-Williams"/>
    <x v="2"/>
    <n v="358.47"/>
    <x v="2"/>
    <x v="0"/>
    <n v="269.87"/>
  </r>
  <r>
    <s v="SALE776"/>
    <d v="2024-06-29T00:00:00"/>
    <s v="CUST1241"/>
    <s v="PROD20"/>
    <s v="STORE4"/>
    <n v="3"/>
    <n v="909.25"/>
    <n v="0.28999999999999998"/>
    <s v="COD"/>
    <x v="0"/>
    <x v="45"/>
    <x v="1"/>
    <s v="Outdoor Sports Water Bottle - Soto-Ellis"/>
    <x v="0"/>
    <n v="131.51"/>
    <x v="2"/>
    <x v="2"/>
    <n v="2726.88"/>
  </r>
  <r>
    <s v="SALE777"/>
    <d v="2024-02-09T00:00:00"/>
    <s v="CUST1363"/>
    <s v="PROD91"/>
    <s v="STORE12"/>
    <n v="2"/>
    <n v="229.81"/>
    <n v="0.21"/>
    <s v="COD"/>
    <x v="0"/>
    <x v="31"/>
    <x v="3"/>
    <s v="Women'S High Heels - Smith-Charles"/>
    <x v="4"/>
    <n v="438.25"/>
    <x v="0"/>
    <x v="2"/>
    <n v="459.2"/>
  </r>
  <r>
    <s v="SALE778"/>
    <d v="2024-06-08T00:00:00"/>
    <s v="CUST1037"/>
    <s v="PROD78"/>
    <s v="STORE15"/>
    <n v="3"/>
    <n v="442.36"/>
    <n v="0.06"/>
    <s v="PayPal"/>
    <x v="1"/>
    <x v="34"/>
    <x v="4"/>
    <s v="Essential Oil Diffuser - Hernandez Inc"/>
    <x v="3"/>
    <n v="325.26"/>
    <x v="0"/>
    <x v="1"/>
    <n v="1326.9"/>
  </r>
  <r>
    <s v="SALE779"/>
    <d v="2024-04-04T00:00:00"/>
    <s v="CUST1239"/>
    <s v="PROD86"/>
    <s v="STORE3"/>
    <n v="3"/>
    <n v="413.74"/>
    <n v="0.01"/>
    <s v="Credit Card"/>
    <x v="1"/>
    <x v="8"/>
    <x v="1"/>
    <s v="Kitchen Cutting Board - Taylor, Dodson And Johnston"/>
    <x v="3"/>
    <n v="176.07"/>
    <x v="0"/>
    <x v="0"/>
    <n v="1241.19"/>
  </r>
  <r>
    <s v="SALE780"/>
    <d v="2024-07-04T00:00:00"/>
    <s v="CUST1496"/>
    <s v="PROD89"/>
    <s v="STORE14"/>
    <n v="4"/>
    <n v="79.75"/>
    <n v="0.18"/>
    <s v="PayPal"/>
    <x v="0"/>
    <x v="31"/>
    <x v="3"/>
    <s v="Face Foundation Kit - Taylor-Elliott"/>
    <x v="2"/>
    <n v="183.04"/>
    <x v="2"/>
    <x v="0"/>
    <n v="318.27999999999997"/>
  </r>
  <r>
    <s v="SALE781"/>
    <d v="2024-05-21T00:00:00"/>
    <s v="CUST1495"/>
    <s v="PROD40"/>
    <s v="STORE12"/>
    <n v="4"/>
    <n v="95.06"/>
    <n v="0.03"/>
    <s v="Credit Card"/>
    <x v="1"/>
    <x v="37"/>
    <x v="3"/>
    <s v="Noise-Canceling Headphones - Taylor-Hart"/>
    <x v="1"/>
    <n v="38.520000000000003"/>
    <x v="0"/>
    <x v="2"/>
    <n v="380.12"/>
  </r>
  <r>
    <s v="SALE782"/>
    <d v="2025-04-12T00:00:00"/>
    <s v="CUST1416"/>
    <s v="PROD98"/>
    <s v="STORE7"/>
    <n v="4"/>
    <n v="107.08"/>
    <n v="0.27"/>
    <s v="COD"/>
    <x v="0"/>
    <x v="18"/>
    <x v="1"/>
    <s v="Portable Bluetooth Speaker - Flores-King"/>
    <x v="1"/>
    <n v="431.67"/>
    <x v="2"/>
    <x v="2"/>
    <n v="427.24"/>
  </r>
  <r>
    <s v="SALE783"/>
    <d v="2025-05-17T00:00:00"/>
    <s v="CUST1474"/>
    <s v="PROD99"/>
    <s v="STORE18"/>
    <n v="1"/>
    <n v="873.18"/>
    <n v="0.03"/>
    <s v="COD"/>
    <x v="1"/>
    <x v="34"/>
    <x v="1"/>
    <s v="Stainless Steel Cookware Set - Campbell Ltd"/>
    <x v="3"/>
    <n v="201.41"/>
    <x v="3"/>
    <x v="1"/>
    <n v="873.15"/>
  </r>
  <r>
    <s v="SALE784"/>
    <d v="2025-04-17T00:00:00"/>
    <s v="CUST1377"/>
    <s v="PROD70"/>
    <s v="STORE18"/>
    <n v="1"/>
    <n v="914.75"/>
    <n v="0.1"/>
    <s v="COD"/>
    <x v="1"/>
    <x v="17"/>
    <x v="0"/>
    <s v="Kitchen Storage Rack - Duran Group"/>
    <x v="3"/>
    <n v="138.05000000000001"/>
    <x v="3"/>
    <x v="1"/>
    <n v="914.65"/>
  </r>
  <r>
    <s v="SALE785"/>
    <d v="2023-12-19T00:00:00"/>
    <s v="CUST1049"/>
    <s v="PROD73"/>
    <s v="STORE13"/>
    <n v="4"/>
    <n v="457.33"/>
    <n v="0.1"/>
    <s v="Credit Card"/>
    <x v="1"/>
    <x v="31"/>
    <x v="0"/>
    <s v="Shin Guards – Adult - French Ltd"/>
    <x v="0"/>
    <n v="107.06"/>
    <x v="3"/>
    <x v="1"/>
    <n v="1828.9199999999998"/>
  </r>
  <r>
    <s v="SALE786"/>
    <d v="2024-11-06T00:00:00"/>
    <s v="CUST1292"/>
    <s v="PROD99"/>
    <s v="STORE3"/>
    <n v="3"/>
    <n v="761.88"/>
    <n v="0.23"/>
    <s v="PayPal"/>
    <x v="0"/>
    <x v="46"/>
    <x v="2"/>
    <s v="Stainless Steel Cookware Set - Campbell Ltd"/>
    <x v="3"/>
    <n v="201.41"/>
    <x v="0"/>
    <x v="0"/>
    <n v="2284.9499999999998"/>
  </r>
  <r>
    <s v="SALE787"/>
    <d v="2025-05-16T00:00:00"/>
    <s v="CUST1177"/>
    <s v="PROD37"/>
    <s v="STORE19"/>
    <n v="4"/>
    <n v="122.87"/>
    <n v="0.13"/>
    <s v="Credit Card"/>
    <x v="0"/>
    <x v="27"/>
    <x v="1"/>
    <s v="Men'S Casual Sneakers - Hogan-Lee"/>
    <x v="4"/>
    <n v="353.47"/>
    <x v="3"/>
    <x v="2"/>
    <n v="490.96000000000004"/>
  </r>
  <r>
    <s v="SALE788"/>
    <d v="2025-05-01T00:00:00"/>
    <s v="CUST1475"/>
    <s v="PROD73"/>
    <s v="STORE4"/>
    <n v="4"/>
    <n v="753"/>
    <n v="0.28000000000000003"/>
    <s v="COD"/>
    <x v="1"/>
    <x v="1"/>
    <x v="1"/>
    <s v="Shin Guards – Adult - French Ltd"/>
    <x v="0"/>
    <n v="107.06"/>
    <x v="2"/>
    <x v="2"/>
    <n v="3010.88"/>
  </r>
  <r>
    <s v="SALE789"/>
    <d v="2024-02-03T00:00:00"/>
    <s v="CUST1370"/>
    <s v="PROD5"/>
    <s v="STORE5"/>
    <n v="2"/>
    <n v="788.05"/>
    <n v="0.21"/>
    <s v="Credit Card"/>
    <x v="0"/>
    <x v="30"/>
    <x v="2"/>
    <s v="Men'S Leather Belt - Baldwin, Garza And Gonzalez"/>
    <x v="4"/>
    <n v="261"/>
    <x v="0"/>
    <x v="0"/>
    <n v="1575.6799999999998"/>
  </r>
  <r>
    <s v="SALE790"/>
    <d v="2025-08-06T00:00:00"/>
    <s v="CUST1462"/>
    <s v="PROD82"/>
    <s v="STORE10"/>
    <n v="2"/>
    <n v="807.1"/>
    <n v="0.28999999999999998"/>
    <s v="Credit Card"/>
    <x v="1"/>
    <x v="35"/>
    <x v="2"/>
    <s v="Fitness Resistance Bands - Reese-Watson"/>
    <x v="0"/>
    <n v="152.91999999999999"/>
    <x v="3"/>
    <x v="2"/>
    <n v="1613.6200000000001"/>
  </r>
  <r>
    <s v="SALE791"/>
    <d v="2024-01-29T00:00:00"/>
    <s v="CUST1134"/>
    <s v="PROD8"/>
    <s v="STORE1"/>
    <n v="2"/>
    <n v="443.09"/>
    <n v="0.02"/>
    <s v="PayPal"/>
    <x v="0"/>
    <x v="7"/>
    <x v="0"/>
    <s v="Wireless Bluetooth Earbuds - Perez-Johnston"/>
    <x v="1"/>
    <n v="439.07"/>
    <x v="0"/>
    <x v="1"/>
    <n v="886.14"/>
  </r>
  <r>
    <s v="SALE792"/>
    <d v="2025-08-01T00:00:00"/>
    <s v="CUST1468"/>
    <s v="PROD19"/>
    <s v="STORE15"/>
    <n v="1"/>
    <n v="512.16"/>
    <n v="0.02"/>
    <s v="COD"/>
    <x v="0"/>
    <x v="1"/>
    <x v="3"/>
    <s v="Knee Support Brace - May-Reese"/>
    <x v="0"/>
    <n v="21.34"/>
    <x v="0"/>
    <x v="1"/>
    <n v="512.14"/>
  </r>
  <r>
    <s v="SALE793"/>
    <d v="2024-10-12T00:00:00"/>
    <s v="CUST1208"/>
    <s v="PROD41"/>
    <s v="STORE18"/>
    <n v="2"/>
    <n v="602.54999999999995"/>
    <n v="0.23"/>
    <s v="COD"/>
    <x v="0"/>
    <x v="38"/>
    <x v="1"/>
    <s v="Yoga Exercise Mat - Carroll, Long And Mendoza"/>
    <x v="0"/>
    <n v="313.26"/>
    <x v="3"/>
    <x v="1"/>
    <n v="1204.6399999999999"/>
  </r>
  <r>
    <s v="SALE794"/>
    <d v="2025-03-29T00:00:00"/>
    <s v="CUST1164"/>
    <s v="PROD42"/>
    <s v="STORE0"/>
    <n v="3"/>
    <n v="846.19"/>
    <n v="0.09"/>
    <s v="COD"/>
    <x v="1"/>
    <x v="36"/>
    <x v="2"/>
    <s v="Smart Home Wifi Camera - Holmes Llc"/>
    <x v="1"/>
    <n v="450.71"/>
    <x v="3"/>
    <x v="1"/>
    <n v="2538.3000000000002"/>
  </r>
  <r>
    <s v="SALE795"/>
    <d v="2025-04-25T00:00:00"/>
    <s v="CUST1326"/>
    <s v="PROD69"/>
    <s v="STORE8"/>
    <n v="1"/>
    <n v="506.73"/>
    <n v="0.28999999999999998"/>
    <s v="Credit Card"/>
    <x v="1"/>
    <x v="5"/>
    <x v="0"/>
    <s v="Men'S Sports Shorts - Fitzpatrick Ltd"/>
    <x v="4"/>
    <n v="218.22"/>
    <x v="1"/>
    <x v="2"/>
    <n v="506.44"/>
  </r>
  <r>
    <s v="SALE796"/>
    <d v="2024-01-08T00:00:00"/>
    <s v="CUST1052"/>
    <s v="PROD51"/>
    <s v="STORE16"/>
    <n v="1"/>
    <n v="408.66"/>
    <n v="0.13"/>
    <s v="COD"/>
    <x v="0"/>
    <x v="46"/>
    <x v="3"/>
    <s v="Hdmi Cable – 2M - Bautista, Green And Hale"/>
    <x v="1"/>
    <n v="88.49"/>
    <x v="1"/>
    <x v="1"/>
    <n v="408.53000000000003"/>
  </r>
  <r>
    <s v="SALE797"/>
    <d v="2024-06-04T00:00:00"/>
    <s v="CUST1110"/>
    <s v="PROD8"/>
    <s v="STORE17"/>
    <n v="3"/>
    <n v="170.48"/>
    <n v="0.06"/>
    <s v="COD"/>
    <x v="1"/>
    <x v="33"/>
    <x v="0"/>
    <s v="Wireless Bluetooth Earbuds - Perez-Johnston"/>
    <x v="1"/>
    <n v="439.07"/>
    <x v="0"/>
    <x v="1"/>
    <n v="511.26"/>
  </r>
  <r>
    <s v="SALE798"/>
    <d v="2025-03-01T00:00:00"/>
    <s v="CUST1097"/>
    <s v="PROD18"/>
    <s v="STORE9"/>
    <n v="1"/>
    <n v="423.48"/>
    <n v="0.18"/>
    <s v="PayPal"/>
    <x v="0"/>
    <x v="34"/>
    <x v="2"/>
    <s v="Women'S Denim Jeans - Guerra-Hendrix"/>
    <x v="4"/>
    <n v="245.7783116883117"/>
    <x v="2"/>
    <x v="1"/>
    <n v="423.3"/>
  </r>
  <r>
    <s v="SALE799"/>
    <d v="2023-10-14T00:00:00"/>
    <s v="CUST1235"/>
    <s v="PROD92"/>
    <s v="STORE11"/>
    <n v="4"/>
    <n v="23.57"/>
    <n v="0.1"/>
    <s v="Credit Card"/>
    <x v="1"/>
    <x v="37"/>
    <x v="3"/>
    <s v="Microwave Oven - Green, Powell And Palmer"/>
    <x v="3"/>
    <n v="447.43"/>
    <x v="2"/>
    <x v="2"/>
    <n v="93.88"/>
  </r>
  <r>
    <s v="SALE800"/>
    <d v="2025-06-29T00:00:00"/>
    <s v="CUST1381"/>
    <s v="PROD42"/>
    <s v="STORE18"/>
    <n v="2"/>
    <n v="953.26"/>
    <n v="0.1"/>
    <s v="COD"/>
    <x v="0"/>
    <x v="4"/>
    <x v="2"/>
    <s v="Smart Home Wifi Camera - Holmes Llc"/>
    <x v="1"/>
    <n v="450.71"/>
    <x v="3"/>
    <x v="1"/>
    <n v="1906.32"/>
  </r>
  <r>
    <s v="SALE801"/>
    <d v="2023-12-17T00:00:00"/>
    <s v="CUST1347"/>
    <s v="PROD73"/>
    <s v="STORE7"/>
    <n v="3"/>
    <n v="405.13"/>
    <n v="0.14000000000000001"/>
    <s v="COD"/>
    <x v="1"/>
    <x v="40"/>
    <x v="0"/>
    <s v="Shin Guards – Adult - French Ltd"/>
    <x v="0"/>
    <n v="107.06"/>
    <x v="2"/>
    <x v="2"/>
    <n v="1214.97"/>
  </r>
  <r>
    <s v="SALE802"/>
    <d v="2023-11-18T00:00:00"/>
    <s v="CUST1339"/>
    <s v="PROD2"/>
    <s v="STORE4"/>
    <n v="2"/>
    <n v="333.83"/>
    <n v="0.26"/>
    <s v="PayPal"/>
    <x v="1"/>
    <x v="28"/>
    <x v="1"/>
    <s v="Women'S Casual Hoodie - Sims Inc"/>
    <x v="4"/>
    <n v="254.62086956521742"/>
    <x v="2"/>
    <x v="2"/>
    <n v="667.14"/>
  </r>
  <r>
    <s v="SALE803"/>
    <d v="2025-03-25T00:00:00"/>
    <s v="CUST1333"/>
    <s v="PROD91"/>
    <s v="STORE3"/>
    <n v="2"/>
    <n v="727.18"/>
    <n v="0.22"/>
    <s v="PayPal"/>
    <x v="1"/>
    <x v="36"/>
    <x v="0"/>
    <s v="Women'S High Heels - Smith-Charles"/>
    <x v="4"/>
    <n v="438.25"/>
    <x v="0"/>
    <x v="0"/>
    <n v="1453.9199999999998"/>
  </r>
  <r>
    <s v="SALE804"/>
    <d v="2025-05-01T00:00:00"/>
    <s v="CUST1306"/>
    <s v="PROD5"/>
    <s v="STORE10"/>
    <n v="2"/>
    <n v="516.02"/>
    <n v="0.19"/>
    <s v="COD"/>
    <x v="0"/>
    <x v="3"/>
    <x v="1"/>
    <s v="Men'S Leather Belt - Baldwin, Garza And Gonzalez"/>
    <x v="4"/>
    <n v="261"/>
    <x v="3"/>
    <x v="2"/>
    <n v="1031.6599999999999"/>
  </r>
  <r>
    <s v="SALE805"/>
    <d v="2024-03-10T00:00:00"/>
    <s v="CUST1294"/>
    <s v="PROD42"/>
    <s v="STORE11"/>
    <n v="2"/>
    <n v="705.61"/>
    <n v="0.28000000000000003"/>
    <s v="Credit Card"/>
    <x v="0"/>
    <x v="10"/>
    <x v="1"/>
    <s v="Smart Home Wifi Camera - Holmes Llc"/>
    <x v="1"/>
    <n v="450.71"/>
    <x v="2"/>
    <x v="2"/>
    <n v="1410.66"/>
  </r>
  <r>
    <s v="SALE806"/>
    <d v="2024-05-02T00:00:00"/>
    <s v="CUST1275"/>
    <s v="PROD84"/>
    <s v="STORE8"/>
    <n v="3"/>
    <n v="654.47"/>
    <n v="0.18"/>
    <s v="COD"/>
    <x v="0"/>
    <x v="27"/>
    <x v="0"/>
    <s v="Wooden Bookshelf - Collins-Stephenson"/>
    <x v="3"/>
    <n v="388.46"/>
    <x v="1"/>
    <x v="2"/>
    <n v="1962.8700000000003"/>
  </r>
  <r>
    <s v="SALE807"/>
    <d v="2025-03-18T00:00:00"/>
    <s v="CUST1171"/>
    <s v="PROD88"/>
    <s v="STORE15"/>
    <n v="2"/>
    <n v="315.27"/>
    <n v="0.23"/>
    <s v="Credit Card"/>
    <x v="1"/>
    <x v="30"/>
    <x v="1"/>
    <s v="Sports Wrist Sweatbands - Olsen-Daniels"/>
    <x v="0"/>
    <n v="131.24"/>
    <x v="0"/>
    <x v="1"/>
    <n v="630.07999999999993"/>
  </r>
  <r>
    <s v="SALE808"/>
    <d v="2024-11-27T00:00:00"/>
    <s v="CUST1222"/>
    <s v="PROD28"/>
    <s v="STORE2"/>
    <n v="1"/>
    <n v="974.47"/>
    <n v="0.05"/>
    <s v="Credit Card"/>
    <x v="0"/>
    <x v="23"/>
    <x v="1"/>
    <s v="Sports Stopwatch Timer - Burns-Hansen"/>
    <x v="0"/>
    <n v="38.76"/>
    <x v="2"/>
    <x v="0"/>
    <n v="974.42000000000007"/>
  </r>
  <r>
    <s v="SALE809"/>
    <d v="2024-02-18T00:00:00"/>
    <s v="CUST1067"/>
    <s v="PROD2"/>
    <s v="STORE4"/>
    <n v="2"/>
    <n v="803.3"/>
    <n v="0.17"/>
    <s v="Credit Card"/>
    <x v="0"/>
    <x v="26"/>
    <x v="2"/>
    <s v="Women'S Casual Hoodie - Sims Inc"/>
    <x v="4"/>
    <n v="254.62086956521742"/>
    <x v="2"/>
    <x v="2"/>
    <n v="1606.26"/>
  </r>
  <r>
    <s v="SALE810"/>
    <d v="2024-06-04T00:00:00"/>
    <s v="CUST1013"/>
    <s v="PROD2"/>
    <s v="STORE10"/>
    <n v="4"/>
    <n v="863.87"/>
    <n v="0.21"/>
    <s v="COD"/>
    <x v="1"/>
    <x v="10"/>
    <x v="2"/>
    <s v="Women'S Casual Hoodie - Sims Inc"/>
    <x v="4"/>
    <n v="254.62086956521742"/>
    <x v="3"/>
    <x v="2"/>
    <n v="3454.64"/>
  </r>
  <r>
    <s v="SALE811"/>
    <d v="2024-08-09T00:00:00"/>
    <s v="CUST1469"/>
    <s v="PROD80"/>
    <s v="STORE18"/>
    <n v="1"/>
    <n v="450.11"/>
    <n v="0.17"/>
    <s v="Credit Card"/>
    <x v="0"/>
    <x v="39"/>
    <x v="0"/>
    <s v="Wall-Mounted Spice Rack - Allison Ltd"/>
    <x v="3"/>
    <n v="143.43"/>
    <x v="3"/>
    <x v="1"/>
    <n v="449.94"/>
  </r>
  <r>
    <s v="SALE812"/>
    <d v="2024-07-13T00:00:00"/>
    <s v="CUST1230"/>
    <s v="PROD68"/>
    <s v="STORE13"/>
    <n v="1"/>
    <n v="289.82"/>
    <n v="0.18"/>
    <s v="COD"/>
    <x v="0"/>
    <x v="26"/>
    <x v="3"/>
    <s v="Wooden Nightstand - Wolfe, Ross And Hester"/>
    <x v="3"/>
    <n v="243.7"/>
    <x v="3"/>
    <x v="1"/>
    <n v="289.64"/>
  </r>
  <r>
    <s v="SALE813"/>
    <d v="2025-08-21T00:00:00"/>
    <s v="CUST1334"/>
    <s v="PROD54"/>
    <s v="STORE10"/>
    <n v="4"/>
    <n v="250.64"/>
    <n v="0.1"/>
    <s v="PayPal"/>
    <x v="1"/>
    <x v="40"/>
    <x v="2"/>
    <s v="Sports Stopwatch Pro - Thompson-French"/>
    <x v="0"/>
    <n v="434.84"/>
    <x v="3"/>
    <x v="2"/>
    <n v="1002.16"/>
  </r>
  <r>
    <s v="SALE814"/>
    <d v="2025-08-07T00:00:00"/>
    <s v="CUST1287"/>
    <s v="PROD69"/>
    <s v="STORE19"/>
    <n v="4"/>
    <n v="373.49"/>
    <n v="0.16"/>
    <s v="COD"/>
    <x v="1"/>
    <x v="1"/>
    <x v="0"/>
    <s v="Men'S Sports Shorts - Fitzpatrick Ltd"/>
    <x v="4"/>
    <n v="218.22"/>
    <x v="3"/>
    <x v="2"/>
    <n v="1493.32"/>
  </r>
  <r>
    <s v="SALE815"/>
    <d v="2024-04-16T00:00:00"/>
    <s v="CUST1066"/>
    <s v="PROD3"/>
    <s v="STORE9"/>
    <n v="4"/>
    <n v="348.91"/>
    <n v="0.18"/>
    <s v="PayPal"/>
    <x v="1"/>
    <x v="21"/>
    <x v="2"/>
    <s v="Men'S Running Jacket - Pineda Ltd"/>
    <x v="4"/>
    <n v="364.67"/>
    <x v="2"/>
    <x v="1"/>
    <n v="1394.92"/>
  </r>
  <r>
    <s v="SALE816"/>
    <d v="2024-04-08T00:00:00"/>
    <s v="CUST1110"/>
    <s v="PROD94"/>
    <s v="STORE17"/>
    <n v="4"/>
    <n v="212.96"/>
    <n v="0.17"/>
    <s v="Credit Card"/>
    <x v="1"/>
    <x v="33"/>
    <x v="0"/>
    <s v="Vitamin E Body Lotion - Hoffman-Williams"/>
    <x v="2"/>
    <n v="358.47"/>
    <x v="0"/>
    <x v="1"/>
    <n v="851.16000000000008"/>
  </r>
  <r>
    <s v="SALE817"/>
    <d v="2024-04-24T00:00:00"/>
    <s v="CUST1190"/>
    <s v="PROD27"/>
    <s v="STORE19"/>
    <n v="3"/>
    <n v="871.34"/>
    <n v="0.11"/>
    <s v="COD"/>
    <x v="0"/>
    <x v="14"/>
    <x v="3"/>
    <s v="Decorative Floor Vase - Khan, Jones And Paul"/>
    <x v="3"/>
    <n v="250.02157142857135"/>
    <x v="3"/>
    <x v="2"/>
    <n v="2613.69"/>
  </r>
  <r>
    <s v="SALE818"/>
    <d v="2025-07-06T00:00:00"/>
    <s v="CUST1100"/>
    <s v="PROD94"/>
    <s v="STORE0"/>
    <n v="2"/>
    <n v="698.94"/>
    <n v="0.06"/>
    <s v="Credit Card"/>
    <x v="1"/>
    <x v="11"/>
    <x v="1"/>
    <s v="Vitamin E Body Lotion - Hoffman-Williams"/>
    <x v="2"/>
    <n v="358.47"/>
    <x v="3"/>
    <x v="1"/>
    <n v="1397.7600000000002"/>
  </r>
  <r>
    <s v="SALE819"/>
    <d v="2025-02-09T00:00:00"/>
    <s v="CUST1316"/>
    <s v="PROD74"/>
    <s v="STORE0"/>
    <n v="1"/>
    <n v="719.94"/>
    <n v="0.23"/>
    <s v="COD"/>
    <x v="0"/>
    <x v="33"/>
    <x v="0"/>
    <s v="Bluetooth Car Audio System - Bruce-Bowen"/>
    <x v="1"/>
    <n v="403.71"/>
    <x v="3"/>
    <x v="1"/>
    <n v="719.71"/>
  </r>
  <r>
    <s v="SALE820"/>
    <d v="2024-11-11T00:00:00"/>
    <s v="CUST1006"/>
    <s v="PROD28"/>
    <s v="STORE4"/>
    <n v="2"/>
    <n v="278.16000000000003"/>
    <n v="0.22"/>
    <s v="PayPal"/>
    <x v="1"/>
    <x v="34"/>
    <x v="1"/>
    <s v="Sports Stopwatch Timer - Burns-Hansen"/>
    <x v="0"/>
    <n v="38.76"/>
    <x v="2"/>
    <x v="2"/>
    <n v="555.88"/>
  </r>
  <r>
    <s v="SALE821"/>
    <d v="2024-01-16T00:00:00"/>
    <s v="CUST1053"/>
    <s v="PROD49"/>
    <s v="STORE5"/>
    <n v="1"/>
    <n v="678.9"/>
    <n v="0.17"/>
    <s v="Credit Card"/>
    <x v="1"/>
    <x v="20"/>
    <x v="0"/>
    <s v="Men'S Roll-On Perfume - Sullivan And Sons"/>
    <x v="2"/>
    <n v="43.29"/>
    <x v="0"/>
    <x v="0"/>
    <n v="678.73"/>
  </r>
  <r>
    <s v="SALE822"/>
    <d v="2024-08-16T00:00:00"/>
    <s v="CUST1015"/>
    <s v="PROD25"/>
    <s v="STORE15"/>
    <n v="4"/>
    <n v="94.13"/>
    <n v="0.15"/>
    <s v="Credit Card"/>
    <x v="1"/>
    <x v="7"/>
    <x v="1"/>
    <s v="Women'S Scarf Set - Brown And Sons"/>
    <x v="4"/>
    <n v="174.02"/>
    <x v="0"/>
    <x v="1"/>
    <n v="375.91999999999996"/>
  </r>
  <r>
    <s v="SALE823"/>
    <d v="2025-10-03T00:00:00"/>
    <s v="CUST1441"/>
    <s v="PROD44"/>
    <s v="STORE1"/>
    <n v="4"/>
    <n v="415.02"/>
    <n v="0.01"/>
    <s v="PayPal"/>
    <x v="0"/>
    <x v="18"/>
    <x v="2"/>
    <s v="Adjustable Jump Rope - Cox Inc"/>
    <x v="0"/>
    <n v="167.12"/>
    <x v="0"/>
    <x v="1"/>
    <n v="1660.04"/>
  </r>
  <r>
    <s v="SALE824"/>
    <d v="2025-07-03T00:00:00"/>
    <s v="CUST1051"/>
    <s v="PROD11"/>
    <s v="STORE4"/>
    <n v="4"/>
    <n v="780.07"/>
    <n v="0.03"/>
    <s v="Credit Card"/>
    <x v="1"/>
    <x v="35"/>
    <x v="0"/>
    <s v="Hd Smart Tv Stick - Gibson, Hobbs And Weaver"/>
    <x v="1"/>
    <n v="449.4"/>
    <x v="2"/>
    <x v="2"/>
    <n v="3120.1600000000003"/>
  </r>
  <r>
    <s v="SALE825"/>
    <d v="2025-08-08T00:00:00"/>
    <s v="CUST1428"/>
    <s v="PROD37"/>
    <s v="STORE15"/>
    <n v="4"/>
    <n v="184.57"/>
    <n v="0.28000000000000003"/>
    <s v="Credit Card"/>
    <x v="1"/>
    <x v="38"/>
    <x v="3"/>
    <s v="Men'S Casual Sneakers - Hogan-Lee"/>
    <x v="4"/>
    <n v="353.47"/>
    <x v="0"/>
    <x v="1"/>
    <n v="737.16"/>
  </r>
  <r>
    <s v="SALE826"/>
    <d v="2024-08-28T00:00:00"/>
    <s v="CUST1287"/>
    <s v="PROD65"/>
    <s v="STORE4"/>
    <n v="4"/>
    <n v="277.58"/>
    <n v="0.22"/>
    <s v="PayPal"/>
    <x v="1"/>
    <x v="1"/>
    <x v="0"/>
    <s v="Adjustable Dumbbells 20Kg - Montgomery, Benton And Miller"/>
    <x v="0"/>
    <n v="240.63"/>
    <x v="2"/>
    <x v="2"/>
    <n v="1109.4399999999998"/>
  </r>
  <r>
    <s v="SALE827"/>
    <d v="2025-03-18T00:00:00"/>
    <s v="CUST1104"/>
    <s v="PROD31"/>
    <s v="STORE3"/>
    <n v="1"/>
    <n v="36.799999999999997"/>
    <n v="0.18"/>
    <s v="Credit Card"/>
    <x v="0"/>
    <x v="36"/>
    <x v="2"/>
    <s v="Basketball - Nolan-Snow"/>
    <x v="0"/>
    <n v="204.39"/>
    <x v="0"/>
    <x v="0"/>
    <n v="36.619999999999997"/>
  </r>
  <r>
    <s v="SALE828"/>
    <d v="2025-06-01T00:00:00"/>
    <s v="CUST1356"/>
    <s v="PROD88"/>
    <s v="STORE6"/>
    <n v="1"/>
    <n v="539.37"/>
    <n v="0.14000000000000001"/>
    <s v="Credit Card"/>
    <x v="0"/>
    <x v="45"/>
    <x v="3"/>
    <s v="Sports Wrist Sweatbands - Olsen-Daniels"/>
    <x v="0"/>
    <n v="131.24"/>
    <x v="3"/>
    <x v="2"/>
    <n v="539.23"/>
  </r>
  <r>
    <s v="SALE829"/>
    <d v="2025-04-13T00:00:00"/>
    <s v="CUST1089"/>
    <s v="PROD20"/>
    <s v="STORE18"/>
    <n v="1"/>
    <n v="27.83"/>
    <n v="0.3"/>
    <s v="PayPal"/>
    <x v="0"/>
    <x v="18"/>
    <x v="1"/>
    <s v="Outdoor Sports Water Bottle - Soto-Ellis"/>
    <x v="0"/>
    <n v="131.51"/>
    <x v="3"/>
    <x v="1"/>
    <n v="27.529999999999998"/>
  </r>
  <r>
    <s v="SALE830"/>
    <d v="2024-06-13T00:00:00"/>
    <s v="CUST1283"/>
    <s v="PROD70"/>
    <s v="STORE4"/>
    <n v="3"/>
    <n v="698.72"/>
    <n v="0.28000000000000003"/>
    <s v="COD"/>
    <x v="1"/>
    <x v="0"/>
    <x v="2"/>
    <s v="Kitchen Storage Rack - Duran Group"/>
    <x v="3"/>
    <n v="138.05000000000001"/>
    <x v="2"/>
    <x v="2"/>
    <n v="2095.3200000000002"/>
  </r>
  <r>
    <s v="SALE831"/>
    <d v="2025-02-10T00:00:00"/>
    <s v="CUST1012"/>
    <s v="PROD76"/>
    <s v="STORE13"/>
    <n v="4"/>
    <n v="528.23"/>
    <n v="0.15"/>
    <s v="COD"/>
    <x v="1"/>
    <x v="32"/>
    <x v="1"/>
    <s v="Wireless Mouse - Larson Ltd"/>
    <x v="1"/>
    <n v="392.89"/>
    <x v="3"/>
    <x v="1"/>
    <n v="2112.3200000000002"/>
  </r>
  <r>
    <s v="SALE832"/>
    <d v="2024-09-13T00:00:00"/>
    <s v="CUST1492"/>
    <s v="PROD46"/>
    <s v="STORE16"/>
    <n v="2"/>
    <n v="780.9"/>
    <n v="0.24"/>
    <s v="PayPal"/>
    <x v="1"/>
    <x v="26"/>
    <x v="1"/>
    <s v="Men'S Winter Jacket - Kelly, Smith And Perez"/>
    <x v="4"/>
    <n v="167.34"/>
    <x v="1"/>
    <x v="1"/>
    <n v="1561.32"/>
  </r>
  <r>
    <s v="SALE833"/>
    <d v="2023-11-06T00:00:00"/>
    <s v="CUST1180"/>
    <s v="PROD21"/>
    <s v="STORE14"/>
    <n v="1"/>
    <n v="977.97"/>
    <n v="0.06"/>
    <s v="COD"/>
    <x v="0"/>
    <x v="17"/>
    <x v="3"/>
    <s v="Multi-Purpose Storage Box - Gardner-Montes"/>
    <x v="3"/>
    <n v="123.46"/>
    <x v="2"/>
    <x v="0"/>
    <n v="977.91000000000008"/>
  </r>
  <r>
    <s v="SALE834"/>
    <d v="2024-01-19T00:00:00"/>
    <s v="CUST1369"/>
    <s v="PROD83"/>
    <s v="STORE12"/>
    <n v="4"/>
    <n v="354.65"/>
    <n v="0.19"/>
    <s v="Credit Card"/>
    <x v="1"/>
    <x v="1"/>
    <x v="1"/>
    <s v="Hydrating Face Cleanser - Butler Group"/>
    <x v="2"/>
    <n v="289.35937499999994"/>
    <x v="0"/>
    <x v="2"/>
    <n v="1417.84"/>
  </r>
  <r>
    <s v="SALE835"/>
    <d v="2024-03-25T00:00:00"/>
    <s v="CUST1283"/>
    <s v="PROD68"/>
    <s v="STORE19"/>
    <n v="1"/>
    <n v="671.62"/>
    <n v="0.09"/>
    <s v="COD"/>
    <x v="1"/>
    <x v="0"/>
    <x v="2"/>
    <s v="Wooden Nightstand - Wolfe, Ross And Hester"/>
    <x v="3"/>
    <n v="243.7"/>
    <x v="3"/>
    <x v="2"/>
    <n v="671.53"/>
  </r>
  <r>
    <s v="SALE836"/>
    <d v="2025-09-14T00:00:00"/>
    <s v="CUST1317"/>
    <s v="PROD82"/>
    <s v="STORE3"/>
    <n v="1"/>
    <n v="867.32"/>
    <n v="0.28999999999999998"/>
    <s v="PayPal"/>
    <x v="1"/>
    <x v="21"/>
    <x v="0"/>
    <s v="Fitness Resistance Bands - Reese-Watson"/>
    <x v="0"/>
    <n v="152.91999999999999"/>
    <x v="0"/>
    <x v="0"/>
    <n v="867.03000000000009"/>
  </r>
  <r>
    <s v="SALE837"/>
    <d v="2024-02-14T00:00:00"/>
    <s v="CUST1081"/>
    <s v="PROD10"/>
    <s v="STORE12"/>
    <n v="3"/>
    <n v="240.27"/>
    <n v="0.15"/>
    <s v="PayPal"/>
    <x v="1"/>
    <x v="28"/>
    <x v="1"/>
    <s v="Ceramic Kitchen Bowl Set - Hamilton Group"/>
    <x v="3"/>
    <n v="298.86"/>
    <x v="0"/>
    <x v="2"/>
    <n v="720.36"/>
  </r>
  <r>
    <s v="SALE838"/>
    <d v="2025-03-12T00:00:00"/>
    <s v="CUST1075"/>
    <s v="PROD28"/>
    <s v="STORE16"/>
    <n v="2"/>
    <n v="619.12"/>
    <n v="0.28000000000000003"/>
    <s v="COD"/>
    <x v="1"/>
    <x v="24"/>
    <x v="0"/>
    <s v="Sports Stopwatch Timer - Burns-Hansen"/>
    <x v="0"/>
    <n v="38.76"/>
    <x v="1"/>
    <x v="1"/>
    <n v="1237.68"/>
  </r>
  <r>
    <s v="SALE839"/>
    <d v="2025-04-08T00:00:00"/>
    <s v="CUST1213"/>
    <s v="PROD87"/>
    <s v="STORE0"/>
    <n v="3"/>
    <n v="693.42"/>
    <n v="0.08"/>
    <s v="PayPal"/>
    <x v="1"/>
    <x v="16"/>
    <x v="1"/>
    <s v="Led Bedside Lamp - Aguilar, Horton And Lewis"/>
    <x v="3"/>
    <n v="371.38"/>
    <x v="3"/>
    <x v="1"/>
    <n v="2080.0199999999995"/>
  </r>
  <r>
    <s v="SALE840"/>
    <d v="2025-02-07T00:00:00"/>
    <s v="CUST1108"/>
    <s v="PROD48"/>
    <s v="STORE10"/>
    <n v="4"/>
    <n v="751.63"/>
    <n v="0.28000000000000003"/>
    <s v="COD"/>
    <x v="0"/>
    <x v="21"/>
    <x v="3"/>
    <s v="Car Dashboard Phone Holder - Byrd, Stewart And Valdez"/>
    <x v="1"/>
    <n v="177.98"/>
    <x v="3"/>
    <x v="2"/>
    <n v="3005.4"/>
  </r>
  <r>
    <s v="SALE841"/>
    <d v="2024-03-29T00:00:00"/>
    <s v="CUST1110"/>
    <s v="PROD31"/>
    <s v="STORE15"/>
    <n v="3"/>
    <n v="108.14"/>
    <n v="0.19"/>
    <s v="COD"/>
    <x v="1"/>
    <x v="33"/>
    <x v="0"/>
    <s v="Basketball - Nolan-Snow"/>
    <x v="0"/>
    <n v="204.39"/>
    <x v="0"/>
    <x v="1"/>
    <n v="323.85000000000002"/>
  </r>
  <r>
    <s v="SALE842"/>
    <d v="2024-06-03T00:00:00"/>
    <s v="CUST1256"/>
    <s v="PROD27"/>
    <s v="STORE4"/>
    <n v="1"/>
    <n v="964.11"/>
    <n v="0.17"/>
    <s v="COD"/>
    <x v="0"/>
    <x v="13"/>
    <x v="1"/>
    <s v="Decorative Floor Vase - Khan, Jones And Paul"/>
    <x v="3"/>
    <n v="250.02157142857135"/>
    <x v="2"/>
    <x v="2"/>
    <n v="963.94"/>
  </r>
  <r>
    <s v="SALE843"/>
    <d v="2024-08-21T00:00:00"/>
    <s v="CUST1131"/>
    <s v="PROD19"/>
    <s v="STORE0"/>
    <n v="1"/>
    <n v="346.2"/>
    <n v="0.28999999999999998"/>
    <s v="Credit Card"/>
    <x v="1"/>
    <x v="4"/>
    <x v="3"/>
    <s v="Knee Support Brace - May-Reese"/>
    <x v="0"/>
    <n v="21.34"/>
    <x v="3"/>
    <x v="1"/>
    <n v="345.90999999999997"/>
  </r>
  <r>
    <s v="SALE844"/>
    <d v="2024-08-23T00:00:00"/>
    <s v="CUST1457"/>
    <s v="PROD43"/>
    <s v="STORE15"/>
    <n v="3"/>
    <n v="791.75"/>
    <n v="0.28999999999999998"/>
    <s v="Credit Card"/>
    <x v="0"/>
    <x v="27"/>
    <x v="1"/>
    <s v="Usb External Hard Drive - Robinson Inc"/>
    <x v="1"/>
    <n v="253.33"/>
    <x v="0"/>
    <x v="1"/>
    <n v="2374.38"/>
  </r>
  <r>
    <s v="SALE845"/>
    <d v="2023-12-05T00:00:00"/>
    <s v="CUST1319"/>
    <s v="PROD39"/>
    <s v="STORE13"/>
    <n v="1"/>
    <n v="529.84"/>
    <n v="0.13"/>
    <s v="PayPal"/>
    <x v="0"/>
    <x v="25"/>
    <x v="1"/>
    <s v="Portable Power Bank - Cummings And Sons"/>
    <x v="1"/>
    <n v="326.06"/>
    <x v="3"/>
    <x v="1"/>
    <n v="529.71"/>
  </r>
  <r>
    <s v="SALE846"/>
    <d v="2025-10-06T00:00:00"/>
    <s v="CUST1471"/>
    <s v="PROD54"/>
    <s v="STORE3"/>
    <n v="3"/>
    <n v="582.57000000000005"/>
    <n v="0.11"/>
    <s v="PayPal"/>
    <x v="0"/>
    <x v="10"/>
    <x v="1"/>
    <s v="Sports Stopwatch Pro - Thompson-French"/>
    <x v="0"/>
    <n v="434.84"/>
    <x v="0"/>
    <x v="0"/>
    <n v="1747.38"/>
  </r>
  <r>
    <s v="SALE847"/>
    <d v="2023-11-12T00:00:00"/>
    <s v="CUST1211"/>
    <s v="PROD95"/>
    <s v="STORE17"/>
    <n v="1"/>
    <n v="219.81"/>
    <n v="0.22"/>
    <s v="COD"/>
    <x v="1"/>
    <x v="37"/>
    <x v="2"/>
    <s v="Sports Stopwatch Basic - Wilson Group"/>
    <x v="0"/>
    <n v="60.65"/>
    <x v="0"/>
    <x v="1"/>
    <n v="219.59"/>
  </r>
  <r>
    <s v="SALE848"/>
    <d v="2024-05-25T00:00:00"/>
    <s v="CUST1497"/>
    <s v="PROD70"/>
    <s v="STORE18"/>
    <n v="4"/>
    <n v="883.31"/>
    <n v="0.27"/>
    <s v="Credit Card"/>
    <x v="1"/>
    <x v="14"/>
    <x v="0"/>
    <s v="Kitchen Storage Rack - Duran Group"/>
    <x v="3"/>
    <n v="138.05000000000001"/>
    <x v="3"/>
    <x v="1"/>
    <n v="3532.16"/>
  </r>
  <r>
    <s v="SALE849"/>
    <d v="2024-12-01T00:00:00"/>
    <s v="CUST1234"/>
    <s v="PROD17"/>
    <s v="STORE14"/>
    <n v="4"/>
    <n v="329.06"/>
    <n v="0.04"/>
    <s v="COD"/>
    <x v="1"/>
    <x v="32"/>
    <x v="0"/>
    <s v="Soccer Training Cone Set - Ford, Murphy And Wilson"/>
    <x v="0"/>
    <n v="144.53"/>
    <x v="2"/>
    <x v="0"/>
    <n v="1316.08"/>
  </r>
  <r>
    <s v="SALE850"/>
    <d v="2025-01-21T00:00:00"/>
    <s v="CUST1105"/>
    <s v="PROD68"/>
    <s v="STORE11"/>
    <n v="1"/>
    <n v="935.78"/>
    <n v="0.03"/>
    <s v="PayPal"/>
    <x v="1"/>
    <x v="26"/>
    <x v="0"/>
    <s v="Wooden Nightstand - Wolfe, Ross And Hester"/>
    <x v="3"/>
    <n v="243.7"/>
    <x v="2"/>
    <x v="2"/>
    <n v="935.75"/>
  </r>
  <r>
    <s v="SALE851"/>
    <d v="2024-07-11T00:00:00"/>
    <s v="CUST1320"/>
    <s v="PROD60"/>
    <s v="STORE10"/>
    <n v="4"/>
    <n v="597.79999999999995"/>
    <n v="0.2"/>
    <s v="Credit Card"/>
    <x v="1"/>
    <x v="9"/>
    <x v="3"/>
    <s v="Luxury Perfume Spray - Gibson, Green And Lopez"/>
    <x v="2"/>
    <n v="482.75"/>
    <x v="3"/>
    <x v="2"/>
    <n v="2390.3999999999996"/>
  </r>
  <r>
    <s v="SALE852"/>
    <d v="2025-02-12T00:00:00"/>
    <s v="CUST1259"/>
    <s v="PROD13"/>
    <s v="STORE18"/>
    <n v="4"/>
    <n v="266.98"/>
    <n v="0.16"/>
    <s v="Credit Card"/>
    <x v="1"/>
    <x v="15"/>
    <x v="2"/>
    <s v="Usb-C Fast Charger - Dawson-Perkins"/>
    <x v="1"/>
    <n v="242.23"/>
    <x v="3"/>
    <x v="1"/>
    <n v="1067.28"/>
  </r>
  <r>
    <s v="SALE853"/>
    <d v="2025-08-04T00:00:00"/>
    <s v="CUST1407"/>
    <s v="PROD70"/>
    <s v="STORE15"/>
    <n v="3"/>
    <n v="360.18"/>
    <n v="0.03"/>
    <s v="Credit Card"/>
    <x v="0"/>
    <x v="33"/>
    <x v="0"/>
    <s v="Kitchen Storage Rack - Duran Group"/>
    <x v="3"/>
    <n v="138.05000000000001"/>
    <x v="0"/>
    <x v="1"/>
    <n v="1080.45"/>
  </r>
  <r>
    <s v="SALE854"/>
    <d v="2025-07-22T00:00:00"/>
    <s v="CUST1363"/>
    <s v="PROD56"/>
    <s v="STORE0"/>
    <n v="3"/>
    <n v="247.41"/>
    <n v="0.05"/>
    <s v="COD"/>
    <x v="0"/>
    <x v="31"/>
    <x v="3"/>
    <s v="Premium Blanket Throw - Hernandez, Kennedy And Porter"/>
    <x v="3"/>
    <n v="461.47"/>
    <x v="3"/>
    <x v="1"/>
    <n v="742.07999999999993"/>
  </r>
  <r>
    <s v="SALE855"/>
    <d v="2023-11-05T00:00:00"/>
    <s v="CUST1078"/>
    <s v="PROD45"/>
    <s v="STORE15"/>
    <n v="3"/>
    <n v="674.66"/>
    <n v="0.23"/>
    <s v="Credit Card"/>
    <x v="0"/>
    <x v="45"/>
    <x v="0"/>
    <s v="High-Grip Football - Bridges, Banks And Cummings"/>
    <x v="0"/>
    <n v="318.91000000000003"/>
    <x v="0"/>
    <x v="1"/>
    <n v="2023.29"/>
  </r>
  <r>
    <s v="SALE856"/>
    <d v="2025-08-05T00:00:00"/>
    <s v="CUST1415"/>
    <s v="PROD42"/>
    <s v="STORE4"/>
    <n v="1"/>
    <n v="913.98"/>
    <n v="0.27"/>
    <s v="PayPal"/>
    <x v="1"/>
    <x v="41"/>
    <x v="2"/>
    <s v="Smart Home Wifi Camera - Holmes Llc"/>
    <x v="1"/>
    <n v="450.71"/>
    <x v="2"/>
    <x v="2"/>
    <n v="913.71"/>
  </r>
  <r>
    <s v="SALE857"/>
    <d v="2025-04-22T00:00:00"/>
    <s v="CUST1314"/>
    <s v="PROD93"/>
    <s v="STORE10"/>
    <n v="4"/>
    <n v="370.5"/>
    <n v="0.13"/>
    <s v="PayPal"/>
    <x v="1"/>
    <x v="7"/>
    <x v="2"/>
    <s v="Usb-C Laptop Charger - Martin Llc"/>
    <x v="1"/>
    <n v="377.52"/>
    <x v="3"/>
    <x v="2"/>
    <n v="1481.48"/>
  </r>
  <r>
    <s v="SALE858"/>
    <d v="2024-11-23T00:00:00"/>
    <s v="CUST1358"/>
    <s v="PROD72"/>
    <s v="STORE13"/>
    <n v="1"/>
    <n v="735.1"/>
    <n v="0.1"/>
    <s v="PayPal"/>
    <x v="1"/>
    <x v="25"/>
    <x v="0"/>
    <s v="Professional Jump Rope - Davis Plc"/>
    <x v="0"/>
    <n v="477.61"/>
    <x v="3"/>
    <x v="1"/>
    <n v="735"/>
  </r>
  <r>
    <s v="SALE859"/>
    <d v="2024-11-18T00:00:00"/>
    <s v="CUST1135"/>
    <s v="PROD79"/>
    <s v="STORE2"/>
    <n v="3"/>
    <n v="448.55"/>
    <n v="0.05"/>
    <s v="Credit Card"/>
    <x v="1"/>
    <x v="20"/>
    <x v="1"/>
    <s v="Decorative Lamp Shade - Ramirez-Hanson"/>
    <x v="3"/>
    <n v="228.53"/>
    <x v="2"/>
    <x v="0"/>
    <n v="1345.5"/>
  </r>
  <r>
    <s v="SALE860"/>
    <d v="2025-02-03T00:00:00"/>
    <s v="CUST1059"/>
    <s v="PROD84"/>
    <s v="STORE13"/>
    <n v="3"/>
    <n v="904.96"/>
    <n v="7.0000000000000007E-2"/>
    <s v="COD"/>
    <x v="0"/>
    <x v="10"/>
    <x v="1"/>
    <s v="Wooden Bookshelf - Collins-Stephenson"/>
    <x v="3"/>
    <n v="388.46"/>
    <x v="3"/>
    <x v="1"/>
    <n v="2714.67"/>
  </r>
  <r>
    <s v="SALE861"/>
    <d v="2024-11-12T00:00:00"/>
    <s v="CUST1380"/>
    <s v="PROD68"/>
    <s v="STORE13"/>
    <n v="4"/>
    <n v="408.72"/>
    <n v="0.16"/>
    <s v="COD"/>
    <x v="0"/>
    <x v="5"/>
    <x v="0"/>
    <s v="Wooden Nightstand - Wolfe, Ross And Hester"/>
    <x v="3"/>
    <n v="243.7"/>
    <x v="3"/>
    <x v="1"/>
    <n v="1634.24"/>
  </r>
  <r>
    <s v="SALE862"/>
    <d v="2024-04-30T00:00:00"/>
    <s v="CUST1282"/>
    <s v="PROD71"/>
    <s v="STORE3"/>
    <n v="4"/>
    <n v="770.65"/>
    <n v="0.27"/>
    <s v="Credit Card"/>
    <x v="1"/>
    <x v="19"/>
    <x v="0"/>
    <s v="Hair Repair Oil Treatment - Hopkins Ltd"/>
    <x v="2"/>
    <n v="214.32"/>
    <x v="0"/>
    <x v="0"/>
    <n v="3081.52"/>
  </r>
  <r>
    <s v="SALE863"/>
    <d v="2025-04-20T00:00:00"/>
    <s v="CUST1203"/>
    <s v="PROD30"/>
    <s v="STORE6"/>
    <n v="1"/>
    <n v="649.22"/>
    <n v="0.03"/>
    <s v="COD"/>
    <x v="0"/>
    <x v="9"/>
    <x v="1"/>
    <s v="Stainless Steel Cutlery Set - Stevens, Fernandez And Martin"/>
    <x v="3"/>
    <n v="19.52"/>
    <x v="3"/>
    <x v="2"/>
    <n v="649.19000000000005"/>
  </r>
  <r>
    <s v="SALE864"/>
    <d v="2024-05-16T00:00:00"/>
    <s v="CUST1348"/>
    <s v="PROD33"/>
    <s v="STORE10"/>
    <n v="2"/>
    <n v="379.78"/>
    <n v="0.2"/>
    <s v="Credit Card"/>
    <x v="0"/>
    <x v="2"/>
    <x v="2"/>
    <s v="Modern Wall Clock - Weiss-Watson"/>
    <x v="3"/>
    <n v="179.77"/>
    <x v="3"/>
    <x v="2"/>
    <n v="759.16"/>
  </r>
  <r>
    <s v="SALE865"/>
    <d v="2025-04-23T00:00:00"/>
    <s v="CUST1248"/>
    <s v="PROD43"/>
    <s v="STORE8"/>
    <n v="3"/>
    <n v="924.15"/>
    <n v="0.1"/>
    <s v="PayPal"/>
    <x v="0"/>
    <x v="8"/>
    <x v="0"/>
    <s v="Usb External Hard Drive - Robinson Inc"/>
    <x v="1"/>
    <n v="253.33"/>
    <x v="1"/>
    <x v="2"/>
    <n v="2772.1499999999996"/>
  </r>
  <r>
    <s v="SALE866"/>
    <d v="2024-10-06T00:00:00"/>
    <s v="CUST1469"/>
    <s v="PROD45"/>
    <s v="STORE17"/>
    <n v="3"/>
    <n v="144.66999999999999"/>
    <n v="0.28999999999999998"/>
    <s v="COD"/>
    <x v="0"/>
    <x v="39"/>
    <x v="0"/>
    <s v="High-Grip Football - Bridges, Banks And Cummings"/>
    <x v="0"/>
    <n v="318.91000000000003"/>
    <x v="0"/>
    <x v="1"/>
    <n v="433.14"/>
  </r>
  <r>
    <s v="SALE867"/>
    <d v="2025-02-12T00:00:00"/>
    <s v="CUST1121"/>
    <s v="PROD33"/>
    <s v="STORE15"/>
    <n v="2"/>
    <n v="667.17"/>
    <n v="0.1"/>
    <s v="PayPal"/>
    <x v="0"/>
    <x v="22"/>
    <x v="1"/>
    <s v="Modern Wall Clock - Weiss-Watson"/>
    <x v="3"/>
    <n v="179.77"/>
    <x v="0"/>
    <x v="1"/>
    <n v="1334.1399999999999"/>
  </r>
  <r>
    <s v="SALE868"/>
    <d v="2024-03-31T00:00:00"/>
    <s v="CUST1402"/>
    <s v="PROD66"/>
    <s v="STORE3"/>
    <n v="1"/>
    <n v="984.6"/>
    <n v="0.22"/>
    <s v="Credit Card"/>
    <x v="0"/>
    <x v="25"/>
    <x v="3"/>
    <s v="Women'S Hair Dryer Brush - Torres, Spencer And Potter"/>
    <x v="2"/>
    <n v="340.39"/>
    <x v="0"/>
    <x v="0"/>
    <n v="984.38"/>
  </r>
  <r>
    <s v="SALE869"/>
    <d v="2023-11-30T00:00:00"/>
    <s v="CUST1279"/>
    <s v="PROD13"/>
    <s v="STORE8"/>
    <n v="1"/>
    <n v="139.29"/>
    <n v="0"/>
    <s v="Credit Card"/>
    <x v="1"/>
    <x v="31"/>
    <x v="3"/>
    <s v="Usb-C Fast Charger - Dawson-Perkins"/>
    <x v="1"/>
    <n v="242.23"/>
    <x v="1"/>
    <x v="2"/>
    <n v="139.29"/>
  </r>
  <r>
    <s v="SALE870"/>
    <d v="2025-02-14T00:00:00"/>
    <s v="CUST1033"/>
    <s v="PROD16"/>
    <s v="STORE8"/>
    <n v="3"/>
    <n v="459.57"/>
    <n v="0.1"/>
    <s v="COD"/>
    <x v="0"/>
    <x v="15"/>
    <x v="1"/>
    <s v="Beard Grooming Kit - Erickson-Green"/>
    <x v="2"/>
    <n v="337.42"/>
    <x v="1"/>
    <x v="2"/>
    <n v="1378.4099999999999"/>
  </r>
  <r>
    <s v="SALE871"/>
    <d v="2024-01-11T00:00:00"/>
    <s v="CUST1066"/>
    <s v="PROD40"/>
    <s v="STORE15"/>
    <n v="1"/>
    <n v="517.82000000000005"/>
    <n v="0.28999999999999998"/>
    <s v="Credit Card"/>
    <x v="1"/>
    <x v="21"/>
    <x v="2"/>
    <s v="Noise-Canceling Headphones - Taylor-Hart"/>
    <x v="1"/>
    <n v="38.520000000000003"/>
    <x v="0"/>
    <x v="1"/>
    <n v="517.53000000000009"/>
  </r>
  <r>
    <s v="SALE872"/>
    <d v="2024-12-27T00:00:00"/>
    <s v="CUST1379"/>
    <s v="PROD76"/>
    <s v="STORE6"/>
    <n v="4"/>
    <n v="282.45"/>
    <n v="0.28999999999999998"/>
    <s v="COD"/>
    <x v="1"/>
    <x v="9"/>
    <x v="0"/>
    <s v="Wireless Mouse - Larson Ltd"/>
    <x v="1"/>
    <n v="392.89"/>
    <x v="3"/>
    <x v="2"/>
    <n v="1128.6399999999999"/>
  </r>
  <r>
    <s v="SALE873"/>
    <d v="2023-11-20T00:00:00"/>
    <s v="CUST1455"/>
    <s v="PROD87"/>
    <s v="STORE7"/>
    <n v="2"/>
    <n v="386.46"/>
    <n v="0.23"/>
    <s v="COD"/>
    <x v="0"/>
    <x v="49"/>
    <x v="0"/>
    <s v="Led Bedside Lamp - Aguilar, Horton And Lewis"/>
    <x v="3"/>
    <n v="371.38"/>
    <x v="2"/>
    <x v="2"/>
    <n v="772.45999999999992"/>
  </r>
  <r>
    <s v="SALE874"/>
    <d v="2025-01-04T00:00:00"/>
    <s v="CUST1195"/>
    <s v="PROD19"/>
    <s v="STORE3"/>
    <n v="1"/>
    <n v="270.45"/>
    <n v="0.15"/>
    <s v="COD"/>
    <x v="0"/>
    <x v="28"/>
    <x v="2"/>
    <s v="Knee Support Brace - May-Reese"/>
    <x v="0"/>
    <n v="21.34"/>
    <x v="0"/>
    <x v="0"/>
    <n v="270.3"/>
  </r>
  <r>
    <s v="SALE875"/>
    <d v="2024-07-20T00:00:00"/>
    <s v="CUST1041"/>
    <s v="PROD76"/>
    <s v="STORE10"/>
    <n v="4"/>
    <n v="762.94"/>
    <n v="0.09"/>
    <s v="COD"/>
    <x v="0"/>
    <x v="41"/>
    <x v="1"/>
    <s v="Wireless Mouse - Larson Ltd"/>
    <x v="1"/>
    <n v="392.89"/>
    <x v="3"/>
    <x v="2"/>
    <n v="3051.4"/>
  </r>
  <r>
    <s v="SALE876"/>
    <d v="2023-11-12T00:00:00"/>
    <s v="CUST1494"/>
    <s v="PROD41"/>
    <s v="STORE13"/>
    <n v="1"/>
    <n v="409.03"/>
    <n v="0.25"/>
    <s v="COD"/>
    <x v="0"/>
    <x v="11"/>
    <x v="0"/>
    <s v="Yoga Exercise Mat - Carroll, Long And Mendoza"/>
    <x v="0"/>
    <n v="313.26"/>
    <x v="3"/>
    <x v="1"/>
    <n v="408.78"/>
  </r>
  <r>
    <s v="SALE877"/>
    <d v="2024-04-29T00:00:00"/>
    <s v="CUST1219"/>
    <s v="PROD96"/>
    <s v="STORE18"/>
    <n v="2"/>
    <n v="891.13"/>
    <n v="0.13"/>
    <s v="Credit Card"/>
    <x v="1"/>
    <x v="19"/>
    <x v="0"/>
    <s v="Women'S Formal Blazer - Phillips And Sons"/>
    <x v="4"/>
    <n v="358.47"/>
    <x v="3"/>
    <x v="1"/>
    <n v="1782"/>
  </r>
  <r>
    <s v="SALE878"/>
    <d v="2024-10-28T00:00:00"/>
    <s v="CUST1032"/>
    <s v="PROD92"/>
    <s v="STORE16"/>
    <n v="1"/>
    <n v="553.38"/>
    <n v="0.21"/>
    <s v="PayPal"/>
    <x v="1"/>
    <x v="28"/>
    <x v="0"/>
    <s v="Microwave Oven - Green, Powell And Palmer"/>
    <x v="3"/>
    <n v="447.43"/>
    <x v="1"/>
    <x v="1"/>
    <n v="553.16999999999996"/>
  </r>
  <r>
    <s v="SALE879"/>
    <d v="2023-12-21T00:00:00"/>
    <s v="CUST1160"/>
    <s v="PROD85"/>
    <s v="STORE13"/>
    <n v="2"/>
    <n v="652.29999999999995"/>
    <n v="0.16"/>
    <s v="COD"/>
    <x v="1"/>
    <x v="29"/>
    <x v="1"/>
    <s v="Women'S Beanie Hat - Richardson-Carrillo"/>
    <x v="4"/>
    <n v="119.57"/>
    <x v="3"/>
    <x v="1"/>
    <n v="1304.28"/>
  </r>
  <r>
    <s v="SALE880"/>
    <d v="2024-10-10T00:00:00"/>
    <s v="CUST1122"/>
    <s v="PROD42"/>
    <s v="STORE9"/>
    <n v="4"/>
    <n v="194.36"/>
    <n v="0.18"/>
    <s v="COD"/>
    <x v="0"/>
    <x v="29"/>
    <x v="1"/>
    <s v="Smart Home Wifi Camera - Holmes Llc"/>
    <x v="1"/>
    <n v="450.71"/>
    <x v="2"/>
    <x v="1"/>
    <n v="776.72"/>
  </r>
  <r>
    <s v="SALE881"/>
    <d v="2025-01-03T00:00:00"/>
    <s v="CUST1153"/>
    <s v="PROD92"/>
    <s v="STORE1"/>
    <n v="3"/>
    <n v="476.37"/>
    <n v="0.21"/>
    <s v="COD"/>
    <x v="0"/>
    <x v="16"/>
    <x v="3"/>
    <s v="Microwave Oven - Green, Powell And Palmer"/>
    <x v="3"/>
    <n v="447.43"/>
    <x v="0"/>
    <x v="1"/>
    <n v="1428.48"/>
  </r>
  <r>
    <s v="SALE882"/>
    <d v="2024-03-09T00:00:00"/>
    <s v="CUST1365"/>
    <s v="PROD40"/>
    <s v="STORE5"/>
    <n v="3"/>
    <n v="174.57"/>
    <n v="0"/>
    <s v="PayPal"/>
    <x v="1"/>
    <x v="41"/>
    <x v="1"/>
    <s v="Noise-Canceling Headphones - Taylor-Hart"/>
    <x v="1"/>
    <n v="38.520000000000003"/>
    <x v="0"/>
    <x v="0"/>
    <n v="523.71"/>
  </r>
  <r>
    <s v="SALE883"/>
    <d v="2024-08-22T00:00:00"/>
    <s v="CUST1119"/>
    <s v="PROD85"/>
    <s v="STORE0"/>
    <n v="3"/>
    <n v="762"/>
    <n v="0.02"/>
    <s v="PayPal"/>
    <x v="0"/>
    <x v="3"/>
    <x v="3"/>
    <s v="Women'S Beanie Hat - Richardson-Carrillo"/>
    <x v="4"/>
    <n v="119.57"/>
    <x v="3"/>
    <x v="1"/>
    <n v="2285.94"/>
  </r>
  <r>
    <s v="SALE884"/>
    <d v="2024-04-13T00:00:00"/>
    <s v="CUST1425"/>
    <s v="PROD72"/>
    <s v="STORE19"/>
    <n v="1"/>
    <n v="44.08"/>
    <n v="0.05"/>
    <s v="Credit Card"/>
    <x v="0"/>
    <x v="39"/>
    <x v="3"/>
    <s v="Professional Jump Rope - Davis Plc"/>
    <x v="0"/>
    <n v="477.61"/>
    <x v="3"/>
    <x v="2"/>
    <n v="44.03"/>
  </r>
  <r>
    <s v="SALE885"/>
    <d v="2024-06-23T00:00:00"/>
    <s v="CUST1495"/>
    <s v="PROD59"/>
    <s v="STORE13"/>
    <n v="1"/>
    <n v="992.37"/>
    <n v="0.24"/>
    <s v="COD"/>
    <x v="1"/>
    <x v="37"/>
    <x v="3"/>
    <s v="Men'S Hair Styling Gel - Cline-Mccarthy"/>
    <x v="2"/>
    <n v="17.309999999999999"/>
    <x v="3"/>
    <x v="1"/>
    <n v="992.13"/>
  </r>
  <r>
    <s v="SALE886"/>
    <d v="2025-08-07T00:00:00"/>
    <s v="CUST1201"/>
    <s v="PROD31"/>
    <s v="STORE10"/>
    <n v="3"/>
    <n v="465.4"/>
    <n v="0.28999999999999998"/>
    <s v="COD"/>
    <x v="1"/>
    <x v="20"/>
    <x v="3"/>
    <s v="Basketball - Nolan-Snow"/>
    <x v="0"/>
    <n v="204.39"/>
    <x v="3"/>
    <x v="2"/>
    <n v="1395.33"/>
  </r>
  <r>
    <s v="SALE887"/>
    <d v="2025-03-08T00:00:00"/>
    <s v="CUST1337"/>
    <s v="PROD16"/>
    <s v="STORE10"/>
    <n v="2"/>
    <n v="693.61"/>
    <n v="0.15"/>
    <s v="PayPal"/>
    <x v="1"/>
    <x v="29"/>
    <x v="3"/>
    <s v="Beard Grooming Kit - Erickson-Green"/>
    <x v="2"/>
    <n v="337.42"/>
    <x v="3"/>
    <x v="2"/>
    <n v="1386.92"/>
  </r>
  <r>
    <s v="SALE888"/>
    <d v="2025-05-24T00:00:00"/>
    <s v="CUST1465"/>
    <s v="PROD67"/>
    <s v="STORE8"/>
    <n v="2"/>
    <n v="995.11"/>
    <n v="0.13"/>
    <s v="PayPal"/>
    <x v="1"/>
    <x v="29"/>
    <x v="2"/>
    <s v="Smart Led Light Strip - Flores-Davis"/>
    <x v="1"/>
    <n v="349.17"/>
    <x v="1"/>
    <x v="2"/>
    <n v="1989.96"/>
  </r>
  <r>
    <s v="SALE889"/>
    <d v="2025-04-02T00:00:00"/>
    <s v="CUST1381"/>
    <s v="PROD23"/>
    <s v="STORE4"/>
    <n v="3"/>
    <n v="70.97"/>
    <n v="0.06"/>
    <s v="COD"/>
    <x v="0"/>
    <x v="4"/>
    <x v="2"/>
    <s v="Men'S Formal Shirt - Moon, Mora And Santos"/>
    <x v="4"/>
    <n v="248.82191780821913"/>
    <x v="2"/>
    <x v="2"/>
    <n v="212.73"/>
  </r>
  <r>
    <s v="SALE890"/>
    <d v="2024-02-03T00:00:00"/>
    <s v="CUST1113"/>
    <s v="PROD83"/>
    <s v="STORE9"/>
    <n v="3"/>
    <n v="470.42"/>
    <n v="0.16"/>
    <s v="Credit Card"/>
    <x v="0"/>
    <x v="23"/>
    <x v="0"/>
    <s v="Hydrating Face Cleanser - Butler Group"/>
    <x v="2"/>
    <n v="289.35937499999994"/>
    <x v="2"/>
    <x v="1"/>
    <n v="1410.78"/>
  </r>
  <r>
    <s v="SALE891"/>
    <d v="2025-10-02T00:00:00"/>
    <s v="CUST1314"/>
    <s v="PROD86"/>
    <s v="STORE16"/>
    <n v="2"/>
    <n v="215.59"/>
    <n v="0.18"/>
    <s v="Credit Card"/>
    <x v="1"/>
    <x v="7"/>
    <x v="2"/>
    <s v="Kitchen Cutting Board - Taylor, Dodson And Johnston"/>
    <x v="3"/>
    <n v="176.07"/>
    <x v="1"/>
    <x v="1"/>
    <n v="430.82"/>
  </r>
  <r>
    <s v="SALE892"/>
    <d v="2025-08-26T00:00:00"/>
    <s v="CUST1239"/>
    <s v="PROD92"/>
    <s v="STORE0"/>
    <n v="1"/>
    <n v="533.79999999999995"/>
    <n v="0.27"/>
    <s v="COD"/>
    <x v="1"/>
    <x v="8"/>
    <x v="1"/>
    <s v="Microwave Oven - Green, Powell And Palmer"/>
    <x v="3"/>
    <n v="447.43"/>
    <x v="3"/>
    <x v="1"/>
    <n v="533.53"/>
  </r>
  <r>
    <s v="SALE893"/>
    <d v="2024-11-18T00:00:00"/>
    <s v="CUST1093"/>
    <s v="PROD32"/>
    <s v="STORE3"/>
    <n v="2"/>
    <n v="732.67"/>
    <n v="0.24"/>
    <s v="PayPal"/>
    <x v="1"/>
    <x v="42"/>
    <x v="0"/>
    <s v="Vitamin C Face Serum - Griffin Ltd"/>
    <x v="2"/>
    <n v="283.83"/>
    <x v="0"/>
    <x v="0"/>
    <n v="1464.86"/>
  </r>
  <r>
    <s v="SALE894"/>
    <d v="2023-11-17T00:00:00"/>
    <s v="CUST1489"/>
    <s v="PROD60"/>
    <s v="STORE13"/>
    <n v="4"/>
    <n v="106.48"/>
    <n v="0.1"/>
    <s v="COD"/>
    <x v="1"/>
    <x v="30"/>
    <x v="2"/>
    <s v="Luxury Perfume Spray - Gibson, Green And Lopez"/>
    <x v="2"/>
    <n v="482.75"/>
    <x v="3"/>
    <x v="1"/>
    <n v="425.52000000000004"/>
  </r>
  <r>
    <s v="SALE895"/>
    <d v="2025-02-08T00:00:00"/>
    <s v="CUST1105"/>
    <s v="PROD57"/>
    <s v="STORE3"/>
    <n v="1"/>
    <n v="38.950000000000003"/>
    <n v="0.28000000000000003"/>
    <s v="Credit Card"/>
    <x v="1"/>
    <x v="26"/>
    <x v="0"/>
    <s v="Foam Roller - Atkinson, Camacho And Oliver"/>
    <x v="0"/>
    <n v="30.62"/>
    <x v="0"/>
    <x v="0"/>
    <n v="38.67"/>
  </r>
  <r>
    <s v="SALE896"/>
    <d v="2024-01-03T00:00:00"/>
    <s v="CUST1431"/>
    <s v="PROD96"/>
    <s v="STORE16"/>
    <n v="1"/>
    <n v="835.17"/>
    <n v="0.02"/>
    <s v="COD"/>
    <x v="0"/>
    <x v="24"/>
    <x v="1"/>
    <s v="Women'S Formal Blazer - Phillips And Sons"/>
    <x v="4"/>
    <n v="358.47"/>
    <x v="1"/>
    <x v="1"/>
    <n v="835.15"/>
  </r>
  <r>
    <s v="SALE897"/>
    <d v="2024-04-07T00:00:00"/>
    <s v="CUST1134"/>
    <s v="PROD83"/>
    <s v="STORE3"/>
    <n v="1"/>
    <n v="113.07"/>
    <n v="0.24"/>
    <s v="Credit Card"/>
    <x v="0"/>
    <x v="7"/>
    <x v="0"/>
    <s v="Hydrating Face Cleanser - Butler Group"/>
    <x v="2"/>
    <n v="289.35937499999994"/>
    <x v="0"/>
    <x v="0"/>
    <n v="112.83"/>
  </r>
  <r>
    <s v="SALE898"/>
    <d v="2025-09-30T00:00:00"/>
    <s v="CUST1466"/>
    <s v="PROD94"/>
    <s v="STORE12"/>
    <n v="2"/>
    <n v="451.33"/>
    <n v="0.23"/>
    <s v="COD"/>
    <x v="0"/>
    <x v="46"/>
    <x v="2"/>
    <s v="Vitamin E Body Lotion - Hoffman-Williams"/>
    <x v="2"/>
    <n v="358.47"/>
    <x v="0"/>
    <x v="2"/>
    <n v="902.19999999999993"/>
  </r>
  <r>
    <s v="SALE899"/>
    <d v="2024-06-13T00:00:00"/>
    <s v="CUST1372"/>
    <s v="PROD86"/>
    <s v="STORE6"/>
    <n v="3"/>
    <n v="619.80999999999995"/>
    <n v="0.16"/>
    <s v="COD"/>
    <x v="0"/>
    <x v="31"/>
    <x v="3"/>
    <s v="Kitchen Cutting Board - Taylor, Dodson And Johnston"/>
    <x v="3"/>
    <n v="176.07"/>
    <x v="3"/>
    <x v="2"/>
    <n v="1858.9499999999998"/>
  </r>
  <r>
    <s v="SALE900"/>
    <d v="2025-02-25T00:00:00"/>
    <s v="CUST1108"/>
    <s v="PROD62"/>
    <s v="STORE7"/>
    <n v="4"/>
    <n v="46.97"/>
    <n v="0.26"/>
    <s v="PayPal"/>
    <x v="0"/>
    <x v="21"/>
    <x v="3"/>
    <s v="Laptop Cooling Pad - Murray, Gould And Ware"/>
    <x v="1"/>
    <n v="86.42"/>
    <x v="2"/>
    <x v="2"/>
    <n v="186.84"/>
  </r>
  <r>
    <s v="SALE901"/>
    <d v="2025-05-07T00:00:00"/>
    <s v="CUST1184"/>
    <s v="PROD46"/>
    <s v="STORE2"/>
    <n v="2"/>
    <n v="71.48"/>
    <n v="0.14000000000000001"/>
    <s v="COD"/>
    <x v="1"/>
    <x v="16"/>
    <x v="2"/>
    <s v="Men'S Winter Jacket - Kelly, Smith And Perez"/>
    <x v="4"/>
    <n v="167.34"/>
    <x v="2"/>
    <x v="0"/>
    <n v="142.68"/>
  </r>
  <r>
    <s v="SALE902"/>
    <d v="2025-06-04T00:00:00"/>
    <s v="CUST1000"/>
    <s v="PROD56"/>
    <s v="STORE19"/>
    <n v="2"/>
    <n v="404.08"/>
    <n v="7.0000000000000007E-2"/>
    <s v="Credit Card"/>
    <x v="0"/>
    <x v="29"/>
    <x v="4"/>
    <s v="Premium Blanket Throw - Hernandez, Kennedy And Porter"/>
    <x v="3"/>
    <n v="461.47"/>
    <x v="3"/>
    <x v="2"/>
    <n v="808.02"/>
  </r>
  <r>
    <s v="SALE903"/>
    <d v="2024-12-27T00:00:00"/>
    <s v="CUST1264"/>
    <s v="PROD17"/>
    <s v="STORE16"/>
    <n v="1"/>
    <n v="519.91"/>
    <n v="0.05"/>
    <s v="COD"/>
    <x v="0"/>
    <x v="0"/>
    <x v="0"/>
    <s v="Soccer Training Cone Set - Ford, Murphy And Wilson"/>
    <x v="0"/>
    <n v="144.53"/>
    <x v="1"/>
    <x v="1"/>
    <n v="519.86"/>
  </r>
  <r>
    <s v="SALE904"/>
    <d v="2025-01-15T00:00:00"/>
    <s v="CUST1145"/>
    <s v="PROD48"/>
    <s v="STORE13"/>
    <n v="3"/>
    <n v="566.16"/>
    <n v="0.05"/>
    <s v="PayPal"/>
    <x v="0"/>
    <x v="30"/>
    <x v="1"/>
    <s v="Car Dashboard Phone Holder - Byrd, Stewart And Valdez"/>
    <x v="1"/>
    <n v="177.98"/>
    <x v="3"/>
    <x v="1"/>
    <n v="1698.33"/>
  </r>
  <r>
    <s v="SALE905"/>
    <d v="2025-05-22T00:00:00"/>
    <s v="CUST1392"/>
    <s v="PROD52"/>
    <s v="STORE10"/>
    <n v="2"/>
    <n v="295.12"/>
    <n v="0.09"/>
    <s v="COD"/>
    <x v="0"/>
    <x v="6"/>
    <x v="0"/>
    <s v="Rugby Ball - Harris Inc"/>
    <x v="0"/>
    <n v="212.26"/>
    <x v="3"/>
    <x v="2"/>
    <n v="590.06000000000006"/>
  </r>
  <r>
    <s v="SALE906"/>
    <d v="2025-07-10T00:00:00"/>
    <s v="CUST1109"/>
    <s v="PROD34"/>
    <s v="STORE11"/>
    <n v="2"/>
    <n v="414.18"/>
    <n v="0.25"/>
    <s v="PayPal"/>
    <x v="0"/>
    <x v="35"/>
    <x v="2"/>
    <s v="Gaming Mechanical Keyboard - Lucero Llc"/>
    <x v="1"/>
    <n v="419.28"/>
    <x v="2"/>
    <x v="2"/>
    <n v="827.86"/>
  </r>
  <r>
    <s v="SALE907"/>
    <d v="2025-09-18T00:00:00"/>
    <s v="CUST1268"/>
    <s v="PROD58"/>
    <s v="STORE8"/>
    <n v="2"/>
    <n v="433.75"/>
    <n v="0"/>
    <s v="Credit Card"/>
    <x v="1"/>
    <x v="46"/>
    <x v="3"/>
    <s v="Womens Cotton Scarf - Shepherd-Gould"/>
    <x v="4"/>
    <n v="113.83"/>
    <x v="1"/>
    <x v="2"/>
    <n v="867.5"/>
  </r>
  <r>
    <s v="SALE908"/>
    <d v="2023-12-28T00:00:00"/>
    <s v="CUST1281"/>
    <s v="PROD85"/>
    <s v="STORE19"/>
    <n v="3"/>
    <n v="104.33"/>
    <n v="0.13"/>
    <s v="COD"/>
    <x v="0"/>
    <x v="40"/>
    <x v="1"/>
    <s v="Women'S Beanie Hat - Richardson-Carrillo"/>
    <x v="4"/>
    <n v="119.57"/>
    <x v="3"/>
    <x v="2"/>
    <n v="312.60000000000002"/>
  </r>
  <r>
    <s v="SALE909"/>
    <d v="2024-07-04T00:00:00"/>
    <s v="CUST1464"/>
    <s v="PROD4"/>
    <s v="STORE12"/>
    <n v="1"/>
    <n v="221.7"/>
    <n v="0.04"/>
    <s v="Credit Card"/>
    <x v="1"/>
    <x v="7"/>
    <x v="1"/>
    <s v="Women'S Yoga Pants - Gonzales-Davis"/>
    <x v="4"/>
    <n v="306.45999999999998"/>
    <x v="0"/>
    <x v="2"/>
    <n v="221.66"/>
  </r>
  <r>
    <s v="SALE910"/>
    <d v="2025-05-19T00:00:00"/>
    <s v="CUST1211"/>
    <s v="PROD67"/>
    <s v="STORE5"/>
    <n v="2"/>
    <n v="491.26"/>
    <n v="0.14000000000000001"/>
    <s v="COD"/>
    <x v="1"/>
    <x v="37"/>
    <x v="2"/>
    <s v="Smart Led Light Strip - Flores-Davis"/>
    <x v="1"/>
    <n v="349.17"/>
    <x v="0"/>
    <x v="0"/>
    <n v="982.24"/>
  </r>
  <r>
    <s v="SALE911"/>
    <d v="2024-12-04T00:00:00"/>
    <s v="CUST1181"/>
    <s v="PROD37"/>
    <s v="STORE8"/>
    <n v="4"/>
    <n v="923.14"/>
    <n v="0.15"/>
    <s v="Credit Card"/>
    <x v="0"/>
    <x v="14"/>
    <x v="3"/>
    <s v="Men'S Casual Sneakers - Hogan-Lee"/>
    <x v="4"/>
    <n v="353.47"/>
    <x v="1"/>
    <x v="2"/>
    <n v="3691.96"/>
  </r>
  <r>
    <s v="SALE912"/>
    <d v="2024-11-29T00:00:00"/>
    <s v="CUST1193"/>
    <s v="PROD64"/>
    <s v="STORE7"/>
    <n v="2"/>
    <n v="747.65"/>
    <n v="0.08"/>
    <s v="Credit Card"/>
    <x v="0"/>
    <x v="36"/>
    <x v="0"/>
    <s v="Matte Lipstick Set - Zhang Inc"/>
    <x v="2"/>
    <n v="299.11"/>
    <x v="2"/>
    <x v="2"/>
    <n v="1495.1399999999999"/>
  </r>
  <r>
    <s v="SALE913"/>
    <d v="2025-04-26T00:00:00"/>
    <s v="CUST1109"/>
    <s v="PROD42"/>
    <s v="STORE7"/>
    <n v="3"/>
    <n v="94.55"/>
    <n v="0.13"/>
    <s v="COD"/>
    <x v="0"/>
    <x v="35"/>
    <x v="2"/>
    <s v="Smart Home Wifi Camera - Holmes Llc"/>
    <x v="1"/>
    <n v="450.71"/>
    <x v="2"/>
    <x v="2"/>
    <n v="283.26"/>
  </r>
  <r>
    <s v="SALE914"/>
    <d v="2024-01-17T00:00:00"/>
    <s v="CUST1039"/>
    <s v="PROD15"/>
    <s v="STORE19"/>
    <n v="3"/>
    <n v="620.12"/>
    <n v="0.06"/>
    <s v="Credit Card"/>
    <x v="1"/>
    <x v="20"/>
    <x v="0"/>
    <s v="4K Home Projector - Thomas Llc"/>
    <x v="1"/>
    <n v="465.34"/>
    <x v="3"/>
    <x v="2"/>
    <n v="1860.1800000000003"/>
  </r>
  <r>
    <s v="SALE915"/>
    <d v="2025-07-31T00:00:00"/>
    <s v="CUST1486"/>
    <s v="PROD69"/>
    <s v="STORE6"/>
    <n v="2"/>
    <n v="354.09"/>
    <n v="0.12"/>
    <s v="COD"/>
    <x v="1"/>
    <x v="1"/>
    <x v="3"/>
    <s v="Men'S Sports Shorts - Fitzpatrick Ltd"/>
    <x v="4"/>
    <n v="218.22"/>
    <x v="3"/>
    <x v="2"/>
    <n v="707.93999999999994"/>
  </r>
  <r>
    <s v="SALE916"/>
    <d v="2024-11-25T00:00:00"/>
    <s v="CUST1130"/>
    <s v="PROD53"/>
    <s v="STORE5"/>
    <n v="3"/>
    <n v="214.94"/>
    <n v="0.22"/>
    <s v="COD"/>
    <x v="0"/>
    <x v="40"/>
    <x v="1"/>
    <s v="Men'S Track Pants - Hamilton, Woods And Walker"/>
    <x v="4"/>
    <n v="386.56"/>
    <x v="0"/>
    <x v="0"/>
    <n v="644.16"/>
  </r>
  <r>
    <s v="SALE917"/>
    <d v="2024-05-16T00:00:00"/>
    <s v="CUST1199"/>
    <s v="PROD9"/>
    <s v="STORE12"/>
    <n v="2"/>
    <n v="309.77999999999997"/>
    <n v="0.16"/>
    <s v="Credit Card"/>
    <x v="0"/>
    <x v="3"/>
    <x v="3"/>
    <s v="Adjustable Dumbbell Set - Hill Plc"/>
    <x v="0"/>
    <n v="495.72"/>
    <x v="0"/>
    <x v="2"/>
    <n v="619.2399999999999"/>
  </r>
  <r>
    <s v="SALE918"/>
    <d v="2025-05-30T00:00:00"/>
    <s v="CUST1069"/>
    <s v="PROD13"/>
    <s v="STORE3"/>
    <n v="2"/>
    <n v="183.85"/>
    <n v="0.14000000000000001"/>
    <s v="PayPal"/>
    <x v="1"/>
    <x v="19"/>
    <x v="1"/>
    <s v="Usb-C Fast Charger - Dawson-Perkins"/>
    <x v="1"/>
    <n v="242.23"/>
    <x v="0"/>
    <x v="0"/>
    <n v="367.42"/>
  </r>
  <r>
    <s v="SALE919"/>
    <d v="2023-11-08T00:00:00"/>
    <s v="CUST1409"/>
    <s v="PROD70"/>
    <s v="STORE0"/>
    <n v="1"/>
    <n v="550.05999999999995"/>
    <n v="0.01"/>
    <s v="Credit Card"/>
    <x v="0"/>
    <x v="0"/>
    <x v="0"/>
    <s v="Kitchen Storage Rack - Duran Group"/>
    <x v="3"/>
    <n v="138.05000000000001"/>
    <x v="3"/>
    <x v="1"/>
    <n v="550.04999999999995"/>
  </r>
  <r>
    <s v="SALE920"/>
    <d v="2023-11-23T00:00:00"/>
    <s v="CUST1029"/>
    <s v="PROD79"/>
    <s v="STORE4"/>
    <n v="2"/>
    <n v="32.19"/>
    <n v="0.13"/>
    <s v="COD"/>
    <x v="1"/>
    <x v="24"/>
    <x v="2"/>
    <s v="Decorative Lamp Shade - Ramirez-Hanson"/>
    <x v="3"/>
    <n v="228.53"/>
    <x v="2"/>
    <x v="2"/>
    <n v="64.11999999999999"/>
  </r>
  <r>
    <s v="SALE921"/>
    <d v="2024-06-17T00:00:00"/>
    <s v="CUST1138"/>
    <s v="PROD33"/>
    <s v="STORE19"/>
    <n v="2"/>
    <n v="892.06"/>
    <n v="0.08"/>
    <s v="Credit Card"/>
    <x v="0"/>
    <x v="45"/>
    <x v="0"/>
    <s v="Modern Wall Clock - Weiss-Watson"/>
    <x v="3"/>
    <n v="179.77"/>
    <x v="3"/>
    <x v="2"/>
    <n v="1783.9599999999998"/>
  </r>
  <r>
    <s v="SALE922"/>
    <d v="2024-12-02T00:00:00"/>
    <s v="CUST1472"/>
    <s v="PROD58"/>
    <s v="STORE6"/>
    <n v="1"/>
    <n v="127.47"/>
    <n v="0.16"/>
    <s v="COD"/>
    <x v="0"/>
    <x v="43"/>
    <x v="2"/>
    <s v="Womens Cotton Scarf - Shepherd-Gould"/>
    <x v="4"/>
    <n v="113.83"/>
    <x v="3"/>
    <x v="2"/>
    <n v="127.31"/>
  </r>
  <r>
    <s v="SALE923"/>
    <d v="2025-05-01T00:00:00"/>
    <s v="CUST1388"/>
    <s v="PROD77"/>
    <s v="STORE14"/>
    <n v="3"/>
    <n v="212.87"/>
    <n v="0.18"/>
    <s v="Credit Card"/>
    <x v="0"/>
    <x v="6"/>
    <x v="1"/>
    <s v="Wifi Mesh Router - White, Reeves And Woods"/>
    <x v="1"/>
    <n v="480.9"/>
    <x v="2"/>
    <x v="0"/>
    <n v="638.06999999999994"/>
  </r>
  <r>
    <s v="SALE924"/>
    <d v="2024-06-28T00:00:00"/>
    <s v="CUST1181"/>
    <s v="PROD81"/>
    <s v="STORE7"/>
    <n v="1"/>
    <n v="26.37"/>
    <n v="0.3"/>
    <s v="COD"/>
    <x v="0"/>
    <x v="14"/>
    <x v="3"/>
    <s v="Badminton Racket Set - Robinson-Brown"/>
    <x v="0"/>
    <n v="285.54000000000002"/>
    <x v="2"/>
    <x v="2"/>
    <n v="26.07"/>
  </r>
  <r>
    <s v="SALE925"/>
    <d v="2025-04-23T00:00:00"/>
    <s v="CUST1466"/>
    <s v="PROD34"/>
    <s v="STORE18"/>
    <n v="4"/>
    <n v="953.98"/>
    <n v="0.16"/>
    <s v="Credit Card"/>
    <x v="0"/>
    <x v="46"/>
    <x v="2"/>
    <s v="Gaming Mechanical Keyboard - Lucero Llc"/>
    <x v="1"/>
    <n v="419.28"/>
    <x v="3"/>
    <x v="1"/>
    <n v="3815.28"/>
  </r>
  <r>
    <s v="SALE926"/>
    <d v="2024-03-18T00:00:00"/>
    <s v="CUST1215"/>
    <s v="PROD67"/>
    <s v="STORE19"/>
    <n v="3"/>
    <n v="968.88"/>
    <n v="0.15"/>
    <s v="Credit Card"/>
    <x v="1"/>
    <x v="47"/>
    <x v="0"/>
    <s v="Smart Led Light Strip - Flores-Davis"/>
    <x v="1"/>
    <n v="349.17"/>
    <x v="3"/>
    <x v="2"/>
    <n v="2906.19"/>
  </r>
  <r>
    <s v="SALE927"/>
    <d v="2025-09-10T00:00:00"/>
    <s v="CUST1187"/>
    <s v="PROD76"/>
    <s v="STORE18"/>
    <n v="1"/>
    <n v="533.04999999999995"/>
    <n v="0.11"/>
    <s v="PayPal"/>
    <x v="1"/>
    <x v="4"/>
    <x v="1"/>
    <s v="Wireless Mouse - Larson Ltd"/>
    <x v="1"/>
    <n v="392.89"/>
    <x v="3"/>
    <x v="1"/>
    <n v="532.93999999999994"/>
  </r>
  <r>
    <s v="SALE928"/>
    <d v="2024-12-11T00:00:00"/>
    <s v="CUST1381"/>
    <s v="PROD81"/>
    <s v="STORE1"/>
    <n v="3"/>
    <n v="138.86000000000001"/>
    <n v="0.11"/>
    <s v="PayPal"/>
    <x v="0"/>
    <x v="4"/>
    <x v="2"/>
    <s v="Badminton Racket Set - Robinson-Brown"/>
    <x v="0"/>
    <n v="285.54000000000002"/>
    <x v="0"/>
    <x v="1"/>
    <n v="416.25"/>
  </r>
  <r>
    <s v="SALE929"/>
    <d v="2025-02-18T00:00:00"/>
    <s v="CUST1159"/>
    <s v="PROD22"/>
    <s v="STORE0"/>
    <n v="1"/>
    <n v="588.92999999999995"/>
    <n v="0.03"/>
    <s v="COD"/>
    <x v="1"/>
    <x v="19"/>
    <x v="0"/>
    <s v="Carbon Fiber Tennis Racket - Flores, Pineda And Rodriguez"/>
    <x v="0"/>
    <n v="484.62"/>
    <x v="3"/>
    <x v="1"/>
    <n v="588.9"/>
  </r>
  <r>
    <s v="SALE930"/>
    <d v="2024-09-22T00:00:00"/>
    <s v="CUST1403"/>
    <s v="PROD52"/>
    <s v="STORE5"/>
    <n v="2"/>
    <n v="576.83000000000004"/>
    <n v="0.19"/>
    <s v="PayPal"/>
    <x v="0"/>
    <x v="38"/>
    <x v="3"/>
    <s v="Rugby Ball - Harris Inc"/>
    <x v="0"/>
    <n v="212.26"/>
    <x v="0"/>
    <x v="0"/>
    <n v="1153.28"/>
  </r>
  <r>
    <s v="SALE931"/>
    <d v="2024-02-16T00:00:00"/>
    <s v="CUST1323"/>
    <s v="PROD65"/>
    <s v="STORE12"/>
    <n v="1"/>
    <n v="681.3"/>
    <n v="0.05"/>
    <s v="Credit Card"/>
    <x v="1"/>
    <x v="29"/>
    <x v="1"/>
    <s v="Adjustable Dumbbells 20Kg - Montgomery, Benton And Miller"/>
    <x v="0"/>
    <n v="240.63"/>
    <x v="0"/>
    <x v="2"/>
    <n v="681.25"/>
  </r>
  <r>
    <s v="SALE932"/>
    <d v="2024-05-29T00:00:00"/>
    <s v="CUST1457"/>
    <s v="PROD25"/>
    <s v="STORE15"/>
    <n v="3"/>
    <n v="504.97"/>
    <n v="0.3"/>
    <s v="Credit Card"/>
    <x v="0"/>
    <x v="27"/>
    <x v="1"/>
    <s v="Women'S Scarf Set - Brown And Sons"/>
    <x v="4"/>
    <n v="174.02"/>
    <x v="0"/>
    <x v="1"/>
    <n v="1514.01"/>
  </r>
  <r>
    <s v="SALE933"/>
    <d v="2024-04-14T00:00:00"/>
    <s v="CUST1060"/>
    <s v="PROD38"/>
    <s v="STORE11"/>
    <n v="3"/>
    <n v="649.78"/>
    <n v="0.1"/>
    <s v="PayPal"/>
    <x v="1"/>
    <x v="41"/>
    <x v="2"/>
    <s v="Sports Water Hydration Pack - Sims-Smith"/>
    <x v="0"/>
    <n v="135.61000000000001"/>
    <x v="2"/>
    <x v="2"/>
    <n v="1949.04"/>
  </r>
  <r>
    <s v="SALE934"/>
    <d v="2024-01-26T00:00:00"/>
    <s v="CUST1245"/>
    <s v="PROD39"/>
    <s v="STORE9"/>
    <n v="2"/>
    <n v="986.73"/>
    <n v="0.05"/>
    <s v="PayPal"/>
    <x v="1"/>
    <x v="20"/>
    <x v="1"/>
    <s v="Portable Power Bank - Cummings And Sons"/>
    <x v="1"/>
    <n v="326.06"/>
    <x v="2"/>
    <x v="1"/>
    <n v="1973.3600000000001"/>
  </r>
  <r>
    <s v="SALE935"/>
    <d v="2023-11-05T00:00:00"/>
    <s v="CUST1119"/>
    <s v="PROD13"/>
    <s v="STORE15"/>
    <n v="2"/>
    <n v="65.44"/>
    <n v="0.05"/>
    <s v="PayPal"/>
    <x v="0"/>
    <x v="3"/>
    <x v="3"/>
    <s v="Usb-C Fast Charger - Dawson-Perkins"/>
    <x v="1"/>
    <n v="242.23"/>
    <x v="0"/>
    <x v="1"/>
    <n v="130.78"/>
  </r>
  <r>
    <s v="SALE936"/>
    <d v="2025-06-16T00:00:00"/>
    <s v="CUST1383"/>
    <s v="PROD63"/>
    <s v="STORE13"/>
    <n v="3"/>
    <n v="953.74"/>
    <n v="0.04"/>
    <s v="Credit Card"/>
    <x v="1"/>
    <x v="42"/>
    <x v="2"/>
    <s v="Organic Sunscreen Lotion - Anderson-Riley"/>
    <x v="2"/>
    <n v="266.86"/>
    <x v="3"/>
    <x v="1"/>
    <n v="2861.1000000000004"/>
  </r>
  <r>
    <s v="SALE937"/>
    <d v="2024-09-08T00:00:00"/>
    <s v="CUST1067"/>
    <s v="PROD76"/>
    <s v="STORE10"/>
    <n v="3"/>
    <n v="904.48"/>
    <n v="0.21"/>
    <s v="PayPal"/>
    <x v="0"/>
    <x v="26"/>
    <x v="2"/>
    <s v="Wireless Mouse - Larson Ltd"/>
    <x v="1"/>
    <n v="392.89"/>
    <x v="3"/>
    <x v="2"/>
    <n v="2712.81"/>
  </r>
  <r>
    <s v="SALE938"/>
    <d v="2024-10-30T00:00:00"/>
    <s v="CUST1492"/>
    <s v="PROD62"/>
    <s v="STORE15"/>
    <n v="3"/>
    <n v="920.82"/>
    <n v="0.1"/>
    <s v="PayPal"/>
    <x v="1"/>
    <x v="26"/>
    <x v="1"/>
    <s v="Laptop Cooling Pad - Murray, Gould And Ware"/>
    <x v="1"/>
    <n v="86.42"/>
    <x v="0"/>
    <x v="1"/>
    <n v="2762.16"/>
  </r>
  <r>
    <s v="SALE939"/>
    <d v="2025-05-26T00:00:00"/>
    <s v="CUST1305"/>
    <s v="PROD28"/>
    <s v="STORE1"/>
    <n v="1"/>
    <n v="182.28"/>
    <n v="0.15"/>
    <s v="COD"/>
    <x v="0"/>
    <x v="7"/>
    <x v="1"/>
    <s v="Sports Stopwatch Timer - Burns-Hansen"/>
    <x v="0"/>
    <n v="38.76"/>
    <x v="0"/>
    <x v="1"/>
    <n v="182.13"/>
  </r>
  <r>
    <s v="SALE940"/>
    <d v="2025-08-11T00:00:00"/>
    <s v="CUST1445"/>
    <s v="PROD31"/>
    <s v="STORE16"/>
    <n v="3"/>
    <n v="938.68"/>
    <n v="0.14000000000000001"/>
    <s v="Credit Card"/>
    <x v="1"/>
    <x v="45"/>
    <x v="1"/>
    <s v="Basketball - Nolan-Snow"/>
    <x v="0"/>
    <n v="204.39"/>
    <x v="1"/>
    <x v="1"/>
    <n v="2815.62"/>
  </r>
  <r>
    <s v="SALE941"/>
    <d v="2025-02-02T00:00:00"/>
    <s v="CUST1081"/>
    <s v="PROD91"/>
    <s v="STORE5"/>
    <n v="3"/>
    <n v="219.96"/>
    <n v="0.18"/>
    <s v="PayPal"/>
    <x v="1"/>
    <x v="28"/>
    <x v="1"/>
    <s v="Women'S High Heels - Smith-Charles"/>
    <x v="4"/>
    <n v="438.25"/>
    <x v="0"/>
    <x v="0"/>
    <n v="659.34"/>
  </r>
  <r>
    <s v="SALE942"/>
    <d v="2025-07-03T00:00:00"/>
    <s v="CUST1473"/>
    <s v="PROD71"/>
    <s v="STORE18"/>
    <n v="3"/>
    <n v="385.74"/>
    <n v="0.27"/>
    <s v="Credit Card"/>
    <x v="0"/>
    <x v="18"/>
    <x v="3"/>
    <s v="Hair Repair Oil Treatment - Hopkins Ltd"/>
    <x v="2"/>
    <n v="214.32"/>
    <x v="3"/>
    <x v="1"/>
    <n v="1156.4100000000001"/>
  </r>
  <r>
    <s v="SALE943"/>
    <d v="2024-03-29T00:00:00"/>
    <s v="CUST1453"/>
    <s v="PROD81"/>
    <s v="STORE18"/>
    <n v="2"/>
    <n v="830.94"/>
    <n v="0.28000000000000003"/>
    <s v="PayPal"/>
    <x v="1"/>
    <x v="22"/>
    <x v="1"/>
    <s v="Badminton Racket Set - Robinson-Brown"/>
    <x v="0"/>
    <n v="285.54000000000002"/>
    <x v="3"/>
    <x v="1"/>
    <n v="1661.3200000000002"/>
  </r>
  <r>
    <s v="SALE944"/>
    <d v="2024-07-30T00:00:00"/>
    <s v="CUST1383"/>
    <s v="PROD3"/>
    <s v="STORE9"/>
    <n v="3"/>
    <n v="462.75"/>
    <n v="0.22"/>
    <s v="PayPal"/>
    <x v="1"/>
    <x v="42"/>
    <x v="2"/>
    <s v="Men'S Running Jacket - Pineda Ltd"/>
    <x v="4"/>
    <n v="364.67"/>
    <x v="2"/>
    <x v="1"/>
    <n v="1387.59"/>
  </r>
  <r>
    <s v="SALE945"/>
    <d v="2024-10-02T00:00:00"/>
    <s v="CUST1067"/>
    <s v="PROD14"/>
    <s v="STORE15"/>
    <n v="4"/>
    <n v="973.9"/>
    <n v="0.02"/>
    <s v="COD"/>
    <x v="0"/>
    <x v="26"/>
    <x v="2"/>
    <s v="Decorative Wall Mirror - Luna, Anderson And Bowman"/>
    <x v="3"/>
    <n v="48.01"/>
    <x v="0"/>
    <x v="1"/>
    <n v="3895.52"/>
  </r>
  <r>
    <s v="SALE946"/>
    <d v="2024-11-04T00:00:00"/>
    <s v="CUST1140"/>
    <s v="PROD35"/>
    <s v="STORE1"/>
    <n v="2"/>
    <n v="157.18"/>
    <n v="0.15"/>
    <s v="Credit Card"/>
    <x v="1"/>
    <x v="2"/>
    <x v="0"/>
    <s v="Bedroom Table Lamp - Jones Llc"/>
    <x v="3"/>
    <n v="382.22"/>
    <x v="0"/>
    <x v="1"/>
    <n v="314.06"/>
  </r>
  <r>
    <s v="SALE947"/>
    <d v="2024-05-03T00:00:00"/>
    <s v="CUST1013"/>
    <s v="PROD73"/>
    <s v="STORE13"/>
    <n v="3"/>
    <n v="239.57"/>
    <n v="0.16"/>
    <s v="Credit Card"/>
    <x v="1"/>
    <x v="10"/>
    <x v="2"/>
    <s v="Shin Guards – Adult - French Ltd"/>
    <x v="0"/>
    <n v="107.06"/>
    <x v="3"/>
    <x v="1"/>
    <n v="718.23"/>
  </r>
  <r>
    <s v="SALE948"/>
    <d v="2024-02-21T00:00:00"/>
    <s v="CUST1327"/>
    <s v="PROD9"/>
    <s v="STORE16"/>
    <n v="4"/>
    <n v="583.21"/>
    <n v="0.2"/>
    <s v="Credit Card"/>
    <x v="1"/>
    <x v="14"/>
    <x v="3"/>
    <s v="Adjustable Dumbbell Set - Hill Plc"/>
    <x v="0"/>
    <n v="495.72"/>
    <x v="1"/>
    <x v="1"/>
    <n v="2332.04"/>
  </r>
  <r>
    <s v="SALE949"/>
    <d v="2024-04-17T00:00:00"/>
    <s v="CUST1413"/>
    <s v="PROD81"/>
    <s v="STORE8"/>
    <n v="3"/>
    <n v="758.75"/>
    <n v="0.27"/>
    <s v="PayPal"/>
    <x v="1"/>
    <x v="12"/>
    <x v="3"/>
    <s v="Badminton Racket Set - Robinson-Brown"/>
    <x v="0"/>
    <n v="285.54000000000002"/>
    <x v="1"/>
    <x v="2"/>
    <n v="2275.44"/>
  </r>
  <r>
    <s v="SALE950"/>
    <d v="2025-02-01T00:00:00"/>
    <s v="CUST1309"/>
    <s v="PROD61"/>
    <s v="STORE5"/>
    <n v="4"/>
    <n v="372.42"/>
    <n v="0.19"/>
    <s v="Credit Card"/>
    <x v="1"/>
    <x v="24"/>
    <x v="3"/>
    <s v="Tennis Ball 3-Pack - Lopez Llc"/>
    <x v="0"/>
    <n v="103.45"/>
    <x v="0"/>
    <x v="0"/>
    <n v="1488.92"/>
  </r>
  <r>
    <s v="SALE951"/>
    <d v="2025-02-11T00:00:00"/>
    <s v="CUST1154"/>
    <s v="PROD63"/>
    <s v="STORE19"/>
    <n v="4"/>
    <n v="286.27999999999997"/>
    <n v="0.28000000000000003"/>
    <s v="PayPal"/>
    <x v="1"/>
    <x v="1"/>
    <x v="0"/>
    <s v="Organic Sunscreen Lotion - Anderson-Riley"/>
    <x v="2"/>
    <n v="266.86"/>
    <x v="3"/>
    <x v="2"/>
    <n v="1144"/>
  </r>
  <r>
    <s v="SALE952"/>
    <d v="2025-01-06T00:00:00"/>
    <s v="CUST1279"/>
    <s v="PROD73"/>
    <s v="STORE11"/>
    <n v="3"/>
    <n v="488.37"/>
    <n v="0.27"/>
    <s v="COD"/>
    <x v="1"/>
    <x v="31"/>
    <x v="3"/>
    <s v="Shin Guards – Adult - French Ltd"/>
    <x v="0"/>
    <n v="107.06"/>
    <x v="2"/>
    <x v="2"/>
    <n v="1464.3000000000002"/>
  </r>
  <r>
    <s v="SALE953"/>
    <d v="2024-03-26T00:00:00"/>
    <s v="CUST1469"/>
    <s v="PROD87"/>
    <s v="STORE8"/>
    <n v="3"/>
    <n v="662.82"/>
    <n v="0.01"/>
    <s v="COD"/>
    <x v="0"/>
    <x v="39"/>
    <x v="0"/>
    <s v="Led Bedside Lamp - Aguilar, Horton And Lewis"/>
    <x v="3"/>
    <n v="371.38"/>
    <x v="1"/>
    <x v="2"/>
    <n v="1988.4300000000003"/>
  </r>
  <r>
    <s v="SALE954"/>
    <d v="2024-04-30T00:00:00"/>
    <s v="CUST1497"/>
    <s v="PROD6"/>
    <s v="STORE16"/>
    <n v="2"/>
    <n v="824.34"/>
    <n v="0.1"/>
    <s v="COD"/>
    <x v="1"/>
    <x v="14"/>
    <x v="0"/>
    <s v="Herbal Face Moisturizer - Davidson Plc"/>
    <x v="2"/>
    <n v="312.8"/>
    <x v="1"/>
    <x v="1"/>
    <n v="1648.48"/>
  </r>
  <r>
    <s v="SALE955"/>
    <d v="2024-02-27T00:00:00"/>
    <s v="CUST1113"/>
    <s v="PROD59"/>
    <s v="STORE8"/>
    <n v="1"/>
    <n v="437.12"/>
    <n v="0.21"/>
    <s v="Credit Card"/>
    <x v="0"/>
    <x v="23"/>
    <x v="0"/>
    <s v="Men'S Hair Styling Gel - Cline-Mccarthy"/>
    <x v="2"/>
    <n v="17.309999999999999"/>
    <x v="1"/>
    <x v="2"/>
    <n v="436.91"/>
  </r>
  <r>
    <s v="SALE956"/>
    <d v="2024-07-13T00:00:00"/>
    <s v="CUST1357"/>
    <s v="PROD88"/>
    <s v="STORE6"/>
    <n v="3"/>
    <n v="23.37"/>
    <n v="0.15"/>
    <s v="PayPal"/>
    <x v="0"/>
    <x v="3"/>
    <x v="0"/>
    <s v="Sports Wrist Sweatbands - Olsen-Daniels"/>
    <x v="0"/>
    <n v="131.24"/>
    <x v="3"/>
    <x v="2"/>
    <n v="69.660000000000011"/>
  </r>
  <r>
    <s v="SALE957"/>
    <d v="2025-04-14T00:00:00"/>
    <s v="CUST1187"/>
    <s v="PROD36"/>
    <s v="STORE8"/>
    <n v="1"/>
    <n v="579.69000000000005"/>
    <n v="0.02"/>
    <s v="Credit Card"/>
    <x v="1"/>
    <x v="4"/>
    <x v="1"/>
    <s v="Women'S Summer Dress - Smith-Mills"/>
    <x v="4"/>
    <n v="223.43"/>
    <x v="1"/>
    <x v="2"/>
    <n v="579.67000000000007"/>
  </r>
  <r>
    <s v="SALE958"/>
    <d v="2024-12-13T00:00:00"/>
    <s v="CUST1430"/>
    <s v="PROD78"/>
    <s v="STORE14"/>
    <n v="3"/>
    <n v="240.51"/>
    <n v="7.0000000000000007E-2"/>
    <s v="Credit Card"/>
    <x v="1"/>
    <x v="19"/>
    <x v="0"/>
    <s v="Essential Oil Diffuser - Hernandez Inc"/>
    <x v="3"/>
    <n v="325.26"/>
    <x v="2"/>
    <x v="0"/>
    <n v="721.31999999999994"/>
  </r>
  <r>
    <s v="SALE959"/>
    <d v="2025-08-24T00:00:00"/>
    <s v="CUST1382"/>
    <s v="PROD25"/>
    <s v="STORE14"/>
    <n v="2"/>
    <n v="855.4"/>
    <n v="0.08"/>
    <s v="COD"/>
    <x v="1"/>
    <x v="24"/>
    <x v="0"/>
    <s v="Women'S Scarf Set - Brown And Sons"/>
    <x v="4"/>
    <n v="174.02"/>
    <x v="2"/>
    <x v="0"/>
    <n v="1710.6399999999999"/>
  </r>
  <r>
    <s v="SALE960"/>
    <d v="2023-10-28T00:00:00"/>
    <s v="CUST1007"/>
    <s v="PROD90"/>
    <s v="STORE7"/>
    <n v="1"/>
    <n v="537.26"/>
    <n v="0.09"/>
    <s v="Credit Card"/>
    <x v="1"/>
    <x v="35"/>
    <x v="3"/>
    <s v="Gaming Mouse Pad Xl - Sharp, Taylor And Rodriguez"/>
    <x v="1"/>
    <n v="340.14"/>
    <x v="2"/>
    <x v="2"/>
    <n v="537.16999999999996"/>
  </r>
  <r>
    <s v="SALE961"/>
    <d v="2024-12-11T00:00:00"/>
    <s v="CUST1384"/>
    <s v="PROD51"/>
    <s v="STORE10"/>
    <n v="3"/>
    <n v="918.26"/>
    <n v="0.17"/>
    <s v="COD"/>
    <x v="1"/>
    <x v="9"/>
    <x v="3"/>
    <s v="Hdmi Cable – 2M - Bautista, Green And Hale"/>
    <x v="1"/>
    <n v="88.49"/>
    <x v="3"/>
    <x v="2"/>
    <n v="2754.27"/>
  </r>
  <r>
    <s v="SALE962"/>
    <d v="2024-06-29T00:00:00"/>
    <s v="CUST1095"/>
    <s v="PROD6"/>
    <s v="STORE9"/>
    <n v="4"/>
    <n v="579.70000000000005"/>
    <n v="0.18"/>
    <s v="PayPal"/>
    <x v="1"/>
    <x v="14"/>
    <x v="1"/>
    <s v="Herbal Face Moisturizer - Davidson Plc"/>
    <x v="2"/>
    <n v="312.8"/>
    <x v="2"/>
    <x v="1"/>
    <n v="2318.0800000000004"/>
  </r>
  <r>
    <s v="SALE963"/>
    <d v="2025-02-22T00:00:00"/>
    <s v="CUST1145"/>
    <s v="PROD43"/>
    <s v="STORE6"/>
    <n v="1"/>
    <n v="824.32"/>
    <n v="0.18"/>
    <s v="Credit Card"/>
    <x v="0"/>
    <x v="30"/>
    <x v="1"/>
    <s v="Usb External Hard Drive - Robinson Inc"/>
    <x v="1"/>
    <n v="253.33"/>
    <x v="3"/>
    <x v="2"/>
    <n v="824.1400000000001"/>
  </r>
  <r>
    <s v="SALE964"/>
    <d v="2025-01-25T00:00:00"/>
    <s v="CUST1109"/>
    <s v="PROD46"/>
    <s v="STORE15"/>
    <n v="4"/>
    <n v="614.99"/>
    <n v="0.16"/>
    <s v="PayPal"/>
    <x v="0"/>
    <x v="35"/>
    <x v="2"/>
    <s v="Men'S Winter Jacket - Kelly, Smith And Perez"/>
    <x v="4"/>
    <n v="167.34"/>
    <x v="0"/>
    <x v="1"/>
    <n v="2459.3200000000002"/>
  </r>
  <r>
    <s v="SALE965"/>
    <d v="2025-03-14T00:00:00"/>
    <s v="CUST1128"/>
    <s v="PROD62"/>
    <s v="STORE0"/>
    <n v="4"/>
    <n v="189.21"/>
    <n v="0.06"/>
    <s v="COD"/>
    <x v="0"/>
    <x v="13"/>
    <x v="2"/>
    <s v="Laptop Cooling Pad - Murray, Gould And Ware"/>
    <x v="1"/>
    <n v="86.42"/>
    <x v="3"/>
    <x v="1"/>
    <n v="756.6"/>
  </r>
  <r>
    <s v="SALE966"/>
    <d v="2024-12-03T00:00:00"/>
    <s v="CUST1154"/>
    <s v="PROD62"/>
    <s v="STORE14"/>
    <n v="2"/>
    <n v="233.33"/>
    <n v="0.05"/>
    <s v="Credit Card"/>
    <x v="1"/>
    <x v="1"/>
    <x v="0"/>
    <s v="Laptop Cooling Pad - Murray, Gould And Ware"/>
    <x v="1"/>
    <n v="86.42"/>
    <x v="2"/>
    <x v="0"/>
    <n v="466.56"/>
  </r>
  <r>
    <s v="SALE967"/>
    <d v="2025-05-06T00:00:00"/>
    <s v="CUST1248"/>
    <s v="PROD39"/>
    <s v="STORE18"/>
    <n v="3"/>
    <n v="529.89"/>
    <n v="0.21"/>
    <s v="Credit Card"/>
    <x v="0"/>
    <x v="8"/>
    <x v="0"/>
    <s v="Portable Power Bank - Cummings And Sons"/>
    <x v="1"/>
    <n v="326.06"/>
    <x v="3"/>
    <x v="1"/>
    <n v="1589.04"/>
  </r>
  <r>
    <s v="SALE968"/>
    <d v="2024-08-14T00:00:00"/>
    <s v="CUST1489"/>
    <s v="PROD92"/>
    <s v="STORE1"/>
    <n v="2"/>
    <n v="954.1"/>
    <n v="0.17"/>
    <s v="PayPal"/>
    <x v="1"/>
    <x v="30"/>
    <x v="2"/>
    <s v="Microwave Oven - Green, Powell And Palmer"/>
    <x v="3"/>
    <n v="447.43"/>
    <x v="0"/>
    <x v="1"/>
    <n v="1907.8600000000001"/>
  </r>
  <r>
    <s v="SALE969"/>
    <d v="2023-12-14T00:00:00"/>
    <s v="CUST1323"/>
    <s v="PROD65"/>
    <s v="STORE7"/>
    <n v="1"/>
    <n v="370.04"/>
    <n v="0.04"/>
    <s v="COD"/>
    <x v="1"/>
    <x v="29"/>
    <x v="1"/>
    <s v="Adjustable Dumbbells 20Kg - Montgomery, Benton And Miller"/>
    <x v="0"/>
    <n v="240.63"/>
    <x v="2"/>
    <x v="2"/>
    <n v="370"/>
  </r>
  <r>
    <s v="SALE970"/>
    <d v="2024-01-06T00:00:00"/>
    <s v="CUST1061"/>
    <s v="PROD96"/>
    <s v="STORE19"/>
    <n v="4"/>
    <n v="492.71"/>
    <n v="0.08"/>
    <s v="Credit Card"/>
    <x v="0"/>
    <x v="6"/>
    <x v="2"/>
    <s v="Women'S Formal Blazer - Phillips And Sons"/>
    <x v="4"/>
    <n v="358.47"/>
    <x v="3"/>
    <x v="2"/>
    <n v="1970.52"/>
  </r>
  <r>
    <s v="SALE971"/>
    <d v="2024-08-26T00:00:00"/>
    <s v="CUST1280"/>
    <s v="PROD91"/>
    <s v="STORE13"/>
    <n v="4"/>
    <n v="853.26"/>
    <n v="0.24"/>
    <s v="COD"/>
    <x v="0"/>
    <x v="22"/>
    <x v="3"/>
    <s v="Women'S High Heels - Smith-Charles"/>
    <x v="4"/>
    <n v="438.25"/>
    <x v="3"/>
    <x v="1"/>
    <n v="3412.08"/>
  </r>
  <r>
    <s v="SALE972"/>
    <d v="2025-03-24T00:00:00"/>
    <s v="CUST1406"/>
    <s v="PROD3"/>
    <s v="STORE16"/>
    <n v="1"/>
    <n v="402.47"/>
    <n v="0.19"/>
    <s v="PayPal"/>
    <x v="1"/>
    <x v="18"/>
    <x v="0"/>
    <s v="Men'S Running Jacket - Pineda Ltd"/>
    <x v="4"/>
    <n v="364.67"/>
    <x v="1"/>
    <x v="1"/>
    <n v="402.28000000000003"/>
  </r>
  <r>
    <s v="SALE973"/>
    <d v="2024-01-20T00:00:00"/>
    <s v="CUST1402"/>
    <s v="PROD54"/>
    <s v="STORE18"/>
    <n v="2"/>
    <n v="528.29999999999995"/>
    <n v="0.24"/>
    <s v="Credit Card"/>
    <x v="0"/>
    <x v="25"/>
    <x v="3"/>
    <s v="Sports Stopwatch Pro - Thompson-French"/>
    <x v="0"/>
    <n v="434.84"/>
    <x v="3"/>
    <x v="1"/>
    <n v="1056.1199999999999"/>
  </r>
  <r>
    <s v="SALE974"/>
    <d v="2025-01-10T00:00:00"/>
    <s v="CUST1444"/>
    <s v="PROD10"/>
    <s v="STORE6"/>
    <n v="4"/>
    <n v="599.85"/>
    <n v="0.25"/>
    <s v="Credit Card"/>
    <x v="0"/>
    <x v="0"/>
    <x v="0"/>
    <s v="Ceramic Kitchen Bowl Set - Hamilton Group"/>
    <x v="3"/>
    <n v="298.86"/>
    <x v="3"/>
    <x v="2"/>
    <n v="2398.4"/>
  </r>
  <r>
    <s v="SALE975"/>
    <d v="2023-12-21T00:00:00"/>
    <s v="CUST1303"/>
    <s v="PROD16"/>
    <s v="STORE9"/>
    <n v="2"/>
    <n v="61.42"/>
    <n v="0.08"/>
    <s v="PayPal"/>
    <x v="1"/>
    <x v="37"/>
    <x v="1"/>
    <s v="Beard Grooming Kit - Erickson-Green"/>
    <x v="2"/>
    <n v="337.42"/>
    <x v="2"/>
    <x v="1"/>
    <n v="122.68"/>
  </r>
  <r>
    <s v="SALE976"/>
    <d v="2025-02-05T00:00:00"/>
    <s v="CUST1249"/>
    <s v="PROD19"/>
    <s v="STORE10"/>
    <n v="2"/>
    <n v="466.42"/>
    <n v="0.12"/>
    <s v="PayPal"/>
    <x v="1"/>
    <x v="14"/>
    <x v="0"/>
    <s v="Knee Support Brace - May-Reese"/>
    <x v="0"/>
    <n v="21.34"/>
    <x v="3"/>
    <x v="2"/>
    <n v="932.6"/>
  </r>
  <r>
    <s v="SALE977"/>
    <d v="2025-07-19T00:00:00"/>
    <s v="CUST1099"/>
    <s v="PROD31"/>
    <s v="STORE5"/>
    <n v="4"/>
    <n v="540.69000000000005"/>
    <n v="0.09"/>
    <s v="COD"/>
    <x v="0"/>
    <x v="3"/>
    <x v="2"/>
    <s v="Basketball - Nolan-Snow"/>
    <x v="0"/>
    <n v="204.39"/>
    <x v="0"/>
    <x v="0"/>
    <n v="2162.4"/>
  </r>
  <r>
    <s v="SALE978"/>
    <d v="2025-03-21T00:00:00"/>
    <s v="CUST1298"/>
    <s v="PROD19"/>
    <s v="STORE13"/>
    <n v="3"/>
    <n v="677.46"/>
    <n v="0.05"/>
    <s v="Credit Card"/>
    <x v="0"/>
    <x v="17"/>
    <x v="1"/>
    <s v="Knee Support Brace - May-Reese"/>
    <x v="0"/>
    <n v="21.34"/>
    <x v="3"/>
    <x v="1"/>
    <n v="2032.2300000000002"/>
  </r>
  <r>
    <s v="SALE979"/>
    <d v="2025-04-24T00:00:00"/>
    <s v="CUST1328"/>
    <s v="PROD21"/>
    <s v="STORE1"/>
    <n v="3"/>
    <n v="614.63"/>
    <n v="0.06"/>
    <s v="PayPal"/>
    <x v="0"/>
    <x v="46"/>
    <x v="1"/>
    <s v="Multi-Purpose Storage Box - Gardner-Montes"/>
    <x v="3"/>
    <n v="123.46"/>
    <x v="0"/>
    <x v="1"/>
    <n v="1843.71"/>
  </r>
  <r>
    <s v="SALE980"/>
    <d v="2023-12-12T00:00:00"/>
    <s v="CUST1232"/>
    <s v="PROD66"/>
    <s v="STORE8"/>
    <n v="4"/>
    <n v="649.52"/>
    <n v="0.11"/>
    <s v="Credit Card"/>
    <x v="1"/>
    <x v="19"/>
    <x v="1"/>
    <s v="Women'S Hair Dryer Brush - Torres, Spencer And Potter"/>
    <x v="2"/>
    <n v="340.39"/>
    <x v="1"/>
    <x v="2"/>
    <n v="2597.64"/>
  </r>
  <r>
    <s v="SALE981"/>
    <d v="2024-07-08T00:00:00"/>
    <s v="CUST1445"/>
    <s v="PROD85"/>
    <s v="STORE8"/>
    <n v="2"/>
    <n v="943.93"/>
    <n v="0.22"/>
    <s v="PayPal"/>
    <x v="1"/>
    <x v="45"/>
    <x v="1"/>
    <s v="Women'S Beanie Hat - Richardson-Carrillo"/>
    <x v="4"/>
    <n v="119.57"/>
    <x v="1"/>
    <x v="2"/>
    <n v="1887.4199999999998"/>
  </r>
  <r>
    <s v="SALE982"/>
    <d v="2023-10-29T00:00:00"/>
    <s v="CUST1165"/>
    <s v="PROD31"/>
    <s v="STORE8"/>
    <n v="4"/>
    <n v="538.73"/>
    <n v="0.03"/>
    <s v="Credit Card"/>
    <x v="1"/>
    <x v="49"/>
    <x v="1"/>
    <s v="Basketball - Nolan-Snow"/>
    <x v="0"/>
    <n v="204.39"/>
    <x v="1"/>
    <x v="2"/>
    <n v="2154.8000000000002"/>
  </r>
  <r>
    <s v="SALE983"/>
    <d v="2024-05-20T00:00:00"/>
    <s v="CUST1088"/>
    <s v="PROD66"/>
    <s v="STORE8"/>
    <n v="2"/>
    <n v="853.93"/>
    <n v="0.01"/>
    <s v="PayPal"/>
    <x v="0"/>
    <x v="13"/>
    <x v="2"/>
    <s v="Women'S Hair Dryer Brush - Torres, Spencer And Potter"/>
    <x v="2"/>
    <n v="340.39"/>
    <x v="1"/>
    <x v="2"/>
    <n v="1707.84"/>
  </r>
  <r>
    <s v="SALE984"/>
    <d v="2025-09-14T00:00:00"/>
    <s v="CUST1491"/>
    <s v="PROD29"/>
    <s v="STORE4"/>
    <n v="4"/>
    <n v="465.42"/>
    <n v="0.26"/>
    <s v="COD"/>
    <x v="1"/>
    <x v="34"/>
    <x v="0"/>
    <s v="Fabric Sofa Throw Blanket - Hoffman Group"/>
    <x v="3"/>
    <n v="218.48"/>
    <x v="2"/>
    <x v="2"/>
    <n v="1860.64"/>
  </r>
  <r>
    <s v="SALE985"/>
    <d v="2025-04-11T00:00:00"/>
    <s v="CUST1055"/>
    <s v="PROD1"/>
    <s v="STORE11"/>
    <n v="4"/>
    <n v="880.26"/>
    <n v="0.11"/>
    <s v="COD"/>
    <x v="1"/>
    <x v="46"/>
    <x v="3"/>
    <s v="Men'S Graphic T-Shirt - Terry-Moore"/>
    <x v="4"/>
    <n v="342.56"/>
    <x v="2"/>
    <x v="2"/>
    <n v="3520.6"/>
  </r>
  <r>
    <s v="SALE986"/>
    <d v="2024-05-17T00:00:00"/>
    <s v="CUST1483"/>
    <s v="PROD51"/>
    <s v="STORE11"/>
    <n v="3"/>
    <n v="461.02"/>
    <n v="0.28999999999999998"/>
    <s v="PayPal"/>
    <x v="0"/>
    <x v="8"/>
    <x v="0"/>
    <s v="Hdmi Cable – 2M - Bautista, Green And Hale"/>
    <x v="1"/>
    <n v="88.49"/>
    <x v="2"/>
    <x v="2"/>
    <n v="1382.1899999999998"/>
  </r>
  <r>
    <s v="SALE987"/>
    <d v="2024-10-13T00:00:00"/>
    <s v="CUST1026"/>
    <s v="PROD25"/>
    <s v="STORE13"/>
    <n v="1"/>
    <n v="531.99"/>
    <n v="0.17"/>
    <s v="PayPal"/>
    <x v="1"/>
    <x v="6"/>
    <x v="0"/>
    <s v="Women'S Scarf Set - Brown And Sons"/>
    <x v="4"/>
    <n v="174.02"/>
    <x v="3"/>
    <x v="1"/>
    <n v="531.82000000000005"/>
  </r>
  <r>
    <s v="SALE988"/>
    <d v="2024-07-13T00:00:00"/>
    <s v="CUST1004"/>
    <s v="PROD47"/>
    <s v="STORE17"/>
    <n v="2"/>
    <n v="274.08999999999997"/>
    <n v="0.13"/>
    <s v="PayPal"/>
    <x v="1"/>
    <x v="24"/>
    <x v="2"/>
    <s v="Makeup Brush Set - Cook Inc"/>
    <x v="2"/>
    <n v="255.04901960784306"/>
    <x v="0"/>
    <x v="1"/>
    <n v="547.91999999999996"/>
  </r>
  <r>
    <s v="SALE989"/>
    <d v="2025-02-06T00:00:00"/>
    <s v="CUST1443"/>
    <s v="PROD88"/>
    <s v="STORE10"/>
    <n v="1"/>
    <n v="66.14"/>
    <n v="0.14000000000000001"/>
    <s v="COD"/>
    <x v="0"/>
    <x v="11"/>
    <x v="2"/>
    <s v="Sports Wrist Sweatbands - Olsen-Daniels"/>
    <x v="0"/>
    <n v="131.24"/>
    <x v="3"/>
    <x v="2"/>
    <n v="66"/>
  </r>
  <r>
    <s v="SALE990"/>
    <d v="2025-08-06T00:00:00"/>
    <s v="CUST1077"/>
    <s v="PROD20"/>
    <s v="STORE9"/>
    <n v="3"/>
    <n v="955.82"/>
    <n v="0.16"/>
    <s v="COD"/>
    <x v="0"/>
    <x v="1"/>
    <x v="0"/>
    <s v="Outdoor Sports Water Bottle - Soto-Ellis"/>
    <x v="0"/>
    <n v="131.51"/>
    <x v="2"/>
    <x v="1"/>
    <n v="2866.9800000000005"/>
  </r>
  <r>
    <s v="SALE991"/>
    <d v="2024-05-20T00:00:00"/>
    <s v="CUST1319"/>
    <s v="PROD22"/>
    <s v="STORE12"/>
    <n v="1"/>
    <n v="904.92"/>
    <n v="0.13"/>
    <s v="Credit Card"/>
    <x v="0"/>
    <x v="25"/>
    <x v="1"/>
    <s v="Carbon Fiber Tennis Racket - Flores, Pineda And Rodriguez"/>
    <x v="0"/>
    <n v="484.62"/>
    <x v="0"/>
    <x v="2"/>
    <n v="904.79"/>
  </r>
  <r>
    <s v="SALE992"/>
    <d v="2024-10-10T00:00:00"/>
    <s v="CUST1000"/>
    <s v="PROD40"/>
    <s v="STORE7"/>
    <n v="3"/>
    <n v="490.02"/>
    <n v="0.26"/>
    <s v="Credit Card"/>
    <x v="0"/>
    <x v="29"/>
    <x v="4"/>
    <s v="Noise-Canceling Headphones - Taylor-Hart"/>
    <x v="1"/>
    <n v="38.520000000000003"/>
    <x v="2"/>
    <x v="2"/>
    <n v="1469.28"/>
  </r>
  <r>
    <s v="SALE993"/>
    <d v="2024-02-18T00:00:00"/>
    <s v="CUST1363"/>
    <s v="PROD19"/>
    <s v="STORE6"/>
    <n v="2"/>
    <n v="957.54"/>
    <n v="0.1"/>
    <s v="COD"/>
    <x v="0"/>
    <x v="31"/>
    <x v="3"/>
    <s v="Knee Support Brace - May-Reese"/>
    <x v="0"/>
    <n v="21.34"/>
    <x v="3"/>
    <x v="2"/>
    <n v="1914.8799999999999"/>
  </r>
  <r>
    <s v="SALE994"/>
    <d v="2025-09-26T00:00:00"/>
    <s v="CUST1329"/>
    <s v="PROD99"/>
    <s v="STORE13"/>
    <n v="2"/>
    <n v="314.39999999999998"/>
    <n v="7.0000000000000007E-2"/>
    <s v="PayPal"/>
    <x v="1"/>
    <x v="46"/>
    <x v="3"/>
    <s v="Stainless Steel Cookware Set - Campbell Ltd"/>
    <x v="3"/>
    <n v="201.41"/>
    <x v="3"/>
    <x v="1"/>
    <n v="628.66"/>
  </r>
  <r>
    <s v="SALE995"/>
    <d v="2024-03-22T00:00:00"/>
    <s v="CUST1394"/>
    <s v="PROD24"/>
    <s v="STORE6"/>
    <n v="3"/>
    <n v="480.11"/>
    <n v="0.11"/>
    <s v="PayPal"/>
    <x v="1"/>
    <x v="40"/>
    <x v="3"/>
    <s v="Foldable Camping Chair - Cook Ltd"/>
    <x v="0"/>
    <n v="166.06"/>
    <x v="3"/>
    <x v="2"/>
    <n v="1440"/>
  </r>
  <r>
    <s v="SALE996"/>
    <d v="2024-10-14T00:00:00"/>
    <s v="CUST1388"/>
    <s v="PROD48"/>
    <s v="STORE6"/>
    <n v="4"/>
    <n v="826.55"/>
    <n v="0.28000000000000003"/>
    <s v="Credit Card"/>
    <x v="0"/>
    <x v="6"/>
    <x v="1"/>
    <s v="Car Dashboard Phone Holder - Byrd, Stewart And Valdez"/>
    <x v="1"/>
    <n v="177.98"/>
    <x v="3"/>
    <x v="2"/>
    <n v="3305.08"/>
  </r>
  <r>
    <s v="SALE997"/>
    <d v="2025-05-28T00:00:00"/>
    <s v="CUST1190"/>
    <s v="PROD27"/>
    <s v="STORE3"/>
    <n v="3"/>
    <n v="530.16999999999996"/>
    <n v="0.18"/>
    <s v="PayPal"/>
    <x v="0"/>
    <x v="14"/>
    <x v="3"/>
    <s v="Decorative Floor Vase - Khan, Jones And Paul"/>
    <x v="3"/>
    <n v="250.02157142857135"/>
    <x v="0"/>
    <x v="0"/>
    <n v="1589.97"/>
  </r>
  <r>
    <s v="SALE998"/>
    <d v="2024-08-18T00:00:00"/>
    <s v="CUST1407"/>
    <s v="PROD34"/>
    <s v="STORE17"/>
    <n v="3"/>
    <n v="336.17"/>
    <n v="0.04"/>
    <s v="COD"/>
    <x v="0"/>
    <x v="33"/>
    <x v="0"/>
    <s v="Gaming Mechanical Keyboard - Lucero Llc"/>
    <x v="1"/>
    <n v="419.28"/>
    <x v="0"/>
    <x v="1"/>
    <n v="1008.39"/>
  </r>
  <r>
    <s v="SALE999"/>
    <d v="2024-01-13T00:00:00"/>
    <s v="CUST1421"/>
    <s v="PROD81"/>
    <s v="STORE8"/>
    <n v="4"/>
    <n v="22.51"/>
    <n v="0.27"/>
    <s v="PayPal"/>
    <x v="1"/>
    <x v="7"/>
    <x v="1"/>
    <s v="Badminton Racket Set - Robinson-Brown"/>
    <x v="0"/>
    <n v="285.54000000000002"/>
    <x v="1"/>
    <x v="2"/>
    <n v="88.960000000000008"/>
  </r>
  <r>
    <s v="SALE1000"/>
    <d v="2024-06-13T00:00:00"/>
    <s v="CUST1190"/>
    <s v="PROD59"/>
    <s v="STORE2"/>
    <n v="2"/>
    <n v="909.51"/>
    <n v="0.27"/>
    <s v="Credit Card"/>
    <x v="0"/>
    <x v="14"/>
    <x v="3"/>
    <s v="Men'S Hair Styling Gel - Cline-Mccarthy"/>
    <x v="2"/>
    <n v="17.309999999999999"/>
    <x v="2"/>
    <x v="0"/>
    <n v="1818.48"/>
  </r>
  <r>
    <s v="SALE1001"/>
    <d v="2025-04-29T00:00:00"/>
    <s v="CUST1052"/>
    <s v="PROD69"/>
    <s v="STORE14"/>
    <n v="4"/>
    <n v="593.84"/>
    <n v="0.24"/>
    <s v="PayPal"/>
    <x v="0"/>
    <x v="46"/>
    <x v="3"/>
    <s v="Men'S Sports Shorts - Fitzpatrick Ltd"/>
    <x v="4"/>
    <n v="218.22"/>
    <x v="2"/>
    <x v="0"/>
    <n v="2374.4"/>
  </r>
  <r>
    <s v="SALE1002"/>
    <d v="2024-10-01T00:00:00"/>
    <s v="CUST1109"/>
    <s v="PROD73"/>
    <s v="STORE10"/>
    <n v="3"/>
    <n v="909.11"/>
    <n v="0.23"/>
    <s v="COD"/>
    <x v="0"/>
    <x v="35"/>
    <x v="2"/>
    <s v="Shin Guards – Adult - French Ltd"/>
    <x v="0"/>
    <n v="107.06"/>
    <x v="3"/>
    <x v="2"/>
    <n v="2726.64"/>
  </r>
  <r>
    <s v="SALE1003"/>
    <d v="2024-09-07T00:00:00"/>
    <s v="CUST1399"/>
    <s v="PROD24"/>
    <s v="STORE1"/>
    <n v="4"/>
    <n v="996.85"/>
    <n v="0.24"/>
    <s v="PayPal"/>
    <x v="0"/>
    <x v="17"/>
    <x v="3"/>
    <s v="Foldable Camping Chair - Cook Ltd"/>
    <x v="0"/>
    <n v="166.06"/>
    <x v="0"/>
    <x v="1"/>
    <n v="3986.44"/>
  </r>
  <r>
    <s v="SALE1004"/>
    <d v="2025-06-26T00:00:00"/>
    <s v="CUST1300"/>
    <s v="PROD0"/>
    <s v="STORE17"/>
    <n v="1"/>
    <n v="522.69000000000005"/>
    <n v="0.06"/>
    <s v="COD"/>
    <x v="0"/>
    <x v="47"/>
    <x v="2"/>
    <s v="Brother Laser Printer - Hunt Inc"/>
    <x v="1"/>
    <n v="112.42"/>
    <x v="0"/>
    <x v="1"/>
    <n v="522.63000000000011"/>
  </r>
  <r>
    <s v="SALE1005"/>
    <d v="2024-04-23T00:00:00"/>
    <s v="CUST1194"/>
    <s v="PROD54"/>
    <s v="STORE3"/>
    <n v="3"/>
    <n v="261.05"/>
    <n v="0.12"/>
    <s v="PayPal"/>
    <x v="0"/>
    <x v="2"/>
    <x v="0"/>
    <s v="Sports Stopwatch Pro - Thompson-French"/>
    <x v="0"/>
    <n v="434.84"/>
    <x v="0"/>
    <x v="0"/>
    <n v="782.79"/>
  </r>
  <r>
    <s v="SALE1006"/>
    <d v="2025-09-18T00:00:00"/>
    <s v="CUST1087"/>
    <s v="PROD23"/>
    <s v="STORE17"/>
    <n v="3"/>
    <n v="644.73"/>
    <n v="0.01"/>
    <s v="COD"/>
    <x v="1"/>
    <x v="42"/>
    <x v="3"/>
    <s v="Men'S Formal Shirt - Moon, Mora And Santos"/>
    <x v="4"/>
    <n v="248.82191780821913"/>
    <x v="0"/>
    <x v="1"/>
    <n v="1934.16"/>
  </r>
  <r>
    <s v="SALE1007"/>
    <d v="2023-10-18T00:00:00"/>
    <s v="CUST1198"/>
    <s v="PROD75"/>
    <s v="STORE2"/>
    <n v="2"/>
    <n v="541.52"/>
    <n v="0.26"/>
    <s v="PayPal"/>
    <x v="0"/>
    <x v="1"/>
    <x v="3"/>
    <s v="Women'S Ankle Boots - Poole Plc"/>
    <x v="4"/>
    <n v="158.13999999999999"/>
    <x v="2"/>
    <x v="0"/>
    <n v="1082.52"/>
  </r>
  <r>
    <s v="SALE1008"/>
    <d v="2023-11-29T00:00:00"/>
    <s v="CUST1426"/>
    <s v="PROD63"/>
    <s v="STORE10"/>
    <n v="1"/>
    <n v="395.18"/>
    <n v="0.09"/>
    <s v="PayPal"/>
    <x v="0"/>
    <x v="29"/>
    <x v="1"/>
    <s v="Organic Sunscreen Lotion - Anderson-Riley"/>
    <x v="2"/>
    <n v="266.86"/>
    <x v="3"/>
    <x v="2"/>
    <n v="395.09000000000003"/>
  </r>
  <r>
    <s v="SALE1009"/>
    <d v="2025-03-24T00:00:00"/>
    <s v="CUST1100"/>
    <s v="PROD8"/>
    <s v="STORE8"/>
    <n v="4"/>
    <n v="56.37"/>
    <n v="0.17"/>
    <s v="Credit Card"/>
    <x v="1"/>
    <x v="11"/>
    <x v="1"/>
    <s v="Wireless Bluetooth Earbuds - Perez-Johnston"/>
    <x v="1"/>
    <n v="439.07"/>
    <x v="1"/>
    <x v="2"/>
    <n v="224.79999999999998"/>
  </r>
  <r>
    <s v="SALE1010"/>
    <d v="2025-09-08T00:00:00"/>
    <s v="CUST1209"/>
    <s v="PROD79"/>
    <s v="STORE9"/>
    <n v="4"/>
    <n v="202.59"/>
    <n v="0.06"/>
    <s v="COD"/>
    <x v="1"/>
    <x v="17"/>
    <x v="1"/>
    <s v="Decorative Lamp Shade - Ramirez-Hanson"/>
    <x v="3"/>
    <n v="228.53"/>
    <x v="2"/>
    <x v="1"/>
    <n v="810.12"/>
  </r>
  <r>
    <s v="SALE1011"/>
    <d v="2024-11-05T00:00:00"/>
    <s v="CUST1004"/>
    <s v="PROD81"/>
    <s v="STORE5"/>
    <n v="2"/>
    <n v="358.36"/>
    <n v="0.05"/>
    <s v="PayPal"/>
    <x v="1"/>
    <x v="24"/>
    <x v="2"/>
    <s v="Badminton Racket Set - Robinson-Brown"/>
    <x v="0"/>
    <n v="285.54000000000002"/>
    <x v="0"/>
    <x v="0"/>
    <n v="716.62"/>
  </r>
  <r>
    <s v="SALE1012"/>
    <d v="2024-08-31T00:00:00"/>
    <s v="CUST1072"/>
    <s v="PROD37"/>
    <s v="STORE18"/>
    <n v="4"/>
    <n v="85.62"/>
    <n v="0.28000000000000003"/>
    <s v="COD"/>
    <x v="1"/>
    <x v="9"/>
    <x v="0"/>
    <s v="Men'S Casual Sneakers - Hogan-Lee"/>
    <x v="4"/>
    <n v="353.47"/>
    <x v="3"/>
    <x v="1"/>
    <n v="341.36"/>
  </r>
  <r>
    <s v="SALE1013"/>
    <d v="2024-06-16T00:00:00"/>
    <s v="CUST1185"/>
    <s v="PROD7"/>
    <s v="STORE17"/>
    <n v="4"/>
    <n v="929.26"/>
    <n v="0.23"/>
    <s v="PayPal"/>
    <x v="1"/>
    <x v="19"/>
    <x v="1"/>
    <s v="Led Table Lamp - Harrell Llc"/>
    <x v="3"/>
    <n v="218.86"/>
    <x v="0"/>
    <x v="1"/>
    <n v="3716.12"/>
  </r>
  <r>
    <s v="SALE1014"/>
    <d v="2025-01-24T00:00:00"/>
    <s v="CUST1309"/>
    <s v="PROD60"/>
    <s v="STORE13"/>
    <n v="2"/>
    <n v="92.64"/>
    <n v="0.14000000000000001"/>
    <s v="COD"/>
    <x v="1"/>
    <x v="24"/>
    <x v="3"/>
    <s v="Luxury Perfume Spray - Gibson, Green And Lopez"/>
    <x v="2"/>
    <n v="482.75"/>
    <x v="3"/>
    <x v="1"/>
    <n v="185"/>
  </r>
  <r>
    <s v="SALE1015"/>
    <d v="2025-03-09T00:00:00"/>
    <s v="CUST1248"/>
    <s v="PROD62"/>
    <s v="STORE4"/>
    <n v="4"/>
    <n v="139.05000000000001"/>
    <n v="0.28999999999999998"/>
    <s v="COD"/>
    <x v="0"/>
    <x v="8"/>
    <x v="0"/>
    <s v="Laptop Cooling Pad - Murray, Gould And Ware"/>
    <x v="1"/>
    <n v="86.42"/>
    <x v="2"/>
    <x v="2"/>
    <n v="555.04000000000008"/>
  </r>
  <r>
    <s v="SALE1016"/>
    <d v="2024-06-18T00:00:00"/>
    <s v="CUST1140"/>
    <s v="PROD53"/>
    <s v="STORE4"/>
    <n v="3"/>
    <n v="155.87"/>
    <n v="0.03"/>
    <s v="COD"/>
    <x v="1"/>
    <x v="2"/>
    <x v="0"/>
    <s v="Men'S Track Pants - Hamilton, Woods And Walker"/>
    <x v="4"/>
    <n v="386.56"/>
    <x v="2"/>
    <x v="2"/>
    <n v="467.52"/>
  </r>
  <r>
    <s v="SALE1017"/>
    <d v="2025-06-29T00:00:00"/>
    <s v="CUST1442"/>
    <s v="PROD34"/>
    <s v="STORE16"/>
    <n v="4"/>
    <n v="115.42"/>
    <n v="0.03"/>
    <s v="COD"/>
    <x v="1"/>
    <x v="47"/>
    <x v="3"/>
    <s v="Gaming Mechanical Keyboard - Lucero Llc"/>
    <x v="1"/>
    <n v="419.28"/>
    <x v="1"/>
    <x v="1"/>
    <n v="461.56"/>
  </r>
  <r>
    <s v="SALE1018"/>
    <d v="2025-06-15T00:00:00"/>
    <s v="CUST1122"/>
    <s v="PROD52"/>
    <s v="STORE6"/>
    <n v="3"/>
    <n v="593.62"/>
    <n v="0.08"/>
    <s v="Credit Card"/>
    <x v="0"/>
    <x v="29"/>
    <x v="1"/>
    <s v="Rugby Ball - Harris Inc"/>
    <x v="0"/>
    <n v="212.26"/>
    <x v="3"/>
    <x v="2"/>
    <n v="1780.62"/>
  </r>
  <r>
    <s v="SALE1019"/>
    <d v="2025-03-17T00:00:00"/>
    <s v="CUST1353"/>
    <s v="PROD45"/>
    <s v="STORE4"/>
    <n v="2"/>
    <n v="825.04"/>
    <n v="0.2"/>
    <s v="Credit Card"/>
    <x v="1"/>
    <x v="47"/>
    <x v="1"/>
    <s v="High-Grip Football - Bridges, Banks And Cummings"/>
    <x v="0"/>
    <n v="318.91000000000003"/>
    <x v="2"/>
    <x v="2"/>
    <n v="1649.6799999999998"/>
  </r>
  <r>
    <s v="SALE1020"/>
    <d v="2024-01-31T00:00:00"/>
    <s v="CUST1464"/>
    <s v="PROD25"/>
    <s v="STORE13"/>
    <n v="1"/>
    <n v="963.76"/>
    <n v="0.14000000000000001"/>
    <s v="PayPal"/>
    <x v="1"/>
    <x v="7"/>
    <x v="1"/>
    <s v="Women'S Scarf Set - Brown And Sons"/>
    <x v="4"/>
    <n v="174.02"/>
    <x v="3"/>
    <x v="1"/>
    <n v="963.62"/>
  </r>
  <r>
    <s v="SALE1021"/>
    <d v="2024-05-03T00:00:00"/>
    <s v="CUST1292"/>
    <s v="PROD55"/>
    <s v="STORE6"/>
    <n v="1"/>
    <n v="238.24"/>
    <n v="0.12"/>
    <s v="PayPal"/>
    <x v="0"/>
    <x v="46"/>
    <x v="2"/>
    <s v="Ceramic Plant Pot - Hatfield, Baird And Torres"/>
    <x v="3"/>
    <n v="81.75"/>
    <x v="3"/>
    <x v="2"/>
    <n v="238.12"/>
  </r>
  <r>
    <s v="SALE1022"/>
    <d v="2024-12-18T00:00:00"/>
    <s v="CUST1457"/>
    <s v="PROD82"/>
    <s v="STORE16"/>
    <n v="1"/>
    <n v="756.63"/>
    <n v="0.04"/>
    <s v="PayPal"/>
    <x v="0"/>
    <x v="27"/>
    <x v="1"/>
    <s v="Fitness Resistance Bands - Reese-Watson"/>
    <x v="0"/>
    <n v="152.91999999999999"/>
    <x v="1"/>
    <x v="1"/>
    <n v="756.59"/>
  </r>
  <r>
    <s v="SALE1023"/>
    <d v="2025-07-07T00:00:00"/>
    <s v="CUST1019"/>
    <s v="PROD93"/>
    <s v="STORE7"/>
    <n v="3"/>
    <n v="159.76"/>
    <n v="0.22"/>
    <s v="Credit Card"/>
    <x v="1"/>
    <x v="19"/>
    <x v="1"/>
    <s v="Usb-C Laptop Charger - Martin Llc"/>
    <x v="1"/>
    <n v="377.52"/>
    <x v="2"/>
    <x v="2"/>
    <n v="478.62"/>
  </r>
  <r>
    <s v="SALE1024"/>
    <d v="2024-03-03T00:00:00"/>
    <s v="CUST1368"/>
    <s v="PROD95"/>
    <s v="STORE8"/>
    <n v="1"/>
    <n v="329.94"/>
    <n v="0.14000000000000001"/>
    <s v="COD"/>
    <x v="1"/>
    <x v="14"/>
    <x v="1"/>
    <s v="Sports Stopwatch Basic - Wilson Group"/>
    <x v="0"/>
    <n v="60.65"/>
    <x v="1"/>
    <x v="2"/>
    <n v="329.8"/>
  </r>
  <r>
    <s v="SALE1025"/>
    <d v="2025-03-04T00:00:00"/>
    <s v="CUST1060"/>
    <s v="PROD17"/>
    <s v="STORE8"/>
    <n v="1"/>
    <n v="234.06"/>
    <n v="0.11"/>
    <s v="PayPal"/>
    <x v="1"/>
    <x v="41"/>
    <x v="2"/>
    <s v="Soccer Training Cone Set - Ford, Murphy And Wilson"/>
    <x v="0"/>
    <n v="144.53"/>
    <x v="1"/>
    <x v="2"/>
    <n v="233.95"/>
  </r>
  <r>
    <s v="SALE1026"/>
    <d v="2023-12-18T00:00:00"/>
    <s v="CUST1317"/>
    <s v="PROD81"/>
    <s v="STORE0"/>
    <n v="2"/>
    <n v="773.75"/>
    <n v="0.16"/>
    <s v="PayPal"/>
    <x v="1"/>
    <x v="21"/>
    <x v="0"/>
    <s v="Badminton Racket Set - Robinson-Brown"/>
    <x v="0"/>
    <n v="285.54000000000002"/>
    <x v="3"/>
    <x v="1"/>
    <n v="1547.18"/>
  </r>
  <r>
    <s v="SALE1027"/>
    <d v="2024-05-10T00:00:00"/>
    <s v="CUST1436"/>
    <s v="PROD52"/>
    <s v="STORE18"/>
    <n v="1"/>
    <n v="73.88"/>
    <n v="0.04"/>
    <s v="Credit Card"/>
    <x v="0"/>
    <x v="34"/>
    <x v="0"/>
    <s v="Rugby Ball - Harris Inc"/>
    <x v="0"/>
    <n v="212.26"/>
    <x v="3"/>
    <x v="1"/>
    <n v="73.839999999999989"/>
  </r>
  <r>
    <s v="SALE1028"/>
    <d v="2024-02-15T00:00:00"/>
    <s v="CUST1005"/>
    <s v="PROD86"/>
    <s v="STORE18"/>
    <n v="1"/>
    <n v="859.3"/>
    <n v="0.16"/>
    <s v="PayPal"/>
    <x v="0"/>
    <x v="47"/>
    <x v="3"/>
    <s v="Kitchen Cutting Board - Taylor, Dodson And Johnston"/>
    <x v="3"/>
    <n v="176.07"/>
    <x v="3"/>
    <x v="1"/>
    <n v="859.14"/>
  </r>
  <r>
    <s v="SALE1029"/>
    <d v="2024-09-29T00:00:00"/>
    <s v="CUST1129"/>
    <s v="PROD81"/>
    <s v="STORE6"/>
    <n v="4"/>
    <n v="762.43"/>
    <n v="0.05"/>
    <s v="Credit Card"/>
    <x v="1"/>
    <x v="34"/>
    <x v="2"/>
    <s v="Badminton Racket Set - Robinson-Brown"/>
    <x v="0"/>
    <n v="285.54000000000002"/>
    <x v="3"/>
    <x v="2"/>
    <n v="3049.52"/>
  </r>
  <r>
    <s v="SALE1030"/>
    <d v="2024-05-12T00:00:00"/>
    <s v="CUST1124"/>
    <s v="PROD73"/>
    <s v="STORE0"/>
    <n v="1"/>
    <n v="328.51"/>
    <n v="0.2"/>
    <s v="COD"/>
    <x v="0"/>
    <x v="49"/>
    <x v="3"/>
    <s v="Shin Guards – Adult - French Ltd"/>
    <x v="0"/>
    <n v="107.06"/>
    <x v="3"/>
    <x v="1"/>
    <n v="328.31"/>
  </r>
  <r>
    <s v="SALE1031"/>
    <d v="2025-03-03T00:00:00"/>
    <s v="CUST1274"/>
    <s v="PROD44"/>
    <s v="STORE4"/>
    <n v="1"/>
    <n v="34.51"/>
    <n v="0.04"/>
    <s v="COD"/>
    <x v="0"/>
    <x v="1"/>
    <x v="2"/>
    <s v="Adjustable Jump Rope - Cox Inc"/>
    <x v="0"/>
    <n v="167.12"/>
    <x v="2"/>
    <x v="2"/>
    <n v="34.47"/>
  </r>
  <r>
    <s v="SALE1032"/>
    <d v="2023-11-20T00:00:00"/>
    <s v="CUST1105"/>
    <s v="PROD19"/>
    <s v="STORE11"/>
    <n v="3"/>
    <n v="663.73"/>
    <n v="0.06"/>
    <s v="COD"/>
    <x v="1"/>
    <x v="26"/>
    <x v="0"/>
    <s v="Knee Support Brace - May-Reese"/>
    <x v="0"/>
    <n v="21.34"/>
    <x v="2"/>
    <x v="2"/>
    <n v="1991.0100000000002"/>
  </r>
  <r>
    <s v="SALE1033"/>
    <d v="2024-07-06T00:00:00"/>
    <s v="CUST1246"/>
    <s v="PROD33"/>
    <s v="STORE9"/>
    <n v="1"/>
    <n v="409.41"/>
    <n v="0.13"/>
    <s v="PayPal"/>
    <x v="0"/>
    <x v="13"/>
    <x v="3"/>
    <s v="Modern Wall Clock - Weiss-Watson"/>
    <x v="3"/>
    <n v="179.77"/>
    <x v="2"/>
    <x v="1"/>
    <n v="409.28000000000003"/>
  </r>
  <r>
    <s v="SALE1034"/>
    <d v="2025-03-11T00:00:00"/>
    <s v="CUST1092"/>
    <s v="PROD78"/>
    <s v="STORE3"/>
    <n v="3"/>
    <n v="461.03"/>
    <n v="0.11"/>
    <s v="PayPal"/>
    <x v="1"/>
    <x v="3"/>
    <x v="1"/>
    <s v="Essential Oil Diffuser - Hernandez Inc"/>
    <x v="3"/>
    <n v="325.26"/>
    <x v="0"/>
    <x v="0"/>
    <n v="1382.7599999999998"/>
  </r>
  <r>
    <s v="SALE1035"/>
    <d v="2024-04-12T00:00:00"/>
    <s v="CUST1368"/>
    <s v="PROD19"/>
    <s v="STORE14"/>
    <n v="2"/>
    <n v="760.14"/>
    <n v="0.02"/>
    <s v="COD"/>
    <x v="1"/>
    <x v="14"/>
    <x v="1"/>
    <s v="Knee Support Brace - May-Reese"/>
    <x v="0"/>
    <n v="21.34"/>
    <x v="2"/>
    <x v="0"/>
    <n v="1520.24"/>
  </r>
  <r>
    <s v="SALE1036"/>
    <d v="2025-04-26T00:00:00"/>
    <s v="CUST1278"/>
    <s v="PROD23"/>
    <s v="STORE1"/>
    <n v="3"/>
    <n v="688.76"/>
    <n v="0.12"/>
    <s v="PayPal"/>
    <x v="1"/>
    <x v="5"/>
    <x v="1"/>
    <s v="Men'S Formal Shirt - Moon, Mora And Santos"/>
    <x v="4"/>
    <n v="248.82191780821913"/>
    <x v="0"/>
    <x v="1"/>
    <n v="2065.92"/>
  </r>
  <r>
    <s v="SALE1037"/>
    <d v="2025-05-02T00:00:00"/>
    <s v="CUST1159"/>
    <s v="PROD43"/>
    <s v="STORE9"/>
    <n v="2"/>
    <n v="257.77999999999997"/>
    <n v="0.05"/>
    <s v="Credit Card"/>
    <x v="1"/>
    <x v="19"/>
    <x v="0"/>
    <s v="Usb External Hard Drive - Robinson Inc"/>
    <x v="1"/>
    <n v="253.33"/>
    <x v="2"/>
    <x v="1"/>
    <n v="515.45999999999992"/>
  </r>
  <r>
    <s v="SALE1038"/>
    <d v="2024-04-18T00:00:00"/>
    <s v="CUST1052"/>
    <s v="PROD53"/>
    <s v="STORE7"/>
    <n v="2"/>
    <n v="314.29000000000002"/>
    <n v="0.19"/>
    <s v="COD"/>
    <x v="0"/>
    <x v="46"/>
    <x v="3"/>
    <s v="Men'S Track Pants - Hamilton, Woods And Walker"/>
    <x v="4"/>
    <n v="386.56"/>
    <x v="2"/>
    <x v="2"/>
    <n v="628.20000000000005"/>
  </r>
  <r>
    <s v="SALE1039"/>
    <d v="2024-08-16T00:00:00"/>
    <s v="CUST1155"/>
    <s v="PROD72"/>
    <s v="STORE14"/>
    <n v="3"/>
    <n v="336.09"/>
    <n v="0.01"/>
    <s v="PayPal"/>
    <x v="1"/>
    <x v="9"/>
    <x v="0"/>
    <s v="Professional Jump Rope - Davis Plc"/>
    <x v="0"/>
    <n v="477.61"/>
    <x v="2"/>
    <x v="0"/>
    <n v="1008.24"/>
  </r>
  <r>
    <s v="SALE1040"/>
    <d v="2025-07-23T00:00:00"/>
    <s v="CUST1002"/>
    <s v="PROD75"/>
    <s v="STORE17"/>
    <n v="3"/>
    <n v="202.07"/>
    <n v="0.23"/>
    <s v="PayPal"/>
    <x v="1"/>
    <x v="4"/>
    <x v="1"/>
    <s v="Women'S Ankle Boots - Poole Plc"/>
    <x v="4"/>
    <n v="158.13999999999999"/>
    <x v="0"/>
    <x v="1"/>
    <n v="605.52"/>
  </r>
  <r>
    <s v="SALE1041"/>
    <d v="2025-05-04T00:00:00"/>
    <s v="CUST1310"/>
    <s v="PROD17"/>
    <s v="STORE8"/>
    <n v="2"/>
    <n v="485.25"/>
    <n v="0.28000000000000003"/>
    <s v="Credit Card"/>
    <x v="0"/>
    <x v="1"/>
    <x v="2"/>
    <s v="Soccer Training Cone Set - Ford, Murphy And Wilson"/>
    <x v="0"/>
    <n v="144.53"/>
    <x v="1"/>
    <x v="2"/>
    <n v="969.94"/>
  </r>
  <r>
    <s v="SALE1042"/>
    <d v="2025-09-06T00:00:00"/>
    <s v="CUST1171"/>
    <s v="PROD75"/>
    <s v="STORE10"/>
    <n v="4"/>
    <n v="552.38"/>
    <n v="0.1"/>
    <s v="PayPal"/>
    <x v="1"/>
    <x v="30"/>
    <x v="1"/>
    <s v="Women'S Ankle Boots - Poole Plc"/>
    <x v="4"/>
    <n v="158.13999999999999"/>
    <x v="3"/>
    <x v="2"/>
    <n v="2209.12"/>
  </r>
  <r>
    <s v="SALE1043"/>
    <d v="2023-11-21T00:00:00"/>
    <s v="CUST1107"/>
    <s v="PROD58"/>
    <s v="STORE17"/>
    <n v="4"/>
    <n v="377.26"/>
    <n v="0.22"/>
    <s v="COD"/>
    <x v="1"/>
    <x v="16"/>
    <x v="1"/>
    <s v="Womens Cotton Scarf - Shepherd-Gould"/>
    <x v="4"/>
    <n v="113.83"/>
    <x v="0"/>
    <x v="1"/>
    <n v="1508.1599999999999"/>
  </r>
  <r>
    <s v="SALE1044"/>
    <d v="2023-11-27T00:00:00"/>
    <s v="CUST1053"/>
    <s v="PROD47"/>
    <s v="STORE19"/>
    <n v="4"/>
    <n v="189.07"/>
    <n v="0.1"/>
    <s v="COD"/>
    <x v="1"/>
    <x v="20"/>
    <x v="0"/>
    <s v="Makeup Brush Set - Cook Inc"/>
    <x v="2"/>
    <n v="255.04901960784306"/>
    <x v="3"/>
    <x v="2"/>
    <n v="755.88"/>
  </r>
  <r>
    <s v="SALE1045"/>
    <d v="2025-06-10T00:00:00"/>
    <s v="CUST1499"/>
    <s v="PROD30"/>
    <s v="STORE4"/>
    <n v="3"/>
    <n v="272.27"/>
    <n v="0.01"/>
    <s v="Credit Card"/>
    <x v="1"/>
    <x v="47"/>
    <x v="1"/>
    <s v="Stainless Steel Cutlery Set - Stevens, Fernandez And Martin"/>
    <x v="3"/>
    <n v="19.52"/>
    <x v="2"/>
    <x v="2"/>
    <n v="816.78"/>
  </r>
  <r>
    <s v="SALE1046"/>
    <d v="2025-05-29T00:00:00"/>
    <s v="CUST1264"/>
    <s v="PROD92"/>
    <s v="STORE11"/>
    <n v="1"/>
    <n v="209.39"/>
    <n v="0.28000000000000003"/>
    <s v="PayPal"/>
    <x v="0"/>
    <x v="0"/>
    <x v="0"/>
    <s v="Microwave Oven - Green, Powell And Palmer"/>
    <x v="3"/>
    <n v="447.43"/>
    <x v="2"/>
    <x v="2"/>
    <n v="209.10999999999999"/>
  </r>
  <r>
    <s v="SALE1047"/>
    <d v="2023-12-28T00:00:00"/>
    <s v="CUST1053"/>
    <s v="PROD80"/>
    <s v="STORE9"/>
    <n v="1"/>
    <n v="813.87"/>
    <n v="0.23"/>
    <s v="Credit Card"/>
    <x v="1"/>
    <x v="20"/>
    <x v="0"/>
    <s v="Wall-Mounted Spice Rack - Allison Ltd"/>
    <x v="3"/>
    <n v="143.43"/>
    <x v="2"/>
    <x v="1"/>
    <n v="813.64"/>
  </r>
  <r>
    <s v="SALE1048"/>
    <d v="2025-05-06T00:00:00"/>
    <s v="CUST1257"/>
    <s v="PROD28"/>
    <s v="STORE0"/>
    <n v="1"/>
    <n v="143.69999999999999"/>
    <n v="0.19"/>
    <s v="PayPal"/>
    <x v="0"/>
    <x v="43"/>
    <x v="2"/>
    <s v="Sports Stopwatch Timer - Burns-Hansen"/>
    <x v="0"/>
    <n v="38.76"/>
    <x v="3"/>
    <x v="1"/>
    <n v="143.51"/>
  </r>
  <r>
    <s v="SALE1049"/>
    <d v="2024-04-03T00:00:00"/>
    <s v="CUST1470"/>
    <s v="PROD46"/>
    <s v="STORE1"/>
    <n v="4"/>
    <n v="837.34"/>
    <n v="0.05"/>
    <s v="PayPal"/>
    <x v="1"/>
    <x v="21"/>
    <x v="0"/>
    <s v="Men'S Winter Jacket - Kelly, Smith And Perez"/>
    <x v="4"/>
    <n v="167.34"/>
    <x v="0"/>
    <x v="1"/>
    <n v="3349.1600000000003"/>
  </r>
  <r>
    <s v="SALE1050"/>
    <d v="2025-08-09T00:00:00"/>
    <s v="CUST1120"/>
    <s v="PROD15"/>
    <s v="STORE19"/>
    <n v="1"/>
    <n v="151.66"/>
    <n v="0.16"/>
    <s v="COD"/>
    <x v="1"/>
    <x v="2"/>
    <x v="1"/>
    <s v="4K Home Projector - Thomas Llc"/>
    <x v="1"/>
    <n v="465.34"/>
    <x v="3"/>
    <x v="2"/>
    <n v="151.5"/>
  </r>
  <r>
    <s v="SALE1051"/>
    <d v="2025-03-04T00:00:00"/>
    <s v="CUST1499"/>
    <s v="PROD44"/>
    <s v="STORE8"/>
    <n v="3"/>
    <n v="961.4"/>
    <n v="0.02"/>
    <s v="PayPal"/>
    <x v="1"/>
    <x v="47"/>
    <x v="1"/>
    <s v="Adjustable Jump Rope - Cox Inc"/>
    <x v="0"/>
    <n v="167.12"/>
    <x v="1"/>
    <x v="2"/>
    <n v="2884.14"/>
  </r>
  <r>
    <s v="SALE1052"/>
    <d v="2024-07-30T00:00:00"/>
    <s v="CUST1370"/>
    <s v="PROD74"/>
    <s v="STORE18"/>
    <n v="4"/>
    <n v="475.98"/>
    <n v="0.19"/>
    <s v="PayPal"/>
    <x v="0"/>
    <x v="30"/>
    <x v="2"/>
    <s v="Bluetooth Car Audio System - Bruce-Bowen"/>
    <x v="1"/>
    <n v="403.71"/>
    <x v="3"/>
    <x v="1"/>
    <n v="1903.16"/>
  </r>
  <r>
    <s v="SALE1053"/>
    <d v="2024-09-16T00:00:00"/>
    <s v="CUST1380"/>
    <s v="PROD38"/>
    <s v="STORE15"/>
    <n v="4"/>
    <n v="132.88999999999999"/>
    <n v="0.12"/>
    <s v="Credit Card"/>
    <x v="0"/>
    <x v="5"/>
    <x v="0"/>
    <s v="Sports Water Hydration Pack - Sims-Smith"/>
    <x v="0"/>
    <n v="135.61000000000001"/>
    <x v="0"/>
    <x v="1"/>
    <n v="531.07999999999993"/>
  </r>
  <r>
    <s v="SALE1054"/>
    <d v="2025-07-12T00:00:00"/>
    <s v="CUST1437"/>
    <s v="PROD35"/>
    <s v="STORE12"/>
    <n v="3"/>
    <n v="471.31"/>
    <n v="0"/>
    <s v="PayPal"/>
    <x v="1"/>
    <x v="21"/>
    <x v="1"/>
    <s v="Bedroom Table Lamp - Jones Llc"/>
    <x v="3"/>
    <n v="382.22"/>
    <x v="0"/>
    <x v="2"/>
    <n v="1413.93"/>
  </r>
  <r>
    <s v="SALE1055"/>
    <d v="2024-05-29T00:00:00"/>
    <s v="CUST1464"/>
    <s v="PROD76"/>
    <s v="STORE14"/>
    <n v="2"/>
    <n v="720.32"/>
    <n v="0.26"/>
    <s v="Credit Card"/>
    <x v="1"/>
    <x v="7"/>
    <x v="1"/>
    <s v="Wireless Mouse - Larson Ltd"/>
    <x v="1"/>
    <n v="392.89"/>
    <x v="2"/>
    <x v="0"/>
    <n v="1440.1200000000001"/>
  </r>
  <r>
    <s v="SALE1056"/>
    <d v="2024-05-19T00:00:00"/>
    <s v="CUST1075"/>
    <s v="PROD66"/>
    <s v="STORE18"/>
    <n v="4"/>
    <n v="99.92"/>
    <n v="0.11"/>
    <s v="COD"/>
    <x v="1"/>
    <x v="24"/>
    <x v="0"/>
    <s v="Women'S Hair Dryer Brush - Torres, Spencer And Potter"/>
    <x v="2"/>
    <n v="340.39"/>
    <x v="3"/>
    <x v="1"/>
    <n v="399.24"/>
  </r>
  <r>
    <s v="SALE1057"/>
    <d v="2025-08-04T00:00:00"/>
    <s v="CUST1067"/>
    <s v="PROD10"/>
    <s v="STORE3"/>
    <n v="3"/>
    <n v="900.63"/>
    <n v="0.11"/>
    <s v="COD"/>
    <x v="0"/>
    <x v="26"/>
    <x v="2"/>
    <s v="Ceramic Kitchen Bowl Set - Hamilton Group"/>
    <x v="3"/>
    <n v="298.86"/>
    <x v="0"/>
    <x v="0"/>
    <n v="2701.56"/>
  </r>
  <r>
    <s v="SALE1058"/>
    <d v="2024-12-03T00:00:00"/>
    <s v="CUST1442"/>
    <s v="PROD46"/>
    <s v="STORE8"/>
    <n v="1"/>
    <n v="681.72"/>
    <n v="0.11"/>
    <s v="PayPal"/>
    <x v="1"/>
    <x v="47"/>
    <x v="3"/>
    <s v="Men'S Winter Jacket - Kelly, Smith And Perez"/>
    <x v="4"/>
    <n v="167.34"/>
    <x v="1"/>
    <x v="2"/>
    <n v="681.61"/>
  </r>
  <r>
    <s v="SALE1059"/>
    <d v="2023-10-23T00:00:00"/>
    <s v="CUST1009"/>
    <s v="PROD78"/>
    <s v="STORE13"/>
    <n v="2"/>
    <n v="838.22"/>
    <n v="0.3"/>
    <s v="Credit Card"/>
    <x v="0"/>
    <x v="2"/>
    <x v="1"/>
    <s v="Essential Oil Diffuser - Hernandez Inc"/>
    <x v="3"/>
    <n v="325.26"/>
    <x v="3"/>
    <x v="1"/>
    <n v="1675.8400000000001"/>
  </r>
  <r>
    <s v="SALE1060"/>
    <d v="2025-05-20T00:00:00"/>
    <s v="CUST1194"/>
    <s v="PROD87"/>
    <s v="STORE12"/>
    <n v="2"/>
    <n v="816.22"/>
    <n v="0.27"/>
    <s v="Credit Card"/>
    <x v="0"/>
    <x v="2"/>
    <x v="0"/>
    <s v="Led Bedside Lamp - Aguilar, Horton And Lewis"/>
    <x v="3"/>
    <n v="371.38"/>
    <x v="0"/>
    <x v="2"/>
    <n v="1631.9"/>
  </r>
  <r>
    <s v="SALE1061"/>
    <d v="2024-09-19T00:00:00"/>
    <s v="CUST1380"/>
    <s v="PROD61"/>
    <s v="STORE7"/>
    <n v="2"/>
    <n v="654.12"/>
    <n v="0.27"/>
    <s v="PayPal"/>
    <x v="0"/>
    <x v="5"/>
    <x v="0"/>
    <s v="Tennis Ball 3-Pack - Lopez Llc"/>
    <x v="0"/>
    <n v="103.45"/>
    <x v="2"/>
    <x v="2"/>
    <n v="1307.7"/>
  </r>
  <r>
    <s v="SALE1062"/>
    <d v="2024-04-03T00:00:00"/>
    <s v="CUST1105"/>
    <s v="PROD73"/>
    <s v="STORE13"/>
    <n v="4"/>
    <n v="528.22"/>
    <n v="0.2"/>
    <s v="PayPal"/>
    <x v="1"/>
    <x v="26"/>
    <x v="0"/>
    <s v="Shin Guards – Adult - French Ltd"/>
    <x v="0"/>
    <n v="107.06"/>
    <x v="3"/>
    <x v="1"/>
    <n v="2112.08"/>
  </r>
  <r>
    <s v="SALE1063"/>
    <d v="2025-02-16T00:00:00"/>
    <s v="CUST1221"/>
    <s v="PROD34"/>
    <s v="STORE7"/>
    <n v="4"/>
    <n v="36.72"/>
    <n v="7.0000000000000007E-2"/>
    <s v="COD"/>
    <x v="0"/>
    <x v="36"/>
    <x v="1"/>
    <s v="Gaming Mechanical Keyboard - Lucero Llc"/>
    <x v="1"/>
    <n v="419.28"/>
    <x v="2"/>
    <x v="2"/>
    <n v="146.6"/>
  </r>
  <r>
    <s v="SALE1064"/>
    <d v="2024-09-10T00:00:00"/>
    <s v="CUST1370"/>
    <s v="PROD78"/>
    <s v="STORE19"/>
    <n v="2"/>
    <n v="705.97"/>
    <n v="0.1"/>
    <s v="PayPal"/>
    <x v="0"/>
    <x v="30"/>
    <x v="2"/>
    <s v="Essential Oil Diffuser - Hernandez Inc"/>
    <x v="3"/>
    <n v="325.26"/>
    <x v="3"/>
    <x v="2"/>
    <n v="1411.74"/>
  </r>
  <r>
    <s v="SALE1065"/>
    <d v="2025-03-20T00:00:00"/>
    <s v="CUST1023"/>
    <s v="PROD40"/>
    <s v="STORE1"/>
    <n v="2"/>
    <n v="994.29"/>
    <n v="0.01"/>
    <s v="PayPal"/>
    <x v="1"/>
    <x v="47"/>
    <x v="2"/>
    <s v="Noise-Canceling Headphones - Taylor-Hart"/>
    <x v="1"/>
    <n v="38.520000000000003"/>
    <x v="0"/>
    <x v="1"/>
    <n v="1988.56"/>
  </r>
  <r>
    <s v="SALE1066"/>
    <d v="2024-11-12T00:00:00"/>
    <s v="CUST1421"/>
    <s v="PROD92"/>
    <s v="STORE18"/>
    <n v="1"/>
    <n v="909.04"/>
    <n v="0.11"/>
    <s v="Credit Card"/>
    <x v="1"/>
    <x v="7"/>
    <x v="1"/>
    <s v="Microwave Oven - Green, Powell And Palmer"/>
    <x v="3"/>
    <n v="447.43"/>
    <x v="3"/>
    <x v="1"/>
    <n v="908.93"/>
  </r>
  <r>
    <s v="SALE1067"/>
    <d v="2024-02-12T00:00:00"/>
    <s v="CUST1349"/>
    <s v="PROD34"/>
    <s v="STORE11"/>
    <n v="1"/>
    <n v="164.73"/>
    <n v="0.12"/>
    <s v="PayPal"/>
    <x v="0"/>
    <x v="41"/>
    <x v="3"/>
    <s v="Gaming Mechanical Keyboard - Lucero Llc"/>
    <x v="1"/>
    <n v="419.28"/>
    <x v="2"/>
    <x v="2"/>
    <n v="164.60999999999999"/>
  </r>
  <r>
    <s v="SALE1068"/>
    <d v="2025-02-02T00:00:00"/>
    <s v="CUST1062"/>
    <s v="PROD37"/>
    <s v="STORE7"/>
    <n v="2"/>
    <n v="606.35"/>
    <n v="0.16"/>
    <s v="COD"/>
    <x v="0"/>
    <x v="23"/>
    <x v="3"/>
    <s v="Men'S Casual Sneakers - Hogan-Lee"/>
    <x v="4"/>
    <n v="353.47"/>
    <x v="2"/>
    <x v="2"/>
    <n v="1212.3800000000001"/>
  </r>
  <r>
    <s v="SALE1069"/>
    <d v="2024-07-08T00:00:00"/>
    <s v="CUST1163"/>
    <s v="PROD98"/>
    <s v="STORE4"/>
    <n v="3"/>
    <n v="904.19"/>
    <n v="0.09"/>
    <s v="Credit Card"/>
    <x v="0"/>
    <x v="49"/>
    <x v="3"/>
    <s v="Portable Bluetooth Speaker - Flores-King"/>
    <x v="1"/>
    <n v="431.67"/>
    <x v="2"/>
    <x v="2"/>
    <n v="2712.3"/>
  </r>
  <r>
    <s v="SALE1070"/>
    <d v="2024-10-11T00:00:00"/>
    <s v="CUST1151"/>
    <s v="PROD50"/>
    <s v="STORE2"/>
    <n v="4"/>
    <n v="694.61"/>
    <n v="0.18"/>
    <s v="COD"/>
    <x v="1"/>
    <x v="47"/>
    <x v="0"/>
    <s v="Boxing Hand Wraps - Smith-King"/>
    <x v="0"/>
    <n v="190.29"/>
    <x v="2"/>
    <x v="0"/>
    <n v="2777.7200000000003"/>
  </r>
  <r>
    <s v="SALE1071"/>
    <d v="2023-10-16T00:00:00"/>
    <s v="CUST1225"/>
    <s v="PROD89"/>
    <s v="STORE2"/>
    <n v="4"/>
    <n v="753.83"/>
    <n v="0.24"/>
    <s v="Credit Card"/>
    <x v="1"/>
    <x v="39"/>
    <x v="1"/>
    <s v="Face Foundation Kit - Taylor-Elliott"/>
    <x v="2"/>
    <n v="183.04"/>
    <x v="2"/>
    <x v="0"/>
    <n v="3014.36"/>
  </r>
  <r>
    <s v="SALE1072"/>
    <d v="2024-12-27T00:00:00"/>
    <s v="CUST1197"/>
    <s v="PROD21"/>
    <s v="STORE8"/>
    <n v="1"/>
    <n v="66.22"/>
    <n v="0.02"/>
    <s v="Credit Card"/>
    <x v="1"/>
    <x v="46"/>
    <x v="1"/>
    <s v="Multi-Purpose Storage Box - Gardner-Montes"/>
    <x v="3"/>
    <n v="123.46"/>
    <x v="1"/>
    <x v="2"/>
    <n v="66.2"/>
  </r>
  <r>
    <s v="SALE1073"/>
    <d v="2023-11-11T00:00:00"/>
    <s v="CUST1337"/>
    <s v="PROD64"/>
    <s v="STORE14"/>
    <n v="2"/>
    <n v="891.8"/>
    <n v="0.28999999999999998"/>
    <s v="COD"/>
    <x v="1"/>
    <x v="29"/>
    <x v="3"/>
    <s v="Matte Lipstick Set - Zhang Inc"/>
    <x v="2"/>
    <n v="299.11"/>
    <x v="2"/>
    <x v="0"/>
    <n v="1783.02"/>
  </r>
  <r>
    <s v="SALE1074"/>
    <d v="2024-05-16T00:00:00"/>
    <s v="CUST1363"/>
    <s v="PROD75"/>
    <s v="STORE9"/>
    <n v="4"/>
    <n v="255.48"/>
    <n v="0.03"/>
    <s v="COD"/>
    <x v="0"/>
    <x v="31"/>
    <x v="3"/>
    <s v="Women'S Ankle Boots - Poole Plc"/>
    <x v="4"/>
    <n v="158.13999999999999"/>
    <x v="2"/>
    <x v="1"/>
    <n v="1021.8"/>
  </r>
  <r>
    <s v="SALE1075"/>
    <d v="2024-10-28T00:00:00"/>
    <s v="CUST1301"/>
    <s v="PROD84"/>
    <s v="STORE17"/>
    <n v="4"/>
    <n v="604.87"/>
    <n v="0.28000000000000003"/>
    <s v="PayPal"/>
    <x v="0"/>
    <x v="45"/>
    <x v="0"/>
    <s v="Wooden Bookshelf - Collins-Stephenson"/>
    <x v="3"/>
    <n v="388.46"/>
    <x v="0"/>
    <x v="1"/>
    <n v="2418.36"/>
  </r>
  <r>
    <s v="SALE1076"/>
    <d v="2024-03-19T00:00:00"/>
    <s v="CUST1045"/>
    <s v="PROD33"/>
    <s v="STORE17"/>
    <n v="3"/>
    <n v="623.82000000000005"/>
    <n v="0.13"/>
    <s v="COD"/>
    <x v="0"/>
    <x v="28"/>
    <x v="0"/>
    <s v="Modern Wall Clock - Weiss-Watson"/>
    <x v="3"/>
    <n v="179.77"/>
    <x v="0"/>
    <x v="1"/>
    <n v="1871.0700000000002"/>
  </r>
  <r>
    <s v="SALE1077"/>
    <d v="2025-08-13T00:00:00"/>
    <s v="CUST1138"/>
    <s v="PROD71"/>
    <s v="STORE16"/>
    <n v="3"/>
    <n v="575.24"/>
    <n v="0.12"/>
    <s v="COD"/>
    <x v="0"/>
    <x v="45"/>
    <x v="0"/>
    <s v="Hair Repair Oil Treatment - Hopkins Ltd"/>
    <x v="2"/>
    <n v="214.32"/>
    <x v="1"/>
    <x v="1"/>
    <n v="1725.3600000000001"/>
  </r>
  <r>
    <s v="SALE1078"/>
    <d v="2025-08-09T00:00:00"/>
    <s v="CUST1414"/>
    <s v="PROD4"/>
    <s v="STORE11"/>
    <n v="1"/>
    <n v="769.4"/>
    <n v="0.16"/>
    <s v="Credit Card"/>
    <x v="1"/>
    <x v="6"/>
    <x v="0"/>
    <s v="Women'S Yoga Pants - Gonzales-Davis"/>
    <x v="4"/>
    <n v="306.45999999999998"/>
    <x v="2"/>
    <x v="2"/>
    <n v="769.24"/>
  </r>
  <r>
    <s v="SALE1079"/>
    <d v="2024-05-08T00:00:00"/>
    <s v="CUST1329"/>
    <s v="PROD4"/>
    <s v="STORE17"/>
    <n v="1"/>
    <n v="227.28"/>
    <n v="0.13"/>
    <s v="COD"/>
    <x v="1"/>
    <x v="46"/>
    <x v="3"/>
    <s v="Women'S Yoga Pants - Gonzales-Davis"/>
    <x v="4"/>
    <n v="306.45999999999998"/>
    <x v="0"/>
    <x v="1"/>
    <n v="227.15"/>
  </r>
  <r>
    <s v="SALE1080"/>
    <d v="2024-03-10T00:00:00"/>
    <s v="CUST1051"/>
    <s v="PROD2"/>
    <s v="STORE17"/>
    <n v="4"/>
    <n v="127.58"/>
    <n v="0.15"/>
    <s v="Credit Card"/>
    <x v="1"/>
    <x v="35"/>
    <x v="0"/>
    <s v="Women'S Casual Hoodie - Sims Inc"/>
    <x v="4"/>
    <n v="254.62086956521742"/>
    <x v="0"/>
    <x v="1"/>
    <n v="509.71999999999997"/>
  </r>
  <r>
    <s v="SALE1081"/>
    <d v="2025-02-14T00:00:00"/>
    <s v="CUST1418"/>
    <s v="PROD44"/>
    <s v="STORE3"/>
    <n v="1"/>
    <n v="793.21"/>
    <n v="0.09"/>
    <s v="Credit Card"/>
    <x v="1"/>
    <x v="21"/>
    <x v="2"/>
    <s v="Adjustable Jump Rope - Cox Inc"/>
    <x v="0"/>
    <n v="167.12"/>
    <x v="0"/>
    <x v="0"/>
    <n v="793.12"/>
  </r>
  <r>
    <s v="SALE1082"/>
    <d v="2025-08-02T00:00:00"/>
    <s v="CUST1301"/>
    <s v="PROD83"/>
    <s v="STORE12"/>
    <n v="3"/>
    <n v="435.61"/>
    <n v="0.03"/>
    <s v="PayPal"/>
    <x v="0"/>
    <x v="45"/>
    <x v="0"/>
    <s v="Hydrating Face Cleanser - Butler Group"/>
    <x v="2"/>
    <n v="289.35937499999994"/>
    <x v="0"/>
    <x v="2"/>
    <n v="1306.7400000000002"/>
  </r>
  <r>
    <s v="SALE1083"/>
    <d v="2024-08-27T00:00:00"/>
    <s v="CUST1385"/>
    <s v="PROD29"/>
    <s v="STORE16"/>
    <n v="1"/>
    <n v="850.06"/>
    <n v="0.28999999999999998"/>
    <s v="PayPal"/>
    <x v="0"/>
    <x v="42"/>
    <x v="0"/>
    <s v="Fabric Sofa Throw Blanket - Hoffman Group"/>
    <x v="3"/>
    <n v="218.48"/>
    <x v="1"/>
    <x v="1"/>
    <n v="849.77"/>
  </r>
  <r>
    <s v="SALE1084"/>
    <d v="2024-02-08T00:00:00"/>
    <s v="CUST1347"/>
    <s v="PROD16"/>
    <s v="STORE16"/>
    <n v="2"/>
    <n v="753.92"/>
    <n v="0.17"/>
    <s v="PayPal"/>
    <x v="1"/>
    <x v="40"/>
    <x v="0"/>
    <s v="Beard Grooming Kit - Erickson-Green"/>
    <x v="2"/>
    <n v="337.42"/>
    <x v="1"/>
    <x v="1"/>
    <n v="1507.5"/>
  </r>
  <r>
    <s v="SALE1085"/>
    <d v="2024-01-20T00:00:00"/>
    <s v="CUST1488"/>
    <s v="PROD4"/>
    <s v="STORE13"/>
    <n v="3"/>
    <n v="408.99"/>
    <n v="0.27"/>
    <s v="PayPal"/>
    <x v="1"/>
    <x v="24"/>
    <x v="1"/>
    <s v="Women'S Yoga Pants - Gonzales-Davis"/>
    <x v="4"/>
    <n v="306.45999999999998"/>
    <x v="3"/>
    <x v="1"/>
    <n v="1226.1600000000001"/>
  </r>
  <r>
    <s v="SALE1086"/>
    <d v="2024-10-02T00:00:00"/>
    <s v="CUST1285"/>
    <s v="PROD57"/>
    <s v="STORE5"/>
    <n v="3"/>
    <n v="404.5"/>
    <n v="0.22"/>
    <s v="PayPal"/>
    <x v="1"/>
    <x v="43"/>
    <x v="2"/>
    <s v="Foam Roller - Atkinson, Camacho And Oliver"/>
    <x v="0"/>
    <n v="30.62"/>
    <x v="0"/>
    <x v="0"/>
    <n v="1212.8399999999999"/>
  </r>
  <r>
    <s v="SALE1087"/>
    <d v="2023-11-09T00:00:00"/>
    <s v="CUST1380"/>
    <s v="PROD39"/>
    <s v="STORE3"/>
    <n v="3"/>
    <n v="717.81"/>
    <n v="0.17"/>
    <s v="COD"/>
    <x v="0"/>
    <x v="5"/>
    <x v="0"/>
    <s v="Portable Power Bank - Cummings And Sons"/>
    <x v="1"/>
    <n v="326.06"/>
    <x v="0"/>
    <x v="0"/>
    <n v="2152.92"/>
  </r>
  <r>
    <s v="SALE1088"/>
    <d v="2023-12-24T00:00:00"/>
    <s v="CUST1251"/>
    <s v="PROD84"/>
    <s v="STORE1"/>
    <n v="3"/>
    <n v="204.77"/>
    <n v="0.14000000000000001"/>
    <s v="Credit Card"/>
    <x v="0"/>
    <x v="4"/>
    <x v="2"/>
    <s v="Wooden Bookshelf - Collins-Stephenson"/>
    <x v="3"/>
    <n v="388.46"/>
    <x v="0"/>
    <x v="1"/>
    <n v="613.8900000000001"/>
  </r>
  <r>
    <s v="SALE1089"/>
    <d v="2025-01-29T00:00:00"/>
    <s v="CUST1039"/>
    <s v="PROD48"/>
    <s v="STORE18"/>
    <n v="4"/>
    <n v="106.23"/>
    <n v="0.28000000000000003"/>
    <s v="COD"/>
    <x v="1"/>
    <x v="20"/>
    <x v="0"/>
    <s v="Car Dashboard Phone Holder - Byrd, Stewart And Valdez"/>
    <x v="1"/>
    <n v="177.98"/>
    <x v="3"/>
    <x v="1"/>
    <n v="423.8"/>
  </r>
  <r>
    <s v="SALE1090"/>
    <d v="2025-06-16T00:00:00"/>
    <s v="CUST1325"/>
    <s v="PROD66"/>
    <s v="STORE5"/>
    <n v="2"/>
    <n v="769.48"/>
    <n v="0.11"/>
    <s v="PayPal"/>
    <x v="0"/>
    <x v="18"/>
    <x v="3"/>
    <s v="Women'S Hair Dryer Brush - Torres, Spencer And Potter"/>
    <x v="2"/>
    <n v="340.39"/>
    <x v="0"/>
    <x v="0"/>
    <n v="1538.74"/>
  </r>
  <r>
    <s v="SALE1091"/>
    <d v="2025-07-29T00:00:00"/>
    <s v="CUST1255"/>
    <s v="PROD57"/>
    <s v="STORE13"/>
    <n v="2"/>
    <n v="714.21"/>
    <n v="0.14000000000000001"/>
    <s v="Credit Card"/>
    <x v="0"/>
    <x v="31"/>
    <x v="0"/>
    <s v="Foam Roller - Atkinson, Camacho And Oliver"/>
    <x v="0"/>
    <n v="30.62"/>
    <x v="3"/>
    <x v="1"/>
    <n v="1428.14"/>
  </r>
  <r>
    <s v="SALE1092"/>
    <d v="2024-10-13T00:00:00"/>
    <s v="CUST1271"/>
    <s v="PROD11"/>
    <s v="STORE15"/>
    <n v="4"/>
    <n v="632.24"/>
    <n v="0.25"/>
    <s v="PayPal"/>
    <x v="0"/>
    <x v="48"/>
    <x v="1"/>
    <s v="Hd Smart Tv Stick - Gibson, Hobbs And Weaver"/>
    <x v="1"/>
    <n v="449.4"/>
    <x v="0"/>
    <x v="1"/>
    <n v="2527.96"/>
  </r>
  <r>
    <s v="SALE1093"/>
    <d v="2024-10-10T00:00:00"/>
    <s v="CUST1161"/>
    <s v="PROD78"/>
    <s v="STORE3"/>
    <n v="2"/>
    <n v="845.27"/>
    <n v="0.18"/>
    <s v="PayPal"/>
    <x v="1"/>
    <x v="28"/>
    <x v="2"/>
    <s v="Essential Oil Diffuser - Hernandez Inc"/>
    <x v="3"/>
    <n v="325.26"/>
    <x v="0"/>
    <x v="0"/>
    <n v="1690.18"/>
  </r>
  <r>
    <s v="SALE1094"/>
    <d v="2025-06-08T00:00:00"/>
    <s v="CUST1497"/>
    <s v="PROD87"/>
    <s v="STORE13"/>
    <n v="1"/>
    <n v="575.94000000000005"/>
    <n v="0.17"/>
    <s v="Credit Card"/>
    <x v="1"/>
    <x v="14"/>
    <x v="0"/>
    <s v="Led Bedside Lamp - Aguilar, Horton And Lewis"/>
    <x v="3"/>
    <n v="371.38"/>
    <x v="3"/>
    <x v="1"/>
    <n v="575.7700000000001"/>
  </r>
  <r>
    <s v="SALE1095"/>
    <d v="2024-11-24T00:00:00"/>
    <s v="CUST1251"/>
    <s v="PROD84"/>
    <s v="STORE15"/>
    <n v="1"/>
    <n v="907.97"/>
    <n v="0.26"/>
    <s v="COD"/>
    <x v="0"/>
    <x v="4"/>
    <x v="2"/>
    <s v="Wooden Bookshelf - Collins-Stephenson"/>
    <x v="3"/>
    <n v="388.46"/>
    <x v="0"/>
    <x v="1"/>
    <n v="907.71"/>
  </r>
  <r>
    <s v="SALE1096"/>
    <d v="2025-02-07T00:00:00"/>
    <s v="CUST1266"/>
    <s v="PROD20"/>
    <s v="STORE12"/>
    <n v="1"/>
    <n v="99.35"/>
    <n v="0.08"/>
    <s v="COD"/>
    <x v="1"/>
    <x v="27"/>
    <x v="3"/>
    <s v="Outdoor Sports Water Bottle - Soto-Ellis"/>
    <x v="0"/>
    <n v="131.51"/>
    <x v="0"/>
    <x v="2"/>
    <n v="99.27"/>
  </r>
  <r>
    <s v="SALE1097"/>
    <d v="2024-10-31T00:00:00"/>
    <s v="CUST1071"/>
    <s v="PROD0"/>
    <s v="STORE3"/>
    <n v="2"/>
    <n v="374.42"/>
    <n v="0.21"/>
    <s v="COD"/>
    <x v="1"/>
    <x v="23"/>
    <x v="0"/>
    <s v="Brother Laser Printer - Hunt Inc"/>
    <x v="1"/>
    <n v="112.42"/>
    <x v="0"/>
    <x v="0"/>
    <n v="748.42000000000007"/>
  </r>
  <r>
    <s v="SALE1098"/>
    <d v="2025-07-31T00:00:00"/>
    <s v="CUST1481"/>
    <s v="PROD15"/>
    <s v="STORE15"/>
    <n v="3"/>
    <n v="248.43"/>
    <n v="0.24"/>
    <s v="COD"/>
    <x v="0"/>
    <x v="36"/>
    <x v="0"/>
    <s v="4K Home Projector - Thomas Llc"/>
    <x v="1"/>
    <n v="465.34"/>
    <x v="0"/>
    <x v="1"/>
    <n v="744.56999999999994"/>
  </r>
  <r>
    <s v="SALE1099"/>
    <d v="2024-12-05T00:00:00"/>
    <s v="CUST1468"/>
    <s v="PROD85"/>
    <s v="STORE1"/>
    <n v="1"/>
    <n v="784.46"/>
    <n v="0.14000000000000001"/>
    <s v="COD"/>
    <x v="0"/>
    <x v="1"/>
    <x v="3"/>
    <s v="Women'S Beanie Hat - Richardson-Carrillo"/>
    <x v="4"/>
    <n v="119.57"/>
    <x v="0"/>
    <x v="1"/>
    <n v="784.32"/>
  </r>
  <r>
    <s v="SALE1100"/>
    <d v="2024-03-28T00:00:00"/>
    <s v="CUST1259"/>
    <s v="PROD52"/>
    <s v="STORE10"/>
    <n v="3"/>
    <n v="70.88"/>
    <n v="0.27"/>
    <s v="COD"/>
    <x v="1"/>
    <x v="15"/>
    <x v="2"/>
    <s v="Rugby Ball - Harris Inc"/>
    <x v="0"/>
    <n v="212.26"/>
    <x v="3"/>
    <x v="2"/>
    <n v="211.82999999999998"/>
  </r>
  <r>
    <s v="SALE1101"/>
    <d v="2024-12-15T00:00:00"/>
    <s v="CUST1110"/>
    <s v="PROD8"/>
    <s v="STORE1"/>
    <n v="3"/>
    <n v="324.29000000000002"/>
    <n v="0.16"/>
    <s v="COD"/>
    <x v="1"/>
    <x v="33"/>
    <x v="0"/>
    <s v="Wireless Bluetooth Earbuds - Perez-Johnston"/>
    <x v="1"/>
    <n v="439.07"/>
    <x v="0"/>
    <x v="1"/>
    <n v="972.39"/>
  </r>
  <r>
    <s v="SALE1102"/>
    <d v="2025-07-04T00:00:00"/>
    <s v="CUST1141"/>
    <s v="PROD15"/>
    <s v="STORE3"/>
    <n v="4"/>
    <n v="243.92"/>
    <n v="0.02"/>
    <s v="PayPal"/>
    <x v="0"/>
    <x v="24"/>
    <x v="3"/>
    <s v="4K Home Projector - Thomas Llc"/>
    <x v="1"/>
    <n v="465.34"/>
    <x v="0"/>
    <x v="0"/>
    <n v="975.59999999999991"/>
  </r>
  <r>
    <s v="SALE1103"/>
    <d v="2023-11-27T00:00:00"/>
    <s v="CUST1375"/>
    <s v="PROD28"/>
    <s v="STORE13"/>
    <n v="1"/>
    <n v="664.35"/>
    <n v="0"/>
    <s v="Credit Card"/>
    <x v="0"/>
    <x v="46"/>
    <x v="1"/>
    <s v="Sports Stopwatch Timer - Burns-Hansen"/>
    <x v="0"/>
    <n v="38.76"/>
    <x v="3"/>
    <x v="1"/>
    <n v="664.35"/>
  </r>
  <r>
    <s v="SALE1104"/>
    <d v="2024-06-25T00:00:00"/>
    <s v="CUST1384"/>
    <s v="PROD21"/>
    <s v="STORE10"/>
    <n v="2"/>
    <n v="218.07"/>
    <n v="0.19"/>
    <s v="PayPal"/>
    <x v="1"/>
    <x v="9"/>
    <x v="3"/>
    <s v="Multi-Purpose Storage Box - Gardner-Montes"/>
    <x v="3"/>
    <n v="123.46"/>
    <x v="3"/>
    <x v="2"/>
    <n v="435.76"/>
  </r>
  <r>
    <s v="SALE1105"/>
    <d v="2023-10-29T00:00:00"/>
    <s v="CUST1383"/>
    <s v="PROD15"/>
    <s v="STORE3"/>
    <n v="4"/>
    <n v="921.83"/>
    <n v="0.27"/>
    <s v="Credit Card"/>
    <x v="1"/>
    <x v="42"/>
    <x v="2"/>
    <s v="4K Home Projector - Thomas Llc"/>
    <x v="1"/>
    <n v="465.34"/>
    <x v="0"/>
    <x v="0"/>
    <n v="3686.2400000000002"/>
  </r>
  <r>
    <s v="SALE1106"/>
    <d v="2025-01-04T00:00:00"/>
    <s v="CUST1168"/>
    <s v="PROD50"/>
    <s v="STORE1"/>
    <n v="3"/>
    <n v="326.2"/>
    <n v="0.22"/>
    <s v="COD"/>
    <x v="1"/>
    <x v="26"/>
    <x v="1"/>
    <s v="Boxing Hand Wraps - Smith-King"/>
    <x v="0"/>
    <n v="190.29"/>
    <x v="0"/>
    <x v="1"/>
    <n v="977.93999999999983"/>
  </r>
  <r>
    <s v="SALE1107"/>
    <d v="2025-02-13T00:00:00"/>
    <s v="CUST1458"/>
    <s v="PROD17"/>
    <s v="STORE19"/>
    <n v="1"/>
    <n v="244.25"/>
    <n v="0.09"/>
    <s v="PayPal"/>
    <x v="1"/>
    <x v="2"/>
    <x v="2"/>
    <s v="Soccer Training Cone Set - Ford, Murphy And Wilson"/>
    <x v="0"/>
    <n v="144.53"/>
    <x v="3"/>
    <x v="2"/>
    <n v="244.16"/>
  </r>
  <r>
    <s v="SALE1108"/>
    <d v="2024-06-05T00:00:00"/>
    <s v="CUST1369"/>
    <s v="PROD61"/>
    <s v="STORE10"/>
    <n v="3"/>
    <n v="808.87"/>
    <n v="0.12"/>
    <s v="COD"/>
    <x v="1"/>
    <x v="1"/>
    <x v="1"/>
    <s v="Tennis Ball 3-Pack - Lopez Llc"/>
    <x v="0"/>
    <n v="103.45"/>
    <x v="3"/>
    <x v="2"/>
    <n v="2426.25"/>
  </r>
  <r>
    <s v="SALE1109"/>
    <d v="2024-04-05T00:00:00"/>
    <s v="CUST1338"/>
    <s v="PROD31"/>
    <s v="STORE2"/>
    <n v="3"/>
    <n v="826.15"/>
    <n v="0"/>
    <s v="PayPal"/>
    <x v="1"/>
    <x v="40"/>
    <x v="2"/>
    <s v="Basketball - Nolan-Snow"/>
    <x v="0"/>
    <n v="204.39"/>
    <x v="2"/>
    <x v="0"/>
    <n v="2478.4499999999998"/>
  </r>
  <r>
    <s v="SALE1110"/>
    <d v="2024-12-26T00:00:00"/>
    <s v="CUST1187"/>
    <s v="PROD24"/>
    <s v="STORE19"/>
    <n v="3"/>
    <n v="631.20000000000005"/>
    <n v="0.24"/>
    <s v="Credit Card"/>
    <x v="1"/>
    <x v="4"/>
    <x v="1"/>
    <s v="Foldable Camping Chair - Cook Ltd"/>
    <x v="0"/>
    <n v="166.06"/>
    <x v="3"/>
    <x v="2"/>
    <n v="1892.88"/>
  </r>
  <r>
    <s v="SALE1111"/>
    <d v="2024-01-25T00:00:00"/>
    <s v="CUST1274"/>
    <s v="PROD58"/>
    <s v="STORE10"/>
    <n v="1"/>
    <n v="937.01"/>
    <n v="7.0000000000000007E-2"/>
    <s v="Credit Card"/>
    <x v="0"/>
    <x v="1"/>
    <x v="2"/>
    <s v="Womens Cotton Scarf - Shepherd-Gould"/>
    <x v="4"/>
    <n v="113.83"/>
    <x v="3"/>
    <x v="2"/>
    <n v="936.93999999999994"/>
  </r>
  <r>
    <s v="SALE1112"/>
    <d v="2024-01-25T00:00:00"/>
    <s v="CUST1151"/>
    <s v="PROD73"/>
    <s v="STORE5"/>
    <n v="2"/>
    <n v="644"/>
    <n v="0.04"/>
    <s v="PayPal"/>
    <x v="1"/>
    <x v="47"/>
    <x v="0"/>
    <s v="Shin Guards – Adult - French Ltd"/>
    <x v="0"/>
    <n v="107.06"/>
    <x v="0"/>
    <x v="0"/>
    <n v="1287.92"/>
  </r>
  <r>
    <s v="SALE1113"/>
    <d v="2025-08-19T00:00:00"/>
    <s v="CUST1094"/>
    <s v="PROD91"/>
    <s v="STORE5"/>
    <n v="3"/>
    <n v="629.58000000000004"/>
    <n v="0.05"/>
    <s v="Credit Card"/>
    <x v="1"/>
    <x v="8"/>
    <x v="0"/>
    <s v="Women'S High Heels - Smith-Charles"/>
    <x v="4"/>
    <n v="438.25"/>
    <x v="0"/>
    <x v="0"/>
    <n v="1888.5900000000001"/>
  </r>
  <r>
    <s v="SALE1114"/>
    <d v="2025-05-14T00:00:00"/>
    <s v="CUST1466"/>
    <s v="PROD87"/>
    <s v="STORE2"/>
    <n v="2"/>
    <n v="121.52"/>
    <n v="0.18"/>
    <s v="COD"/>
    <x v="0"/>
    <x v="46"/>
    <x v="2"/>
    <s v="Led Bedside Lamp - Aguilar, Horton And Lewis"/>
    <x v="3"/>
    <n v="371.38"/>
    <x v="2"/>
    <x v="0"/>
    <n v="242.67999999999998"/>
  </r>
  <r>
    <s v="SALE1115"/>
    <d v="2024-05-08T00:00:00"/>
    <s v="CUST1401"/>
    <s v="PROD65"/>
    <s v="STORE19"/>
    <n v="2"/>
    <n v="549.83000000000004"/>
    <n v="7.0000000000000007E-2"/>
    <s v="PayPal"/>
    <x v="1"/>
    <x v="8"/>
    <x v="1"/>
    <s v="Adjustable Dumbbells 20Kg - Montgomery, Benton And Miller"/>
    <x v="0"/>
    <n v="240.63"/>
    <x v="3"/>
    <x v="2"/>
    <n v="1099.52"/>
  </r>
  <r>
    <s v="SALE1116"/>
    <d v="2023-10-20T00:00:00"/>
    <s v="CUST1140"/>
    <s v="PROD13"/>
    <s v="STORE8"/>
    <n v="3"/>
    <n v="278.38"/>
    <n v="0.03"/>
    <s v="Credit Card"/>
    <x v="1"/>
    <x v="2"/>
    <x v="0"/>
    <s v="Usb-C Fast Charger - Dawson-Perkins"/>
    <x v="1"/>
    <n v="242.23"/>
    <x v="1"/>
    <x v="2"/>
    <n v="835.05000000000007"/>
  </r>
  <r>
    <s v="SALE1117"/>
    <d v="2024-08-06T00:00:00"/>
    <s v="CUST1437"/>
    <s v="PROD96"/>
    <s v="STORE3"/>
    <n v="4"/>
    <n v="723.66"/>
    <n v="0.03"/>
    <s v="PayPal"/>
    <x v="1"/>
    <x v="21"/>
    <x v="1"/>
    <s v="Women'S Formal Blazer - Phillips And Sons"/>
    <x v="4"/>
    <n v="358.47"/>
    <x v="0"/>
    <x v="0"/>
    <n v="2894.52"/>
  </r>
  <r>
    <s v="SALE1118"/>
    <d v="2025-01-30T00:00:00"/>
    <s v="CUST1205"/>
    <s v="PROD72"/>
    <s v="STORE9"/>
    <n v="1"/>
    <n v="724.74"/>
    <n v="0.15"/>
    <s v="PayPal"/>
    <x v="1"/>
    <x v="19"/>
    <x v="0"/>
    <s v="Professional Jump Rope - Davis Plc"/>
    <x v="0"/>
    <n v="477.61"/>
    <x v="2"/>
    <x v="1"/>
    <n v="724.59"/>
  </r>
  <r>
    <s v="SALE1119"/>
    <d v="2023-12-11T00:00:00"/>
    <s v="CUST1455"/>
    <s v="PROD21"/>
    <s v="STORE4"/>
    <n v="2"/>
    <n v="961.84"/>
    <n v="0.25"/>
    <s v="PayPal"/>
    <x v="0"/>
    <x v="49"/>
    <x v="0"/>
    <s v="Multi-Purpose Storage Box - Gardner-Montes"/>
    <x v="3"/>
    <n v="123.46"/>
    <x v="2"/>
    <x v="2"/>
    <n v="1923.18"/>
  </r>
  <r>
    <s v="SALE1120"/>
    <d v="2024-06-03T00:00:00"/>
    <s v="CUST1020"/>
    <s v="PROD37"/>
    <s v="STORE16"/>
    <n v="4"/>
    <n v="21.12"/>
    <n v="0.18"/>
    <s v="COD"/>
    <x v="0"/>
    <x v="37"/>
    <x v="2"/>
    <s v="Men'S Casual Sneakers - Hogan-Lee"/>
    <x v="4"/>
    <n v="353.47"/>
    <x v="1"/>
    <x v="1"/>
    <n v="83.76"/>
  </r>
  <r>
    <s v="SALE1121"/>
    <d v="2024-10-14T00:00:00"/>
    <s v="CUST1319"/>
    <s v="PROD0"/>
    <s v="STORE4"/>
    <n v="3"/>
    <n v="819.93"/>
    <n v="0.08"/>
    <s v="PayPal"/>
    <x v="0"/>
    <x v="25"/>
    <x v="1"/>
    <s v="Brother Laser Printer - Hunt Inc"/>
    <x v="1"/>
    <n v="112.42"/>
    <x v="2"/>
    <x v="2"/>
    <n v="2459.5499999999997"/>
  </r>
  <r>
    <s v="SALE1122"/>
    <d v="2025-03-09T00:00:00"/>
    <s v="CUST1294"/>
    <s v="PROD42"/>
    <s v="STORE0"/>
    <n v="2"/>
    <n v="700.95"/>
    <n v="0.18"/>
    <s v="Credit Card"/>
    <x v="0"/>
    <x v="10"/>
    <x v="1"/>
    <s v="Smart Home Wifi Camera - Holmes Llc"/>
    <x v="1"/>
    <n v="450.71"/>
    <x v="3"/>
    <x v="1"/>
    <n v="1401.5400000000002"/>
  </r>
  <r>
    <s v="SALE1123"/>
    <d v="2025-09-10T00:00:00"/>
    <s v="CUST1141"/>
    <s v="PROD17"/>
    <s v="STORE14"/>
    <n v="2"/>
    <n v="456.38"/>
    <n v="0.12"/>
    <s v="Credit Card"/>
    <x v="0"/>
    <x v="24"/>
    <x v="3"/>
    <s v="Soccer Training Cone Set - Ford, Murphy And Wilson"/>
    <x v="0"/>
    <n v="144.53"/>
    <x v="2"/>
    <x v="0"/>
    <n v="912.52"/>
  </r>
  <r>
    <s v="SALE1124"/>
    <d v="2024-06-04T00:00:00"/>
    <s v="CUST1361"/>
    <s v="PROD76"/>
    <s v="STORE14"/>
    <n v="3"/>
    <n v="291.05"/>
    <n v="0.3"/>
    <s v="Credit Card"/>
    <x v="0"/>
    <x v="30"/>
    <x v="1"/>
    <s v="Wireless Mouse - Larson Ltd"/>
    <x v="1"/>
    <n v="392.89"/>
    <x v="2"/>
    <x v="0"/>
    <n v="872.25"/>
  </r>
  <r>
    <s v="SALE1125"/>
    <d v="2024-01-16T00:00:00"/>
    <s v="CUST1233"/>
    <s v="PROD95"/>
    <s v="STORE15"/>
    <n v="2"/>
    <n v="463.52"/>
    <n v="0.27"/>
    <s v="PayPal"/>
    <x v="0"/>
    <x v="35"/>
    <x v="2"/>
    <s v="Sports Stopwatch Basic - Wilson Group"/>
    <x v="0"/>
    <n v="60.65"/>
    <x v="0"/>
    <x v="1"/>
    <n v="926.5"/>
  </r>
  <r>
    <s v="SALE1126"/>
    <d v="2024-12-27T00:00:00"/>
    <s v="CUST1379"/>
    <s v="PROD0"/>
    <s v="STORE17"/>
    <n v="3"/>
    <n v="241.64"/>
    <n v="0.28999999999999998"/>
    <s v="PayPal"/>
    <x v="1"/>
    <x v="9"/>
    <x v="0"/>
    <s v="Brother Laser Printer - Hunt Inc"/>
    <x v="1"/>
    <n v="112.42"/>
    <x v="0"/>
    <x v="1"/>
    <n v="724.05"/>
  </r>
  <r>
    <s v="SALE1127"/>
    <d v="2025-06-09T00:00:00"/>
    <s v="CUST1483"/>
    <s v="PROD30"/>
    <s v="STORE10"/>
    <n v="2"/>
    <n v="47.86"/>
    <n v="0.03"/>
    <s v="PayPal"/>
    <x v="0"/>
    <x v="8"/>
    <x v="0"/>
    <s v="Stainless Steel Cutlery Set - Stevens, Fernandez And Martin"/>
    <x v="3"/>
    <n v="19.52"/>
    <x v="3"/>
    <x v="2"/>
    <n v="95.66"/>
  </r>
  <r>
    <s v="SALE1128"/>
    <d v="2024-08-05T00:00:00"/>
    <s v="CUST1344"/>
    <s v="PROD92"/>
    <s v="STORE3"/>
    <n v="1"/>
    <n v="805.07"/>
    <n v="0.06"/>
    <s v="COD"/>
    <x v="0"/>
    <x v="23"/>
    <x v="0"/>
    <s v="Microwave Oven - Green, Powell And Palmer"/>
    <x v="3"/>
    <n v="447.43"/>
    <x v="0"/>
    <x v="0"/>
    <n v="805.0100000000001"/>
  </r>
  <r>
    <s v="SALE1129"/>
    <d v="2025-04-06T00:00:00"/>
    <s v="CUST1373"/>
    <s v="PROD34"/>
    <s v="STORE1"/>
    <n v="3"/>
    <n v="848.48"/>
    <n v="0"/>
    <s v="COD"/>
    <x v="1"/>
    <x v="17"/>
    <x v="0"/>
    <s v="Gaming Mechanical Keyboard - Lucero Llc"/>
    <x v="1"/>
    <n v="419.28"/>
    <x v="0"/>
    <x v="1"/>
    <n v="2545.44"/>
  </r>
  <r>
    <s v="SALE1130"/>
    <d v="2024-08-08T00:00:00"/>
    <s v="CUST1244"/>
    <s v="PROD53"/>
    <s v="STORE8"/>
    <n v="2"/>
    <n v="568.95000000000005"/>
    <n v="0.22"/>
    <s v="Credit Card"/>
    <x v="0"/>
    <x v="39"/>
    <x v="3"/>
    <s v="Men'S Track Pants - Hamilton, Woods And Walker"/>
    <x v="4"/>
    <n v="386.56"/>
    <x v="1"/>
    <x v="2"/>
    <n v="1137.46"/>
  </r>
  <r>
    <s v="SALE1131"/>
    <d v="2025-04-17T00:00:00"/>
    <s v="CUST1162"/>
    <s v="PROD53"/>
    <s v="STORE11"/>
    <n v="3"/>
    <n v="269.83999999999997"/>
    <n v="0.05"/>
    <s v="PayPal"/>
    <x v="0"/>
    <x v="3"/>
    <x v="2"/>
    <s v="Men'S Track Pants - Hamilton, Woods And Walker"/>
    <x v="4"/>
    <n v="386.56"/>
    <x v="2"/>
    <x v="2"/>
    <n v="809.36999999999989"/>
  </r>
  <r>
    <s v="SALE1132"/>
    <d v="2025-03-30T00:00:00"/>
    <s v="CUST1309"/>
    <s v="PROD62"/>
    <s v="STORE13"/>
    <n v="4"/>
    <n v="267.36"/>
    <n v="0.27"/>
    <s v="PayPal"/>
    <x v="1"/>
    <x v="24"/>
    <x v="3"/>
    <s v="Laptop Cooling Pad - Murray, Gould And Ware"/>
    <x v="1"/>
    <n v="86.42"/>
    <x v="3"/>
    <x v="1"/>
    <n v="1068.3600000000001"/>
  </r>
  <r>
    <s v="SALE1133"/>
    <d v="2024-12-21T00:00:00"/>
    <s v="CUST1114"/>
    <s v="PROD37"/>
    <s v="STORE1"/>
    <n v="1"/>
    <n v="438.41"/>
    <n v="0.09"/>
    <s v="Credit Card"/>
    <x v="0"/>
    <x v="8"/>
    <x v="3"/>
    <s v="Men'S Casual Sneakers - Hogan-Lee"/>
    <x v="4"/>
    <n v="353.47"/>
    <x v="0"/>
    <x v="1"/>
    <n v="438.32000000000005"/>
  </r>
  <r>
    <s v="SALE1134"/>
    <d v="2024-05-31T00:00:00"/>
    <s v="CUST1164"/>
    <s v="PROD51"/>
    <s v="STORE18"/>
    <n v="2"/>
    <n v="86.72"/>
    <n v="0.28000000000000003"/>
    <s v="COD"/>
    <x v="1"/>
    <x v="36"/>
    <x v="2"/>
    <s v="Hdmi Cable – 2M - Bautista, Green And Hale"/>
    <x v="1"/>
    <n v="88.49"/>
    <x v="3"/>
    <x v="1"/>
    <n v="172.88"/>
  </r>
  <r>
    <s v="SALE1135"/>
    <d v="2025-03-06T00:00:00"/>
    <s v="CUST1425"/>
    <s v="PROD89"/>
    <s v="STORE6"/>
    <n v="4"/>
    <n v="630.21"/>
    <n v="0.14000000000000001"/>
    <s v="COD"/>
    <x v="0"/>
    <x v="39"/>
    <x v="3"/>
    <s v="Face Foundation Kit - Taylor-Elliott"/>
    <x v="2"/>
    <n v="183.04"/>
    <x v="3"/>
    <x v="2"/>
    <n v="2520.2800000000002"/>
  </r>
  <r>
    <s v="SALE1136"/>
    <d v="2024-10-10T00:00:00"/>
    <s v="CUST1359"/>
    <s v="PROD59"/>
    <s v="STORE6"/>
    <n v="3"/>
    <n v="180.84"/>
    <n v="0.03"/>
    <s v="PayPal"/>
    <x v="0"/>
    <x v="32"/>
    <x v="2"/>
    <s v="Men'S Hair Styling Gel - Cline-Mccarthy"/>
    <x v="2"/>
    <n v="17.309999999999999"/>
    <x v="3"/>
    <x v="2"/>
    <n v="542.43000000000006"/>
  </r>
  <r>
    <s v="SALE1137"/>
    <d v="2024-05-29T00:00:00"/>
    <s v="CUST1004"/>
    <s v="PROD64"/>
    <s v="STORE16"/>
    <n v="1"/>
    <n v="453.41"/>
    <n v="0.04"/>
    <s v="COD"/>
    <x v="1"/>
    <x v="24"/>
    <x v="2"/>
    <s v="Matte Lipstick Set - Zhang Inc"/>
    <x v="2"/>
    <n v="299.11"/>
    <x v="1"/>
    <x v="1"/>
    <n v="453.37"/>
  </r>
  <r>
    <s v="SALE1138"/>
    <d v="2025-10-10T00:00:00"/>
    <s v="CUST1024"/>
    <s v="PROD51"/>
    <s v="STORE6"/>
    <n v="1"/>
    <n v="629.09"/>
    <n v="0.02"/>
    <s v="Credit Card"/>
    <x v="0"/>
    <x v="12"/>
    <x v="1"/>
    <s v="Hdmi Cable – 2M - Bautista, Green And Hale"/>
    <x v="1"/>
    <n v="88.49"/>
    <x v="3"/>
    <x v="2"/>
    <n v="629.07000000000005"/>
  </r>
  <r>
    <s v="SALE1139"/>
    <d v="2024-08-14T00:00:00"/>
    <s v="CUST1022"/>
    <s v="PROD77"/>
    <s v="STORE2"/>
    <n v="2"/>
    <n v="257.45"/>
    <n v="0"/>
    <s v="COD"/>
    <x v="1"/>
    <x v="22"/>
    <x v="2"/>
    <s v="Wifi Mesh Router - White, Reeves And Woods"/>
    <x v="1"/>
    <n v="480.9"/>
    <x v="2"/>
    <x v="0"/>
    <n v="514.9"/>
  </r>
  <r>
    <s v="SALE1140"/>
    <d v="2025-07-23T00:00:00"/>
    <s v="CUST1179"/>
    <s v="PROD34"/>
    <s v="STORE15"/>
    <n v="2"/>
    <n v="696.61"/>
    <n v="0.17"/>
    <s v="PayPal"/>
    <x v="1"/>
    <x v="39"/>
    <x v="2"/>
    <s v="Gaming Mechanical Keyboard - Lucero Llc"/>
    <x v="1"/>
    <n v="419.28"/>
    <x v="0"/>
    <x v="1"/>
    <n v="1392.88"/>
  </r>
  <r>
    <s v="SALE1141"/>
    <d v="2024-05-04T00:00:00"/>
    <s v="CUST1373"/>
    <s v="PROD46"/>
    <s v="STORE7"/>
    <n v="2"/>
    <n v="143.79"/>
    <n v="0.1"/>
    <s v="PayPal"/>
    <x v="1"/>
    <x v="17"/>
    <x v="0"/>
    <s v="Men'S Winter Jacket - Kelly, Smith And Perez"/>
    <x v="4"/>
    <n v="167.34"/>
    <x v="2"/>
    <x v="2"/>
    <n v="287.38"/>
  </r>
  <r>
    <s v="SALE1142"/>
    <d v="2024-11-12T00:00:00"/>
    <s v="CUST1296"/>
    <s v="PROD83"/>
    <s v="STORE1"/>
    <n v="3"/>
    <n v="460.93"/>
    <n v="0.19"/>
    <s v="COD"/>
    <x v="1"/>
    <x v="35"/>
    <x v="3"/>
    <s v="Hydrating Face Cleanser - Butler Group"/>
    <x v="2"/>
    <n v="289.35937499999994"/>
    <x v="0"/>
    <x v="1"/>
    <n v="1382.22"/>
  </r>
  <r>
    <s v="SALE1143"/>
    <d v="2024-01-10T00:00:00"/>
    <s v="CUST1499"/>
    <s v="PROD28"/>
    <s v="STORE9"/>
    <n v="2"/>
    <n v="67.55"/>
    <n v="0.03"/>
    <s v="Credit Card"/>
    <x v="1"/>
    <x v="47"/>
    <x v="1"/>
    <s v="Sports Stopwatch Timer - Burns-Hansen"/>
    <x v="0"/>
    <n v="38.76"/>
    <x v="2"/>
    <x v="1"/>
    <n v="135.04"/>
  </r>
  <r>
    <s v="SALE1144"/>
    <d v="2024-05-21T00:00:00"/>
    <s v="CUST1210"/>
    <s v="PROD49"/>
    <s v="STORE1"/>
    <n v="3"/>
    <n v="803.31"/>
    <n v="0.1"/>
    <s v="PayPal"/>
    <x v="0"/>
    <x v="36"/>
    <x v="2"/>
    <s v="Men'S Roll-On Perfume - Sullivan And Sons"/>
    <x v="2"/>
    <n v="43.29"/>
    <x v="0"/>
    <x v="1"/>
    <n v="2409.6299999999997"/>
  </r>
  <r>
    <s v="SALE1145"/>
    <d v="2025-06-13T00:00:00"/>
    <s v="CUST1432"/>
    <s v="PROD16"/>
    <s v="STORE13"/>
    <n v="4"/>
    <n v="254.71"/>
    <n v="0.2"/>
    <s v="COD"/>
    <x v="0"/>
    <x v="19"/>
    <x v="3"/>
    <s v="Beard Grooming Kit - Erickson-Green"/>
    <x v="2"/>
    <n v="337.42"/>
    <x v="3"/>
    <x v="1"/>
    <n v="1018.0400000000001"/>
  </r>
  <r>
    <s v="SALE1146"/>
    <d v="2024-08-04T00:00:00"/>
    <s v="CUST1051"/>
    <s v="PROD50"/>
    <s v="STORE4"/>
    <n v="4"/>
    <n v="594.89"/>
    <n v="0.3"/>
    <s v="PayPal"/>
    <x v="1"/>
    <x v="35"/>
    <x v="0"/>
    <s v="Boxing Hand Wraps - Smith-King"/>
    <x v="0"/>
    <n v="190.29"/>
    <x v="2"/>
    <x v="2"/>
    <n v="2378.36"/>
  </r>
  <r>
    <s v="SALE1147"/>
    <d v="2025-07-16T00:00:00"/>
    <s v="CUST1219"/>
    <s v="PROD91"/>
    <s v="STORE0"/>
    <n v="2"/>
    <n v="844.31"/>
    <n v="7.0000000000000007E-2"/>
    <s v="PayPal"/>
    <x v="1"/>
    <x v="19"/>
    <x v="0"/>
    <s v="Women'S High Heels - Smith-Charles"/>
    <x v="4"/>
    <n v="438.25"/>
    <x v="3"/>
    <x v="1"/>
    <n v="1688.4799999999998"/>
  </r>
  <r>
    <s v="SALE1148"/>
    <d v="2024-10-04T00:00:00"/>
    <s v="CUST1134"/>
    <s v="PROD15"/>
    <s v="STORE6"/>
    <n v="4"/>
    <n v="101.33"/>
    <n v="0"/>
    <s v="Credit Card"/>
    <x v="0"/>
    <x v="7"/>
    <x v="0"/>
    <s v="4K Home Projector - Thomas Llc"/>
    <x v="1"/>
    <n v="465.34"/>
    <x v="3"/>
    <x v="2"/>
    <n v="405.32"/>
  </r>
  <r>
    <s v="SALE1149"/>
    <d v="2025-06-16T00:00:00"/>
    <s v="CUST1131"/>
    <s v="PROD26"/>
    <s v="STORE8"/>
    <n v="3"/>
    <n v="922.56"/>
    <n v="0.18"/>
    <s v="PayPal"/>
    <x v="1"/>
    <x v="4"/>
    <x v="3"/>
    <s v="Wireless Bluetooth Speaker - Reed-Schmidt"/>
    <x v="1"/>
    <n v="322.41000000000003"/>
    <x v="1"/>
    <x v="2"/>
    <n v="2767.14"/>
  </r>
  <r>
    <s v="SALE1150"/>
    <d v="2024-03-01T00:00:00"/>
    <s v="CUST1432"/>
    <s v="PROD38"/>
    <s v="STORE14"/>
    <n v="4"/>
    <n v="867.19"/>
    <n v="7.0000000000000007E-2"/>
    <s v="COD"/>
    <x v="0"/>
    <x v="19"/>
    <x v="3"/>
    <s v="Sports Water Hydration Pack - Sims-Smith"/>
    <x v="0"/>
    <n v="135.61000000000001"/>
    <x v="2"/>
    <x v="0"/>
    <n v="3468.48"/>
  </r>
  <r>
    <s v="SALE1151"/>
    <d v="2024-06-11T00:00:00"/>
    <s v="CUST1006"/>
    <s v="PROD83"/>
    <s v="STORE17"/>
    <n v="3"/>
    <n v="816.87"/>
    <n v="0.14000000000000001"/>
    <s v="PayPal"/>
    <x v="1"/>
    <x v="34"/>
    <x v="1"/>
    <s v="Hydrating Face Cleanser - Butler Group"/>
    <x v="2"/>
    <n v="289.35937499999994"/>
    <x v="0"/>
    <x v="1"/>
    <n v="2450.19"/>
  </r>
  <r>
    <s v="SALE1152"/>
    <d v="2025-09-24T00:00:00"/>
    <s v="CUST1480"/>
    <s v="PROD65"/>
    <s v="STORE3"/>
    <n v="3"/>
    <n v="258.06"/>
    <n v="0"/>
    <s v="PayPal"/>
    <x v="0"/>
    <x v="26"/>
    <x v="3"/>
    <s v="Adjustable Dumbbells 20Kg - Montgomery, Benton And Miller"/>
    <x v="0"/>
    <n v="240.63"/>
    <x v="0"/>
    <x v="0"/>
    <n v="774.18000000000006"/>
  </r>
  <r>
    <s v="SALE1153"/>
    <d v="2025-02-06T00:00:00"/>
    <s v="CUST1312"/>
    <s v="PROD38"/>
    <s v="STORE14"/>
    <n v="2"/>
    <n v="574.58000000000004"/>
    <n v="0.06"/>
    <s v="Credit Card"/>
    <x v="1"/>
    <x v="37"/>
    <x v="2"/>
    <s v="Sports Water Hydration Pack - Sims-Smith"/>
    <x v="0"/>
    <n v="135.61000000000001"/>
    <x v="2"/>
    <x v="0"/>
    <n v="1149.0400000000002"/>
  </r>
  <r>
    <s v="SALE1154"/>
    <d v="2024-10-22T00:00:00"/>
    <s v="CUST1022"/>
    <s v="PROD83"/>
    <s v="STORE6"/>
    <n v="2"/>
    <n v="472.18"/>
    <n v="0.27"/>
    <s v="PayPal"/>
    <x v="1"/>
    <x v="22"/>
    <x v="2"/>
    <s v="Hydrating Face Cleanser - Butler Group"/>
    <x v="2"/>
    <n v="289.35937499999994"/>
    <x v="3"/>
    <x v="2"/>
    <n v="943.82"/>
  </r>
  <r>
    <s v="SALE1155"/>
    <d v="2024-09-21T00:00:00"/>
    <s v="CUST1340"/>
    <s v="PROD41"/>
    <s v="STORE5"/>
    <n v="2"/>
    <n v="20.47"/>
    <n v="0.12"/>
    <s v="COD"/>
    <x v="0"/>
    <x v="44"/>
    <x v="3"/>
    <s v="Yoga Exercise Mat - Carroll, Long And Mendoza"/>
    <x v="0"/>
    <n v="313.26"/>
    <x v="0"/>
    <x v="0"/>
    <n v="40.699999999999996"/>
  </r>
  <r>
    <s v="SALE1156"/>
    <d v="2025-09-23T00:00:00"/>
    <s v="CUST1023"/>
    <s v="PROD22"/>
    <s v="STORE7"/>
    <n v="3"/>
    <n v="235.41"/>
    <n v="0.15"/>
    <s v="PayPal"/>
    <x v="1"/>
    <x v="47"/>
    <x v="2"/>
    <s v="Carbon Fiber Tennis Racket - Flores, Pineda And Rodriguez"/>
    <x v="0"/>
    <n v="484.62"/>
    <x v="2"/>
    <x v="2"/>
    <n v="705.78"/>
  </r>
  <r>
    <s v="SALE1157"/>
    <d v="2025-06-03T00:00:00"/>
    <s v="CUST1230"/>
    <s v="PROD78"/>
    <s v="STORE7"/>
    <n v="3"/>
    <n v="744.9"/>
    <n v="0.27"/>
    <s v="PayPal"/>
    <x v="0"/>
    <x v="26"/>
    <x v="3"/>
    <s v="Essential Oil Diffuser - Hernandez Inc"/>
    <x v="3"/>
    <n v="325.26"/>
    <x v="2"/>
    <x v="2"/>
    <n v="2233.89"/>
  </r>
  <r>
    <s v="SALE1158"/>
    <d v="2024-09-24T00:00:00"/>
    <s v="CUST1047"/>
    <s v="PROD18"/>
    <s v="STORE3"/>
    <n v="2"/>
    <n v="382.2"/>
    <n v="0.15"/>
    <s v="Credit Card"/>
    <x v="1"/>
    <x v="8"/>
    <x v="2"/>
    <s v="Women'S Denim Jeans - Guerra-Hendrix"/>
    <x v="4"/>
    <n v="245.7783116883117"/>
    <x v="0"/>
    <x v="0"/>
    <n v="764.1"/>
  </r>
  <r>
    <s v="SALE1159"/>
    <d v="2025-08-12T00:00:00"/>
    <s v="CUST1346"/>
    <s v="PROD90"/>
    <s v="STORE16"/>
    <n v="1"/>
    <n v="269.25"/>
    <n v="0.14000000000000001"/>
    <s v="PayPal"/>
    <x v="1"/>
    <x v="3"/>
    <x v="1"/>
    <s v="Gaming Mouse Pad Xl - Sharp, Taylor And Rodriguez"/>
    <x v="1"/>
    <n v="340.14"/>
    <x v="1"/>
    <x v="1"/>
    <n v="269.11"/>
  </r>
  <r>
    <s v="SALE1160"/>
    <d v="2024-03-16T00:00:00"/>
    <s v="CUST1365"/>
    <s v="PROD30"/>
    <s v="STORE11"/>
    <n v="2"/>
    <n v="723.75"/>
    <n v="0.03"/>
    <s v="PayPal"/>
    <x v="1"/>
    <x v="41"/>
    <x v="1"/>
    <s v="Stainless Steel Cutlery Set - Stevens, Fernandez And Martin"/>
    <x v="3"/>
    <n v="19.52"/>
    <x v="2"/>
    <x v="2"/>
    <n v="1447.44"/>
  </r>
  <r>
    <s v="SALE1161"/>
    <d v="2025-06-24T00:00:00"/>
    <s v="CUST1281"/>
    <s v="PROD19"/>
    <s v="STORE19"/>
    <n v="4"/>
    <n v="58.92"/>
    <n v="0.18"/>
    <s v="Credit Card"/>
    <x v="0"/>
    <x v="40"/>
    <x v="1"/>
    <s v="Knee Support Brace - May-Reese"/>
    <x v="0"/>
    <n v="21.34"/>
    <x v="3"/>
    <x v="2"/>
    <n v="234.96"/>
  </r>
  <r>
    <s v="SALE1162"/>
    <d v="2024-05-26T00:00:00"/>
    <s v="CUST1188"/>
    <s v="PROD71"/>
    <s v="STORE10"/>
    <n v="2"/>
    <n v="913.08"/>
    <n v="0.26"/>
    <s v="Credit Card"/>
    <x v="0"/>
    <x v="23"/>
    <x v="2"/>
    <s v="Hair Repair Oil Treatment - Hopkins Ltd"/>
    <x v="2"/>
    <n v="214.32"/>
    <x v="3"/>
    <x v="2"/>
    <n v="1825.64"/>
  </r>
  <r>
    <s v="SALE1163"/>
    <d v="2025-02-03T00:00:00"/>
    <s v="CUST1242"/>
    <s v="PROD81"/>
    <s v="STORE1"/>
    <n v="1"/>
    <n v="791.83"/>
    <n v="0.28000000000000003"/>
    <s v="PayPal"/>
    <x v="1"/>
    <x v="40"/>
    <x v="2"/>
    <s v="Badminton Racket Set - Robinson-Brown"/>
    <x v="0"/>
    <n v="285.54000000000002"/>
    <x v="0"/>
    <x v="1"/>
    <n v="791.55000000000007"/>
  </r>
  <r>
    <s v="SALE1164"/>
    <d v="2024-08-02T00:00:00"/>
    <s v="CUST1471"/>
    <s v="PROD3"/>
    <s v="STORE15"/>
    <n v="1"/>
    <n v="74.290000000000006"/>
    <n v="0.3"/>
    <s v="COD"/>
    <x v="0"/>
    <x v="10"/>
    <x v="1"/>
    <s v="Men'S Running Jacket - Pineda Ltd"/>
    <x v="4"/>
    <n v="364.67"/>
    <x v="0"/>
    <x v="1"/>
    <n v="73.990000000000009"/>
  </r>
  <r>
    <s v="SALE1165"/>
    <d v="2023-11-21T00:00:00"/>
    <s v="CUST1243"/>
    <s v="PROD35"/>
    <s v="STORE0"/>
    <n v="2"/>
    <n v="961.68"/>
    <n v="0.27"/>
    <s v="PayPal"/>
    <x v="1"/>
    <x v="11"/>
    <x v="0"/>
    <s v="Bedroom Table Lamp - Jones Llc"/>
    <x v="3"/>
    <n v="382.22"/>
    <x v="3"/>
    <x v="1"/>
    <n v="1922.82"/>
  </r>
  <r>
    <s v="SALE1166"/>
    <d v="2025-03-06T00:00:00"/>
    <s v="CUST1494"/>
    <s v="PROD19"/>
    <s v="STORE14"/>
    <n v="1"/>
    <n v="90.72"/>
    <n v="0.1"/>
    <s v="PayPal"/>
    <x v="0"/>
    <x v="11"/>
    <x v="0"/>
    <s v="Knee Support Brace - May-Reese"/>
    <x v="0"/>
    <n v="21.34"/>
    <x v="2"/>
    <x v="0"/>
    <n v="90.62"/>
  </r>
  <r>
    <s v="SALE1167"/>
    <d v="2025-02-01T00:00:00"/>
    <s v="CUST1060"/>
    <s v="PROD58"/>
    <s v="STORE7"/>
    <n v="1"/>
    <n v="458.69"/>
    <n v="0.16"/>
    <s v="PayPal"/>
    <x v="1"/>
    <x v="41"/>
    <x v="2"/>
    <s v="Womens Cotton Scarf - Shepherd-Gould"/>
    <x v="4"/>
    <n v="113.83"/>
    <x v="2"/>
    <x v="2"/>
    <n v="458.53"/>
  </r>
  <r>
    <s v="SALE1168"/>
    <d v="2024-02-24T00:00:00"/>
    <s v="CUST1231"/>
    <s v="PROD34"/>
    <s v="STORE7"/>
    <n v="1"/>
    <n v="168.29"/>
    <n v="0.05"/>
    <s v="PayPal"/>
    <x v="1"/>
    <x v="42"/>
    <x v="3"/>
    <s v="Gaming Mechanical Keyboard - Lucero Llc"/>
    <x v="1"/>
    <n v="419.28"/>
    <x v="2"/>
    <x v="2"/>
    <n v="168.23999999999998"/>
  </r>
  <r>
    <s v="SALE1169"/>
    <d v="2024-09-14T00:00:00"/>
    <s v="CUST1211"/>
    <s v="PROD17"/>
    <s v="STORE17"/>
    <n v="1"/>
    <n v="391.77"/>
    <n v="0.1"/>
    <s v="PayPal"/>
    <x v="1"/>
    <x v="37"/>
    <x v="2"/>
    <s v="Soccer Training Cone Set - Ford, Murphy And Wilson"/>
    <x v="0"/>
    <n v="144.53"/>
    <x v="0"/>
    <x v="1"/>
    <n v="391.66999999999996"/>
  </r>
  <r>
    <s v="SALE1170"/>
    <d v="2025-08-31T00:00:00"/>
    <s v="CUST1343"/>
    <s v="PROD12"/>
    <s v="STORE14"/>
    <n v="1"/>
    <n v="424.83"/>
    <n v="0.05"/>
    <s v="COD"/>
    <x v="0"/>
    <x v="45"/>
    <x v="3"/>
    <s v="Hair Strengthening Shampoo - Rice Llc"/>
    <x v="2"/>
    <n v="115.82"/>
    <x v="2"/>
    <x v="0"/>
    <n v="424.78"/>
  </r>
  <r>
    <s v="SALE1171"/>
    <d v="2024-01-17T00:00:00"/>
    <s v="CUST1053"/>
    <s v="PROD11"/>
    <s v="STORE3"/>
    <n v="1"/>
    <n v="499.46"/>
    <n v="0.1"/>
    <s v="Credit Card"/>
    <x v="1"/>
    <x v="20"/>
    <x v="0"/>
    <s v="Hd Smart Tv Stick - Gibson, Hobbs And Weaver"/>
    <x v="1"/>
    <n v="449.4"/>
    <x v="0"/>
    <x v="0"/>
    <n v="499.35999999999996"/>
  </r>
  <r>
    <s v="SALE1172"/>
    <d v="2024-02-14T00:00:00"/>
    <s v="CUST1019"/>
    <s v="PROD99"/>
    <s v="STORE1"/>
    <n v="2"/>
    <n v="698.34"/>
    <n v="0.15"/>
    <s v="PayPal"/>
    <x v="1"/>
    <x v="19"/>
    <x v="1"/>
    <s v="Stainless Steel Cookware Set - Campbell Ltd"/>
    <x v="3"/>
    <n v="201.41"/>
    <x v="0"/>
    <x v="1"/>
    <n v="1396.38"/>
  </r>
  <r>
    <s v="SALE1173"/>
    <d v="2023-10-14T00:00:00"/>
    <s v="CUST1283"/>
    <s v="PROD56"/>
    <s v="STORE16"/>
    <n v="2"/>
    <n v="805.08"/>
    <n v="0.27"/>
    <s v="PayPal"/>
    <x v="1"/>
    <x v="0"/>
    <x v="2"/>
    <s v="Premium Blanket Throw - Hernandez, Kennedy And Porter"/>
    <x v="3"/>
    <n v="461.47"/>
    <x v="1"/>
    <x v="1"/>
    <n v="1609.6200000000001"/>
  </r>
  <r>
    <s v="SALE1174"/>
    <d v="2025-03-26T00:00:00"/>
    <s v="CUST1466"/>
    <s v="PROD76"/>
    <s v="STORE2"/>
    <n v="4"/>
    <n v="934.79"/>
    <n v="0.08"/>
    <s v="PayPal"/>
    <x v="0"/>
    <x v="46"/>
    <x v="2"/>
    <s v="Wireless Mouse - Larson Ltd"/>
    <x v="1"/>
    <n v="392.89"/>
    <x v="2"/>
    <x v="0"/>
    <n v="3738.8399999999997"/>
  </r>
  <r>
    <s v="SALE1175"/>
    <d v="2025-10-02T00:00:00"/>
    <s v="CUST1019"/>
    <s v="PROD60"/>
    <s v="STORE1"/>
    <n v="2"/>
    <n v="424.54"/>
    <n v="0.24"/>
    <s v="PayPal"/>
    <x v="1"/>
    <x v="19"/>
    <x v="1"/>
    <s v="Luxury Perfume Spray - Gibson, Green And Lopez"/>
    <x v="2"/>
    <n v="482.75"/>
    <x v="0"/>
    <x v="1"/>
    <n v="848.6"/>
  </r>
  <r>
    <s v="SALE1176"/>
    <d v="2024-06-19T00:00:00"/>
    <s v="CUST1327"/>
    <s v="PROD84"/>
    <s v="STORE17"/>
    <n v="1"/>
    <n v="235.44"/>
    <n v="0.19"/>
    <s v="COD"/>
    <x v="1"/>
    <x v="14"/>
    <x v="3"/>
    <s v="Wooden Bookshelf - Collins-Stephenson"/>
    <x v="3"/>
    <n v="388.46"/>
    <x v="0"/>
    <x v="1"/>
    <n v="235.25"/>
  </r>
  <r>
    <s v="SALE1177"/>
    <d v="2024-10-03T00:00:00"/>
    <s v="CUST1271"/>
    <s v="PROD49"/>
    <s v="STORE13"/>
    <n v="2"/>
    <n v="620.71"/>
    <n v="0.27"/>
    <s v="Credit Card"/>
    <x v="0"/>
    <x v="48"/>
    <x v="1"/>
    <s v="Men'S Roll-On Perfume - Sullivan And Sons"/>
    <x v="2"/>
    <n v="43.29"/>
    <x v="3"/>
    <x v="1"/>
    <n v="1240.8800000000001"/>
  </r>
  <r>
    <s v="SALE1178"/>
    <d v="2024-04-15T00:00:00"/>
    <s v="CUST1115"/>
    <s v="PROD16"/>
    <s v="STORE11"/>
    <n v="2"/>
    <n v="851.77"/>
    <n v="0.13"/>
    <s v="PayPal"/>
    <x v="1"/>
    <x v="16"/>
    <x v="1"/>
    <s v="Beard Grooming Kit - Erickson-Green"/>
    <x v="2"/>
    <n v="337.42"/>
    <x v="2"/>
    <x v="2"/>
    <n v="1703.28"/>
  </r>
  <r>
    <s v="SALE1179"/>
    <d v="2024-10-04T00:00:00"/>
    <s v="CUST1168"/>
    <s v="PROD45"/>
    <s v="STORE1"/>
    <n v="3"/>
    <n v="876.01"/>
    <n v="0.2"/>
    <s v="Credit Card"/>
    <x v="1"/>
    <x v="26"/>
    <x v="1"/>
    <s v="High-Grip Football - Bridges, Banks And Cummings"/>
    <x v="0"/>
    <n v="318.91000000000003"/>
    <x v="0"/>
    <x v="1"/>
    <n v="2627.43"/>
  </r>
  <r>
    <s v="SALE1180"/>
    <d v="2024-03-02T00:00:00"/>
    <s v="CUST1276"/>
    <s v="PROD27"/>
    <s v="STORE9"/>
    <n v="2"/>
    <n v="717.21"/>
    <n v="0.15"/>
    <s v="COD"/>
    <x v="0"/>
    <x v="8"/>
    <x v="0"/>
    <s v="Decorative Floor Vase - Khan, Jones And Paul"/>
    <x v="3"/>
    <n v="250.02157142857135"/>
    <x v="2"/>
    <x v="1"/>
    <n v="1434.1200000000001"/>
  </r>
  <r>
    <s v="SALE1181"/>
    <d v="2024-02-21T00:00:00"/>
    <s v="CUST1056"/>
    <s v="PROD41"/>
    <s v="STORE8"/>
    <n v="2"/>
    <n v="871.43"/>
    <n v="0.05"/>
    <s v="Credit Card"/>
    <x v="1"/>
    <x v="2"/>
    <x v="0"/>
    <s v="Yoga Exercise Mat - Carroll, Long And Mendoza"/>
    <x v="0"/>
    <n v="313.26"/>
    <x v="1"/>
    <x v="2"/>
    <n v="1742.76"/>
  </r>
  <r>
    <s v="SALE1182"/>
    <d v="2024-01-30T00:00:00"/>
    <s v="CUST1453"/>
    <s v="PROD36"/>
    <s v="STORE7"/>
    <n v="1"/>
    <n v="514.65"/>
    <n v="0.18"/>
    <s v="Credit Card"/>
    <x v="1"/>
    <x v="22"/>
    <x v="1"/>
    <s v="Women'S Summer Dress - Smith-Mills"/>
    <x v="4"/>
    <n v="223.43"/>
    <x v="2"/>
    <x v="2"/>
    <n v="514.47"/>
  </r>
  <r>
    <s v="SALE1183"/>
    <d v="2024-12-24T00:00:00"/>
    <s v="CUST1459"/>
    <s v="PROD62"/>
    <s v="STORE16"/>
    <n v="3"/>
    <n v="198.76"/>
    <n v="0.28000000000000003"/>
    <s v="COD"/>
    <x v="1"/>
    <x v="42"/>
    <x v="0"/>
    <s v="Laptop Cooling Pad - Murray, Gould And Ware"/>
    <x v="1"/>
    <n v="86.42"/>
    <x v="1"/>
    <x v="1"/>
    <n v="595.43999999999994"/>
  </r>
  <r>
    <s v="SALE1184"/>
    <d v="2025-06-03T00:00:00"/>
    <s v="CUST1225"/>
    <s v="PROD63"/>
    <s v="STORE3"/>
    <n v="2"/>
    <n v="975.72"/>
    <n v="0.16"/>
    <s v="COD"/>
    <x v="1"/>
    <x v="39"/>
    <x v="1"/>
    <s v="Organic Sunscreen Lotion - Anderson-Riley"/>
    <x v="2"/>
    <n v="266.86"/>
    <x v="0"/>
    <x v="0"/>
    <n v="1951.1200000000001"/>
  </r>
  <r>
    <s v="SALE1185"/>
    <d v="2024-08-01T00:00:00"/>
    <s v="CUST1420"/>
    <s v="PROD15"/>
    <s v="STORE1"/>
    <n v="1"/>
    <n v="86.03"/>
    <n v="0.01"/>
    <s v="Credit Card"/>
    <x v="0"/>
    <x v="29"/>
    <x v="3"/>
    <s v="4K Home Projector - Thomas Llc"/>
    <x v="1"/>
    <n v="465.34"/>
    <x v="0"/>
    <x v="1"/>
    <n v="86.02"/>
  </r>
  <r>
    <s v="SALE1186"/>
    <d v="2025-08-28T00:00:00"/>
    <s v="CUST1087"/>
    <s v="PROD54"/>
    <s v="STORE12"/>
    <n v="4"/>
    <n v="705.12"/>
    <n v="0.15"/>
    <s v="PayPal"/>
    <x v="1"/>
    <x v="42"/>
    <x v="3"/>
    <s v="Sports Stopwatch Pro - Thompson-French"/>
    <x v="0"/>
    <n v="434.84"/>
    <x v="0"/>
    <x v="2"/>
    <n v="2819.88"/>
  </r>
  <r>
    <s v="SALE1187"/>
    <d v="2024-11-06T00:00:00"/>
    <s v="CUST1371"/>
    <s v="PROD18"/>
    <s v="STORE12"/>
    <n v="3"/>
    <n v="99.77"/>
    <n v="0.01"/>
    <s v="PayPal"/>
    <x v="1"/>
    <x v="21"/>
    <x v="1"/>
    <s v="Women'S Denim Jeans - Guerra-Hendrix"/>
    <x v="4"/>
    <n v="245.7783116883117"/>
    <x v="0"/>
    <x v="2"/>
    <n v="299.27999999999997"/>
  </r>
  <r>
    <s v="SALE1188"/>
    <d v="2024-08-26T00:00:00"/>
    <s v="CUST1209"/>
    <s v="PROD34"/>
    <s v="STORE9"/>
    <n v="2"/>
    <n v="166.26"/>
    <n v="0.14000000000000001"/>
    <s v="PayPal"/>
    <x v="1"/>
    <x v="17"/>
    <x v="1"/>
    <s v="Gaming Mechanical Keyboard - Lucero Llc"/>
    <x v="1"/>
    <n v="419.28"/>
    <x v="2"/>
    <x v="1"/>
    <n v="332.24"/>
  </r>
  <r>
    <s v="SALE1189"/>
    <d v="2025-03-13T00:00:00"/>
    <s v="CUST1459"/>
    <s v="PROD26"/>
    <s v="STORE5"/>
    <n v="1"/>
    <n v="429.25"/>
    <n v="0.28999999999999998"/>
    <s v="Credit Card"/>
    <x v="1"/>
    <x v="42"/>
    <x v="0"/>
    <s v="Wireless Bluetooth Speaker - Reed-Schmidt"/>
    <x v="1"/>
    <n v="322.41000000000003"/>
    <x v="0"/>
    <x v="0"/>
    <n v="428.96"/>
  </r>
  <r>
    <s v="SALE1190"/>
    <d v="2024-06-25T00:00:00"/>
    <s v="CUST1443"/>
    <s v="PROD0"/>
    <s v="STORE9"/>
    <n v="2"/>
    <n v="540.48"/>
    <n v="0.28999999999999998"/>
    <s v="Credit Card"/>
    <x v="0"/>
    <x v="11"/>
    <x v="2"/>
    <s v="Brother Laser Printer - Hunt Inc"/>
    <x v="1"/>
    <n v="112.42"/>
    <x v="2"/>
    <x v="1"/>
    <n v="1080.3800000000001"/>
  </r>
  <r>
    <s v="SALE1191"/>
    <d v="2025-10-06T00:00:00"/>
    <s v="CUST1269"/>
    <s v="PROD59"/>
    <s v="STORE14"/>
    <n v="2"/>
    <n v="579.52"/>
    <n v="0.01"/>
    <s v="PayPal"/>
    <x v="1"/>
    <x v="24"/>
    <x v="2"/>
    <s v="Men'S Hair Styling Gel - Cline-Mccarthy"/>
    <x v="2"/>
    <n v="17.309999999999999"/>
    <x v="2"/>
    <x v="0"/>
    <n v="1159.02"/>
  </r>
  <r>
    <s v="SALE1192"/>
    <d v="2024-11-26T00:00:00"/>
    <s v="CUST1026"/>
    <s v="PROD69"/>
    <s v="STORE17"/>
    <n v="4"/>
    <n v="477.52"/>
    <n v="7.0000000000000007E-2"/>
    <s v="PayPal"/>
    <x v="1"/>
    <x v="6"/>
    <x v="0"/>
    <s v="Men'S Sports Shorts - Fitzpatrick Ltd"/>
    <x v="4"/>
    <n v="218.22"/>
    <x v="0"/>
    <x v="1"/>
    <n v="1909.8"/>
  </r>
  <r>
    <s v="SALE1193"/>
    <d v="2025-02-17T00:00:00"/>
    <s v="CUST1259"/>
    <s v="PROD91"/>
    <s v="STORE6"/>
    <n v="3"/>
    <n v="242.58"/>
    <n v="0.25"/>
    <s v="Credit Card"/>
    <x v="1"/>
    <x v="15"/>
    <x v="2"/>
    <s v="Women'S High Heels - Smith-Charles"/>
    <x v="4"/>
    <n v="438.25"/>
    <x v="3"/>
    <x v="2"/>
    <n v="726.99"/>
  </r>
  <r>
    <s v="SALE1194"/>
    <d v="2023-11-20T00:00:00"/>
    <s v="CUST1367"/>
    <s v="PROD26"/>
    <s v="STORE17"/>
    <n v="2"/>
    <n v="519.29999999999995"/>
    <n v="0.09"/>
    <s v="PayPal"/>
    <x v="0"/>
    <x v="31"/>
    <x v="3"/>
    <s v="Wireless Bluetooth Speaker - Reed-Schmidt"/>
    <x v="1"/>
    <n v="322.41000000000003"/>
    <x v="0"/>
    <x v="1"/>
    <n v="1038.4199999999998"/>
  </r>
  <r>
    <s v="SALE1195"/>
    <d v="2025-01-27T00:00:00"/>
    <s v="CUST1491"/>
    <s v="PROD94"/>
    <s v="STORE11"/>
    <n v="3"/>
    <n v="845.67"/>
    <n v="0.12"/>
    <s v="COD"/>
    <x v="1"/>
    <x v="34"/>
    <x v="0"/>
    <s v="Vitamin E Body Lotion - Hoffman-Williams"/>
    <x v="2"/>
    <n v="358.47"/>
    <x v="2"/>
    <x v="2"/>
    <n v="2536.6499999999996"/>
  </r>
  <r>
    <s v="SALE1196"/>
    <d v="2024-04-13T00:00:00"/>
    <s v="CUST1305"/>
    <s v="PROD55"/>
    <s v="STORE16"/>
    <n v="4"/>
    <n v="750.26"/>
    <n v="0.01"/>
    <s v="PayPal"/>
    <x v="0"/>
    <x v="7"/>
    <x v="1"/>
    <s v="Ceramic Plant Pot - Hatfield, Baird And Torres"/>
    <x v="3"/>
    <n v="81.75"/>
    <x v="1"/>
    <x v="1"/>
    <n v="3001"/>
  </r>
  <r>
    <s v="SALE1197"/>
    <d v="2024-03-31T00:00:00"/>
    <s v="CUST1332"/>
    <s v="PROD92"/>
    <s v="STORE12"/>
    <n v="4"/>
    <n v="294.38"/>
    <n v="0.2"/>
    <s v="Credit Card"/>
    <x v="1"/>
    <x v="22"/>
    <x v="3"/>
    <s v="Microwave Oven - Green, Powell And Palmer"/>
    <x v="3"/>
    <n v="447.43"/>
    <x v="0"/>
    <x v="2"/>
    <n v="1176.72"/>
  </r>
  <r>
    <s v="SALE1198"/>
    <d v="2025-09-19T00:00:00"/>
    <s v="CUST1097"/>
    <s v="PROD96"/>
    <s v="STORE2"/>
    <n v="3"/>
    <n v="583.52"/>
    <n v="7.0000000000000007E-2"/>
    <s v="PayPal"/>
    <x v="0"/>
    <x v="34"/>
    <x v="2"/>
    <s v="Women'S Formal Blazer - Phillips And Sons"/>
    <x v="4"/>
    <n v="358.47"/>
    <x v="2"/>
    <x v="0"/>
    <n v="1750.35"/>
  </r>
  <r>
    <s v="SALE1199"/>
    <d v="2024-06-10T00:00:00"/>
    <s v="CUST1470"/>
    <s v="PROD89"/>
    <s v="STORE16"/>
    <n v="2"/>
    <n v="635.22"/>
    <n v="0.3"/>
    <s v="COD"/>
    <x v="1"/>
    <x v="21"/>
    <x v="0"/>
    <s v="Face Foundation Kit - Taylor-Elliott"/>
    <x v="2"/>
    <n v="183.04"/>
    <x v="1"/>
    <x v="1"/>
    <n v="1269.8400000000001"/>
  </r>
  <r>
    <s v="SALE1200"/>
    <d v="2024-01-22T00:00:00"/>
    <s v="CUST1428"/>
    <s v="PROD66"/>
    <s v="STORE2"/>
    <n v="1"/>
    <n v="743.55"/>
    <n v="0.11"/>
    <s v="COD"/>
    <x v="1"/>
    <x v="38"/>
    <x v="3"/>
    <s v="Women'S Hair Dryer Brush - Torres, Spencer And Potter"/>
    <x v="2"/>
    <n v="340.39"/>
    <x v="2"/>
    <x v="0"/>
    <n v="743.43999999999994"/>
  </r>
  <r>
    <s v="SALE1201"/>
    <d v="2024-03-26T00:00:00"/>
    <s v="CUST1101"/>
    <s v="PROD44"/>
    <s v="STORE3"/>
    <n v="4"/>
    <n v="530.45000000000005"/>
    <n v="0.13"/>
    <s v="Credit Card"/>
    <x v="0"/>
    <x v="39"/>
    <x v="0"/>
    <s v="Adjustable Jump Rope - Cox Inc"/>
    <x v="0"/>
    <n v="167.12"/>
    <x v="0"/>
    <x v="0"/>
    <n v="2121.2800000000002"/>
  </r>
  <r>
    <s v="SALE1202"/>
    <d v="2024-03-20T00:00:00"/>
    <s v="CUST1264"/>
    <s v="PROD66"/>
    <s v="STORE9"/>
    <n v="2"/>
    <n v="972.4"/>
    <n v="0.06"/>
    <s v="COD"/>
    <x v="0"/>
    <x v="0"/>
    <x v="0"/>
    <s v="Women'S Hair Dryer Brush - Torres, Spencer And Potter"/>
    <x v="2"/>
    <n v="340.39"/>
    <x v="2"/>
    <x v="1"/>
    <n v="1944.68"/>
  </r>
  <r>
    <s v="SALE1203"/>
    <d v="2025-05-20T00:00:00"/>
    <s v="CUST1378"/>
    <s v="PROD15"/>
    <s v="STORE18"/>
    <n v="3"/>
    <n v="197.93"/>
    <n v="0"/>
    <s v="COD"/>
    <x v="1"/>
    <x v="37"/>
    <x v="3"/>
    <s v="4K Home Projector - Thomas Llc"/>
    <x v="1"/>
    <n v="465.34"/>
    <x v="3"/>
    <x v="1"/>
    <n v="593.79"/>
  </r>
  <r>
    <s v="SALE1204"/>
    <d v="2024-10-10T00:00:00"/>
    <s v="CUST1342"/>
    <s v="PROD87"/>
    <s v="STORE11"/>
    <n v="4"/>
    <n v="565.51"/>
    <n v="0.16"/>
    <s v="PayPal"/>
    <x v="1"/>
    <x v="40"/>
    <x v="3"/>
    <s v="Led Bedside Lamp - Aguilar, Horton And Lewis"/>
    <x v="3"/>
    <n v="371.38"/>
    <x v="2"/>
    <x v="2"/>
    <n v="2261.4"/>
  </r>
  <r>
    <s v="SALE1205"/>
    <d v="2024-10-01T00:00:00"/>
    <s v="CUST1400"/>
    <s v="PROD39"/>
    <s v="STORE4"/>
    <n v="4"/>
    <n v="983.38"/>
    <n v="0.25"/>
    <s v="COD"/>
    <x v="1"/>
    <x v="15"/>
    <x v="1"/>
    <s v="Portable Power Bank - Cummings And Sons"/>
    <x v="1"/>
    <n v="326.06"/>
    <x v="2"/>
    <x v="2"/>
    <n v="3932.52"/>
  </r>
  <r>
    <s v="SALE1206"/>
    <d v="2023-11-22T00:00:00"/>
    <s v="CUST1234"/>
    <s v="PROD99"/>
    <s v="STORE9"/>
    <n v="1"/>
    <n v="955.06"/>
    <n v="0.14000000000000001"/>
    <s v="Credit Card"/>
    <x v="1"/>
    <x v="32"/>
    <x v="0"/>
    <s v="Stainless Steel Cookware Set - Campbell Ltd"/>
    <x v="3"/>
    <n v="201.41"/>
    <x v="2"/>
    <x v="1"/>
    <n v="954.92"/>
  </r>
  <r>
    <s v="SALE1207"/>
    <d v="2025-02-05T00:00:00"/>
    <s v="CUST1352"/>
    <s v="PROD59"/>
    <s v="STORE15"/>
    <n v="3"/>
    <n v="597.46"/>
    <n v="0.02"/>
    <s v="PayPal"/>
    <x v="1"/>
    <x v="18"/>
    <x v="2"/>
    <s v="Men'S Hair Styling Gel - Cline-Mccarthy"/>
    <x v="2"/>
    <n v="17.309999999999999"/>
    <x v="0"/>
    <x v="1"/>
    <n v="1792.3200000000002"/>
  </r>
  <r>
    <s v="SALE1208"/>
    <d v="2024-06-03T00:00:00"/>
    <s v="CUST1317"/>
    <s v="PROD8"/>
    <s v="STORE16"/>
    <n v="3"/>
    <n v="581.09"/>
    <n v="0.1"/>
    <s v="COD"/>
    <x v="1"/>
    <x v="21"/>
    <x v="0"/>
    <s v="Wireless Bluetooth Earbuds - Perez-Johnston"/>
    <x v="1"/>
    <n v="439.07"/>
    <x v="1"/>
    <x v="1"/>
    <n v="1742.97"/>
  </r>
  <r>
    <s v="SALE1209"/>
    <d v="2025-07-24T00:00:00"/>
    <s v="CUST1054"/>
    <s v="PROD30"/>
    <s v="STORE4"/>
    <n v="4"/>
    <n v="153.94999999999999"/>
    <n v="0.11"/>
    <s v="PayPal"/>
    <x v="0"/>
    <x v="15"/>
    <x v="1"/>
    <s v="Stainless Steel Cutlery Set - Stevens, Fernandez And Martin"/>
    <x v="3"/>
    <n v="19.52"/>
    <x v="2"/>
    <x v="2"/>
    <n v="615.3599999999999"/>
  </r>
  <r>
    <s v="SALE1210"/>
    <d v="2024-08-26T00:00:00"/>
    <s v="CUST1081"/>
    <s v="PROD36"/>
    <s v="STORE8"/>
    <n v="4"/>
    <n v="271.04000000000002"/>
    <n v="0.12"/>
    <s v="COD"/>
    <x v="1"/>
    <x v="28"/>
    <x v="1"/>
    <s v="Women'S Summer Dress - Smith-Mills"/>
    <x v="4"/>
    <n v="223.43"/>
    <x v="1"/>
    <x v="2"/>
    <n v="1083.68"/>
  </r>
  <r>
    <s v="SALE1211"/>
    <d v="2024-09-23T00:00:00"/>
    <s v="CUST1015"/>
    <s v="PROD35"/>
    <s v="STORE6"/>
    <n v="4"/>
    <n v="328.27"/>
    <n v="0.09"/>
    <s v="PayPal"/>
    <x v="1"/>
    <x v="7"/>
    <x v="1"/>
    <s v="Bedroom Table Lamp - Jones Llc"/>
    <x v="3"/>
    <n v="382.22"/>
    <x v="3"/>
    <x v="2"/>
    <n v="1312.72"/>
  </r>
  <r>
    <s v="SALE1212"/>
    <d v="2024-06-29T00:00:00"/>
    <s v="CUST1494"/>
    <s v="PROD17"/>
    <s v="STORE14"/>
    <n v="4"/>
    <n v="884.71"/>
    <n v="0.09"/>
    <s v="PayPal"/>
    <x v="0"/>
    <x v="11"/>
    <x v="0"/>
    <s v="Soccer Training Cone Set - Ford, Murphy And Wilson"/>
    <x v="0"/>
    <n v="144.53"/>
    <x v="2"/>
    <x v="0"/>
    <n v="3538.48"/>
  </r>
  <r>
    <s v="SALE1213"/>
    <d v="2025-06-01T00:00:00"/>
    <s v="CUST1249"/>
    <s v="PROD72"/>
    <s v="STORE4"/>
    <n v="1"/>
    <n v="41.39"/>
    <n v="0.01"/>
    <s v="Credit Card"/>
    <x v="1"/>
    <x v="14"/>
    <x v="0"/>
    <s v="Professional Jump Rope - Davis Plc"/>
    <x v="0"/>
    <n v="477.61"/>
    <x v="2"/>
    <x v="2"/>
    <n v="41.38"/>
  </r>
  <r>
    <s v="SALE1214"/>
    <d v="2025-05-06T00:00:00"/>
    <s v="CUST1165"/>
    <s v="PROD57"/>
    <s v="STORE9"/>
    <n v="4"/>
    <n v="64.06"/>
    <n v="0.26"/>
    <s v="Credit Card"/>
    <x v="1"/>
    <x v="49"/>
    <x v="1"/>
    <s v="Foam Roller - Atkinson, Camacho And Oliver"/>
    <x v="0"/>
    <n v="30.62"/>
    <x v="2"/>
    <x v="1"/>
    <n v="255.20000000000002"/>
  </r>
  <r>
    <s v="SALE1215"/>
    <d v="2025-07-11T00:00:00"/>
    <s v="CUST1346"/>
    <s v="PROD46"/>
    <s v="STORE9"/>
    <n v="2"/>
    <n v="152.25"/>
    <n v="0.13"/>
    <s v="Credit Card"/>
    <x v="1"/>
    <x v="3"/>
    <x v="1"/>
    <s v="Men'S Winter Jacket - Kelly, Smith And Perez"/>
    <x v="4"/>
    <n v="167.34"/>
    <x v="2"/>
    <x v="1"/>
    <n v="304.24"/>
  </r>
  <r>
    <s v="SALE1216"/>
    <d v="2023-12-21T00:00:00"/>
    <s v="CUST1100"/>
    <s v="PROD13"/>
    <s v="STORE19"/>
    <n v="2"/>
    <n v="889.04"/>
    <n v="0.23"/>
    <s v="Credit Card"/>
    <x v="1"/>
    <x v="11"/>
    <x v="1"/>
    <s v="Usb-C Fast Charger - Dawson-Perkins"/>
    <x v="1"/>
    <n v="242.23"/>
    <x v="3"/>
    <x v="2"/>
    <n v="1777.62"/>
  </r>
  <r>
    <s v="SALE1217"/>
    <d v="2024-01-31T00:00:00"/>
    <s v="CUST1161"/>
    <s v="PROD37"/>
    <s v="STORE10"/>
    <n v="3"/>
    <n v="145.25"/>
    <n v="0.24"/>
    <s v="PayPal"/>
    <x v="1"/>
    <x v="28"/>
    <x v="2"/>
    <s v="Men'S Casual Sneakers - Hogan-Lee"/>
    <x v="4"/>
    <n v="353.47"/>
    <x v="3"/>
    <x v="2"/>
    <n v="435.03"/>
  </r>
  <r>
    <s v="SALE1218"/>
    <d v="2024-09-25T00:00:00"/>
    <s v="CUST1056"/>
    <s v="PROD88"/>
    <s v="STORE2"/>
    <n v="2"/>
    <n v="898.45"/>
    <n v="0.28999999999999998"/>
    <s v="COD"/>
    <x v="1"/>
    <x v="2"/>
    <x v="0"/>
    <s v="Sports Wrist Sweatbands - Olsen-Daniels"/>
    <x v="0"/>
    <n v="131.24"/>
    <x v="2"/>
    <x v="0"/>
    <n v="1796.3200000000002"/>
  </r>
  <r>
    <s v="SALE1219"/>
    <d v="2025-09-05T00:00:00"/>
    <s v="CUST1030"/>
    <s v="PROD35"/>
    <s v="STORE15"/>
    <n v="4"/>
    <n v="642.04999999999995"/>
    <n v="0.25"/>
    <s v="Credit Card"/>
    <x v="1"/>
    <x v="2"/>
    <x v="3"/>
    <s v="Bedroom Table Lamp - Jones Llc"/>
    <x v="3"/>
    <n v="382.22"/>
    <x v="0"/>
    <x v="1"/>
    <n v="2567.1999999999998"/>
  </r>
  <r>
    <s v="SALE1220"/>
    <d v="2024-08-27T00:00:00"/>
    <s v="CUST1313"/>
    <s v="PROD84"/>
    <s v="STORE7"/>
    <n v="4"/>
    <n v="450.83"/>
    <n v="0.24"/>
    <s v="Credit Card"/>
    <x v="0"/>
    <x v="33"/>
    <x v="1"/>
    <s v="Wooden Bookshelf - Collins-Stephenson"/>
    <x v="3"/>
    <n v="388.46"/>
    <x v="2"/>
    <x v="2"/>
    <n v="1802.36"/>
  </r>
  <r>
    <s v="SALE1221"/>
    <d v="2023-10-17T00:00:00"/>
    <s v="CUST1010"/>
    <s v="PROD52"/>
    <s v="STORE19"/>
    <n v="2"/>
    <n v="441.03"/>
    <n v="0.23"/>
    <s v="COD"/>
    <x v="0"/>
    <x v="2"/>
    <x v="3"/>
    <s v="Rugby Ball - Harris Inc"/>
    <x v="0"/>
    <n v="212.26"/>
    <x v="3"/>
    <x v="2"/>
    <n v="881.59999999999991"/>
  </r>
  <r>
    <s v="SALE1222"/>
    <d v="2024-04-02T00:00:00"/>
    <s v="CUST1082"/>
    <s v="PROD25"/>
    <s v="STORE2"/>
    <n v="3"/>
    <n v="377.69"/>
    <n v="7.0000000000000007E-2"/>
    <s v="PayPal"/>
    <x v="0"/>
    <x v="26"/>
    <x v="3"/>
    <s v="Women'S Scarf Set - Brown And Sons"/>
    <x v="4"/>
    <n v="174.02"/>
    <x v="2"/>
    <x v="0"/>
    <n v="1132.8600000000001"/>
  </r>
  <r>
    <s v="SALE1223"/>
    <d v="2024-05-04T00:00:00"/>
    <s v="CUST1160"/>
    <s v="PROD10"/>
    <s v="STORE7"/>
    <n v="1"/>
    <n v="457.33"/>
    <n v="0.27"/>
    <s v="Credit Card"/>
    <x v="1"/>
    <x v="29"/>
    <x v="1"/>
    <s v="Ceramic Kitchen Bowl Set - Hamilton Group"/>
    <x v="3"/>
    <n v="298.86"/>
    <x v="2"/>
    <x v="2"/>
    <n v="457.06"/>
  </r>
  <r>
    <s v="SALE1224"/>
    <d v="2025-08-11T00:00:00"/>
    <s v="CUST1244"/>
    <s v="PROD76"/>
    <s v="STORE6"/>
    <n v="4"/>
    <n v="218.01"/>
    <n v="0.06"/>
    <s v="Credit Card"/>
    <x v="0"/>
    <x v="39"/>
    <x v="3"/>
    <s v="Wireless Mouse - Larson Ltd"/>
    <x v="1"/>
    <n v="392.89"/>
    <x v="3"/>
    <x v="2"/>
    <n v="871.8"/>
  </r>
  <r>
    <s v="SALE1225"/>
    <d v="2025-10-03T00:00:00"/>
    <s v="CUST1218"/>
    <s v="PROD92"/>
    <s v="STORE18"/>
    <n v="2"/>
    <n v="682.7"/>
    <n v="0.13"/>
    <s v="Credit Card"/>
    <x v="0"/>
    <x v="24"/>
    <x v="1"/>
    <s v="Microwave Oven - Green, Powell And Palmer"/>
    <x v="3"/>
    <n v="447.43"/>
    <x v="3"/>
    <x v="1"/>
    <n v="1365.14"/>
  </r>
  <r>
    <s v="SALE1226"/>
    <d v="2024-02-23T00:00:00"/>
    <s v="CUST1323"/>
    <s v="PROD19"/>
    <s v="STORE18"/>
    <n v="3"/>
    <n v="726.97"/>
    <n v="0.04"/>
    <s v="PayPal"/>
    <x v="1"/>
    <x v="29"/>
    <x v="1"/>
    <s v="Knee Support Brace - May-Reese"/>
    <x v="0"/>
    <n v="21.34"/>
    <x v="3"/>
    <x v="1"/>
    <n v="2180.79"/>
  </r>
  <r>
    <s v="SALE1227"/>
    <d v="2025-01-24T00:00:00"/>
    <s v="CUST1408"/>
    <s v="PROD59"/>
    <s v="STORE9"/>
    <n v="2"/>
    <n v="107.97"/>
    <n v="0.06"/>
    <s v="Credit Card"/>
    <x v="0"/>
    <x v="19"/>
    <x v="0"/>
    <s v="Men'S Hair Styling Gel - Cline-Mccarthy"/>
    <x v="2"/>
    <n v="17.309999999999999"/>
    <x v="2"/>
    <x v="1"/>
    <n v="215.82"/>
  </r>
  <r>
    <s v="SALE1228"/>
    <d v="2025-05-08T00:00:00"/>
    <s v="CUST1007"/>
    <s v="PROD5"/>
    <s v="STORE14"/>
    <n v="1"/>
    <n v="38.880000000000003"/>
    <n v="0.16"/>
    <s v="COD"/>
    <x v="1"/>
    <x v="35"/>
    <x v="3"/>
    <s v="Men'S Leather Belt - Baldwin, Garza And Gonzalez"/>
    <x v="4"/>
    <n v="261"/>
    <x v="2"/>
    <x v="0"/>
    <n v="38.720000000000006"/>
  </r>
  <r>
    <s v="SALE1229"/>
    <d v="2025-06-15T00:00:00"/>
    <s v="CUST1078"/>
    <s v="PROD16"/>
    <s v="STORE17"/>
    <n v="3"/>
    <n v="484.39"/>
    <n v="0.28999999999999998"/>
    <s v="COD"/>
    <x v="0"/>
    <x v="45"/>
    <x v="0"/>
    <s v="Beard Grooming Kit - Erickson-Green"/>
    <x v="2"/>
    <n v="337.42"/>
    <x v="0"/>
    <x v="1"/>
    <n v="1452.3"/>
  </r>
  <r>
    <s v="SALE1230"/>
    <d v="2024-10-07T00:00:00"/>
    <s v="CUST1018"/>
    <s v="PROD80"/>
    <s v="STORE15"/>
    <n v="2"/>
    <n v="949.3"/>
    <n v="0.08"/>
    <s v="COD"/>
    <x v="0"/>
    <x v="32"/>
    <x v="4"/>
    <s v="Wall-Mounted Spice Rack - Allison Ltd"/>
    <x v="3"/>
    <n v="143.43"/>
    <x v="0"/>
    <x v="1"/>
    <n v="1898.4399999999998"/>
  </r>
  <r>
    <s v="SALE1231"/>
    <d v="2023-11-29T00:00:00"/>
    <s v="CUST1433"/>
    <s v="PROD71"/>
    <s v="STORE6"/>
    <n v="3"/>
    <n v="664.75"/>
    <n v="0.12"/>
    <s v="Credit Card"/>
    <x v="1"/>
    <x v="14"/>
    <x v="2"/>
    <s v="Hair Repair Oil Treatment - Hopkins Ltd"/>
    <x v="2"/>
    <n v="214.32"/>
    <x v="3"/>
    <x v="2"/>
    <n v="1993.8899999999999"/>
  </r>
  <r>
    <s v="SALE1232"/>
    <d v="2025-03-24T00:00:00"/>
    <s v="CUST1282"/>
    <s v="PROD70"/>
    <s v="STORE17"/>
    <n v="3"/>
    <n v="190.04"/>
    <n v="7.0000000000000007E-2"/>
    <s v="PayPal"/>
    <x v="1"/>
    <x v="19"/>
    <x v="0"/>
    <s v="Kitchen Storage Rack - Duran Group"/>
    <x v="3"/>
    <n v="138.05000000000001"/>
    <x v="0"/>
    <x v="1"/>
    <n v="569.91"/>
  </r>
  <r>
    <s v="SALE1233"/>
    <d v="2025-07-31T00:00:00"/>
    <s v="CUST1277"/>
    <s v="PROD7"/>
    <s v="STORE15"/>
    <n v="3"/>
    <n v="754.02"/>
    <n v="0.1"/>
    <s v="COD"/>
    <x v="1"/>
    <x v="44"/>
    <x v="1"/>
    <s v="Led Table Lamp - Harrell Llc"/>
    <x v="3"/>
    <n v="218.86"/>
    <x v="0"/>
    <x v="1"/>
    <n v="2261.7599999999998"/>
  </r>
  <r>
    <s v="SALE1234"/>
    <d v="2024-08-22T00:00:00"/>
    <s v="CUST1384"/>
    <s v="PROD34"/>
    <s v="STORE12"/>
    <n v="4"/>
    <n v="94.13"/>
    <n v="0.04"/>
    <s v="COD"/>
    <x v="1"/>
    <x v="9"/>
    <x v="3"/>
    <s v="Gaming Mechanical Keyboard - Lucero Llc"/>
    <x v="1"/>
    <n v="419.28"/>
    <x v="0"/>
    <x v="2"/>
    <n v="376.35999999999996"/>
  </r>
  <r>
    <s v="SALE1235"/>
    <d v="2024-07-16T00:00:00"/>
    <s v="CUST1468"/>
    <s v="PROD1"/>
    <s v="STORE15"/>
    <n v="3"/>
    <n v="402.3"/>
    <n v="0.21"/>
    <s v="PayPal"/>
    <x v="0"/>
    <x v="1"/>
    <x v="3"/>
    <s v="Men'S Graphic T-Shirt - Terry-Moore"/>
    <x v="4"/>
    <n v="342.56"/>
    <x v="0"/>
    <x v="1"/>
    <n v="1206.27"/>
  </r>
  <r>
    <s v="SALE1236"/>
    <d v="2025-09-08T00:00:00"/>
    <s v="CUST1239"/>
    <s v="PROD86"/>
    <s v="STORE7"/>
    <n v="1"/>
    <n v="729.05"/>
    <n v="0.06"/>
    <s v="COD"/>
    <x v="1"/>
    <x v="8"/>
    <x v="1"/>
    <s v="Kitchen Cutting Board - Taylor, Dodson And Johnston"/>
    <x v="3"/>
    <n v="176.07"/>
    <x v="2"/>
    <x v="2"/>
    <n v="728.99"/>
  </r>
  <r>
    <s v="SALE1237"/>
    <d v="2025-09-12T00:00:00"/>
    <s v="CUST1134"/>
    <s v="PROD90"/>
    <s v="STORE13"/>
    <n v="1"/>
    <n v="822.6"/>
    <n v="0.28999999999999998"/>
    <s v="PayPal"/>
    <x v="0"/>
    <x v="7"/>
    <x v="0"/>
    <s v="Gaming Mouse Pad Xl - Sharp, Taylor And Rodriguez"/>
    <x v="1"/>
    <n v="340.14"/>
    <x v="3"/>
    <x v="1"/>
    <n v="822.31000000000006"/>
  </r>
  <r>
    <s v="SALE1238"/>
    <d v="2025-04-24T00:00:00"/>
    <s v="CUST1193"/>
    <s v="PROD83"/>
    <s v="STORE8"/>
    <n v="2"/>
    <n v="327.25"/>
    <n v="0.19"/>
    <s v="PayPal"/>
    <x v="0"/>
    <x v="36"/>
    <x v="0"/>
    <s v="Hydrating Face Cleanser - Butler Group"/>
    <x v="2"/>
    <n v="289.35937499999994"/>
    <x v="1"/>
    <x v="2"/>
    <n v="654.12"/>
  </r>
  <r>
    <s v="SALE1239"/>
    <d v="2024-11-23T00:00:00"/>
    <s v="CUST1084"/>
    <s v="PROD70"/>
    <s v="STORE9"/>
    <n v="4"/>
    <n v="930.38"/>
    <n v="0"/>
    <s v="COD"/>
    <x v="1"/>
    <x v="30"/>
    <x v="1"/>
    <s v="Kitchen Storage Rack - Duran Group"/>
    <x v="3"/>
    <n v="138.05000000000001"/>
    <x v="2"/>
    <x v="1"/>
    <n v="3721.52"/>
  </r>
  <r>
    <s v="SALE1240"/>
    <d v="2024-04-12T00:00:00"/>
    <s v="CUST1144"/>
    <s v="PROD27"/>
    <s v="STORE5"/>
    <n v="2"/>
    <n v="437.84"/>
    <n v="0.24"/>
    <s v="Credit Card"/>
    <x v="1"/>
    <x v="8"/>
    <x v="3"/>
    <s v="Decorative Floor Vase - Khan, Jones And Paul"/>
    <x v="3"/>
    <n v="250.02157142857135"/>
    <x v="0"/>
    <x v="0"/>
    <n v="875.19999999999993"/>
  </r>
  <r>
    <s v="SALE1241"/>
    <d v="2025-05-09T00:00:00"/>
    <s v="CUST1070"/>
    <s v="PROD16"/>
    <s v="STORE16"/>
    <n v="2"/>
    <n v="126.02"/>
    <n v="0.09"/>
    <s v="COD"/>
    <x v="1"/>
    <x v="23"/>
    <x v="0"/>
    <s v="Beard Grooming Kit - Erickson-Green"/>
    <x v="2"/>
    <n v="337.42"/>
    <x v="1"/>
    <x v="1"/>
    <n v="251.85999999999999"/>
  </r>
  <r>
    <s v="SALE1242"/>
    <d v="2025-02-04T00:00:00"/>
    <s v="CUST1437"/>
    <s v="PROD83"/>
    <s v="STORE15"/>
    <n v="1"/>
    <n v="860.84"/>
    <n v="7.0000000000000007E-2"/>
    <s v="PayPal"/>
    <x v="1"/>
    <x v="21"/>
    <x v="1"/>
    <s v="Hydrating Face Cleanser - Butler Group"/>
    <x v="2"/>
    <n v="289.35937499999994"/>
    <x v="0"/>
    <x v="1"/>
    <n v="860.77"/>
  </r>
  <r>
    <s v="SALE1243"/>
    <d v="2025-01-20T00:00:00"/>
    <s v="CUST1093"/>
    <s v="PROD48"/>
    <s v="STORE13"/>
    <n v="1"/>
    <n v="161.80000000000001"/>
    <n v="0.24"/>
    <s v="PayPal"/>
    <x v="1"/>
    <x v="42"/>
    <x v="0"/>
    <s v="Car Dashboard Phone Holder - Byrd, Stewart And Valdez"/>
    <x v="1"/>
    <n v="177.98"/>
    <x v="3"/>
    <x v="1"/>
    <n v="161.56"/>
  </r>
  <r>
    <s v="SALE1244"/>
    <d v="2025-01-12T00:00:00"/>
    <s v="CUST1385"/>
    <s v="PROD38"/>
    <s v="STORE17"/>
    <n v="4"/>
    <n v="347.82"/>
    <n v="0.02"/>
    <s v="COD"/>
    <x v="0"/>
    <x v="42"/>
    <x v="0"/>
    <s v="Sports Water Hydration Pack - Sims-Smith"/>
    <x v="0"/>
    <n v="135.61000000000001"/>
    <x v="0"/>
    <x v="1"/>
    <n v="1391.2"/>
  </r>
  <r>
    <s v="SALE1245"/>
    <d v="2024-01-08T00:00:00"/>
    <s v="CUST1453"/>
    <s v="PROD85"/>
    <s v="STORE16"/>
    <n v="3"/>
    <n v="416.44"/>
    <n v="0.27"/>
    <s v="Credit Card"/>
    <x v="1"/>
    <x v="22"/>
    <x v="1"/>
    <s v="Women'S Beanie Hat - Richardson-Carrillo"/>
    <x v="4"/>
    <n v="119.57"/>
    <x v="1"/>
    <x v="1"/>
    <n v="1248.51"/>
  </r>
  <r>
    <s v="SALE1246"/>
    <d v="2025-08-24T00:00:00"/>
    <s v="CUST1005"/>
    <s v="PROD62"/>
    <s v="STORE0"/>
    <n v="1"/>
    <n v="147.96"/>
    <n v="0.24"/>
    <s v="COD"/>
    <x v="0"/>
    <x v="47"/>
    <x v="3"/>
    <s v="Laptop Cooling Pad - Murray, Gould And Ware"/>
    <x v="1"/>
    <n v="86.42"/>
    <x v="3"/>
    <x v="1"/>
    <n v="147.72"/>
  </r>
  <r>
    <s v="SALE1247"/>
    <d v="2024-09-25T00:00:00"/>
    <s v="CUST1445"/>
    <s v="PROD18"/>
    <s v="STORE8"/>
    <n v="3"/>
    <n v="550.26"/>
    <n v="0.22"/>
    <s v="Credit Card"/>
    <x v="1"/>
    <x v="45"/>
    <x v="1"/>
    <s v="Women'S Denim Jeans - Guerra-Hendrix"/>
    <x v="4"/>
    <n v="245.7783116883117"/>
    <x v="1"/>
    <x v="2"/>
    <n v="1650.12"/>
  </r>
  <r>
    <s v="SALE1248"/>
    <d v="2023-12-07T00:00:00"/>
    <s v="CUST1371"/>
    <s v="PROD97"/>
    <s v="STORE7"/>
    <n v="4"/>
    <n v="938.21"/>
    <n v="0.04"/>
    <s v="PayPal"/>
    <x v="1"/>
    <x v="21"/>
    <x v="1"/>
    <s v="Cricket Bat - Khan Llc"/>
    <x v="0"/>
    <n v="245.98"/>
    <x v="2"/>
    <x v="2"/>
    <n v="3752.6800000000003"/>
  </r>
  <r>
    <s v="SALE1249"/>
    <d v="2024-06-24T00:00:00"/>
    <s v="CUST1134"/>
    <s v="PROD94"/>
    <s v="STORE16"/>
    <n v="3"/>
    <n v="517.98"/>
    <n v="0.01"/>
    <s v="PayPal"/>
    <x v="0"/>
    <x v="7"/>
    <x v="0"/>
    <s v="Vitamin E Body Lotion - Hoffman-Williams"/>
    <x v="2"/>
    <n v="358.47"/>
    <x v="1"/>
    <x v="1"/>
    <n v="1553.91"/>
  </r>
  <r>
    <s v="SALE1250"/>
    <d v="2025-07-09T00:00:00"/>
    <s v="CUST1036"/>
    <s v="PROD6"/>
    <s v="STORE8"/>
    <n v="1"/>
    <n v="98.27"/>
    <n v="0.16"/>
    <s v="PayPal"/>
    <x v="1"/>
    <x v="36"/>
    <x v="0"/>
    <s v="Herbal Face Moisturizer - Davidson Plc"/>
    <x v="2"/>
    <n v="312.8"/>
    <x v="1"/>
    <x v="2"/>
    <n v="98.11"/>
  </r>
  <r>
    <s v="SALE1251"/>
    <d v="2024-07-07T00:00:00"/>
    <s v="CUST1251"/>
    <s v="PROD48"/>
    <s v="STORE11"/>
    <n v="2"/>
    <n v="875.2"/>
    <n v="0.19"/>
    <s v="Credit Card"/>
    <x v="0"/>
    <x v="4"/>
    <x v="2"/>
    <s v="Car Dashboard Phone Holder - Byrd, Stewart And Valdez"/>
    <x v="1"/>
    <n v="177.98"/>
    <x v="2"/>
    <x v="2"/>
    <n v="1750.02"/>
  </r>
  <r>
    <s v="SALE1252"/>
    <d v="2024-02-23T00:00:00"/>
    <s v="CUST1305"/>
    <s v="PROD86"/>
    <s v="STORE0"/>
    <n v="1"/>
    <n v="227.35"/>
    <n v="0.06"/>
    <s v="COD"/>
    <x v="0"/>
    <x v="7"/>
    <x v="1"/>
    <s v="Kitchen Cutting Board - Taylor, Dodson And Johnston"/>
    <x v="3"/>
    <n v="176.07"/>
    <x v="3"/>
    <x v="1"/>
    <n v="227.29"/>
  </r>
  <r>
    <s v="SALE1253"/>
    <d v="2023-11-05T00:00:00"/>
    <s v="CUST1210"/>
    <s v="PROD74"/>
    <s v="STORE1"/>
    <n v="1"/>
    <n v="842.46"/>
    <n v="0.05"/>
    <s v="COD"/>
    <x v="0"/>
    <x v="36"/>
    <x v="2"/>
    <s v="Bluetooth Car Audio System - Bruce-Bowen"/>
    <x v="1"/>
    <n v="403.71"/>
    <x v="0"/>
    <x v="1"/>
    <n v="842.41000000000008"/>
  </r>
  <r>
    <s v="SALE1254"/>
    <d v="2024-09-08T00:00:00"/>
    <s v="CUST1212"/>
    <s v="PROD36"/>
    <s v="STORE11"/>
    <n v="3"/>
    <n v="120.67"/>
    <n v="0.08"/>
    <s v="COD"/>
    <x v="1"/>
    <x v="7"/>
    <x v="1"/>
    <s v="Women'S Summer Dress - Smith-Mills"/>
    <x v="4"/>
    <n v="223.43"/>
    <x v="2"/>
    <x v="2"/>
    <n v="361.77"/>
  </r>
  <r>
    <s v="SALE1255"/>
    <d v="2024-04-20T00:00:00"/>
    <s v="CUST1497"/>
    <s v="PROD20"/>
    <s v="STORE3"/>
    <n v="4"/>
    <n v="176.13"/>
    <n v="0.27"/>
    <s v="PayPal"/>
    <x v="1"/>
    <x v="14"/>
    <x v="0"/>
    <s v="Outdoor Sports Water Bottle - Soto-Ellis"/>
    <x v="0"/>
    <n v="131.51"/>
    <x v="0"/>
    <x v="0"/>
    <n v="703.43999999999994"/>
  </r>
  <r>
    <s v="SALE1256"/>
    <d v="2025-01-14T00:00:00"/>
    <s v="CUST1450"/>
    <s v="PROD63"/>
    <s v="STORE11"/>
    <n v="4"/>
    <n v="592.67999999999995"/>
    <n v="0.03"/>
    <s v="Credit Card"/>
    <x v="0"/>
    <x v="48"/>
    <x v="3"/>
    <s v="Organic Sunscreen Lotion - Anderson-Riley"/>
    <x v="2"/>
    <n v="266.86"/>
    <x v="2"/>
    <x v="2"/>
    <n v="2370.6"/>
  </r>
  <r>
    <s v="SALE1257"/>
    <d v="2024-03-16T00:00:00"/>
    <s v="CUST1176"/>
    <s v="PROD70"/>
    <s v="STORE4"/>
    <n v="4"/>
    <n v="662.43"/>
    <n v="0.24"/>
    <s v="PayPal"/>
    <x v="0"/>
    <x v="1"/>
    <x v="2"/>
    <s v="Kitchen Storage Rack - Duran Group"/>
    <x v="3"/>
    <n v="138.05000000000001"/>
    <x v="2"/>
    <x v="2"/>
    <n v="2648.7599999999998"/>
  </r>
  <r>
    <s v="SALE1258"/>
    <d v="2024-07-15T00:00:00"/>
    <s v="CUST1128"/>
    <s v="PROD43"/>
    <s v="STORE8"/>
    <n v="3"/>
    <n v="518.35"/>
    <n v="0.21"/>
    <s v="COD"/>
    <x v="0"/>
    <x v="13"/>
    <x v="2"/>
    <s v="Usb External Hard Drive - Robinson Inc"/>
    <x v="1"/>
    <n v="253.33"/>
    <x v="1"/>
    <x v="2"/>
    <n v="1554.42"/>
  </r>
  <r>
    <s v="SALE1259"/>
    <d v="2024-08-05T00:00:00"/>
    <s v="CUST1310"/>
    <s v="PROD61"/>
    <s v="STORE5"/>
    <n v="1"/>
    <n v="85.58"/>
    <n v="0.1"/>
    <s v="COD"/>
    <x v="0"/>
    <x v="1"/>
    <x v="2"/>
    <s v="Tennis Ball 3-Pack - Lopez Llc"/>
    <x v="0"/>
    <n v="103.45"/>
    <x v="0"/>
    <x v="0"/>
    <n v="85.48"/>
  </r>
  <r>
    <s v="SALE1260"/>
    <d v="2024-02-01T00:00:00"/>
    <s v="CUST1363"/>
    <s v="PROD87"/>
    <s v="STORE1"/>
    <n v="4"/>
    <n v="800"/>
    <n v="0.2"/>
    <s v="Credit Card"/>
    <x v="0"/>
    <x v="31"/>
    <x v="3"/>
    <s v="Led Bedside Lamp - Aguilar, Horton And Lewis"/>
    <x v="3"/>
    <n v="371.38"/>
    <x v="0"/>
    <x v="1"/>
    <n v="3199.2"/>
  </r>
  <r>
    <s v="SALE1261"/>
    <d v="2025-08-20T00:00:00"/>
    <s v="CUST1155"/>
    <s v="PROD60"/>
    <s v="STORE10"/>
    <n v="3"/>
    <n v="118.25"/>
    <n v="0.26"/>
    <s v="PayPal"/>
    <x v="1"/>
    <x v="9"/>
    <x v="0"/>
    <s v="Luxury Perfume Spray - Gibson, Green And Lopez"/>
    <x v="2"/>
    <n v="482.75"/>
    <x v="3"/>
    <x v="2"/>
    <n v="353.96999999999997"/>
  </r>
  <r>
    <s v="SALE1262"/>
    <d v="2023-11-23T00:00:00"/>
    <s v="CUST1421"/>
    <s v="PROD32"/>
    <s v="STORE15"/>
    <n v="1"/>
    <n v="223.25"/>
    <n v="0.28999999999999998"/>
    <s v="Credit Card"/>
    <x v="1"/>
    <x v="7"/>
    <x v="1"/>
    <s v="Vitamin C Face Serum - Griffin Ltd"/>
    <x v="2"/>
    <n v="283.83"/>
    <x v="0"/>
    <x v="1"/>
    <n v="222.96"/>
  </r>
  <r>
    <s v="SALE1263"/>
    <d v="2024-08-26T00:00:00"/>
    <s v="CUST1427"/>
    <s v="PROD32"/>
    <s v="STORE4"/>
    <n v="3"/>
    <n v="918.76"/>
    <n v="0.2"/>
    <s v="PayPal"/>
    <x v="1"/>
    <x v="17"/>
    <x v="0"/>
    <s v="Vitamin C Face Serum - Griffin Ltd"/>
    <x v="2"/>
    <n v="283.83"/>
    <x v="2"/>
    <x v="2"/>
    <n v="2755.68"/>
  </r>
  <r>
    <s v="SALE1264"/>
    <d v="2024-07-18T00:00:00"/>
    <s v="CUST1280"/>
    <s v="PROD84"/>
    <s v="STORE13"/>
    <n v="2"/>
    <n v="905.26"/>
    <n v="0.15"/>
    <s v="COD"/>
    <x v="0"/>
    <x v="22"/>
    <x v="3"/>
    <s v="Wooden Bookshelf - Collins-Stephenson"/>
    <x v="3"/>
    <n v="388.46"/>
    <x v="3"/>
    <x v="1"/>
    <n v="1810.22"/>
  </r>
  <r>
    <s v="SALE1265"/>
    <d v="2024-12-02T00:00:00"/>
    <s v="CUST1312"/>
    <s v="PROD16"/>
    <s v="STORE19"/>
    <n v="4"/>
    <n v="295.39999999999998"/>
    <n v="0.23"/>
    <s v="PayPal"/>
    <x v="1"/>
    <x v="37"/>
    <x v="2"/>
    <s v="Beard Grooming Kit - Erickson-Green"/>
    <x v="2"/>
    <n v="337.42"/>
    <x v="3"/>
    <x v="2"/>
    <n v="1180.6799999999998"/>
  </r>
  <r>
    <s v="SALE1266"/>
    <d v="2025-07-23T00:00:00"/>
    <s v="CUST1087"/>
    <s v="PROD94"/>
    <s v="STORE5"/>
    <n v="1"/>
    <n v="252.18"/>
    <n v="0.23"/>
    <s v="PayPal"/>
    <x v="1"/>
    <x v="42"/>
    <x v="3"/>
    <s v="Vitamin E Body Lotion - Hoffman-Williams"/>
    <x v="2"/>
    <n v="358.47"/>
    <x v="0"/>
    <x v="0"/>
    <n v="251.95000000000002"/>
  </r>
  <r>
    <s v="SALE1267"/>
    <d v="2025-08-09T00:00:00"/>
    <s v="CUST1152"/>
    <s v="PROD97"/>
    <s v="STORE12"/>
    <n v="4"/>
    <n v="792.1"/>
    <n v="0.19"/>
    <s v="COD"/>
    <x v="1"/>
    <x v="6"/>
    <x v="1"/>
    <s v="Cricket Bat - Khan Llc"/>
    <x v="0"/>
    <n v="245.98"/>
    <x v="0"/>
    <x v="2"/>
    <n v="3167.64"/>
  </r>
  <r>
    <s v="SALE1268"/>
    <d v="2024-05-14T00:00:00"/>
    <s v="CUST1076"/>
    <s v="PROD88"/>
    <s v="STORE14"/>
    <n v="1"/>
    <n v="883.36"/>
    <n v="0.11"/>
    <s v="PayPal"/>
    <x v="0"/>
    <x v="15"/>
    <x v="0"/>
    <s v="Sports Wrist Sweatbands - Olsen-Daniels"/>
    <x v="0"/>
    <n v="131.24"/>
    <x v="2"/>
    <x v="0"/>
    <n v="883.25"/>
  </r>
  <r>
    <s v="SALE1269"/>
    <d v="2023-11-01T00:00:00"/>
    <s v="CUST1276"/>
    <s v="PROD69"/>
    <s v="STORE0"/>
    <n v="4"/>
    <n v="305.95"/>
    <n v="0.08"/>
    <s v="PayPal"/>
    <x v="0"/>
    <x v="8"/>
    <x v="0"/>
    <s v="Men'S Sports Shorts - Fitzpatrick Ltd"/>
    <x v="4"/>
    <n v="218.22"/>
    <x v="3"/>
    <x v="1"/>
    <n v="1223.48"/>
  </r>
  <r>
    <s v="SALE1270"/>
    <d v="2024-11-13T00:00:00"/>
    <s v="CUST1401"/>
    <s v="PROD58"/>
    <s v="STORE7"/>
    <n v="3"/>
    <n v="742.45"/>
    <n v="0.23"/>
    <s v="COD"/>
    <x v="1"/>
    <x v="8"/>
    <x v="1"/>
    <s v="Womens Cotton Scarf - Shepherd-Gould"/>
    <x v="4"/>
    <n v="113.83"/>
    <x v="2"/>
    <x v="2"/>
    <n v="2226.66"/>
  </r>
  <r>
    <s v="SALE1271"/>
    <d v="2024-04-10T00:00:00"/>
    <s v="CUST1355"/>
    <s v="PROD25"/>
    <s v="STORE18"/>
    <n v="3"/>
    <n v="336.1"/>
    <n v="0.12"/>
    <s v="COD"/>
    <x v="0"/>
    <x v="7"/>
    <x v="0"/>
    <s v="Women'S Scarf Set - Brown And Sons"/>
    <x v="4"/>
    <n v="174.02"/>
    <x v="3"/>
    <x v="1"/>
    <n v="1007.94"/>
  </r>
  <r>
    <s v="SALE1272"/>
    <d v="2025-08-07T00:00:00"/>
    <s v="CUST1412"/>
    <s v="PROD29"/>
    <s v="STORE7"/>
    <n v="3"/>
    <n v="310.36"/>
    <n v="0.14000000000000001"/>
    <s v="COD"/>
    <x v="1"/>
    <x v="20"/>
    <x v="0"/>
    <s v="Fabric Sofa Throw Blanket - Hoffman Group"/>
    <x v="3"/>
    <n v="218.48"/>
    <x v="2"/>
    <x v="2"/>
    <n v="930.66000000000008"/>
  </r>
  <r>
    <s v="SALE1273"/>
    <d v="2025-04-25T00:00:00"/>
    <s v="CUST1279"/>
    <s v="PROD98"/>
    <s v="STORE8"/>
    <n v="3"/>
    <n v="992.81"/>
    <n v="0.04"/>
    <s v="PayPal"/>
    <x v="1"/>
    <x v="31"/>
    <x v="3"/>
    <s v="Portable Bluetooth Speaker - Flores-King"/>
    <x v="1"/>
    <n v="431.67"/>
    <x v="1"/>
    <x v="2"/>
    <n v="2978.31"/>
  </r>
  <r>
    <s v="SALE1274"/>
    <d v="2023-10-18T00:00:00"/>
    <s v="CUST1198"/>
    <s v="PROD60"/>
    <s v="STORE11"/>
    <n v="3"/>
    <n v="257.11"/>
    <n v="0.26"/>
    <s v="COD"/>
    <x v="0"/>
    <x v="1"/>
    <x v="3"/>
    <s v="Luxury Perfume Spray - Gibson, Green And Lopez"/>
    <x v="2"/>
    <n v="482.75"/>
    <x v="2"/>
    <x v="2"/>
    <n v="770.55000000000007"/>
  </r>
  <r>
    <s v="SALE1275"/>
    <d v="2025-03-23T00:00:00"/>
    <s v="CUST1220"/>
    <s v="PROD95"/>
    <s v="STORE12"/>
    <n v="4"/>
    <n v="816.29"/>
    <n v="0.24"/>
    <s v="PayPal"/>
    <x v="1"/>
    <x v="43"/>
    <x v="3"/>
    <s v="Sports Stopwatch Basic - Wilson Group"/>
    <x v="0"/>
    <n v="60.65"/>
    <x v="0"/>
    <x v="2"/>
    <n v="3264.2"/>
  </r>
  <r>
    <s v="SALE1276"/>
    <d v="2023-12-12T00:00:00"/>
    <s v="CUST1122"/>
    <s v="PROD60"/>
    <s v="STORE12"/>
    <n v="4"/>
    <n v="755.82"/>
    <n v="0.22"/>
    <s v="COD"/>
    <x v="0"/>
    <x v="29"/>
    <x v="1"/>
    <s v="Luxury Perfume Spray - Gibson, Green And Lopez"/>
    <x v="2"/>
    <n v="482.75"/>
    <x v="0"/>
    <x v="2"/>
    <n v="3022.4"/>
  </r>
  <r>
    <s v="SALE1277"/>
    <d v="2024-08-20T00:00:00"/>
    <s v="CUST1003"/>
    <s v="PROD0"/>
    <s v="STORE14"/>
    <n v="1"/>
    <n v="449.6"/>
    <n v="0.01"/>
    <s v="PayPal"/>
    <x v="1"/>
    <x v="31"/>
    <x v="3"/>
    <s v="Brother Laser Printer - Hunt Inc"/>
    <x v="1"/>
    <n v="112.42"/>
    <x v="2"/>
    <x v="0"/>
    <n v="449.59000000000003"/>
  </r>
  <r>
    <s v="SALE1278"/>
    <d v="2024-07-08T00:00:00"/>
    <s v="CUST1351"/>
    <s v="PROD14"/>
    <s v="STORE0"/>
    <n v="2"/>
    <n v="779.29"/>
    <n v="0.12"/>
    <s v="COD"/>
    <x v="1"/>
    <x v="48"/>
    <x v="3"/>
    <s v="Decorative Wall Mirror - Luna, Anderson And Bowman"/>
    <x v="3"/>
    <n v="48.01"/>
    <x v="3"/>
    <x v="1"/>
    <n v="1558.34"/>
  </r>
  <r>
    <s v="SALE1279"/>
    <d v="2023-12-07T00:00:00"/>
    <s v="CUST1464"/>
    <s v="PROD77"/>
    <s v="STORE17"/>
    <n v="1"/>
    <n v="748.75"/>
    <n v="0.1"/>
    <s v="COD"/>
    <x v="1"/>
    <x v="7"/>
    <x v="1"/>
    <s v="Wifi Mesh Router - White, Reeves And Woods"/>
    <x v="1"/>
    <n v="480.9"/>
    <x v="0"/>
    <x v="1"/>
    <n v="748.65"/>
  </r>
  <r>
    <s v="SALE1280"/>
    <d v="2024-02-06T00:00:00"/>
    <s v="CUST1181"/>
    <s v="PROD89"/>
    <s v="STORE0"/>
    <n v="2"/>
    <n v="121.67"/>
    <n v="0.08"/>
    <s v="COD"/>
    <x v="0"/>
    <x v="14"/>
    <x v="3"/>
    <s v="Face Foundation Kit - Taylor-Elliott"/>
    <x v="2"/>
    <n v="183.04"/>
    <x v="3"/>
    <x v="1"/>
    <n v="243.18"/>
  </r>
  <r>
    <s v="SALE1281"/>
    <d v="2025-05-10T00:00:00"/>
    <s v="CUST1492"/>
    <s v="PROD49"/>
    <s v="STORE15"/>
    <n v="3"/>
    <n v="225.14"/>
    <n v="0.15"/>
    <s v="COD"/>
    <x v="1"/>
    <x v="26"/>
    <x v="1"/>
    <s v="Men'S Roll-On Perfume - Sullivan And Sons"/>
    <x v="2"/>
    <n v="43.29"/>
    <x v="0"/>
    <x v="1"/>
    <n v="674.96999999999991"/>
  </r>
  <r>
    <s v="SALE1282"/>
    <d v="2025-08-07T00:00:00"/>
    <s v="CUST1321"/>
    <s v="PROD29"/>
    <s v="STORE19"/>
    <n v="1"/>
    <n v="654.17999999999995"/>
    <n v="0.19"/>
    <s v="PayPal"/>
    <x v="1"/>
    <x v="3"/>
    <x v="3"/>
    <s v="Fabric Sofa Throw Blanket - Hoffman Group"/>
    <x v="3"/>
    <n v="218.48"/>
    <x v="3"/>
    <x v="2"/>
    <n v="653.9899999999999"/>
  </r>
  <r>
    <s v="SALE1283"/>
    <d v="2024-09-17T00:00:00"/>
    <s v="CUST1058"/>
    <s v="PROD71"/>
    <s v="STORE5"/>
    <n v="2"/>
    <n v="504.98"/>
    <n v="0.08"/>
    <s v="COD"/>
    <x v="0"/>
    <x v="33"/>
    <x v="1"/>
    <s v="Hair Repair Oil Treatment - Hopkins Ltd"/>
    <x v="2"/>
    <n v="214.32"/>
    <x v="0"/>
    <x v="0"/>
    <n v="1009.8000000000001"/>
  </r>
  <r>
    <s v="SALE1284"/>
    <d v="2025-06-15T00:00:00"/>
    <s v="CUST1378"/>
    <s v="PROD54"/>
    <s v="STORE8"/>
    <n v="2"/>
    <n v="623.20000000000005"/>
    <n v="0.14000000000000001"/>
    <s v="COD"/>
    <x v="1"/>
    <x v="37"/>
    <x v="3"/>
    <s v="Sports Stopwatch Pro - Thompson-French"/>
    <x v="0"/>
    <n v="434.84"/>
    <x v="1"/>
    <x v="2"/>
    <n v="1246.1200000000001"/>
  </r>
  <r>
    <s v="SALE1285"/>
    <d v="2024-11-26T00:00:00"/>
    <s v="CUST1325"/>
    <s v="PROD5"/>
    <s v="STORE16"/>
    <n v="2"/>
    <n v="530.54"/>
    <n v="0.28000000000000003"/>
    <s v="COD"/>
    <x v="0"/>
    <x v="18"/>
    <x v="3"/>
    <s v="Men'S Leather Belt - Baldwin, Garza And Gonzalez"/>
    <x v="4"/>
    <n v="261"/>
    <x v="1"/>
    <x v="1"/>
    <n v="1060.52"/>
  </r>
  <r>
    <s v="SALE1286"/>
    <d v="2025-06-02T00:00:00"/>
    <s v="CUST1365"/>
    <s v="PROD0"/>
    <s v="STORE16"/>
    <n v="3"/>
    <n v="279.45"/>
    <n v="0.15"/>
    <s v="COD"/>
    <x v="1"/>
    <x v="41"/>
    <x v="1"/>
    <s v="Brother Laser Printer - Hunt Inc"/>
    <x v="1"/>
    <n v="112.42"/>
    <x v="1"/>
    <x v="1"/>
    <n v="837.90000000000009"/>
  </r>
  <r>
    <s v="SALE1287"/>
    <d v="2024-12-19T00:00:00"/>
    <s v="CUST1266"/>
    <s v="PROD12"/>
    <s v="STORE8"/>
    <n v="3"/>
    <n v="906.99"/>
    <n v="0.26"/>
    <s v="COD"/>
    <x v="1"/>
    <x v="27"/>
    <x v="3"/>
    <s v="Hair Strengthening Shampoo - Rice Llc"/>
    <x v="2"/>
    <n v="115.82"/>
    <x v="1"/>
    <x v="2"/>
    <n v="2720.19"/>
  </r>
  <r>
    <s v="SALE1288"/>
    <d v="2025-04-02T00:00:00"/>
    <s v="CUST1070"/>
    <s v="PROD80"/>
    <s v="STORE17"/>
    <n v="4"/>
    <n v="408.76"/>
    <n v="0.12"/>
    <s v="COD"/>
    <x v="1"/>
    <x v="23"/>
    <x v="0"/>
    <s v="Wall-Mounted Spice Rack - Allison Ltd"/>
    <x v="3"/>
    <n v="143.43"/>
    <x v="0"/>
    <x v="1"/>
    <n v="1634.56"/>
  </r>
  <r>
    <s v="SALE1289"/>
    <d v="2024-09-02T00:00:00"/>
    <s v="CUST1177"/>
    <s v="PROD36"/>
    <s v="STORE9"/>
    <n v="2"/>
    <n v="117.34"/>
    <n v="0.09"/>
    <s v="PayPal"/>
    <x v="0"/>
    <x v="27"/>
    <x v="1"/>
    <s v="Women'S Summer Dress - Smith-Mills"/>
    <x v="4"/>
    <n v="223.43"/>
    <x v="2"/>
    <x v="1"/>
    <n v="234.5"/>
  </r>
  <r>
    <s v="SALE1290"/>
    <d v="2024-03-25T00:00:00"/>
    <s v="CUST1168"/>
    <s v="PROD91"/>
    <s v="STORE14"/>
    <n v="3"/>
    <n v="690.27"/>
    <n v="7.0000000000000007E-2"/>
    <s v="PayPal"/>
    <x v="1"/>
    <x v="26"/>
    <x v="1"/>
    <s v="Women'S High Heels - Smith-Charles"/>
    <x v="4"/>
    <n v="438.25"/>
    <x v="2"/>
    <x v="0"/>
    <n v="2070.6"/>
  </r>
  <r>
    <s v="SALE1291"/>
    <d v="2025-02-21T00:00:00"/>
    <s v="CUST1108"/>
    <s v="PROD28"/>
    <s v="STORE17"/>
    <n v="4"/>
    <n v="377.18"/>
    <n v="0.24"/>
    <s v="PayPal"/>
    <x v="0"/>
    <x v="21"/>
    <x v="3"/>
    <s v="Sports Stopwatch Timer - Burns-Hansen"/>
    <x v="0"/>
    <n v="38.76"/>
    <x v="0"/>
    <x v="1"/>
    <n v="1507.76"/>
  </r>
  <r>
    <s v="SALE1292"/>
    <d v="2024-06-03T00:00:00"/>
    <s v="CUST1112"/>
    <s v="PROD40"/>
    <s v="STORE0"/>
    <n v="1"/>
    <n v="70.52"/>
    <n v="0.08"/>
    <s v="COD"/>
    <x v="1"/>
    <x v="20"/>
    <x v="2"/>
    <s v="Noise-Canceling Headphones - Taylor-Hart"/>
    <x v="1"/>
    <n v="38.520000000000003"/>
    <x v="3"/>
    <x v="1"/>
    <n v="70.44"/>
  </r>
  <r>
    <s v="SALE1293"/>
    <d v="2024-02-08T00:00:00"/>
    <s v="CUST1275"/>
    <s v="PROD38"/>
    <s v="STORE9"/>
    <n v="1"/>
    <n v="40.25"/>
    <n v="0.1"/>
    <s v="PayPal"/>
    <x v="0"/>
    <x v="27"/>
    <x v="0"/>
    <s v="Sports Water Hydration Pack - Sims-Smith"/>
    <x v="0"/>
    <n v="135.61000000000001"/>
    <x v="2"/>
    <x v="1"/>
    <n v="40.15"/>
  </r>
  <r>
    <s v="SALE1294"/>
    <d v="2024-04-06T00:00:00"/>
    <s v="CUST1232"/>
    <s v="PROD89"/>
    <s v="STORE11"/>
    <n v="3"/>
    <n v="539.44000000000005"/>
    <n v="0.05"/>
    <s v="COD"/>
    <x v="1"/>
    <x v="19"/>
    <x v="1"/>
    <s v="Face Foundation Kit - Taylor-Elliott"/>
    <x v="2"/>
    <n v="183.04"/>
    <x v="2"/>
    <x v="2"/>
    <n v="1618.1700000000003"/>
  </r>
  <r>
    <s v="SALE1295"/>
    <d v="2024-01-22T00:00:00"/>
    <s v="CUST1247"/>
    <s v="PROD60"/>
    <s v="STORE4"/>
    <n v="3"/>
    <n v="543.49"/>
    <n v="0.05"/>
    <s v="PayPal"/>
    <x v="0"/>
    <x v="21"/>
    <x v="1"/>
    <s v="Luxury Perfume Spray - Gibson, Green And Lopez"/>
    <x v="2"/>
    <n v="482.75"/>
    <x v="2"/>
    <x v="2"/>
    <n v="1630.3200000000002"/>
  </r>
  <r>
    <s v="SALE1296"/>
    <d v="2023-10-22T00:00:00"/>
    <s v="CUST1324"/>
    <s v="PROD7"/>
    <s v="STORE6"/>
    <n v="4"/>
    <n v="547.21"/>
    <n v="0.1"/>
    <s v="COD"/>
    <x v="0"/>
    <x v="15"/>
    <x v="3"/>
    <s v="Led Table Lamp - Harrell Llc"/>
    <x v="3"/>
    <n v="218.86"/>
    <x v="3"/>
    <x v="2"/>
    <n v="2188.44"/>
  </r>
  <r>
    <s v="SALE1297"/>
    <d v="2024-11-23T00:00:00"/>
    <s v="CUST1241"/>
    <s v="PROD65"/>
    <s v="STORE1"/>
    <n v="2"/>
    <n v="892.46"/>
    <n v="7.0000000000000007E-2"/>
    <s v="PayPal"/>
    <x v="0"/>
    <x v="45"/>
    <x v="1"/>
    <s v="Adjustable Dumbbells 20Kg - Montgomery, Benton And Miller"/>
    <x v="0"/>
    <n v="240.63"/>
    <x v="0"/>
    <x v="1"/>
    <n v="1784.78"/>
  </r>
  <r>
    <s v="SALE1298"/>
    <d v="2023-12-26T00:00:00"/>
    <s v="CUST1387"/>
    <s v="PROD26"/>
    <s v="STORE8"/>
    <n v="2"/>
    <n v="853.41"/>
    <n v="0.25"/>
    <s v="Credit Card"/>
    <x v="1"/>
    <x v="19"/>
    <x v="2"/>
    <s v="Wireless Bluetooth Speaker - Reed-Schmidt"/>
    <x v="1"/>
    <n v="322.41000000000003"/>
    <x v="1"/>
    <x v="2"/>
    <n v="1706.32"/>
  </r>
  <r>
    <s v="SALE1299"/>
    <d v="2024-06-08T00:00:00"/>
    <s v="CUST1110"/>
    <s v="PROD82"/>
    <s v="STORE7"/>
    <n v="1"/>
    <n v="162.13999999999999"/>
    <n v="7.0000000000000007E-2"/>
    <s v="PayPal"/>
    <x v="1"/>
    <x v="33"/>
    <x v="0"/>
    <s v="Fitness Resistance Bands - Reese-Watson"/>
    <x v="0"/>
    <n v="152.91999999999999"/>
    <x v="2"/>
    <x v="2"/>
    <n v="162.07"/>
  </r>
  <r>
    <s v="SALE1300"/>
    <d v="2024-07-05T00:00:00"/>
    <s v="CUST1147"/>
    <s v="PROD96"/>
    <s v="STORE16"/>
    <n v="1"/>
    <n v="893.14"/>
    <n v="0.09"/>
    <s v="Credit Card"/>
    <x v="1"/>
    <x v="41"/>
    <x v="1"/>
    <s v="Women'S Formal Blazer - Phillips And Sons"/>
    <x v="4"/>
    <n v="358.47"/>
    <x v="1"/>
    <x v="1"/>
    <n v="893.05"/>
  </r>
  <r>
    <s v="SALE1301"/>
    <d v="2024-08-24T00:00:00"/>
    <s v="CUST1103"/>
    <s v="PROD34"/>
    <s v="STORE8"/>
    <n v="4"/>
    <n v="349.07"/>
    <n v="0.28000000000000003"/>
    <s v="Credit Card"/>
    <x v="0"/>
    <x v="40"/>
    <x v="3"/>
    <s v="Gaming Mechanical Keyboard - Lucero Llc"/>
    <x v="1"/>
    <n v="419.28"/>
    <x v="1"/>
    <x v="2"/>
    <n v="1395.16"/>
  </r>
  <r>
    <s v="SALE1302"/>
    <d v="2024-05-06T00:00:00"/>
    <s v="CUST1283"/>
    <s v="PROD81"/>
    <s v="STORE13"/>
    <n v="1"/>
    <n v="747.9"/>
    <n v="0.21"/>
    <s v="COD"/>
    <x v="1"/>
    <x v="0"/>
    <x v="2"/>
    <s v="Badminton Racket Set - Robinson-Brown"/>
    <x v="0"/>
    <n v="285.54000000000002"/>
    <x v="3"/>
    <x v="1"/>
    <n v="747.68999999999994"/>
  </r>
  <r>
    <s v="SALE1303"/>
    <d v="2024-07-05T00:00:00"/>
    <s v="CUST1031"/>
    <s v="PROD81"/>
    <s v="STORE6"/>
    <n v="3"/>
    <n v="438.92"/>
    <n v="0.21"/>
    <s v="Credit Card"/>
    <x v="0"/>
    <x v="47"/>
    <x v="2"/>
    <s v="Badminton Racket Set - Robinson-Brown"/>
    <x v="0"/>
    <n v="285.54000000000002"/>
    <x v="3"/>
    <x v="2"/>
    <n v="1316.13"/>
  </r>
  <r>
    <s v="SALE1304"/>
    <d v="2023-11-02T00:00:00"/>
    <s v="CUST1123"/>
    <s v="PROD77"/>
    <s v="STORE4"/>
    <n v="4"/>
    <n v="665.38"/>
    <n v="0.18"/>
    <s v="Credit Card"/>
    <x v="0"/>
    <x v="9"/>
    <x v="2"/>
    <s v="Wifi Mesh Router - White, Reeves And Woods"/>
    <x v="1"/>
    <n v="480.9"/>
    <x v="2"/>
    <x v="2"/>
    <n v="2660.8"/>
  </r>
  <r>
    <s v="SALE1305"/>
    <d v="2024-11-20T00:00:00"/>
    <s v="CUST1003"/>
    <s v="PROD60"/>
    <s v="STORE18"/>
    <n v="1"/>
    <n v="146.49"/>
    <n v="0.28000000000000003"/>
    <s v="Credit Card"/>
    <x v="1"/>
    <x v="31"/>
    <x v="3"/>
    <s v="Luxury Perfume Spray - Gibson, Green And Lopez"/>
    <x v="2"/>
    <n v="482.75"/>
    <x v="3"/>
    <x v="1"/>
    <n v="146.21"/>
  </r>
  <r>
    <s v="SALE1306"/>
    <d v="2025-04-27T00:00:00"/>
    <s v="CUST1139"/>
    <s v="PROD38"/>
    <s v="STORE15"/>
    <n v="2"/>
    <n v="235.39"/>
    <n v="0.27"/>
    <s v="COD"/>
    <x v="0"/>
    <x v="39"/>
    <x v="3"/>
    <s v="Sports Water Hydration Pack - Sims-Smith"/>
    <x v="0"/>
    <n v="135.61000000000001"/>
    <x v="0"/>
    <x v="1"/>
    <n v="470.23999999999995"/>
  </r>
  <r>
    <s v="SALE1307"/>
    <d v="2024-12-25T00:00:00"/>
    <s v="CUST1028"/>
    <s v="PROD61"/>
    <s v="STORE5"/>
    <n v="3"/>
    <n v="38.07"/>
    <n v="0.09"/>
    <s v="PayPal"/>
    <x v="1"/>
    <x v="19"/>
    <x v="1"/>
    <s v="Tennis Ball 3-Pack - Lopez Llc"/>
    <x v="0"/>
    <n v="103.45"/>
    <x v="0"/>
    <x v="0"/>
    <n v="113.94"/>
  </r>
  <r>
    <s v="SALE1308"/>
    <d v="2025-09-02T00:00:00"/>
    <s v="CUST1403"/>
    <s v="PROD34"/>
    <s v="STORE4"/>
    <n v="2"/>
    <n v="511.7"/>
    <n v="0.12"/>
    <s v="COD"/>
    <x v="0"/>
    <x v="38"/>
    <x v="3"/>
    <s v="Gaming Mechanical Keyboard - Lucero Llc"/>
    <x v="1"/>
    <n v="419.28"/>
    <x v="2"/>
    <x v="2"/>
    <n v="1023.16"/>
  </r>
  <r>
    <s v="SALE1309"/>
    <d v="2024-04-19T00:00:00"/>
    <s v="CUST1092"/>
    <s v="PROD75"/>
    <s v="STORE8"/>
    <n v="4"/>
    <n v="488.72"/>
    <n v="0.23"/>
    <s v="PayPal"/>
    <x v="1"/>
    <x v="3"/>
    <x v="1"/>
    <s v="Women'S Ankle Boots - Poole Plc"/>
    <x v="4"/>
    <n v="158.13999999999999"/>
    <x v="1"/>
    <x v="2"/>
    <n v="1953.96"/>
  </r>
  <r>
    <s v="SALE1310"/>
    <d v="2025-03-01T00:00:00"/>
    <s v="CUST1391"/>
    <s v="PROD50"/>
    <s v="STORE12"/>
    <n v="2"/>
    <n v="520.45000000000005"/>
    <n v="0.11"/>
    <s v="COD"/>
    <x v="1"/>
    <x v="47"/>
    <x v="3"/>
    <s v="Boxing Hand Wraps - Smith-King"/>
    <x v="0"/>
    <n v="190.29"/>
    <x v="0"/>
    <x v="2"/>
    <n v="1040.68"/>
  </r>
  <r>
    <s v="SALE1311"/>
    <d v="2024-03-25T00:00:00"/>
    <s v="CUST1432"/>
    <s v="PROD48"/>
    <s v="STORE5"/>
    <n v="1"/>
    <n v="340.9"/>
    <n v="0.28999999999999998"/>
    <s v="Credit Card"/>
    <x v="0"/>
    <x v="19"/>
    <x v="3"/>
    <s v="Car Dashboard Phone Holder - Byrd, Stewart And Valdez"/>
    <x v="1"/>
    <n v="177.98"/>
    <x v="0"/>
    <x v="0"/>
    <n v="340.60999999999996"/>
  </r>
  <r>
    <s v="SALE1312"/>
    <d v="2024-10-11T00:00:00"/>
    <s v="CUST1346"/>
    <s v="PROD31"/>
    <s v="STORE8"/>
    <n v="3"/>
    <n v="653.59"/>
    <n v="0.17"/>
    <s v="COD"/>
    <x v="1"/>
    <x v="3"/>
    <x v="1"/>
    <s v="Basketball - Nolan-Snow"/>
    <x v="0"/>
    <n v="204.39"/>
    <x v="1"/>
    <x v="2"/>
    <n v="1960.2600000000002"/>
  </r>
  <r>
    <s v="SALE1313"/>
    <d v="2025-09-06T00:00:00"/>
    <s v="CUST1021"/>
    <s v="PROD26"/>
    <s v="STORE18"/>
    <n v="1"/>
    <n v="179.77"/>
    <n v="0.23"/>
    <s v="COD"/>
    <x v="1"/>
    <x v="15"/>
    <x v="0"/>
    <s v="Wireless Bluetooth Speaker - Reed-Schmidt"/>
    <x v="1"/>
    <n v="322.41000000000003"/>
    <x v="3"/>
    <x v="1"/>
    <n v="179.54000000000002"/>
  </r>
  <r>
    <s v="SALE1314"/>
    <d v="2024-08-19T00:00:00"/>
    <s v="CUST1008"/>
    <s v="PROD0"/>
    <s v="STORE9"/>
    <n v="2"/>
    <n v="943.8"/>
    <n v="0.06"/>
    <s v="Credit Card"/>
    <x v="1"/>
    <x v="21"/>
    <x v="0"/>
    <s v="Brother Laser Printer - Hunt Inc"/>
    <x v="1"/>
    <n v="112.42"/>
    <x v="2"/>
    <x v="1"/>
    <n v="1887.48"/>
  </r>
  <r>
    <s v="SALE1315"/>
    <d v="2023-11-04T00:00:00"/>
    <s v="CUST1409"/>
    <s v="PROD71"/>
    <s v="STORE15"/>
    <n v="2"/>
    <n v="985"/>
    <n v="0.25"/>
    <s v="Credit Card"/>
    <x v="0"/>
    <x v="0"/>
    <x v="0"/>
    <s v="Hair Repair Oil Treatment - Hopkins Ltd"/>
    <x v="2"/>
    <n v="214.32"/>
    <x v="0"/>
    <x v="1"/>
    <n v="1969.5"/>
  </r>
  <r>
    <s v="SALE1316"/>
    <d v="2024-04-23T00:00:00"/>
    <s v="CUST1485"/>
    <s v="PROD88"/>
    <s v="STORE10"/>
    <n v="4"/>
    <n v="216.81"/>
    <n v="0.28999999999999998"/>
    <s v="Credit Card"/>
    <x v="1"/>
    <x v="45"/>
    <x v="3"/>
    <s v="Sports Wrist Sweatbands - Olsen-Daniels"/>
    <x v="0"/>
    <n v="131.24"/>
    <x v="3"/>
    <x v="2"/>
    <n v="866.08"/>
  </r>
  <r>
    <s v="SALE1317"/>
    <d v="2023-10-24T00:00:00"/>
    <s v="CUST1117"/>
    <s v="PROD64"/>
    <s v="STORE2"/>
    <n v="4"/>
    <n v="950.21"/>
    <n v="0.27"/>
    <s v="COD"/>
    <x v="1"/>
    <x v="7"/>
    <x v="1"/>
    <s v="Matte Lipstick Set - Zhang Inc"/>
    <x v="2"/>
    <n v="299.11"/>
    <x v="2"/>
    <x v="0"/>
    <n v="3799.76"/>
  </r>
  <r>
    <s v="SALE1318"/>
    <d v="2025-06-30T00:00:00"/>
    <s v="CUST1256"/>
    <s v="PROD48"/>
    <s v="STORE7"/>
    <n v="2"/>
    <n v="271.39999999999998"/>
    <n v="0.17"/>
    <s v="PayPal"/>
    <x v="0"/>
    <x v="13"/>
    <x v="1"/>
    <s v="Car Dashboard Phone Holder - Byrd, Stewart And Valdez"/>
    <x v="1"/>
    <n v="177.98"/>
    <x v="2"/>
    <x v="2"/>
    <n v="542.45999999999992"/>
  </r>
  <r>
    <s v="SALE1319"/>
    <d v="2025-08-14T00:00:00"/>
    <s v="CUST1168"/>
    <s v="PROD39"/>
    <s v="STORE8"/>
    <n v="4"/>
    <n v="708.19"/>
    <n v="0.1"/>
    <s v="PayPal"/>
    <x v="1"/>
    <x v="26"/>
    <x v="1"/>
    <s v="Portable Power Bank - Cummings And Sons"/>
    <x v="1"/>
    <n v="326.06"/>
    <x v="1"/>
    <x v="2"/>
    <n v="2832.36"/>
  </r>
  <r>
    <s v="SALE1320"/>
    <d v="2025-05-11T00:00:00"/>
    <s v="CUST1444"/>
    <s v="PROD54"/>
    <s v="STORE3"/>
    <n v="3"/>
    <n v="477.05"/>
    <n v="0.05"/>
    <s v="PayPal"/>
    <x v="0"/>
    <x v="0"/>
    <x v="0"/>
    <s v="Sports Stopwatch Pro - Thompson-French"/>
    <x v="0"/>
    <n v="434.84"/>
    <x v="0"/>
    <x v="0"/>
    <n v="1431"/>
  </r>
  <r>
    <s v="SALE1321"/>
    <d v="2024-04-01T00:00:00"/>
    <s v="CUST1307"/>
    <s v="PROD74"/>
    <s v="STORE9"/>
    <n v="3"/>
    <n v="627.29"/>
    <n v="0.27"/>
    <s v="COD"/>
    <x v="1"/>
    <x v="4"/>
    <x v="3"/>
    <s v="Bluetooth Car Audio System - Bruce-Bowen"/>
    <x v="1"/>
    <n v="403.71"/>
    <x v="2"/>
    <x v="1"/>
    <n v="1881.06"/>
  </r>
  <r>
    <s v="SALE1322"/>
    <d v="2024-02-13T00:00:00"/>
    <s v="CUST1304"/>
    <s v="PROD94"/>
    <s v="STORE11"/>
    <n v="3"/>
    <n v="206.84"/>
    <n v="0.19"/>
    <s v="PayPal"/>
    <x v="0"/>
    <x v="32"/>
    <x v="2"/>
    <s v="Vitamin E Body Lotion - Hoffman-Williams"/>
    <x v="2"/>
    <n v="358.47"/>
    <x v="2"/>
    <x v="2"/>
    <n v="619.95000000000005"/>
  </r>
  <r>
    <s v="SALE1323"/>
    <d v="2024-01-13T00:00:00"/>
    <s v="CUST1251"/>
    <s v="PROD30"/>
    <s v="STORE1"/>
    <n v="4"/>
    <n v="629.04999999999995"/>
    <n v="0.26"/>
    <s v="Credit Card"/>
    <x v="0"/>
    <x v="4"/>
    <x v="2"/>
    <s v="Stainless Steel Cutlery Set - Stevens, Fernandez And Martin"/>
    <x v="3"/>
    <n v="19.52"/>
    <x v="0"/>
    <x v="1"/>
    <n v="2515.16"/>
  </r>
  <r>
    <s v="SALE1324"/>
    <d v="2024-09-08T00:00:00"/>
    <s v="CUST1438"/>
    <s v="PROD74"/>
    <s v="STORE17"/>
    <n v="4"/>
    <n v="529.04"/>
    <n v="0.1"/>
    <s v="PayPal"/>
    <x v="1"/>
    <x v="3"/>
    <x v="1"/>
    <s v="Bluetooth Car Audio System - Bruce-Bowen"/>
    <x v="1"/>
    <n v="403.71"/>
    <x v="0"/>
    <x v="1"/>
    <n v="2115.7599999999998"/>
  </r>
  <r>
    <s v="SALE1325"/>
    <d v="2024-02-04T00:00:00"/>
    <s v="CUST1349"/>
    <s v="PROD30"/>
    <s v="STORE17"/>
    <n v="1"/>
    <n v="350.67"/>
    <n v="0.22"/>
    <s v="PayPal"/>
    <x v="0"/>
    <x v="41"/>
    <x v="3"/>
    <s v="Stainless Steel Cutlery Set - Stevens, Fernandez And Martin"/>
    <x v="3"/>
    <n v="19.52"/>
    <x v="0"/>
    <x v="1"/>
    <n v="350.45"/>
  </r>
  <r>
    <s v="SALE1326"/>
    <d v="2024-07-25T00:00:00"/>
    <s v="CUST1371"/>
    <s v="PROD95"/>
    <s v="STORE1"/>
    <n v="1"/>
    <n v="128.93"/>
    <n v="0.26"/>
    <s v="Credit Card"/>
    <x v="1"/>
    <x v="21"/>
    <x v="1"/>
    <s v="Sports Stopwatch Basic - Wilson Group"/>
    <x v="0"/>
    <n v="60.65"/>
    <x v="0"/>
    <x v="1"/>
    <n v="128.67000000000002"/>
  </r>
  <r>
    <s v="SALE1327"/>
    <d v="2024-09-09T00:00:00"/>
    <s v="CUST1145"/>
    <s v="PROD86"/>
    <s v="STORE15"/>
    <n v="2"/>
    <n v="384.92"/>
    <n v="0.09"/>
    <s v="Credit Card"/>
    <x v="0"/>
    <x v="30"/>
    <x v="1"/>
    <s v="Kitchen Cutting Board - Taylor, Dodson And Johnston"/>
    <x v="3"/>
    <n v="176.07"/>
    <x v="0"/>
    <x v="1"/>
    <n v="769.66000000000008"/>
  </r>
  <r>
    <s v="SALE1328"/>
    <d v="2023-12-08T00:00:00"/>
    <s v="CUST1334"/>
    <s v="PROD5"/>
    <s v="STORE8"/>
    <n v="3"/>
    <n v="120.77"/>
    <n v="0.28999999999999998"/>
    <s v="PayPal"/>
    <x v="1"/>
    <x v="40"/>
    <x v="2"/>
    <s v="Men'S Leather Belt - Baldwin, Garza And Gonzalez"/>
    <x v="4"/>
    <n v="261"/>
    <x v="1"/>
    <x v="2"/>
    <n v="361.43999999999994"/>
  </r>
  <r>
    <s v="SALE1329"/>
    <d v="2025-06-16T00:00:00"/>
    <s v="CUST1222"/>
    <s v="PROD76"/>
    <s v="STORE17"/>
    <n v="4"/>
    <n v="661.39"/>
    <n v="7.0000000000000007E-2"/>
    <s v="Credit Card"/>
    <x v="0"/>
    <x v="23"/>
    <x v="1"/>
    <s v="Wireless Mouse - Larson Ltd"/>
    <x v="1"/>
    <n v="392.89"/>
    <x v="0"/>
    <x v="1"/>
    <n v="2645.2799999999997"/>
  </r>
  <r>
    <s v="SALE1330"/>
    <d v="2023-12-01T00:00:00"/>
    <s v="CUST1449"/>
    <s v="PROD62"/>
    <s v="STORE2"/>
    <n v="1"/>
    <n v="195.24"/>
    <n v="0.27"/>
    <s v="PayPal"/>
    <x v="0"/>
    <x v="31"/>
    <x v="3"/>
    <s v="Laptop Cooling Pad - Murray, Gould And Ware"/>
    <x v="1"/>
    <n v="86.42"/>
    <x v="2"/>
    <x v="0"/>
    <n v="194.97"/>
  </r>
  <r>
    <s v="SALE1331"/>
    <d v="2023-11-03T00:00:00"/>
    <s v="CUST1004"/>
    <s v="PROD92"/>
    <s v="STORE18"/>
    <n v="2"/>
    <n v="177.4"/>
    <n v="0.19"/>
    <s v="PayPal"/>
    <x v="1"/>
    <x v="24"/>
    <x v="2"/>
    <s v="Microwave Oven - Green, Powell And Palmer"/>
    <x v="3"/>
    <n v="447.43"/>
    <x v="3"/>
    <x v="1"/>
    <n v="354.42"/>
  </r>
  <r>
    <s v="SALE1332"/>
    <d v="2025-01-16T00:00:00"/>
    <s v="CUST1057"/>
    <s v="PROD98"/>
    <s v="STORE11"/>
    <n v="4"/>
    <n v="862.67"/>
    <n v="0.2"/>
    <s v="PayPal"/>
    <x v="1"/>
    <x v="5"/>
    <x v="1"/>
    <s v="Portable Bluetooth Speaker - Flores-King"/>
    <x v="1"/>
    <n v="431.67"/>
    <x v="2"/>
    <x v="2"/>
    <n v="3449.8799999999997"/>
  </r>
  <r>
    <s v="SALE1333"/>
    <d v="2024-09-30T00:00:00"/>
    <s v="CUST1444"/>
    <s v="PROD17"/>
    <s v="STORE6"/>
    <n v="1"/>
    <n v="55.04"/>
    <n v="0.01"/>
    <s v="COD"/>
    <x v="0"/>
    <x v="0"/>
    <x v="0"/>
    <s v="Soccer Training Cone Set - Ford, Murphy And Wilson"/>
    <x v="0"/>
    <n v="144.53"/>
    <x v="3"/>
    <x v="2"/>
    <n v="55.03"/>
  </r>
  <r>
    <s v="SALE1334"/>
    <d v="2024-12-20T00:00:00"/>
    <s v="CUST1049"/>
    <s v="PROD45"/>
    <s v="STORE0"/>
    <n v="2"/>
    <n v="905.47"/>
    <n v="0.2"/>
    <s v="COD"/>
    <x v="1"/>
    <x v="31"/>
    <x v="0"/>
    <s v="High-Grip Football - Bridges, Banks And Cummings"/>
    <x v="0"/>
    <n v="318.91000000000003"/>
    <x v="3"/>
    <x v="1"/>
    <n v="1810.54"/>
  </r>
  <r>
    <s v="SALE1335"/>
    <d v="2024-09-04T00:00:00"/>
    <s v="CUST1461"/>
    <s v="PROD63"/>
    <s v="STORE13"/>
    <n v="3"/>
    <n v="217.13"/>
    <n v="0.28000000000000003"/>
    <s v="Credit Card"/>
    <x v="1"/>
    <x v="32"/>
    <x v="2"/>
    <s v="Organic Sunscreen Lotion - Anderson-Riley"/>
    <x v="2"/>
    <n v="266.86"/>
    <x v="3"/>
    <x v="1"/>
    <n v="650.54999999999995"/>
  </r>
  <r>
    <s v="SALE1336"/>
    <d v="2025-10-06T00:00:00"/>
    <s v="CUST1389"/>
    <s v="PROD75"/>
    <s v="STORE0"/>
    <n v="3"/>
    <n v="580.45000000000005"/>
    <n v="0"/>
    <s v="PayPal"/>
    <x v="0"/>
    <x v="48"/>
    <x v="1"/>
    <s v="Women'S Ankle Boots - Poole Plc"/>
    <x v="4"/>
    <n v="158.13999999999999"/>
    <x v="3"/>
    <x v="1"/>
    <n v="1741.3500000000001"/>
  </r>
  <r>
    <s v="SALE1337"/>
    <d v="2025-07-16T00:00:00"/>
    <s v="CUST1103"/>
    <s v="PROD4"/>
    <s v="STORE17"/>
    <n v="2"/>
    <n v="892.88"/>
    <n v="0.17"/>
    <s v="PayPal"/>
    <x v="0"/>
    <x v="40"/>
    <x v="3"/>
    <s v="Women'S Yoga Pants - Gonzales-Davis"/>
    <x v="4"/>
    <n v="306.45999999999998"/>
    <x v="0"/>
    <x v="1"/>
    <n v="1785.42"/>
  </r>
  <r>
    <s v="SALE1338"/>
    <d v="2025-10-06T00:00:00"/>
    <s v="CUST1091"/>
    <s v="PROD40"/>
    <s v="STORE18"/>
    <n v="2"/>
    <n v="356.28"/>
    <n v="0.11"/>
    <s v="COD"/>
    <x v="1"/>
    <x v="28"/>
    <x v="2"/>
    <s v="Noise-Canceling Headphones - Taylor-Hart"/>
    <x v="1"/>
    <n v="38.520000000000003"/>
    <x v="3"/>
    <x v="1"/>
    <n v="712.33999999999992"/>
  </r>
  <r>
    <s v="SALE1339"/>
    <d v="2025-09-21T00:00:00"/>
    <s v="CUST1384"/>
    <s v="PROD80"/>
    <s v="STORE2"/>
    <n v="4"/>
    <n v="806.99"/>
    <n v="0.06"/>
    <s v="Credit Card"/>
    <x v="1"/>
    <x v="9"/>
    <x v="3"/>
    <s v="Wall-Mounted Spice Rack - Allison Ltd"/>
    <x v="3"/>
    <n v="143.43"/>
    <x v="2"/>
    <x v="0"/>
    <n v="3227.7200000000003"/>
  </r>
  <r>
    <s v="SALE1340"/>
    <d v="2025-07-17T00:00:00"/>
    <s v="CUST1439"/>
    <s v="PROD20"/>
    <s v="STORE1"/>
    <n v="3"/>
    <n v="684.22"/>
    <n v="0.09"/>
    <s v="Credit Card"/>
    <x v="0"/>
    <x v="20"/>
    <x v="2"/>
    <s v="Outdoor Sports Water Bottle - Soto-Ellis"/>
    <x v="0"/>
    <n v="131.51"/>
    <x v="0"/>
    <x v="1"/>
    <n v="2052.39"/>
  </r>
  <r>
    <s v="SALE1341"/>
    <d v="2025-06-29T00:00:00"/>
    <s v="CUST1443"/>
    <s v="PROD93"/>
    <s v="STORE7"/>
    <n v="4"/>
    <n v="763.34"/>
    <n v="7.0000000000000007E-2"/>
    <s v="PayPal"/>
    <x v="0"/>
    <x v="11"/>
    <x v="2"/>
    <s v="Usb-C Laptop Charger - Martin Llc"/>
    <x v="1"/>
    <n v="377.52"/>
    <x v="2"/>
    <x v="2"/>
    <n v="3053.08"/>
  </r>
  <r>
    <s v="SALE1342"/>
    <d v="2025-03-22T00:00:00"/>
    <s v="CUST1361"/>
    <s v="PROD50"/>
    <s v="STORE3"/>
    <n v="3"/>
    <n v="721.94"/>
    <n v="0.26"/>
    <s v="Credit Card"/>
    <x v="0"/>
    <x v="30"/>
    <x v="1"/>
    <s v="Boxing Hand Wraps - Smith-King"/>
    <x v="0"/>
    <n v="190.29"/>
    <x v="0"/>
    <x v="0"/>
    <n v="2165.04"/>
  </r>
  <r>
    <s v="SALE1343"/>
    <d v="2024-02-01T00:00:00"/>
    <s v="CUST1406"/>
    <s v="PROD97"/>
    <s v="STORE1"/>
    <n v="3"/>
    <n v="760.38"/>
    <n v="0"/>
    <s v="COD"/>
    <x v="1"/>
    <x v="18"/>
    <x v="0"/>
    <s v="Cricket Bat - Khan Llc"/>
    <x v="0"/>
    <n v="245.98"/>
    <x v="0"/>
    <x v="1"/>
    <n v="2281.14"/>
  </r>
  <r>
    <s v="SALE1344"/>
    <d v="2024-03-11T00:00:00"/>
    <s v="CUST1298"/>
    <s v="PROD97"/>
    <s v="STORE6"/>
    <n v="3"/>
    <n v="612.53"/>
    <n v="0.21"/>
    <s v="COD"/>
    <x v="0"/>
    <x v="17"/>
    <x v="1"/>
    <s v="Cricket Bat - Khan Llc"/>
    <x v="0"/>
    <n v="245.98"/>
    <x v="3"/>
    <x v="2"/>
    <n v="1836.9599999999998"/>
  </r>
  <r>
    <s v="SALE1345"/>
    <d v="2024-09-09T00:00:00"/>
    <s v="CUST1041"/>
    <s v="PROD63"/>
    <s v="STORE16"/>
    <n v="3"/>
    <n v="841.37"/>
    <n v="0.28999999999999998"/>
    <s v="PayPal"/>
    <x v="0"/>
    <x v="41"/>
    <x v="1"/>
    <s v="Organic Sunscreen Lotion - Anderson-Riley"/>
    <x v="2"/>
    <n v="266.86"/>
    <x v="1"/>
    <x v="1"/>
    <n v="2523.2400000000002"/>
  </r>
  <r>
    <s v="SALE1346"/>
    <d v="2023-11-19T00:00:00"/>
    <s v="CUST1261"/>
    <s v="PROD48"/>
    <s v="STORE9"/>
    <n v="2"/>
    <n v="636.51"/>
    <n v="0.25"/>
    <s v="Credit Card"/>
    <x v="1"/>
    <x v="47"/>
    <x v="2"/>
    <s v="Car Dashboard Phone Holder - Byrd, Stewart And Valdez"/>
    <x v="1"/>
    <n v="177.98"/>
    <x v="2"/>
    <x v="1"/>
    <n v="1272.52"/>
  </r>
  <r>
    <s v="SALE1347"/>
    <d v="2025-01-02T00:00:00"/>
    <s v="CUST1091"/>
    <s v="PROD45"/>
    <s v="STORE8"/>
    <n v="2"/>
    <n v="732.37"/>
    <n v="0.22"/>
    <s v="COD"/>
    <x v="1"/>
    <x v="28"/>
    <x v="2"/>
    <s v="High-Grip Football - Bridges, Banks And Cummings"/>
    <x v="0"/>
    <n v="318.91000000000003"/>
    <x v="1"/>
    <x v="2"/>
    <n v="1464.3"/>
  </r>
  <r>
    <s v="SALE1348"/>
    <d v="2025-09-27T00:00:00"/>
    <s v="CUST1164"/>
    <s v="PROD54"/>
    <s v="STORE16"/>
    <n v="3"/>
    <n v="183.44"/>
    <n v="0.28000000000000003"/>
    <s v="COD"/>
    <x v="1"/>
    <x v="36"/>
    <x v="2"/>
    <s v="Sports Stopwatch Pro - Thompson-French"/>
    <x v="0"/>
    <n v="434.84"/>
    <x v="1"/>
    <x v="1"/>
    <n v="549.48"/>
  </r>
  <r>
    <s v="SALE1349"/>
    <d v="2024-03-22T00:00:00"/>
    <s v="CUST1065"/>
    <s v="PROD11"/>
    <s v="STORE13"/>
    <n v="4"/>
    <n v="898.58"/>
    <n v="0.16"/>
    <s v="PayPal"/>
    <x v="1"/>
    <x v="8"/>
    <x v="2"/>
    <s v="Hd Smart Tv Stick - Gibson, Hobbs And Weaver"/>
    <x v="1"/>
    <n v="449.4"/>
    <x v="3"/>
    <x v="1"/>
    <n v="3593.6800000000003"/>
  </r>
  <r>
    <s v="SALE1350"/>
    <d v="2024-08-25T00:00:00"/>
    <s v="CUST1390"/>
    <s v="PROD23"/>
    <s v="STORE2"/>
    <n v="3"/>
    <n v="152.41"/>
    <n v="0.25"/>
    <s v="Credit Card"/>
    <x v="0"/>
    <x v="13"/>
    <x v="2"/>
    <s v="Men'S Formal Shirt - Moon, Mora And Santos"/>
    <x v="4"/>
    <n v="248.82191780821913"/>
    <x v="2"/>
    <x v="0"/>
    <n v="456.48"/>
  </r>
  <r>
    <s v="SALE1351"/>
    <d v="2025-08-03T00:00:00"/>
    <s v="CUST1223"/>
    <s v="PROD92"/>
    <s v="STORE14"/>
    <n v="3"/>
    <n v="972.58"/>
    <n v="0.28000000000000003"/>
    <s v="COD"/>
    <x v="0"/>
    <x v="9"/>
    <x v="1"/>
    <s v="Microwave Oven - Green, Powell And Palmer"/>
    <x v="3"/>
    <n v="447.43"/>
    <x v="2"/>
    <x v="0"/>
    <n v="2916.9"/>
  </r>
  <r>
    <s v="SALE1352"/>
    <d v="2023-12-07T00:00:00"/>
    <s v="CUST1466"/>
    <s v="PROD69"/>
    <s v="STORE11"/>
    <n v="4"/>
    <n v="136.4"/>
    <n v="0.04"/>
    <s v="COD"/>
    <x v="0"/>
    <x v="46"/>
    <x v="2"/>
    <s v="Men'S Sports Shorts - Fitzpatrick Ltd"/>
    <x v="4"/>
    <n v="218.22"/>
    <x v="2"/>
    <x v="2"/>
    <n v="545.44000000000005"/>
  </r>
  <r>
    <s v="SALE1353"/>
    <d v="2025-08-25T00:00:00"/>
    <s v="CUST1400"/>
    <s v="PROD94"/>
    <s v="STORE15"/>
    <n v="1"/>
    <n v="509.63"/>
    <n v="0.27"/>
    <s v="COD"/>
    <x v="1"/>
    <x v="15"/>
    <x v="1"/>
    <s v="Vitamin E Body Lotion - Hoffman-Williams"/>
    <x v="2"/>
    <n v="358.47"/>
    <x v="0"/>
    <x v="1"/>
    <n v="509.36"/>
  </r>
  <r>
    <s v="SALE1354"/>
    <d v="2024-02-09T00:00:00"/>
    <s v="CUST1003"/>
    <s v="PROD97"/>
    <s v="STORE3"/>
    <n v="4"/>
    <n v="360.28"/>
    <n v="0.09"/>
    <s v="COD"/>
    <x v="1"/>
    <x v="31"/>
    <x v="3"/>
    <s v="Cricket Bat - Khan Llc"/>
    <x v="0"/>
    <n v="245.98"/>
    <x v="0"/>
    <x v="0"/>
    <n v="1440.76"/>
  </r>
  <r>
    <s v="SALE1355"/>
    <d v="2025-09-10T00:00:00"/>
    <s v="CUST1080"/>
    <s v="PROD89"/>
    <s v="STORE15"/>
    <n v="3"/>
    <n v="882.05"/>
    <n v="0.06"/>
    <s v="PayPal"/>
    <x v="1"/>
    <x v="23"/>
    <x v="3"/>
    <s v="Face Foundation Kit - Taylor-Elliott"/>
    <x v="2"/>
    <n v="183.04"/>
    <x v="0"/>
    <x v="1"/>
    <n v="2645.9700000000003"/>
  </r>
  <r>
    <s v="SALE1356"/>
    <d v="2024-09-29T00:00:00"/>
    <s v="CUST1195"/>
    <s v="PROD79"/>
    <s v="STORE8"/>
    <n v="3"/>
    <n v="141.54"/>
    <n v="0.12"/>
    <s v="PayPal"/>
    <x v="0"/>
    <x v="28"/>
    <x v="2"/>
    <s v="Decorative Lamp Shade - Ramirez-Hanson"/>
    <x v="3"/>
    <n v="228.53"/>
    <x v="1"/>
    <x v="2"/>
    <n v="424.26"/>
  </r>
  <r>
    <s v="SALE1357"/>
    <d v="2024-06-18T00:00:00"/>
    <s v="CUST1043"/>
    <s v="PROD15"/>
    <s v="STORE4"/>
    <n v="3"/>
    <n v="83.5"/>
    <n v="0.23"/>
    <s v="COD"/>
    <x v="0"/>
    <x v="1"/>
    <x v="0"/>
    <s v="4K Home Projector - Thomas Llc"/>
    <x v="1"/>
    <n v="465.34"/>
    <x v="2"/>
    <x v="2"/>
    <n v="249.81"/>
  </r>
  <r>
    <s v="SALE1358"/>
    <d v="2023-11-28T00:00:00"/>
    <s v="CUST1123"/>
    <s v="PROD14"/>
    <s v="STORE6"/>
    <n v="2"/>
    <n v="629.73"/>
    <n v="7.0000000000000007E-2"/>
    <s v="PayPal"/>
    <x v="0"/>
    <x v="9"/>
    <x v="2"/>
    <s v="Decorative Wall Mirror - Luna, Anderson And Bowman"/>
    <x v="3"/>
    <n v="48.01"/>
    <x v="3"/>
    <x v="2"/>
    <n v="1259.32"/>
  </r>
  <r>
    <s v="SALE1359"/>
    <d v="2023-10-29T00:00:00"/>
    <s v="CUST1012"/>
    <s v="PROD33"/>
    <s v="STORE6"/>
    <n v="2"/>
    <n v="159.93"/>
    <n v="0.2"/>
    <s v="COD"/>
    <x v="1"/>
    <x v="32"/>
    <x v="1"/>
    <s v="Modern Wall Clock - Weiss-Watson"/>
    <x v="3"/>
    <n v="179.77"/>
    <x v="3"/>
    <x v="2"/>
    <n v="319.46000000000004"/>
  </r>
  <r>
    <s v="SALE1360"/>
    <d v="2025-07-20T00:00:00"/>
    <s v="CUST1012"/>
    <s v="PROD45"/>
    <s v="STORE18"/>
    <n v="1"/>
    <n v="459.89"/>
    <n v="0.18"/>
    <s v="COD"/>
    <x v="1"/>
    <x v="32"/>
    <x v="1"/>
    <s v="High-Grip Football - Bridges, Banks And Cummings"/>
    <x v="0"/>
    <n v="318.91000000000003"/>
    <x v="3"/>
    <x v="1"/>
    <n v="459.71"/>
  </r>
  <r>
    <s v="SALE1361"/>
    <d v="2024-08-28T00:00:00"/>
    <s v="CUST1188"/>
    <s v="PROD33"/>
    <s v="STORE19"/>
    <n v="4"/>
    <n v="885.57"/>
    <n v="0.27"/>
    <s v="Credit Card"/>
    <x v="0"/>
    <x v="23"/>
    <x v="2"/>
    <s v="Modern Wall Clock - Weiss-Watson"/>
    <x v="3"/>
    <n v="179.77"/>
    <x v="3"/>
    <x v="2"/>
    <n v="3541.2000000000003"/>
  </r>
  <r>
    <s v="SALE1362"/>
    <d v="2024-06-11T00:00:00"/>
    <s v="CUST1402"/>
    <s v="PROD54"/>
    <s v="STORE15"/>
    <n v="3"/>
    <n v="789.05"/>
    <n v="0"/>
    <s v="PayPal"/>
    <x v="0"/>
    <x v="25"/>
    <x v="3"/>
    <s v="Sports Stopwatch Pro - Thompson-French"/>
    <x v="0"/>
    <n v="434.84"/>
    <x v="0"/>
    <x v="1"/>
    <n v="2367.1499999999996"/>
  </r>
  <r>
    <s v="SALE1363"/>
    <d v="2023-11-14T00:00:00"/>
    <s v="CUST1154"/>
    <s v="PROD66"/>
    <s v="STORE0"/>
    <n v="1"/>
    <n v="570.52"/>
    <n v="0"/>
    <s v="PayPal"/>
    <x v="1"/>
    <x v="1"/>
    <x v="0"/>
    <s v="Women'S Hair Dryer Brush - Torres, Spencer And Potter"/>
    <x v="2"/>
    <n v="340.39"/>
    <x v="3"/>
    <x v="1"/>
    <n v="570.52"/>
  </r>
  <r>
    <s v="SALE1364"/>
    <d v="2024-01-31T00:00:00"/>
    <s v="CUST1179"/>
    <s v="PROD27"/>
    <s v="STORE16"/>
    <n v="4"/>
    <n v="310.79000000000002"/>
    <n v="0.22"/>
    <s v="COD"/>
    <x v="1"/>
    <x v="39"/>
    <x v="2"/>
    <s v="Decorative Floor Vase - Khan, Jones And Paul"/>
    <x v="3"/>
    <n v="250.02157142857135"/>
    <x v="1"/>
    <x v="1"/>
    <n v="1242.28"/>
  </r>
  <r>
    <s v="SALE1365"/>
    <d v="2025-04-10T00:00:00"/>
    <s v="CUST1057"/>
    <s v="PROD68"/>
    <s v="STORE17"/>
    <n v="4"/>
    <n v="255.67"/>
    <n v="0.17"/>
    <s v="Credit Card"/>
    <x v="1"/>
    <x v="5"/>
    <x v="1"/>
    <s v="Wooden Nightstand - Wolfe, Ross And Hester"/>
    <x v="3"/>
    <n v="243.7"/>
    <x v="0"/>
    <x v="1"/>
    <n v="1022"/>
  </r>
  <r>
    <s v="SALE1366"/>
    <d v="2024-04-15T00:00:00"/>
    <s v="CUST1129"/>
    <s v="PROD27"/>
    <s v="STORE16"/>
    <n v="2"/>
    <n v="270.66000000000003"/>
    <n v="0.1"/>
    <s v="COD"/>
    <x v="1"/>
    <x v="34"/>
    <x v="2"/>
    <s v="Decorative Floor Vase - Khan, Jones And Paul"/>
    <x v="3"/>
    <n v="250.02157142857135"/>
    <x v="1"/>
    <x v="1"/>
    <n v="541.12"/>
  </r>
  <r>
    <s v="SALE1367"/>
    <d v="2025-09-14T00:00:00"/>
    <s v="CUST1299"/>
    <s v="PROD23"/>
    <s v="STORE17"/>
    <n v="3"/>
    <n v="373.35"/>
    <n v="0.2"/>
    <s v="COD"/>
    <x v="1"/>
    <x v="38"/>
    <x v="1"/>
    <s v="Men'S Formal Shirt - Moon, Mora And Santos"/>
    <x v="4"/>
    <n v="248.82191780821913"/>
    <x v="0"/>
    <x v="1"/>
    <n v="1119.45"/>
  </r>
  <r>
    <s v="SALE1368"/>
    <d v="2024-05-20T00:00:00"/>
    <s v="CUST1036"/>
    <s v="PROD59"/>
    <s v="STORE11"/>
    <n v="2"/>
    <n v="23.58"/>
    <n v="0.02"/>
    <s v="PayPal"/>
    <x v="1"/>
    <x v="36"/>
    <x v="0"/>
    <s v="Men'S Hair Styling Gel - Cline-Mccarthy"/>
    <x v="2"/>
    <n v="17.309999999999999"/>
    <x v="2"/>
    <x v="2"/>
    <n v="47.12"/>
  </r>
  <r>
    <s v="SALE1369"/>
    <d v="2025-05-21T00:00:00"/>
    <s v="CUST1005"/>
    <s v="PROD35"/>
    <s v="STORE7"/>
    <n v="4"/>
    <n v="185.67"/>
    <n v="0.21"/>
    <s v="PayPal"/>
    <x v="0"/>
    <x v="47"/>
    <x v="3"/>
    <s v="Bedroom Table Lamp - Jones Llc"/>
    <x v="3"/>
    <n v="382.22"/>
    <x v="2"/>
    <x v="2"/>
    <n v="741.83999999999992"/>
  </r>
  <r>
    <s v="SALE1370"/>
    <d v="2024-04-14T00:00:00"/>
    <s v="CUST1120"/>
    <s v="PROD18"/>
    <s v="STORE13"/>
    <n v="3"/>
    <n v="928.74"/>
    <n v="0.27"/>
    <s v="PayPal"/>
    <x v="1"/>
    <x v="2"/>
    <x v="1"/>
    <s v="Women'S Denim Jeans - Guerra-Hendrix"/>
    <x v="4"/>
    <n v="245.7783116883117"/>
    <x v="3"/>
    <x v="1"/>
    <n v="2785.41"/>
  </r>
  <r>
    <s v="SALE1371"/>
    <d v="2023-11-05T00:00:00"/>
    <s v="CUST1029"/>
    <s v="PROD84"/>
    <s v="STORE5"/>
    <n v="3"/>
    <n v="923.38"/>
    <n v="7.0000000000000007E-2"/>
    <s v="COD"/>
    <x v="1"/>
    <x v="24"/>
    <x v="2"/>
    <s v="Wooden Bookshelf - Collins-Stephenson"/>
    <x v="3"/>
    <n v="388.46"/>
    <x v="0"/>
    <x v="0"/>
    <n v="2769.93"/>
  </r>
  <r>
    <s v="SALE1372"/>
    <d v="2024-07-26T00:00:00"/>
    <s v="CUST1462"/>
    <s v="PROD4"/>
    <s v="STORE9"/>
    <n v="2"/>
    <n v="409.26"/>
    <n v="0.1"/>
    <s v="PayPal"/>
    <x v="1"/>
    <x v="35"/>
    <x v="2"/>
    <s v="Women'S Yoga Pants - Gonzales-Davis"/>
    <x v="4"/>
    <n v="306.45999999999998"/>
    <x v="2"/>
    <x v="1"/>
    <n v="818.31999999999994"/>
  </r>
  <r>
    <s v="SALE1373"/>
    <d v="2023-12-12T00:00:00"/>
    <s v="CUST1254"/>
    <s v="PROD23"/>
    <s v="STORE7"/>
    <n v="2"/>
    <n v="608.46"/>
    <n v="0.16"/>
    <s v="Credit Card"/>
    <x v="0"/>
    <x v="41"/>
    <x v="2"/>
    <s v="Men'S Formal Shirt - Moon, Mora And Santos"/>
    <x v="4"/>
    <n v="248.82191780821913"/>
    <x v="2"/>
    <x v="2"/>
    <n v="1216.6000000000001"/>
  </r>
  <r>
    <s v="SALE1374"/>
    <d v="2025-05-08T00:00:00"/>
    <s v="CUST1212"/>
    <s v="PROD42"/>
    <s v="STORE19"/>
    <n v="4"/>
    <n v="150.47999999999999"/>
    <n v="0.09"/>
    <s v="Credit Card"/>
    <x v="1"/>
    <x v="7"/>
    <x v="1"/>
    <s v="Smart Home Wifi Camera - Holmes Llc"/>
    <x v="1"/>
    <n v="450.71"/>
    <x v="3"/>
    <x v="2"/>
    <n v="601.55999999999995"/>
  </r>
  <r>
    <s v="SALE1375"/>
    <d v="2024-08-30T00:00:00"/>
    <s v="CUST1245"/>
    <s v="PROD68"/>
    <s v="STORE14"/>
    <n v="4"/>
    <n v="207.41"/>
    <n v="0.02"/>
    <s v="Credit Card"/>
    <x v="1"/>
    <x v="20"/>
    <x v="1"/>
    <s v="Wooden Nightstand - Wolfe, Ross And Hester"/>
    <x v="3"/>
    <n v="243.7"/>
    <x v="2"/>
    <x v="0"/>
    <n v="829.56"/>
  </r>
  <r>
    <s v="SALE1376"/>
    <d v="2025-05-26T00:00:00"/>
    <s v="CUST1172"/>
    <s v="PROD11"/>
    <s v="STORE6"/>
    <n v="1"/>
    <n v="56.59"/>
    <n v="0.15"/>
    <s v="PayPal"/>
    <x v="1"/>
    <x v="35"/>
    <x v="3"/>
    <s v="Hd Smart Tv Stick - Gibson, Hobbs And Weaver"/>
    <x v="1"/>
    <n v="449.4"/>
    <x v="3"/>
    <x v="2"/>
    <n v="56.440000000000005"/>
  </r>
  <r>
    <s v="SALE1377"/>
    <d v="2025-01-10T00:00:00"/>
    <s v="CUST1405"/>
    <s v="PROD39"/>
    <s v="STORE4"/>
    <n v="4"/>
    <n v="995.4"/>
    <n v="0.27"/>
    <s v="Credit Card"/>
    <x v="1"/>
    <x v="38"/>
    <x v="0"/>
    <s v="Portable Power Bank - Cummings And Sons"/>
    <x v="1"/>
    <n v="326.06"/>
    <x v="2"/>
    <x v="2"/>
    <n v="3980.52"/>
  </r>
  <r>
    <s v="SALE1378"/>
    <d v="2024-12-30T00:00:00"/>
    <s v="CUST1064"/>
    <s v="PROD47"/>
    <s v="STORE12"/>
    <n v="2"/>
    <n v="591.33000000000004"/>
    <n v="0.24"/>
    <s v="Credit Card"/>
    <x v="0"/>
    <x v="28"/>
    <x v="0"/>
    <s v="Makeup Brush Set - Cook Inc"/>
    <x v="2"/>
    <n v="255.04901960784306"/>
    <x v="0"/>
    <x v="2"/>
    <n v="1182.18"/>
  </r>
  <r>
    <s v="SALE1379"/>
    <d v="2025-07-31T00:00:00"/>
    <s v="CUST1378"/>
    <s v="PROD48"/>
    <s v="STORE17"/>
    <n v="2"/>
    <n v="204.89"/>
    <n v="0.24"/>
    <s v="Credit Card"/>
    <x v="1"/>
    <x v="37"/>
    <x v="3"/>
    <s v="Car Dashboard Phone Holder - Byrd, Stewart And Valdez"/>
    <x v="1"/>
    <n v="177.98"/>
    <x v="0"/>
    <x v="1"/>
    <n v="409.29999999999995"/>
  </r>
  <r>
    <s v="SALE1380"/>
    <d v="2024-09-14T00:00:00"/>
    <s v="CUST1090"/>
    <s v="PROD65"/>
    <s v="STORE14"/>
    <n v="2"/>
    <n v="546.41"/>
    <n v="0.08"/>
    <s v="COD"/>
    <x v="1"/>
    <x v="38"/>
    <x v="1"/>
    <s v="Adjustable Dumbbells 20Kg - Montgomery, Benton And Miller"/>
    <x v="0"/>
    <n v="240.63"/>
    <x v="2"/>
    <x v="0"/>
    <n v="1092.6599999999999"/>
  </r>
  <r>
    <s v="SALE1381"/>
    <d v="2024-04-27T00:00:00"/>
    <s v="CUST1056"/>
    <s v="PROD18"/>
    <s v="STORE12"/>
    <n v="4"/>
    <n v="455.49"/>
    <n v="0.17"/>
    <s v="Credit Card"/>
    <x v="1"/>
    <x v="2"/>
    <x v="0"/>
    <s v="Women'S Denim Jeans - Guerra-Hendrix"/>
    <x v="4"/>
    <n v="245.7783116883117"/>
    <x v="0"/>
    <x v="2"/>
    <n v="1821.28"/>
  </r>
  <r>
    <s v="SALE1382"/>
    <d v="2024-03-23T00:00:00"/>
    <s v="CUST1422"/>
    <s v="PROD10"/>
    <s v="STORE16"/>
    <n v="2"/>
    <n v="700.27"/>
    <n v="0.16"/>
    <s v="Credit Card"/>
    <x v="1"/>
    <x v="32"/>
    <x v="1"/>
    <s v="Ceramic Kitchen Bowl Set - Hamilton Group"/>
    <x v="3"/>
    <n v="298.86"/>
    <x v="1"/>
    <x v="1"/>
    <n v="1400.22"/>
  </r>
  <r>
    <s v="SALE1383"/>
    <d v="2023-12-22T00:00:00"/>
    <s v="CUST1345"/>
    <s v="PROD82"/>
    <s v="STORE17"/>
    <n v="2"/>
    <n v="160.21"/>
    <n v="0.09"/>
    <s v="Credit Card"/>
    <x v="0"/>
    <x v="15"/>
    <x v="3"/>
    <s v="Fitness Resistance Bands - Reese-Watson"/>
    <x v="0"/>
    <n v="152.91999999999999"/>
    <x v="0"/>
    <x v="1"/>
    <n v="320.24"/>
  </r>
  <r>
    <s v="SALE1384"/>
    <d v="2025-03-26T00:00:00"/>
    <s v="CUST1031"/>
    <s v="PROD47"/>
    <s v="STORE11"/>
    <n v="1"/>
    <n v="713.63"/>
    <n v="0.28000000000000003"/>
    <s v="COD"/>
    <x v="0"/>
    <x v="47"/>
    <x v="2"/>
    <s v="Makeup Brush Set - Cook Inc"/>
    <x v="2"/>
    <n v="255.04901960784306"/>
    <x v="2"/>
    <x v="2"/>
    <n v="713.35"/>
  </r>
  <r>
    <s v="SALE1385"/>
    <d v="2024-06-04T00:00:00"/>
    <s v="CUST1227"/>
    <s v="PROD93"/>
    <s v="STORE7"/>
    <n v="2"/>
    <n v="224.69"/>
    <n v="0.2"/>
    <s v="COD"/>
    <x v="1"/>
    <x v="32"/>
    <x v="0"/>
    <s v="Usb-C Laptop Charger - Martin Llc"/>
    <x v="1"/>
    <n v="377.52"/>
    <x v="2"/>
    <x v="2"/>
    <n v="448.98"/>
  </r>
  <r>
    <s v="SALE1386"/>
    <d v="2025-03-17T00:00:00"/>
    <s v="CUST1453"/>
    <s v="PROD20"/>
    <s v="STORE14"/>
    <n v="2"/>
    <n v="740.57"/>
    <n v="0.06"/>
    <s v="Credit Card"/>
    <x v="1"/>
    <x v="22"/>
    <x v="1"/>
    <s v="Outdoor Sports Water Bottle - Soto-Ellis"/>
    <x v="0"/>
    <n v="131.51"/>
    <x v="2"/>
    <x v="0"/>
    <n v="1481.0200000000002"/>
  </r>
  <r>
    <s v="SALE1387"/>
    <d v="2024-03-22T00:00:00"/>
    <s v="CUST1142"/>
    <s v="PROD11"/>
    <s v="STORE3"/>
    <n v="3"/>
    <n v="250.14"/>
    <n v="0.23"/>
    <s v="PayPal"/>
    <x v="0"/>
    <x v="10"/>
    <x v="3"/>
    <s v="Hd Smart Tv Stick - Gibson, Hobbs And Weaver"/>
    <x v="1"/>
    <n v="449.4"/>
    <x v="0"/>
    <x v="0"/>
    <n v="749.73"/>
  </r>
  <r>
    <s v="SALE1388"/>
    <d v="2024-12-29T00:00:00"/>
    <s v="CUST1020"/>
    <s v="PROD98"/>
    <s v="STORE19"/>
    <n v="3"/>
    <n v="34.97"/>
    <n v="0.01"/>
    <s v="Credit Card"/>
    <x v="0"/>
    <x v="37"/>
    <x v="2"/>
    <s v="Portable Bluetooth Speaker - Flores-King"/>
    <x v="1"/>
    <n v="431.67"/>
    <x v="3"/>
    <x v="2"/>
    <n v="104.88"/>
  </r>
  <r>
    <s v="SALE1389"/>
    <d v="2025-07-30T00:00:00"/>
    <s v="CUST1304"/>
    <s v="PROD42"/>
    <s v="STORE16"/>
    <n v="1"/>
    <n v="653.91"/>
    <n v="0.3"/>
    <s v="PayPal"/>
    <x v="0"/>
    <x v="32"/>
    <x v="2"/>
    <s v="Smart Home Wifi Camera - Holmes Llc"/>
    <x v="1"/>
    <n v="450.71"/>
    <x v="1"/>
    <x v="1"/>
    <n v="653.61"/>
  </r>
  <r>
    <s v="SALE1390"/>
    <d v="2024-02-16T00:00:00"/>
    <s v="CUST1363"/>
    <s v="PROD66"/>
    <s v="STORE3"/>
    <n v="1"/>
    <n v="997.87"/>
    <n v="0.24"/>
    <s v="Credit Card"/>
    <x v="0"/>
    <x v="31"/>
    <x v="3"/>
    <s v="Women'S Hair Dryer Brush - Torres, Spencer And Potter"/>
    <x v="2"/>
    <n v="340.39"/>
    <x v="0"/>
    <x v="0"/>
    <n v="997.63"/>
  </r>
  <r>
    <s v="SALE1391"/>
    <d v="2024-02-27T00:00:00"/>
    <s v="CUST1208"/>
    <s v="PROD89"/>
    <s v="STORE14"/>
    <n v="1"/>
    <n v="174.27"/>
    <n v="0.27"/>
    <s v="COD"/>
    <x v="0"/>
    <x v="38"/>
    <x v="1"/>
    <s v="Face Foundation Kit - Taylor-Elliott"/>
    <x v="2"/>
    <n v="183.04"/>
    <x v="2"/>
    <x v="0"/>
    <n v="174"/>
  </r>
  <r>
    <s v="SALE1392"/>
    <d v="2024-03-17T00:00:00"/>
    <s v="CUST1115"/>
    <s v="PROD49"/>
    <s v="STORE7"/>
    <n v="3"/>
    <n v="847.44"/>
    <n v="0.17"/>
    <s v="Credit Card"/>
    <x v="1"/>
    <x v="16"/>
    <x v="1"/>
    <s v="Men'S Roll-On Perfume - Sullivan And Sons"/>
    <x v="2"/>
    <n v="43.29"/>
    <x v="2"/>
    <x v="2"/>
    <n v="2541.8100000000004"/>
  </r>
  <r>
    <s v="SALE1393"/>
    <d v="2023-11-13T00:00:00"/>
    <s v="CUST1428"/>
    <s v="PROD2"/>
    <s v="STORE2"/>
    <n v="1"/>
    <n v="493.45"/>
    <n v="0.09"/>
    <s v="Credit Card"/>
    <x v="1"/>
    <x v="38"/>
    <x v="3"/>
    <s v="Women'S Casual Hoodie - Sims Inc"/>
    <x v="4"/>
    <n v="254.62086956521742"/>
    <x v="2"/>
    <x v="0"/>
    <n v="493.36"/>
  </r>
  <r>
    <s v="SALE1394"/>
    <d v="2024-10-12T00:00:00"/>
    <s v="CUST1232"/>
    <s v="PROD62"/>
    <s v="STORE2"/>
    <n v="4"/>
    <n v="111.66"/>
    <n v="0.14000000000000001"/>
    <s v="Credit Card"/>
    <x v="1"/>
    <x v="19"/>
    <x v="1"/>
    <s v="Laptop Cooling Pad - Murray, Gould And Ware"/>
    <x v="1"/>
    <n v="86.42"/>
    <x v="2"/>
    <x v="0"/>
    <n v="446.08"/>
  </r>
  <r>
    <s v="SALE1395"/>
    <d v="2024-02-21T00:00:00"/>
    <s v="CUST1278"/>
    <s v="PROD90"/>
    <s v="STORE11"/>
    <n v="1"/>
    <n v="413.65"/>
    <n v="0.1"/>
    <s v="COD"/>
    <x v="1"/>
    <x v="5"/>
    <x v="1"/>
    <s v="Gaming Mouse Pad Xl - Sharp, Taylor And Rodriguez"/>
    <x v="1"/>
    <n v="340.14"/>
    <x v="2"/>
    <x v="2"/>
    <n v="413.54999999999995"/>
  </r>
  <r>
    <s v="SALE1396"/>
    <d v="2025-03-28T00:00:00"/>
    <s v="CUST1475"/>
    <s v="PROD89"/>
    <s v="STORE9"/>
    <n v="1"/>
    <n v="317.14999999999998"/>
    <n v="0.24"/>
    <s v="COD"/>
    <x v="1"/>
    <x v="1"/>
    <x v="1"/>
    <s v="Face Foundation Kit - Taylor-Elliott"/>
    <x v="2"/>
    <n v="183.04"/>
    <x v="2"/>
    <x v="1"/>
    <n v="316.90999999999997"/>
  </r>
  <r>
    <s v="SALE1397"/>
    <d v="2025-08-04T00:00:00"/>
    <s v="CUST1359"/>
    <s v="PROD88"/>
    <s v="STORE1"/>
    <n v="3"/>
    <n v="642.94000000000005"/>
    <n v="0.05"/>
    <s v="COD"/>
    <x v="0"/>
    <x v="32"/>
    <x v="2"/>
    <s v="Sports Wrist Sweatbands - Olsen-Daniels"/>
    <x v="0"/>
    <n v="131.24"/>
    <x v="0"/>
    <x v="1"/>
    <n v="1928.6700000000003"/>
  </r>
  <r>
    <s v="SALE1398"/>
    <d v="2024-11-05T00:00:00"/>
    <s v="CUST1133"/>
    <s v="PROD57"/>
    <s v="STORE10"/>
    <n v="4"/>
    <n v="559.59"/>
    <n v="0.19"/>
    <s v="COD"/>
    <x v="1"/>
    <x v="26"/>
    <x v="3"/>
    <s v="Foam Roller - Atkinson, Camacho And Oliver"/>
    <x v="0"/>
    <n v="30.62"/>
    <x v="3"/>
    <x v="2"/>
    <n v="2237.6"/>
  </r>
  <r>
    <s v="SALE1399"/>
    <d v="2024-06-15T00:00:00"/>
    <s v="CUST1114"/>
    <s v="PROD29"/>
    <s v="STORE18"/>
    <n v="1"/>
    <n v="758.54"/>
    <n v="0.28999999999999998"/>
    <s v="PayPal"/>
    <x v="0"/>
    <x v="8"/>
    <x v="3"/>
    <s v="Fabric Sofa Throw Blanket - Hoffman Group"/>
    <x v="3"/>
    <n v="218.48"/>
    <x v="3"/>
    <x v="1"/>
    <n v="758.25"/>
  </r>
  <r>
    <s v="SALE1400"/>
    <d v="2024-12-23T00:00:00"/>
    <s v="CUST1462"/>
    <s v="PROD80"/>
    <s v="STORE15"/>
    <n v="4"/>
    <n v="643.96"/>
    <n v="0.16"/>
    <s v="PayPal"/>
    <x v="1"/>
    <x v="35"/>
    <x v="2"/>
    <s v="Wall-Mounted Spice Rack - Allison Ltd"/>
    <x v="3"/>
    <n v="143.43"/>
    <x v="0"/>
    <x v="1"/>
    <n v="2575.2000000000003"/>
  </r>
  <r>
    <s v="SALE1401"/>
    <d v="2024-12-27T00:00:00"/>
    <s v="CUST1243"/>
    <s v="PROD24"/>
    <s v="STORE9"/>
    <n v="1"/>
    <n v="882.73"/>
    <n v="0.1"/>
    <s v="Credit Card"/>
    <x v="1"/>
    <x v="11"/>
    <x v="0"/>
    <s v="Foldable Camping Chair - Cook Ltd"/>
    <x v="0"/>
    <n v="166.06"/>
    <x v="2"/>
    <x v="1"/>
    <n v="882.63"/>
  </r>
  <r>
    <s v="SALE1402"/>
    <d v="2024-03-27T00:00:00"/>
    <s v="CUST1325"/>
    <s v="PROD91"/>
    <s v="STORE19"/>
    <n v="2"/>
    <n v="600.03"/>
    <n v="0.26"/>
    <s v="PayPal"/>
    <x v="0"/>
    <x v="18"/>
    <x v="3"/>
    <s v="Women'S High Heels - Smith-Charles"/>
    <x v="4"/>
    <n v="438.25"/>
    <x v="3"/>
    <x v="2"/>
    <n v="1199.54"/>
  </r>
  <r>
    <s v="SALE1403"/>
    <d v="2024-12-12T00:00:00"/>
    <s v="CUST1157"/>
    <s v="PROD54"/>
    <s v="STORE5"/>
    <n v="2"/>
    <n v="628.83000000000004"/>
    <n v="7.0000000000000007E-2"/>
    <s v="PayPal"/>
    <x v="0"/>
    <x v="16"/>
    <x v="1"/>
    <s v="Sports Stopwatch Pro - Thompson-French"/>
    <x v="0"/>
    <n v="434.84"/>
    <x v="0"/>
    <x v="0"/>
    <n v="1257.52"/>
  </r>
  <r>
    <s v="SALE1404"/>
    <d v="2023-12-17T00:00:00"/>
    <s v="CUST1175"/>
    <s v="PROD81"/>
    <s v="STORE9"/>
    <n v="3"/>
    <n v="113.87"/>
    <n v="0.21"/>
    <s v="COD"/>
    <x v="0"/>
    <x v="22"/>
    <x v="1"/>
    <s v="Badminton Racket Set - Robinson-Brown"/>
    <x v="0"/>
    <n v="285.54000000000002"/>
    <x v="2"/>
    <x v="1"/>
    <n v="340.98"/>
  </r>
  <r>
    <s v="SALE1405"/>
    <d v="2024-02-29T00:00:00"/>
    <s v="CUST1418"/>
    <s v="PROD72"/>
    <s v="STORE7"/>
    <n v="4"/>
    <n v="282.07"/>
    <n v="0.18"/>
    <s v="PayPal"/>
    <x v="1"/>
    <x v="21"/>
    <x v="2"/>
    <s v="Professional Jump Rope - Davis Plc"/>
    <x v="0"/>
    <n v="477.61"/>
    <x v="2"/>
    <x v="2"/>
    <n v="1127.56"/>
  </r>
  <r>
    <s v="SALE1406"/>
    <d v="2023-12-30T00:00:00"/>
    <s v="CUST1156"/>
    <s v="PROD54"/>
    <s v="STORE6"/>
    <n v="3"/>
    <n v="676.77"/>
    <n v="0.17"/>
    <s v="PayPal"/>
    <x v="0"/>
    <x v="16"/>
    <x v="3"/>
    <s v="Sports Stopwatch Pro - Thompson-French"/>
    <x v="0"/>
    <n v="434.84"/>
    <x v="3"/>
    <x v="2"/>
    <n v="2029.8000000000002"/>
  </r>
  <r>
    <s v="SALE1407"/>
    <d v="2024-12-12T00:00:00"/>
    <s v="CUST1220"/>
    <s v="PROD7"/>
    <s v="STORE16"/>
    <n v="2"/>
    <n v="362.7"/>
    <n v="0.09"/>
    <s v="Credit Card"/>
    <x v="1"/>
    <x v="43"/>
    <x v="3"/>
    <s v="Led Table Lamp - Harrell Llc"/>
    <x v="3"/>
    <n v="218.86"/>
    <x v="1"/>
    <x v="1"/>
    <n v="725.22"/>
  </r>
  <r>
    <s v="SALE1408"/>
    <d v="2025-01-22T00:00:00"/>
    <s v="CUST1135"/>
    <s v="PROD13"/>
    <s v="STORE2"/>
    <n v="1"/>
    <n v="908.5"/>
    <n v="0.2"/>
    <s v="COD"/>
    <x v="1"/>
    <x v="20"/>
    <x v="1"/>
    <s v="Usb-C Fast Charger - Dawson-Perkins"/>
    <x v="1"/>
    <n v="242.23"/>
    <x v="2"/>
    <x v="0"/>
    <n v="908.3"/>
  </r>
  <r>
    <s v="SALE1409"/>
    <d v="2024-01-05T00:00:00"/>
    <s v="CUST1067"/>
    <s v="PROD25"/>
    <s v="STORE15"/>
    <n v="2"/>
    <n v="795.37"/>
    <n v="0.2"/>
    <s v="COD"/>
    <x v="0"/>
    <x v="26"/>
    <x v="2"/>
    <s v="Women'S Scarf Set - Brown And Sons"/>
    <x v="4"/>
    <n v="174.02"/>
    <x v="0"/>
    <x v="1"/>
    <n v="1590.34"/>
  </r>
  <r>
    <s v="SALE1410"/>
    <d v="2025-04-13T00:00:00"/>
    <s v="CUST1144"/>
    <s v="PROD35"/>
    <s v="STORE4"/>
    <n v="2"/>
    <n v="326.85000000000002"/>
    <n v="0.17"/>
    <s v="COD"/>
    <x v="1"/>
    <x v="8"/>
    <x v="3"/>
    <s v="Bedroom Table Lamp - Jones Llc"/>
    <x v="3"/>
    <n v="382.22"/>
    <x v="2"/>
    <x v="2"/>
    <n v="653.36"/>
  </r>
  <r>
    <s v="SALE1411"/>
    <d v="2024-11-07T00:00:00"/>
    <s v="CUST1350"/>
    <s v="PROD56"/>
    <s v="STORE14"/>
    <n v="3"/>
    <n v="169.43"/>
    <n v="0.19"/>
    <s v="Credit Card"/>
    <x v="0"/>
    <x v="9"/>
    <x v="2"/>
    <s v="Premium Blanket Throw - Hernandez, Kennedy And Porter"/>
    <x v="3"/>
    <n v="461.47"/>
    <x v="2"/>
    <x v="0"/>
    <n v="507.72"/>
  </r>
  <r>
    <s v="SALE1412"/>
    <d v="2024-05-01T00:00:00"/>
    <s v="CUST1163"/>
    <s v="PROD83"/>
    <s v="STORE6"/>
    <n v="1"/>
    <n v="254.47"/>
    <n v="0.1"/>
    <s v="Credit Card"/>
    <x v="0"/>
    <x v="49"/>
    <x v="3"/>
    <s v="Hydrating Face Cleanser - Butler Group"/>
    <x v="2"/>
    <n v="289.35937499999994"/>
    <x v="3"/>
    <x v="2"/>
    <n v="254.37"/>
  </r>
  <r>
    <s v="SALE1413"/>
    <d v="2024-08-02T00:00:00"/>
    <s v="CUST1418"/>
    <s v="PROD25"/>
    <s v="STORE16"/>
    <n v="4"/>
    <n v="627.73"/>
    <n v="0.11"/>
    <s v="COD"/>
    <x v="1"/>
    <x v="21"/>
    <x v="2"/>
    <s v="Women'S Scarf Set - Brown And Sons"/>
    <x v="4"/>
    <n v="174.02"/>
    <x v="1"/>
    <x v="1"/>
    <n v="2510.48"/>
  </r>
  <r>
    <s v="SALE1414"/>
    <d v="2024-04-12T00:00:00"/>
    <s v="CUST1371"/>
    <s v="PROD31"/>
    <s v="STORE19"/>
    <n v="4"/>
    <n v="327.25"/>
    <n v="0.13"/>
    <s v="COD"/>
    <x v="1"/>
    <x v="21"/>
    <x v="1"/>
    <s v="Basketball - Nolan-Snow"/>
    <x v="0"/>
    <n v="204.39"/>
    <x v="3"/>
    <x v="2"/>
    <n v="1308.48"/>
  </r>
  <r>
    <s v="SALE1415"/>
    <d v="2025-04-08T00:00:00"/>
    <s v="CUST1145"/>
    <s v="PROD59"/>
    <s v="STORE11"/>
    <n v="4"/>
    <n v="511.43"/>
    <n v="0.18"/>
    <s v="COD"/>
    <x v="0"/>
    <x v="30"/>
    <x v="1"/>
    <s v="Men'S Hair Styling Gel - Cline-Mccarthy"/>
    <x v="2"/>
    <n v="17.309999999999999"/>
    <x v="2"/>
    <x v="2"/>
    <n v="2045"/>
  </r>
  <r>
    <s v="SALE1416"/>
    <d v="2024-06-30T00:00:00"/>
    <s v="CUST1165"/>
    <s v="PROD63"/>
    <s v="STORE17"/>
    <n v="4"/>
    <n v="194.67"/>
    <n v="0.23"/>
    <s v="PayPal"/>
    <x v="1"/>
    <x v="49"/>
    <x v="1"/>
    <s v="Organic Sunscreen Lotion - Anderson-Riley"/>
    <x v="2"/>
    <n v="266.86"/>
    <x v="0"/>
    <x v="1"/>
    <n v="777.76"/>
  </r>
  <r>
    <s v="SALE1417"/>
    <d v="2024-01-13T00:00:00"/>
    <s v="CUST1059"/>
    <s v="PROD23"/>
    <s v="STORE1"/>
    <n v="2"/>
    <n v="54.51"/>
    <n v="7.0000000000000007E-2"/>
    <s v="Credit Card"/>
    <x v="0"/>
    <x v="10"/>
    <x v="1"/>
    <s v="Men'S Formal Shirt - Moon, Mora And Santos"/>
    <x v="4"/>
    <n v="248.82191780821913"/>
    <x v="0"/>
    <x v="1"/>
    <n v="108.88"/>
  </r>
  <r>
    <s v="SALE1418"/>
    <d v="2024-09-22T00:00:00"/>
    <s v="CUST1076"/>
    <s v="PROD62"/>
    <s v="STORE11"/>
    <n v="4"/>
    <n v="964"/>
    <n v="0.14000000000000001"/>
    <s v="PayPal"/>
    <x v="0"/>
    <x v="15"/>
    <x v="0"/>
    <s v="Laptop Cooling Pad - Murray, Gould And Ware"/>
    <x v="1"/>
    <n v="86.42"/>
    <x v="2"/>
    <x v="2"/>
    <n v="3855.44"/>
  </r>
  <r>
    <s v="SALE1419"/>
    <d v="2024-08-23T00:00:00"/>
    <s v="CUST1040"/>
    <s v="PROD89"/>
    <s v="STORE4"/>
    <n v="1"/>
    <n v="170.12"/>
    <n v="0.26"/>
    <s v="PayPal"/>
    <x v="0"/>
    <x v="32"/>
    <x v="0"/>
    <s v="Face Foundation Kit - Taylor-Elliott"/>
    <x v="2"/>
    <n v="183.04"/>
    <x v="2"/>
    <x v="2"/>
    <n v="169.86"/>
  </r>
  <r>
    <s v="SALE1420"/>
    <d v="2025-08-06T00:00:00"/>
    <s v="CUST1152"/>
    <s v="PROD53"/>
    <s v="STORE19"/>
    <n v="2"/>
    <n v="664.5"/>
    <n v="0.23"/>
    <s v="Credit Card"/>
    <x v="1"/>
    <x v="6"/>
    <x v="1"/>
    <s v="Men'S Track Pants - Hamilton, Woods And Walker"/>
    <x v="4"/>
    <n v="386.56"/>
    <x v="3"/>
    <x v="2"/>
    <n v="1328.54"/>
  </r>
  <r>
    <s v="SALE1421"/>
    <d v="2025-10-06T00:00:00"/>
    <s v="CUST1371"/>
    <s v="PROD45"/>
    <s v="STORE10"/>
    <n v="4"/>
    <n v="557.51"/>
    <n v="0.11"/>
    <s v="Credit Card"/>
    <x v="1"/>
    <x v="21"/>
    <x v="1"/>
    <s v="High-Grip Football - Bridges, Banks And Cummings"/>
    <x v="0"/>
    <n v="318.91000000000003"/>
    <x v="3"/>
    <x v="2"/>
    <n v="2229.6"/>
  </r>
  <r>
    <s v="SALE1422"/>
    <d v="2025-05-30T00:00:00"/>
    <s v="CUST1397"/>
    <s v="PROD90"/>
    <s v="STORE1"/>
    <n v="2"/>
    <n v="410"/>
    <n v="0.13"/>
    <s v="COD"/>
    <x v="1"/>
    <x v="32"/>
    <x v="1"/>
    <s v="Gaming Mouse Pad Xl - Sharp, Taylor And Rodriguez"/>
    <x v="1"/>
    <n v="340.14"/>
    <x v="0"/>
    <x v="1"/>
    <n v="819.74"/>
  </r>
  <r>
    <s v="SALE1423"/>
    <d v="2024-06-30T00:00:00"/>
    <s v="CUST1306"/>
    <s v="PROD83"/>
    <s v="STORE5"/>
    <n v="2"/>
    <n v="879.93"/>
    <n v="0.28999999999999998"/>
    <s v="COD"/>
    <x v="0"/>
    <x v="3"/>
    <x v="1"/>
    <s v="Hydrating Face Cleanser - Butler Group"/>
    <x v="2"/>
    <n v="289.35937499999994"/>
    <x v="0"/>
    <x v="0"/>
    <n v="1759.28"/>
  </r>
  <r>
    <s v="SALE1424"/>
    <d v="2025-01-07T00:00:00"/>
    <s v="CUST1007"/>
    <s v="PROD13"/>
    <s v="STORE18"/>
    <n v="1"/>
    <n v="350.58"/>
    <n v="0.03"/>
    <s v="COD"/>
    <x v="1"/>
    <x v="35"/>
    <x v="3"/>
    <s v="Usb-C Fast Charger - Dawson-Perkins"/>
    <x v="1"/>
    <n v="242.23"/>
    <x v="3"/>
    <x v="1"/>
    <n v="350.55"/>
  </r>
  <r>
    <s v="SALE1425"/>
    <d v="2024-12-07T00:00:00"/>
    <s v="CUST1350"/>
    <s v="PROD58"/>
    <s v="STORE3"/>
    <n v="4"/>
    <n v="348.58"/>
    <n v="0.16"/>
    <s v="Credit Card"/>
    <x v="0"/>
    <x v="9"/>
    <x v="2"/>
    <s v="Womens Cotton Scarf - Shepherd-Gould"/>
    <x v="4"/>
    <n v="113.83"/>
    <x v="0"/>
    <x v="0"/>
    <n v="1393.6799999999998"/>
  </r>
  <r>
    <s v="SALE1426"/>
    <d v="2024-09-13T00:00:00"/>
    <s v="CUST1459"/>
    <s v="PROD25"/>
    <s v="STORE3"/>
    <n v="3"/>
    <n v="247.66"/>
    <n v="0.02"/>
    <s v="COD"/>
    <x v="1"/>
    <x v="42"/>
    <x v="0"/>
    <s v="Women'S Scarf Set - Brown And Sons"/>
    <x v="4"/>
    <n v="174.02"/>
    <x v="0"/>
    <x v="0"/>
    <n v="742.92"/>
  </r>
  <r>
    <s v="SALE1427"/>
    <d v="2023-11-14T00:00:00"/>
    <s v="CUST1388"/>
    <s v="PROD39"/>
    <s v="STORE15"/>
    <n v="3"/>
    <n v="836.27"/>
    <n v="0.16"/>
    <s v="Credit Card"/>
    <x v="0"/>
    <x v="6"/>
    <x v="1"/>
    <s v="Portable Power Bank - Cummings And Sons"/>
    <x v="1"/>
    <n v="326.06"/>
    <x v="0"/>
    <x v="1"/>
    <n v="2508.33"/>
  </r>
  <r>
    <s v="SALE1428"/>
    <d v="2025-04-06T00:00:00"/>
    <s v="CUST1195"/>
    <s v="PROD14"/>
    <s v="STORE10"/>
    <n v="3"/>
    <n v="696.74"/>
    <n v="0.13"/>
    <s v="COD"/>
    <x v="0"/>
    <x v="28"/>
    <x v="2"/>
    <s v="Decorative Wall Mirror - Luna, Anderson And Bowman"/>
    <x v="3"/>
    <n v="48.01"/>
    <x v="3"/>
    <x v="2"/>
    <n v="2089.83"/>
  </r>
  <r>
    <s v="SALE1429"/>
    <d v="2025-05-27T00:00:00"/>
    <s v="CUST1245"/>
    <s v="PROD94"/>
    <s v="STORE13"/>
    <n v="2"/>
    <n v="822.59"/>
    <n v="0.22"/>
    <s v="PayPal"/>
    <x v="1"/>
    <x v="20"/>
    <x v="1"/>
    <s v="Vitamin E Body Lotion - Hoffman-Williams"/>
    <x v="2"/>
    <n v="358.47"/>
    <x v="3"/>
    <x v="1"/>
    <n v="1644.74"/>
  </r>
  <r>
    <s v="SALE1430"/>
    <d v="2023-12-03T00:00:00"/>
    <s v="CUST1222"/>
    <s v="PROD79"/>
    <s v="STORE2"/>
    <n v="1"/>
    <n v="462.23"/>
    <n v="0.3"/>
    <s v="PayPal"/>
    <x v="0"/>
    <x v="23"/>
    <x v="1"/>
    <s v="Decorative Lamp Shade - Ramirez-Hanson"/>
    <x v="3"/>
    <n v="228.53"/>
    <x v="2"/>
    <x v="0"/>
    <n v="461.93"/>
  </r>
  <r>
    <s v="SALE1431"/>
    <d v="2025-09-06T00:00:00"/>
    <s v="CUST1447"/>
    <s v="PROD42"/>
    <s v="STORE17"/>
    <n v="1"/>
    <n v="361.09"/>
    <n v="0.06"/>
    <s v="PayPal"/>
    <x v="0"/>
    <x v="29"/>
    <x v="0"/>
    <s v="Smart Home Wifi Camera - Holmes Llc"/>
    <x v="1"/>
    <n v="450.71"/>
    <x v="0"/>
    <x v="1"/>
    <n v="361.03"/>
  </r>
  <r>
    <s v="SALE1432"/>
    <d v="2023-11-13T00:00:00"/>
    <s v="CUST1383"/>
    <s v="PROD73"/>
    <s v="STORE19"/>
    <n v="3"/>
    <n v="59.37"/>
    <n v="0.03"/>
    <s v="PayPal"/>
    <x v="1"/>
    <x v="42"/>
    <x v="2"/>
    <s v="Shin Guards – Adult - French Ltd"/>
    <x v="0"/>
    <n v="107.06"/>
    <x v="3"/>
    <x v="2"/>
    <n v="178.01999999999998"/>
  </r>
  <r>
    <s v="SALE1433"/>
    <d v="2025-01-29T00:00:00"/>
    <s v="CUST1036"/>
    <s v="PROD40"/>
    <s v="STORE1"/>
    <n v="3"/>
    <n v="765.21"/>
    <n v="0.14000000000000001"/>
    <s v="COD"/>
    <x v="1"/>
    <x v="36"/>
    <x v="0"/>
    <s v="Noise-Canceling Headphones - Taylor-Hart"/>
    <x v="1"/>
    <n v="38.520000000000003"/>
    <x v="0"/>
    <x v="1"/>
    <n v="2295.21"/>
  </r>
  <r>
    <s v="SALE1434"/>
    <d v="2024-06-29T00:00:00"/>
    <s v="CUST1243"/>
    <s v="PROD32"/>
    <s v="STORE12"/>
    <n v="4"/>
    <n v="303.56"/>
    <n v="0.2"/>
    <s v="COD"/>
    <x v="1"/>
    <x v="11"/>
    <x v="0"/>
    <s v="Vitamin C Face Serum - Griffin Ltd"/>
    <x v="2"/>
    <n v="283.83"/>
    <x v="0"/>
    <x v="2"/>
    <n v="1213.44"/>
  </r>
  <r>
    <s v="SALE1435"/>
    <d v="2025-05-02T00:00:00"/>
    <s v="CUST1443"/>
    <s v="PROD27"/>
    <s v="STORE0"/>
    <n v="1"/>
    <n v="640.92999999999995"/>
    <n v="0.19"/>
    <s v="PayPal"/>
    <x v="0"/>
    <x v="11"/>
    <x v="2"/>
    <s v="Decorative Floor Vase - Khan, Jones And Paul"/>
    <x v="3"/>
    <n v="250.02157142857135"/>
    <x v="3"/>
    <x v="1"/>
    <n v="640.7399999999999"/>
  </r>
  <r>
    <s v="SALE1436"/>
    <d v="2025-06-22T00:00:00"/>
    <s v="CUST1174"/>
    <s v="PROD86"/>
    <s v="STORE10"/>
    <n v="2"/>
    <n v="611.25"/>
    <n v="0.22"/>
    <s v="Credit Card"/>
    <x v="1"/>
    <x v="1"/>
    <x v="0"/>
    <s v="Kitchen Cutting Board - Taylor, Dodson And Johnston"/>
    <x v="3"/>
    <n v="176.07"/>
    <x v="3"/>
    <x v="2"/>
    <n v="1222.06"/>
  </r>
  <r>
    <s v="SALE1437"/>
    <d v="2025-04-09T00:00:00"/>
    <s v="CUST1461"/>
    <s v="PROD66"/>
    <s v="STORE1"/>
    <n v="1"/>
    <n v="209.93"/>
    <n v="0.21"/>
    <s v="Credit Card"/>
    <x v="1"/>
    <x v="32"/>
    <x v="2"/>
    <s v="Women'S Hair Dryer Brush - Torres, Spencer And Potter"/>
    <x v="2"/>
    <n v="340.39"/>
    <x v="0"/>
    <x v="1"/>
    <n v="209.72"/>
  </r>
  <r>
    <s v="SALE1438"/>
    <d v="2025-07-09T00:00:00"/>
    <s v="CUST1110"/>
    <s v="PROD99"/>
    <s v="STORE10"/>
    <n v="3"/>
    <n v="130.38999999999999"/>
    <n v="0.24"/>
    <s v="PayPal"/>
    <x v="1"/>
    <x v="33"/>
    <x v="0"/>
    <s v="Stainless Steel Cookware Set - Campbell Ltd"/>
    <x v="3"/>
    <n v="201.41"/>
    <x v="3"/>
    <x v="2"/>
    <n v="390.44999999999993"/>
  </r>
  <r>
    <s v="SALE1439"/>
    <d v="2024-01-31T00:00:00"/>
    <s v="CUST1291"/>
    <s v="PROD93"/>
    <s v="STORE7"/>
    <n v="2"/>
    <n v="846.18"/>
    <n v="0.1"/>
    <s v="COD"/>
    <x v="1"/>
    <x v="6"/>
    <x v="3"/>
    <s v="Usb-C Laptop Charger - Martin Llc"/>
    <x v="1"/>
    <n v="377.52"/>
    <x v="2"/>
    <x v="2"/>
    <n v="1692.1599999999999"/>
  </r>
  <r>
    <s v="SALE1440"/>
    <d v="2025-06-21T00:00:00"/>
    <s v="CUST1354"/>
    <s v="PROD70"/>
    <s v="STORE14"/>
    <n v="2"/>
    <n v="424.53"/>
    <n v="0.14000000000000001"/>
    <s v="COD"/>
    <x v="0"/>
    <x v="40"/>
    <x v="2"/>
    <s v="Kitchen Storage Rack - Duran Group"/>
    <x v="3"/>
    <n v="138.05000000000001"/>
    <x v="2"/>
    <x v="0"/>
    <n v="848.78"/>
  </r>
  <r>
    <s v="SALE1441"/>
    <d v="2024-09-04T00:00:00"/>
    <s v="CUST1258"/>
    <s v="PROD88"/>
    <s v="STORE14"/>
    <n v="4"/>
    <n v="450.42"/>
    <n v="0.08"/>
    <s v="COD"/>
    <x v="1"/>
    <x v="11"/>
    <x v="1"/>
    <s v="Sports Wrist Sweatbands - Olsen-Daniels"/>
    <x v="0"/>
    <n v="131.24"/>
    <x v="2"/>
    <x v="0"/>
    <n v="1801.3600000000001"/>
  </r>
  <r>
    <s v="SALE1442"/>
    <d v="2025-08-24T00:00:00"/>
    <s v="CUST1156"/>
    <s v="PROD26"/>
    <s v="STORE9"/>
    <n v="4"/>
    <n v="896.91"/>
    <n v="0.1"/>
    <s v="Credit Card"/>
    <x v="0"/>
    <x v="16"/>
    <x v="3"/>
    <s v="Wireless Bluetooth Speaker - Reed-Schmidt"/>
    <x v="1"/>
    <n v="322.41000000000003"/>
    <x v="2"/>
    <x v="1"/>
    <n v="3587.24"/>
  </r>
  <r>
    <s v="SALE1443"/>
    <d v="2025-06-06T00:00:00"/>
    <s v="CUST1485"/>
    <s v="PROD97"/>
    <s v="STORE10"/>
    <n v="3"/>
    <n v="679.38"/>
    <n v="0.3"/>
    <s v="COD"/>
    <x v="1"/>
    <x v="45"/>
    <x v="3"/>
    <s v="Cricket Bat - Khan Llc"/>
    <x v="0"/>
    <n v="245.98"/>
    <x v="3"/>
    <x v="2"/>
    <n v="2037.2400000000002"/>
  </r>
  <r>
    <s v="SALE1444"/>
    <d v="2024-10-06T00:00:00"/>
    <s v="CUST1016"/>
    <s v="PROD80"/>
    <s v="STORE16"/>
    <n v="3"/>
    <n v="483.63"/>
    <n v="0"/>
    <s v="Credit Card"/>
    <x v="1"/>
    <x v="2"/>
    <x v="3"/>
    <s v="Wall-Mounted Spice Rack - Allison Ltd"/>
    <x v="3"/>
    <n v="143.43"/>
    <x v="1"/>
    <x v="1"/>
    <n v="1450.8899999999999"/>
  </r>
  <r>
    <s v="SALE1445"/>
    <d v="2024-09-07T00:00:00"/>
    <s v="CUST1030"/>
    <s v="PROD39"/>
    <s v="STORE0"/>
    <n v="3"/>
    <n v="158.27000000000001"/>
    <n v="0.24"/>
    <s v="COD"/>
    <x v="1"/>
    <x v="2"/>
    <x v="3"/>
    <s v="Portable Power Bank - Cummings And Sons"/>
    <x v="1"/>
    <n v="326.06"/>
    <x v="3"/>
    <x v="1"/>
    <n v="474.09000000000003"/>
  </r>
  <r>
    <s v="SALE1446"/>
    <d v="2025-04-11T00:00:00"/>
    <s v="CUST1115"/>
    <s v="PROD2"/>
    <s v="STORE15"/>
    <n v="4"/>
    <n v="601.5"/>
    <n v="0.18"/>
    <s v="Credit Card"/>
    <x v="1"/>
    <x v="16"/>
    <x v="1"/>
    <s v="Women'S Casual Hoodie - Sims Inc"/>
    <x v="4"/>
    <n v="254.62086956521742"/>
    <x v="0"/>
    <x v="1"/>
    <n v="2405.2800000000002"/>
  </r>
  <r>
    <s v="SALE1447"/>
    <d v="2025-02-21T00:00:00"/>
    <s v="CUST1069"/>
    <s v="PROD31"/>
    <s v="STORE18"/>
    <n v="2"/>
    <n v="46.39"/>
    <n v="7.0000000000000007E-2"/>
    <s v="Credit Card"/>
    <x v="1"/>
    <x v="19"/>
    <x v="1"/>
    <s v="Basketball - Nolan-Snow"/>
    <x v="0"/>
    <n v="204.39"/>
    <x v="3"/>
    <x v="1"/>
    <n v="92.64"/>
  </r>
  <r>
    <s v="SALE1448"/>
    <d v="2024-10-22T00:00:00"/>
    <s v="CUST1119"/>
    <s v="PROD82"/>
    <s v="STORE8"/>
    <n v="4"/>
    <n v="892.28"/>
    <n v="0.23"/>
    <s v="Credit Card"/>
    <x v="0"/>
    <x v="3"/>
    <x v="3"/>
    <s v="Fitness Resistance Bands - Reese-Watson"/>
    <x v="0"/>
    <n v="152.91999999999999"/>
    <x v="1"/>
    <x v="2"/>
    <n v="3568.2"/>
  </r>
  <r>
    <s v="SALE1449"/>
    <d v="2024-07-21T00:00:00"/>
    <s v="CUST1221"/>
    <s v="PROD10"/>
    <s v="STORE7"/>
    <n v="2"/>
    <n v="164.23"/>
    <n v="0.17"/>
    <s v="Credit Card"/>
    <x v="0"/>
    <x v="36"/>
    <x v="1"/>
    <s v="Ceramic Kitchen Bowl Set - Hamilton Group"/>
    <x v="3"/>
    <n v="298.86"/>
    <x v="2"/>
    <x v="2"/>
    <n v="328.12"/>
  </r>
  <r>
    <s v="SALE1450"/>
    <d v="2024-01-14T00:00:00"/>
    <s v="CUST1452"/>
    <s v="PROD9"/>
    <s v="STORE7"/>
    <n v="1"/>
    <n v="484.23"/>
    <n v="0.12"/>
    <s v="COD"/>
    <x v="1"/>
    <x v="25"/>
    <x v="3"/>
    <s v="Adjustable Dumbbell Set - Hill Plc"/>
    <x v="0"/>
    <n v="495.72"/>
    <x v="2"/>
    <x v="2"/>
    <n v="484.11"/>
  </r>
  <r>
    <s v="SALE1451"/>
    <d v="2024-04-01T00:00:00"/>
    <s v="CUST1005"/>
    <s v="PROD35"/>
    <s v="STORE18"/>
    <n v="3"/>
    <n v="341.51"/>
    <n v="0.22"/>
    <s v="COD"/>
    <x v="0"/>
    <x v="47"/>
    <x v="3"/>
    <s v="Bedroom Table Lamp - Jones Llc"/>
    <x v="3"/>
    <n v="382.22"/>
    <x v="3"/>
    <x v="1"/>
    <n v="1023.8699999999999"/>
  </r>
  <r>
    <s v="SALE1452"/>
    <d v="2025-05-11T00:00:00"/>
    <s v="CUST1109"/>
    <s v="PROD98"/>
    <s v="STORE13"/>
    <n v="3"/>
    <n v="758.87"/>
    <n v="0.11"/>
    <s v="PayPal"/>
    <x v="0"/>
    <x v="35"/>
    <x v="2"/>
    <s v="Portable Bluetooth Speaker - Flores-King"/>
    <x v="1"/>
    <n v="431.67"/>
    <x v="3"/>
    <x v="1"/>
    <n v="2276.2799999999997"/>
  </r>
  <r>
    <s v="SALE1453"/>
    <d v="2025-07-17T00:00:00"/>
    <s v="CUST1470"/>
    <s v="PROD56"/>
    <s v="STORE12"/>
    <n v="3"/>
    <n v="560.52"/>
    <n v="0.17"/>
    <s v="Credit Card"/>
    <x v="1"/>
    <x v="21"/>
    <x v="0"/>
    <s v="Premium Blanket Throw - Hernandez, Kennedy And Porter"/>
    <x v="3"/>
    <n v="461.47"/>
    <x v="0"/>
    <x v="2"/>
    <n v="1681.0500000000002"/>
  </r>
  <r>
    <s v="SALE1454"/>
    <d v="2024-08-29T00:00:00"/>
    <s v="CUST1351"/>
    <s v="PROD96"/>
    <s v="STORE17"/>
    <n v="2"/>
    <n v="977.18"/>
    <n v="0.19"/>
    <s v="Credit Card"/>
    <x v="1"/>
    <x v="48"/>
    <x v="3"/>
    <s v="Women'S Formal Blazer - Phillips And Sons"/>
    <x v="4"/>
    <n v="358.47"/>
    <x v="0"/>
    <x v="1"/>
    <n v="1953.9799999999998"/>
  </r>
  <r>
    <s v="SALE1455"/>
    <d v="2025-04-16T00:00:00"/>
    <s v="CUST1236"/>
    <s v="PROD16"/>
    <s v="STORE14"/>
    <n v="4"/>
    <n v="761.35"/>
    <n v="0.08"/>
    <s v="Credit Card"/>
    <x v="1"/>
    <x v="45"/>
    <x v="3"/>
    <s v="Beard Grooming Kit - Erickson-Green"/>
    <x v="2"/>
    <n v="337.42"/>
    <x v="2"/>
    <x v="0"/>
    <n v="3045.08"/>
  </r>
  <r>
    <s v="SALE1456"/>
    <d v="2025-08-31T00:00:00"/>
    <s v="CUST1179"/>
    <s v="PROD67"/>
    <s v="STORE18"/>
    <n v="2"/>
    <n v="947.56"/>
    <n v="0.02"/>
    <s v="COD"/>
    <x v="1"/>
    <x v="39"/>
    <x v="2"/>
    <s v="Smart Led Light Strip - Flores-Davis"/>
    <x v="1"/>
    <n v="349.17"/>
    <x v="3"/>
    <x v="1"/>
    <n v="1895.08"/>
  </r>
  <r>
    <s v="SALE1457"/>
    <d v="2025-10-13T00:00:00"/>
    <s v="CUST1238"/>
    <s v="PROD43"/>
    <s v="STORE18"/>
    <n v="4"/>
    <n v="975.47"/>
    <n v="0.04"/>
    <s v="Credit Card"/>
    <x v="0"/>
    <x v="35"/>
    <x v="1"/>
    <s v="Usb External Hard Drive - Robinson Inc"/>
    <x v="1"/>
    <n v="253.33"/>
    <x v="3"/>
    <x v="1"/>
    <n v="3901.7200000000003"/>
  </r>
  <r>
    <s v="SALE1458"/>
    <d v="2024-06-05T00:00:00"/>
    <s v="CUST1477"/>
    <s v="PROD13"/>
    <s v="STORE9"/>
    <n v="3"/>
    <n v="769.06"/>
    <n v="0.23"/>
    <s v="COD"/>
    <x v="1"/>
    <x v="32"/>
    <x v="1"/>
    <s v="Usb-C Fast Charger - Dawson-Perkins"/>
    <x v="1"/>
    <n v="242.23"/>
    <x v="2"/>
    <x v="1"/>
    <n v="2306.4899999999998"/>
  </r>
  <r>
    <s v="SALE1459"/>
    <d v="2025-09-29T00:00:00"/>
    <s v="CUST1486"/>
    <s v="PROD39"/>
    <s v="STORE2"/>
    <n v="3"/>
    <n v="824.75"/>
    <n v="0.23"/>
    <s v="Credit Card"/>
    <x v="1"/>
    <x v="1"/>
    <x v="3"/>
    <s v="Portable Power Bank - Cummings And Sons"/>
    <x v="1"/>
    <n v="326.06"/>
    <x v="2"/>
    <x v="0"/>
    <n v="2473.56"/>
  </r>
  <r>
    <s v="SALE1460"/>
    <d v="2024-07-05T00:00:00"/>
    <s v="CUST1401"/>
    <s v="PROD68"/>
    <s v="STORE4"/>
    <n v="2"/>
    <n v="821.35"/>
    <n v="0.11"/>
    <s v="PayPal"/>
    <x v="1"/>
    <x v="8"/>
    <x v="1"/>
    <s v="Wooden Nightstand - Wolfe, Ross And Hester"/>
    <x v="3"/>
    <n v="243.7"/>
    <x v="2"/>
    <x v="2"/>
    <n v="1642.48"/>
  </r>
  <r>
    <s v="SALE1461"/>
    <d v="2025-03-07T00:00:00"/>
    <s v="CUST1405"/>
    <s v="PROD13"/>
    <s v="STORE10"/>
    <n v="1"/>
    <n v="120.57"/>
    <n v="0.06"/>
    <s v="PayPal"/>
    <x v="1"/>
    <x v="38"/>
    <x v="0"/>
    <s v="Usb-C Fast Charger - Dawson-Perkins"/>
    <x v="1"/>
    <n v="242.23"/>
    <x v="3"/>
    <x v="2"/>
    <n v="120.50999999999999"/>
  </r>
  <r>
    <s v="SALE1462"/>
    <d v="2023-11-10T00:00:00"/>
    <s v="CUST1335"/>
    <s v="PROD89"/>
    <s v="STORE1"/>
    <n v="1"/>
    <n v="122.27"/>
    <n v="0.26"/>
    <s v="PayPal"/>
    <x v="0"/>
    <x v="29"/>
    <x v="1"/>
    <s v="Face Foundation Kit - Taylor-Elliott"/>
    <x v="2"/>
    <n v="183.04"/>
    <x v="0"/>
    <x v="1"/>
    <n v="122.00999999999999"/>
  </r>
  <r>
    <s v="SALE1463"/>
    <d v="2025-08-21T00:00:00"/>
    <s v="CUST1170"/>
    <s v="PROD26"/>
    <s v="STORE2"/>
    <n v="2"/>
    <n v="182.89"/>
    <n v="0.11"/>
    <s v="Credit Card"/>
    <x v="0"/>
    <x v="6"/>
    <x v="0"/>
    <s v="Wireless Bluetooth Speaker - Reed-Schmidt"/>
    <x v="1"/>
    <n v="322.41000000000003"/>
    <x v="2"/>
    <x v="0"/>
    <n v="365.55999999999995"/>
  </r>
  <r>
    <s v="SALE1464"/>
    <d v="2025-05-19T00:00:00"/>
    <s v="CUST1371"/>
    <s v="PROD46"/>
    <s v="STORE4"/>
    <n v="1"/>
    <n v="695.26"/>
    <n v="0.23"/>
    <s v="PayPal"/>
    <x v="1"/>
    <x v="21"/>
    <x v="1"/>
    <s v="Men'S Winter Jacket - Kelly, Smith And Perez"/>
    <x v="4"/>
    <n v="167.34"/>
    <x v="2"/>
    <x v="2"/>
    <n v="695.03"/>
  </r>
  <r>
    <s v="SALE1465"/>
    <d v="2025-08-26T00:00:00"/>
    <s v="CUST1027"/>
    <s v="PROD29"/>
    <s v="STORE6"/>
    <n v="2"/>
    <n v="408.8"/>
    <n v="0.17"/>
    <s v="COD"/>
    <x v="0"/>
    <x v="39"/>
    <x v="4"/>
    <s v="Fabric Sofa Throw Blanket - Hoffman Group"/>
    <x v="3"/>
    <n v="218.48"/>
    <x v="3"/>
    <x v="2"/>
    <n v="817.26"/>
  </r>
  <r>
    <s v="SALE1466"/>
    <d v="2025-01-19T00:00:00"/>
    <s v="CUST1226"/>
    <s v="PROD49"/>
    <s v="STORE8"/>
    <n v="3"/>
    <n v="512.15"/>
    <n v="0.12"/>
    <s v="Credit Card"/>
    <x v="0"/>
    <x v="41"/>
    <x v="0"/>
    <s v="Men'S Roll-On Perfume - Sullivan And Sons"/>
    <x v="2"/>
    <n v="43.29"/>
    <x v="1"/>
    <x v="2"/>
    <n v="1536.09"/>
  </r>
  <r>
    <s v="SALE1467"/>
    <d v="2024-10-03T00:00:00"/>
    <s v="CUST1409"/>
    <s v="PROD9"/>
    <s v="STORE8"/>
    <n v="3"/>
    <n v="136.4"/>
    <n v="0.15"/>
    <s v="PayPal"/>
    <x v="0"/>
    <x v="0"/>
    <x v="0"/>
    <s v="Adjustable Dumbbell Set - Hill Plc"/>
    <x v="0"/>
    <n v="495.72"/>
    <x v="1"/>
    <x v="2"/>
    <n v="408.75"/>
  </r>
  <r>
    <s v="SALE1468"/>
    <d v="2023-12-12T00:00:00"/>
    <s v="CUST1175"/>
    <s v="PROD6"/>
    <s v="STORE3"/>
    <n v="2"/>
    <n v="42.51"/>
    <n v="0.04"/>
    <s v="COD"/>
    <x v="0"/>
    <x v="22"/>
    <x v="1"/>
    <s v="Herbal Face Moisturizer - Davidson Plc"/>
    <x v="2"/>
    <n v="312.8"/>
    <x v="0"/>
    <x v="0"/>
    <n v="84.94"/>
  </r>
  <r>
    <s v="SALE1469"/>
    <d v="2025-03-02T00:00:00"/>
    <s v="CUST1359"/>
    <s v="PROD75"/>
    <s v="STORE7"/>
    <n v="3"/>
    <n v="582.1"/>
    <n v="0.12"/>
    <s v="PayPal"/>
    <x v="0"/>
    <x v="32"/>
    <x v="2"/>
    <s v="Women'S Ankle Boots - Poole Plc"/>
    <x v="4"/>
    <n v="158.13999999999999"/>
    <x v="2"/>
    <x v="2"/>
    <n v="1745.94"/>
  </r>
  <r>
    <s v="SALE1470"/>
    <d v="2024-03-05T00:00:00"/>
    <s v="CUST1219"/>
    <s v="PROD82"/>
    <s v="STORE17"/>
    <n v="4"/>
    <n v="461.52"/>
    <n v="0"/>
    <s v="COD"/>
    <x v="1"/>
    <x v="19"/>
    <x v="0"/>
    <s v="Fitness Resistance Bands - Reese-Watson"/>
    <x v="0"/>
    <n v="152.91999999999999"/>
    <x v="0"/>
    <x v="1"/>
    <n v="1846.08"/>
  </r>
  <r>
    <s v="SALE1471"/>
    <d v="2024-09-17T00:00:00"/>
    <s v="CUST1496"/>
    <s v="PROD16"/>
    <s v="STORE11"/>
    <n v="1"/>
    <n v="558.41999999999996"/>
    <n v="0.03"/>
    <s v="Credit Card"/>
    <x v="0"/>
    <x v="31"/>
    <x v="3"/>
    <s v="Beard Grooming Kit - Erickson-Green"/>
    <x v="2"/>
    <n v="337.42"/>
    <x v="2"/>
    <x v="2"/>
    <n v="558.39"/>
  </r>
  <r>
    <s v="SALE1472"/>
    <d v="2023-12-28T00:00:00"/>
    <s v="CUST1263"/>
    <s v="PROD12"/>
    <s v="STORE18"/>
    <n v="4"/>
    <n v="700.98"/>
    <n v="0.12"/>
    <s v="PayPal"/>
    <x v="0"/>
    <x v="38"/>
    <x v="3"/>
    <s v="Hair Strengthening Shampoo - Rice Llc"/>
    <x v="2"/>
    <n v="115.82"/>
    <x v="3"/>
    <x v="1"/>
    <n v="2803.44"/>
  </r>
  <r>
    <s v="SALE1473"/>
    <d v="2024-11-09T00:00:00"/>
    <s v="CUST1405"/>
    <s v="PROD85"/>
    <s v="STORE18"/>
    <n v="2"/>
    <n v="227.97"/>
    <n v="0.08"/>
    <s v="COD"/>
    <x v="1"/>
    <x v="38"/>
    <x v="0"/>
    <s v="Women'S Beanie Hat - Richardson-Carrillo"/>
    <x v="4"/>
    <n v="119.57"/>
    <x v="3"/>
    <x v="1"/>
    <n v="455.78"/>
  </r>
  <r>
    <s v="SALE1474"/>
    <d v="2024-08-12T00:00:00"/>
    <s v="CUST1474"/>
    <s v="PROD39"/>
    <s v="STORE11"/>
    <n v="4"/>
    <n v="278.70999999999998"/>
    <n v="0.2"/>
    <s v="PayPal"/>
    <x v="1"/>
    <x v="34"/>
    <x v="1"/>
    <s v="Portable Power Bank - Cummings And Sons"/>
    <x v="1"/>
    <n v="326.06"/>
    <x v="2"/>
    <x v="2"/>
    <n v="1114.04"/>
  </r>
  <r>
    <s v="SALE1475"/>
    <d v="2024-03-28T00:00:00"/>
    <s v="CUST1259"/>
    <s v="PROD99"/>
    <s v="STORE8"/>
    <n v="2"/>
    <n v="916.12"/>
    <n v="0.05"/>
    <s v="PayPal"/>
    <x v="1"/>
    <x v="15"/>
    <x v="2"/>
    <s v="Stainless Steel Cookware Set - Campbell Ltd"/>
    <x v="3"/>
    <n v="201.41"/>
    <x v="1"/>
    <x v="2"/>
    <n v="1832.14"/>
  </r>
  <r>
    <s v="SALE1476"/>
    <d v="2024-10-02T00:00:00"/>
    <s v="CUST1133"/>
    <s v="PROD10"/>
    <s v="STORE12"/>
    <n v="4"/>
    <n v="228.98"/>
    <n v="0.22"/>
    <s v="PayPal"/>
    <x v="1"/>
    <x v="26"/>
    <x v="3"/>
    <s v="Ceramic Kitchen Bowl Set - Hamilton Group"/>
    <x v="3"/>
    <n v="298.86"/>
    <x v="0"/>
    <x v="2"/>
    <n v="915.04"/>
  </r>
  <r>
    <s v="SALE1477"/>
    <d v="2024-08-06T00:00:00"/>
    <s v="CUST1234"/>
    <s v="PROD89"/>
    <s v="STORE15"/>
    <n v="4"/>
    <n v="904.82"/>
    <n v="0.09"/>
    <s v="PayPal"/>
    <x v="1"/>
    <x v="32"/>
    <x v="0"/>
    <s v="Face Foundation Kit - Taylor-Elliott"/>
    <x v="2"/>
    <n v="183.04"/>
    <x v="0"/>
    <x v="1"/>
    <n v="3618.92"/>
  </r>
  <r>
    <s v="SALE1478"/>
    <d v="2025-05-29T00:00:00"/>
    <s v="CUST1081"/>
    <s v="PROD23"/>
    <s v="STORE11"/>
    <n v="1"/>
    <n v="588.61"/>
    <n v="0.1"/>
    <s v="PayPal"/>
    <x v="1"/>
    <x v="28"/>
    <x v="1"/>
    <s v="Men'S Formal Shirt - Moon, Mora And Santos"/>
    <x v="4"/>
    <n v="248.82191780821913"/>
    <x v="2"/>
    <x v="2"/>
    <n v="588.51"/>
  </r>
  <r>
    <s v="SALE1479"/>
    <d v="2023-11-10T00:00:00"/>
    <s v="CUST1113"/>
    <s v="PROD33"/>
    <s v="STORE3"/>
    <n v="4"/>
    <n v="695.97"/>
    <n v="0.02"/>
    <s v="Credit Card"/>
    <x v="0"/>
    <x v="23"/>
    <x v="0"/>
    <s v="Modern Wall Clock - Weiss-Watson"/>
    <x v="3"/>
    <n v="179.77"/>
    <x v="0"/>
    <x v="0"/>
    <n v="2783.8"/>
  </r>
  <r>
    <s v="SALE1480"/>
    <d v="2024-01-18T00:00:00"/>
    <s v="CUST1301"/>
    <s v="PROD97"/>
    <s v="STORE11"/>
    <n v="2"/>
    <n v="181.42"/>
    <n v="0.08"/>
    <s v="PayPal"/>
    <x v="0"/>
    <x v="45"/>
    <x v="0"/>
    <s v="Cricket Bat - Khan Llc"/>
    <x v="0"/>
    <n v="245.98"/>
    <x v="2"/>
    <x v="2"/>
    <n v="362.67999999999995"/>
  </r>
  <r>
    <s v="SALE1481"/>
    <d v="2024-03-24T00:00:00"/>
    <s v="CUST1023"/>
    <s v="PROD97"/>
    <s v="STORE13"/>
    <n v="1"/>
    <n v="439.55"/>
    <n v="0.28999999999999998"/>
    <s v="COD"/>
    <x v="1"/>
    <x v="47"/>
    <x v="2"/>
    <s v="Cricket Bat - Khan Llc"/>
    <x v="0"/>
    <n v="245.98"/>
    <x v="3"/>
    <x v="1"/>
    <n v="439.26"/>
  </r>
  <r>
    <s v="SALE1482"/>
    <d v="2025-03-17T00:00:00"/>
    <s v="CUST1114"/>
    <s v="PROD55"/>
    <s v="STORE18"/>
    <n v="3"/>
    <n v="471.27"/>
    <n v="0.27"/>
    <s v="COD"/>
    <x v="0"/>
    <x v="8"/>
    <x v="3"/>
    <s v="Ceramic Plant Pot - Hatfield, Baird And Torres"/>
    <x v="3"/>
    <n v="81.75"/>
    <x v="3"/>
    <x v="1"/>
    <n v="1413"/>
  </r>
  <r>
    <s v="SALE1483"/>
    <d v="2024-05-23T00:00:00"/>
    <s v="CUST1044"/>
    <s v="PROD59"/>
    <s v="STORE12"/>
    <n v="1"/>
    <n v="758.89"/>
    <n v="0.1"/>
    <s v="Credit Card"/>
    <x v="0"/>
    <x v="22"/>
    <x v="3"/>
    <s v="Men'S Hair Styling Gel - Cline-Mccarthy"/>
    <x v="2"/>
    <n v="17.309999999999999"/>
    <x v="0"/>
    <x v="2"/>
    <n v="758.79"/>
  </r>
  <r>
    <s v="SALE1484"/>
    <d v="2025-07-26T00:00:00"/>
    <s v="CUST1485"/>
    <s v="PROD95"/>
    <s v="STORE15"/>
    <n v="4"/>
    <n v="918.1"/>
    <n v="0.19"/>
    <s v="COD"/>
    <x v="1"/>
    <x v="45"/>
    <x v="3"/>
    <s v="Sports Stopwatch Basic - Wilson Group"/>
    <x v="0"/>
    <n v="60.65"/>
    <x v="0"/>
    <x v="1"/>
    <n v="3671.64"/>
  </r>
  <r>
    <s v="SALE1485"/>
    <d v="2024-10-04T00:00:00"/>
    <s v="CUST1259"/>
    <s v="PROD94"/>
    <s v="STORE11"/>
    <n v="1"/>
    <n v="861.5"/>
    <n v="0.05"/>
    <s v="COD"/>
    <x v="1"/>
    <x v="15"/>
    <x v="2"/>
    <s v="Vitamin E Body Lotion - Hoffman-Williams"/>
    <x v="2"/>
    <n v="358.47"/>
    <x v="2"/>
    <x v="2"/>
    <n v="861.45"/>
  </r>
  <r>
    <s v="SALE1486"/>
    <d v="2025-01-07T00:00:00"/>
    <s v="CUST1462"/>
    <s v="PROD22"/>
    <s v="STORE14"/>
    <n v="1"/>
    <n v="588.29999999999995"/>
    <n v="0.26"/>
    <s v="COD"/>
    <x v="1"/>
    <x v="35"/>
    <x v="2"/>
    <s v="Carbon Fiber Tennis Racket - Flores, Pineda And Rodriguez"/>
    <x v="0"/>
    <n v="484.62"/>
    <x v="2"/>
    <x v="0"/>
    <n v="588.04"/>
  </r>
  <r>
    <s v="SALE1487"/>
    <d v="2024-12-19T00:00:00"/>
    <s v="CUST1462"/>
    <s v="PROD55"/>
    <s v="STORE7"/>
    <n v="1"/>
    <n v="917.26"/>
    <n v="0.05"/>
    <s v="PayPal"/>
    <x v="1"/>
    <x v="35"/>
    <x v="2"/>
    <s v="Ceramic Plant Pot - Hatfield, Baird And Torres"/>
    <x v="3"/>
    <n v="81.75"/>
    <x v="2"/>
    <x v="2"/>
    <n v="917.21"/>
  </r>
  <r>
    <s v="SALE1488"/>
    <d v="2024-06-06T00:00:00"/>
    <s v="CUST1233"/>
    <s v="PROD6"/>
    <s v="STORE18"/>
    <n v="4"/>
    <n v="96.78"/>
    <n v="0.11"/>
    <s v="PayPal"/>
    <x v="0"/>
    <x v="35"/>
    <x v="2"/>
    <s v="Herbal Face Moisturizer - Davidson Plc"/>
    <x v="2"/>
    <n v="312.8"/>
    <x v="3"/>
    <x v="1"/>
    <n v="386.68"/>
  </r>
  <r>
    <s v="SALE1489"/>
    <d v="2024-12-03T00:00:00"/>
    <s v="CUST1478"/>
    <s v="PROD28"/>
    <s v="STORE4"/>
    <n v="3"/>
    <n v="199.41"/>
    <n v="0.16"/>
    <s v="COD"/>
    <x v="0"/>
    <x v="34"/>
    <x v="0"/>
    <s v="Sports Stopwatch Timer - Burns-Hansen"/>
    <x v="0"/>
    <n v="38.76"/>
    <x v="2"/>
    <x v="2"/>
    <n v="597.75"/>
  </r>
  <r>
    <s v="SALE1490"/>
    <d v="2025-03-23T00:00:00"/>
    <s v="CUST1019"/>
    <s v="PROD54"/>
    <s v="STORE9"/>
    <n v="1"/>
    <n v="687.91"/>
    <n v="0.25"/>
    <s v="Credit Card"/>
    <x v="1"/>
    <x v="19"/>
    <x v="1"/>
    <s v="Sports Stopwatch Pro - Thompson-French"/>
    <x v="0"/>
    <n v="434.84"/>
    <x v="2"/>
    <x v="1"/>
    <n v="687.66"/>
  </r>
  <r>
    <s v="SALE1491"/>
    <d v="2025-07-11T00:00:00"/>
    <s v="CUST1039"/>
    <s v="PROD71"/>
    <s v="STORE2"/>
    <n v="3"/>
    <n v="769.62"/>
    <n v="0.09"/>
    <s v="PayPal"/>
    <x v="1"/>
    <x v="20"/>
    <x v="0"/>
    <s v="Hair Repair Oil Treatment - Hopkins Ltd"/>
    <x v="2"/>
    <n v="214.32"/>
    <x v="2"/>
    <x v="0"/>
    <n v="2308.59"/>
  </r>
  <r>
    <s v="SALE1492"/>
    <d v="2023-10-31T00:00:00"/>
    <s v="CUST1220"/>
    <s v="PROD4"/>
    <s v="STORE3"/>
    <n v="1"/>
    <n v="492.05"/>
    <n v="0.27"/>
    <s v="Credit Card"/>
    <x v="1"/>
    <x v="43"/>
    <x v="3"/>
    <s v="Women'S Yoga Pants - Gonzales-Davis"/>
    <x v="4"/>
    <n v="306.45999999999998"/>
    <x v="0"/>
    <x v="0"/>
    <n v="491.78000000000003"/>
  </r>
  <r>
    <s v="SALE1493"/>
    <d v="2024-01-01T00:00:00"/>
    <s v="CUST1104"/>
    <s v="PROD17"/>
    <s v="STORE12"/>
    <n v="2"/>
    <n v="428.55"/>
    <n v="0"/>
    <s v="PayPal"/>
    <x v="0"/>
    <x v="36"/>
    <x v="2"/>
    <s v="Soccer Training Cone Set - Ford, Murphy And Wilson"/>
    <x v="0"/>
    <n v="144.53"/>
    <x v="0"/>
    <x v="2"/>
    <n v="857.1"/>
  </r>
  <r>
    <s v="SALE1494"/>
    <d v="2023-11-21T00:00:00"/>
    <s v="CUST1229"/>
    <s v="PROD10"/>
    <s v="STORE15"/>
    <n v="4"/>
    <n v="316.18"/>
    <n v="0.12"/>
    <s v="Credit Card"/>
    <x v="1"/>
    <x v="33"/>
    <x v="3"/>
    <s v="Ceramic Kitchen Bowl Set - Hamilton Group"/>
    <x v="3"/>
    <n v="298.86"/>
    <x v="0"/>
    <x v="1"/>
    <n v="1264.24"/>
  </r>
  <r>
    <s v="SALE1495"/>
    <d v="2024-09-20T00:00:00"/>
    <s v="CUST1007"/>
    <s v="PROD13"/>
    <s v="STORE3"/>
    <n v="3"/>
    <n v="162.16999999999999"/>
    <n v="0.15"/>
    <s v="PayPal"/>
    <x v="1"/>
    <x v="35"/>
    <x v="3"/>
    <s v="Usb-C Fast Charger - Dawson-Perkins"/>
    <x v="1"/>
    <n v="242.23"/>
    <x v="0"/>
    <x v="0"/>
    <n v="486.05999999999995"/>
  </r>
  <r>
    <s v="SALE1496"/>
    <d v="2024-04-03T00:00:00"/>
    <s v="CUST1331"/>
    <s v="PROD4"/>
    <s v="STORE3"/>
    <n v="3"/>
    <n v="698.14"/>
    <n v="0.04"/>
    <s v="PayPal"/>
    <x v="1"/>
    <x v="10"/>
    <x v="3"/>
    <s v="Women'S Yoga Pants - Gonzales-Davis"/>
    <x v="4"/>
    <n v="306.45999999999998"/>
    <x v="0"/>
    <x v="0"/>
    <n v="2094.3000000000002"/>
  </r>
  <r>
    <s v="SALE1497"/>
    <d v="2025-05-10T00:00:00"/>
    <s v="CUST1310"/>
    <s v="PROD74"/>
    <s v="STORE18"/>
    <n v="1"/>
    <n v="478.08"/>
    <n v="7.0000000000000007E-2"/>
    <s v="COD"/>
    <x v="0"/>
    <x v="1"/>
    <x v="2"/>
    <s v="Bluetooth Car Audio System - Bruce-Bowen"/>
    <x v="1"/>
    <n v="403.71"/>
    <x v="3"/>
    <x v="1"/>
    <n v="478.01"/>
  </r>
  <r>
    <s v="SALE1498"/>
    <d v="2025-06-14T00:00:00"/>
    <s v="CUST1208"/>
    <s v="PROD59"/>
    <s v="STORE7"/>
    <n v="2"/>
    <n v="958.64"/>
    <n v="0.2"/>
    <s v="PayPal"/>
    <x v="0"/>
    <x v="38"/>
    <x v="1"/>
    <s v="Men'S Hair Styling Gel - Cline-Mccarthy"/>
    <x v="2"/>
    <n v="17.309999999999999"/>
    <x v="2"/>
    <x v="2"/>
    <n v="1916.8799999999999"/>
  </r>
  <r>
    <s v="SALE1499"/>
    <d v="2024-10-25T00:00:00"/>
    <s v="CUST1464"/>
    <s v="PROD41"/>
    <s v="STORE12"/>
    <n v="2"/>
    <n v="581.19000000000005"/>
    <n v="7.0000000000000007E-2"/>
    <s v="COD"/>
    <x v="1"/>
    <x v="7"/>
    <x v="1"/>
    <s v="Yoga Exercise Mat - Carroll, Long And Mendoza"/>
    <x v="0"/>
    <n v="313.26"/>
    <x v="0"/>
    <x v="2"/>
    <n v="1162.24"/>
  </r>
  <r>
    <s v="SALE1500"/>
    <d v="2024-11-22T00:00:00"/>
    <s v="CUST1112"/>
    <s v="PROD99"/>
    <s v="STORE11"/>
    <n v="1"/>
    <n v="736.54"/>
    <n v="0.16"/>
    <s v="PayPal"/>
    <x v="1"/>
    <x v="20"/>
    <x v="2"/>
    <s v="Stainless Steel Cookware Set - Campbell Ltd"/>
    <x v="3"/>
    <n v="201.41"/>
    <x v="2"/>
    <x v="2"/>
    <n v="736.38"/>
  </r>
  <r>
    <s v="SALE1501"/>
    <d v="2024-10-21T00:00:00"/>
    <s v="CUST1401"/>
    <s v="PROD65"/>
    <s v="STORE15"/>
    <n v="1"/>
    <n v="524"/>
    <n v="0.28000000000000003"/>
    <s v="Credit Card"/>
    <x v="1"/>
    <x v="8"/>
    <x v="1"/>
    <s v="Adjustable Dumbbells 20Kg - Montgomery, Benton And Miller"/>
    <x v="0"/>
    <n v="240.63"/>
    <x v="0"/>
    <x v="1"/>
    <n v="523.72"/>
  </r>
  <r>
    <s v="SALE1502"/>
    <d v="2024-09-13T00:00:00"/>
    <s v="CUST1046"/>
    <s v="PROD28"/>
    <s v="STORE3"/>
    <n v="4"/>
    <n v="566.09"/>
    <n v="0.28000000000000003"/>
    <s v="COD"/>
    <x v="1"/>
    <x v="31"/>
    <x v="1"/>
    <s v="Sports Stopwatch Timer - Burns-Hansen"/>
    <x v="0"/>
    <n v="38.76"/>
    <x v="0"/>
    <x v="0"/>
    <n v="2263.2400000000002"/>
  </r>
  <r>
    <s v="SALE1503"/>
    <d v="2025-04-25T00:00:00"/>
    <s v="CUST1259"/>
    <s v="PROD21"/>
    <s v="STORE10"/>
    <n v="1"/>
    <n v="251.99"/>
    <n v="0.09"/>
    <s v="Credit Card"/>
    <x v="1"/>
    <x v="15"/>
    <x v="2"/>
    <s v="Multi-Purpose Storage Box - Gardner-Montes"/>
    <x v="3"/>
    <n v="123.46"/>
    <x v="3"/>
    <x v="2"/>
    <n v="251.9"/>
  </r>
  <r>
    <s v="SALE1504"/>
    <d v="2024-03-10T00:00:00"/>
    <s v="CUST1221"/>
    <s v="PROD17"/>
    <s v="STORE19"/>
    <n v="1"/>
    <n v="259.2"/>
    <n v="0.27"/>
    <s v="COD"/>
    <x v="0"/>
    <x v="36"/>
    <x v="1"/>
    <s v="Soccer Training Cone Set - Ford, Murphy And Wilson"/>
    <x v="0"/>
    <n v="144.53"/>
    <x v="3"/>
    <x v="2"/>
    <n v="258.93"/>
  </r>
  <r>
    <s v="SALE1505"/>
    <d v="2023-11-05T00:00:00"/>
    <s v="CUST1446"/>
    <s v="PROD59"/>
    <s v="STORE15"/>
    <n v="1"/>
    <n v="935.66"/>
    <n v="0.26"/>
    <s v="PayPal"/>
    <x v="0"/>
    <x v="15"/>
    <x v="2"/>
    <s v="Men'S Hair Styling Gel - Cline-Mccarthy"/>
    <x v="2"/>
    <n v="17.309999999999999"/>
    <x v="0"/>
    <x v="1"/>
    <n v="935.4"/>
  </r>
  <r>
    <s v="SALE1506"/>
    <d v="2025-07-26T00:00:00"/>
    <s v="CUST1469"/>
    <s v="PROD35"/>
    <s v="STORE8"/>
    <n v="4"/>
    <n v="480.75"/>
    <n v="0.02"/>
    <s v="Credit Card"/>
    <x v="0"/>
    <x v="39"/>
    <x v="0"/>
    <s v="Bedroom Table Lamp - Jones Llc"/>
    <x v="3"/>
    <n v="382.22"/>
    <x v="1"/>
    <x v="2"/>
    <n v="1922.92"/>
  </r>
  <r>
    <s v="SALE1507"/>
    <d v="2025-01-24T00:00:00"/>
    <s v="CUST1369"/>
    <s v="PROD81"/>
    <s v="STORE15"/>
    <n v="2"/>
    <n v="457.83"/>
    <n v="0.01"/>
    <s v="COD"/>
    <x v="1"/>
    <x v="1"/>
    <x v="1"/>
    <s v="Badminton Racket Set - Robinson-Brown"/>
    <x v="0"/>
    <n v="285.54000000000002"/>
    <x v="0"/>
    <x v="1"/>
    <n v="915.64"/>
  </r>
  <r>
    <s v="SALE1508"/>
    <d v="2025-09-05T00:00:00"/>
    <s v="CUST1164"/>
    <s v="PROD48"/>
    <s v="STORE14"/>
    <n v="1"/>
    <n v="994.63"/>
    <n v="0.28000000000000003"/>
    <s v="Credit Card"/>
    <x v="1"/>
    <x v="36"/>
    <x v="2"/>
    <s v="Car Dashboard Phone Holder - Byrd, Stewart And Valdez"/>
    <x v="1"/>
    <n v="177.98"/>
    <x v="2"/>
    <x v="0"/>
    <n v="994.35"/>
  </r>
  <r>
    <s v="SALE1509"/>
    <d v="2025-04-18T00:00:00"/>
    <s v="CUST1245"/>
    <s v="PROD90"/>
    <s v="STORE0"/>
    <n v="3"/>
    <n v="65.569999999999993"/>
    <n v="0.3"/>
    <s v="COD"/>
    <x v="1"/>
    <x v="20"/>
    <x v="1"/>
    <s v="Gaming Mouse Pad Xl - Sharp, Taylor And Rodriguez"/>
    <x v="1"/>
    <n v="340.14"/>
    <x v="3"/>
    <x v="1"/>
    <n v="195.81"/>
  </r>
  <r>
    <s v="SALE1510"/>
    <d v="2025-06-13T00:00:00"/>
    <s v="CUST1160"/>
    <s v="PROD58"/>
    <s v="STORE17"/>
    <n v="3"/>
    <n v="622.98"/>
    <n v="0.28000000000000003"/>
    <s v="PayPal"/>
    <x v="1"/>
    <x v="29"/>
    <x v="1"/>
    <s v="Womens Cotton Scarf - Shepherd-Gould"/>
    <x v="4"/>
    <n v="113.83"/>
    <x v="0"/>
    <x v="1"/>
    <n v="1868.1000000000001"/>
  </r>
  <r>
    <s v="SALE1511"/>
    <d v="2025-02-03T00:00:00"/>
    <s v="CUST1250"/>
    <s v="PROD55"/>
    <s v="STORE13"/>
    <n v="1"/>
    <n v="170.68"/>
    <n v="0.13"/>
    <s v="PayPal"/>
    <x v="0"/>
    <x v="37"/>
    <x v="1"/>
    <s v="Ceramic Plant Pot - Hatfield, Baird And Torres"/>
    <x v="3"/>
    <n v="81.75"/>
    <x v="3"/>
    <x v="1"/>
    <n v="170.55"/>
  </r>
  <r>
    <s v="SALE1512"/>
    <d v="2025-07-22T00:00:00"/>
    <s v="CUST1096"/>
    <s v="PROD7"/>
    <s v="STORE8"/>
    <n v="4"/>
    <n v="797.83"/>
    <n v="0.08"/>
    <s v="Credit Card"/>
    <x v="1"/>
    <x v="38"/>
    <x v="1"/>
    <s v="Led Table Lamp - Harrell Llc"/>
    <x v="3"/>
    <n v="218.86"/>
    <x v="1"/>
    <x v="2"/>
    <n v="3191"/>
  </r>
  <r>
    <s v="SALE1513"/>
    <d v="2025-09-22T00:00:00"/>
    <s v="CUST1098"/>
    <s v="PROD2"/>
    <s v="STORE16"/>
    <n v="1"/>
    <n v="372.75"/>
    <n v="0.12"/>
    <s v="Credit Card"/>
    <x v="0"/>
    <x v="41"/>
    <x v="0"/>
    <s v="Women'S Casual Hoodie - Sims Inc"/>
    <x v="4"/>
    <n v="254.62086956521742"/>
    <x v="1"/>
    <x v="1"/>
    <n v="372.63"/>
  </r>
  <r>
    <s v="SALE1514"/>
    <d v="2024-07-04T00:00:00"/>
    <s v="CUST1396"/>
    <s v="PROD61"/>
    <s v="STORE4"/>
    <n v="1"/>
    <n v="994.18"/>
    <n v="0.05"/>
    <s v="PayPal"/>
    <x v="1"/>
    <x v="14"/>
    <x v="2"/>
    <s v="Tennis Ball 3-Pack - Lopez Llc"/>
    <x v="0"/>
    <n v="103.45"/>
    <x v="2"/>
    <x v="2"/>
    <n v="994.13"/>
  </r>
  <r>
    <s v="SALE1515"/>
    <d v="2024-07-31T00:00:00"/>
    <s v="CUST1422"/>
    <s v="PROD20"/>
    <s v="STORE13"/>
    <n v="1"/>
    <n v="136.12"/>
    <n v="7.0000000000000007E-2"/>
    <s v="Credit Card"/>
    <x v="1"/>
    <x v="32"/>
    <x v="1"/>
    <s v="Outdoor Sports Water Bottle - Soto-Ellis"/>
    <x v="0"/>
    <n v="131.51"/>
    <x v="3"/>
    <x v="1"/>
    <n v="136.05000000000001"/>
  </r>
  <r>
    <s v="SALE1516"/>
    <d v="2025-07-24T00:00:00"/>
    <s v="CUST1030"/>
    <s v="PROD52"/>
    <s v="STORE18"/>
    <n v="3"/>
    <n v="634.45000000000005"/>
    <n v="0.17"/>
    <s v="PayPal"/>
    <x v="1"/>
    <x v="2"/>
    <x v="3"/>
    <s v="Rugby Ball - Harris Inc"/>
    <x v="0"/>
    <n v="212.26"/>
    <x v="3"/>
    <x v="1"/>
    <n v="1902.8400000000001"/>
  </r>
  <r>
    <s v="SALE1517"/>
    <d v="2024-10-14T00:00:00"/>
    <s v="CUST1329"/>
    <s v="PROD64"/>
    <s v="STORE0"/>
    <n v="4"/>
    <n v="179.62"/>
    <n v="0.05"/>
    <s v="Credit Card"/>
    <x v="1"/>
    <x v="46"/>
    <x v="3"/>
    <s v="Matte Lipstick Set - Zhang Inc"/>
    <x v="2"/>
    <n v="299.11"/>
    <x v="3"/>
    <x v="1"/>
    <n v="718.28"/>
  </r>
  <r>
    <s v="SALE1518"/>
    <d v="2025-01-01T00:00:00"/>
    <s v="CUST1294"/>
    <s v="PROD20"/>
    <s v="STORE18"/>
    <n v="4"/>
    <n v="558.83000000000004"/>
    <n v="0.16"/>
    <s v="PayPal"/>
    <x v="0"/>
    <x v="10"/>
    <x v="1"/>
    <s v="Outdoor Sports Water Bottle - Soto-Ellis"/>
    <x v="0"/>
    <n v="131.51"/>
    <x v="3"/>
    <x v="1"/>
    <n v="2234.6800000000003"/>
  </r>
  <r>
    <s v="SALE1519"/>
    <d v="2025-01-07T00:00:00"/>
    <s v="CUST1171"/>
    <s v="PROD94"/>
    <s v="STORE6"/>
    <n v="2"/>
    <n v="859.74"/>
    <n v="0.25"/>
    <s v="COD"/>
    <x v="1"/>
    <x v="30"/>
    <x v="1"/>
    <s v="Vitamin E Body Lotion - Hoffman-Williams"/>
    <x v="2"/>
    <n v="358.47"/>
    <x v="3"/>
    <x v="2"/>
    <n v="1718.98"/>
  </r>
  <r>
    <s v="SALE1520"/>
    <d v="2025-10-06T00:00:00"/>
    <s v="CUST1106"/>
    <s v="PROD65"/>
    <s v="STORE16"/>
    <n v="3"/>
    <n v="578.47"/>
    <n v="0.06"/>
    <s v="COD"/>
    <x v="1"/>
    <x v="5"/>
    <x v="3"/>
    <s v="Adjustable Dumbbells 20Kg - Montgomery, Benton And Miller"/>
    <x v="0"/>
    <n v="240.63"/>
    <x v="1"/>
    <x v="1"/>
    <n v="1735.2300000000002"/>
  </r>
  <r>
    <s v="SALE1521"/>
    <d v="2024-02-22T00:00:00"/>
    <s v="CUST1055"/>
    <s v="PROD21"/>
    <s v="STORE12"/>
    <n v="1"/>
    <n v="440.48"/>
    <n v="0.11"/>
    <s v="COD"/>
    <x v="1"/>
    <x v="46"/>
    <x v="3"/>
    <s v="Multi-Purpose Storage Box - Gardner-Montes"/>
    <x v="3"/>
    <n v="123.46"/>
    <x v="0"/>
    <x v="2"/>
    <n v="440.37"/>
  </r>
  <r>
    <s v="SALE1522"/>
    <d v="2024-02-07T00:00:00"/>
    <s v="CUST1016"/>
    <s v="PROD16"/>
    <s v="STORE19"/>
    <n v="2"/>
    <n v="303.67"/>
    <n v="0.05"/>
    <s v="PayPal"/>
    <x v="1"/>
    <x v="2"/>
    <x v="3"/>
    <s v="Beard Grooming Kit - Erickson-Green"/>
    <x v="2"/>
    <n v="337.42"/>
    <x v="3"/>
    <x v="2"/>
    <n v="607.24"/>
  </r>
  <r>
    <s v="SALE1523"/>
    <d v="2025-08-26T00:00:00"/>
    <s v="CUST1336"/>
    <s v="PROD74"/>
    <s v="STORE14"/>
    <n v="2"/>
    <n v="611.21"/>
    <n v="0.22"/>
    <s v="COD"/>
    <x v="1"/>
    <x v="47"/>
    <x v="2"/>
    <s v="Bluetooth Car Audio System - Bruce-Bowen"/>
    <x v="1"/>
    <n v="403.71"/>
    <x v="2"/>
    <x v="0"/>
    <n v="1221.98"/>
  </r>
  <r>
    <s v="SALE1524"/>
    <d v="2023-11-09T00:00:00"/>
    <s v="CUST1202"/>
    <s v="PROD39"/>
    <s v="STORE15"/>
    <n v="2"/>
    <n v="768.08"/>
    <n v="0.26"/>
    <s v="PayPal"/>
    <x v="1"/>
    <x v="32"/>
    <x v="1"/>
    <s v="Portable Power Bank - Cummings And Sons"/>
    <x v="1"/>
    <n v="326.06"/>
    <x v="0"/>
    <x v="1"/>
    <n v="1535.64"/>
  </r>
  <r>
    <s v="SALE1525"/>
    <d v="2024-01-05T00:00:00"/>
    <s v="CUST1296"/>
    <s v="PROD23"/>
    <s v="STORE18"/>
    <n v="1"/>
    <n v="616.82000000000005"/>
    <n v="0.24"/>
    <s v="Credit Card"/>
    <x v="1"/>
    <x v="35"/>
    <x v="3"/>
    <s v="Men'S Formal Shirt - Moon, Mora And Santos"/>
    <x v="4"/>
    <n v="248.82191780821913"/>
    <x v="3"/>
    <x v="1"/>
    <n v="616.58000000000004"/>
  </r>
  <r>
    <s v="SALE1526"/>
    <d v="2025-01-15T00:00:00"/>
    <s v="CUST1183"/>
    <s v="PROD40"/>
    <s v="STORE18"/>
    <n v="1"/>
    <n v="470.34"/>
    <n v="0.18"/>
    <s v="COD"/>
    <x v="0"/>
    <x v="14"/>
    <x v="1"/>
    <s v="Noise-Canceling Headphones - Taylor-Hart"/>
    <x v="1"/>
    <n v="38.520000000000003"/>
    <x v="3"/>
    <x v="1"/>
    <n v="470.15999999999997"/>
  </r>
  <r>
    <s v="SALE1527"/>
    <d v="2024-07-26T00:00:00"/>
    <s v="CUST1219"/>
    <s v="PROD53"/>
    <s v="STORE8"/>
    <n v="2"/>
    <n v="616.36"/>
    <n v="0.12"/>
    <s v="PayPal"/>
    <x v="1"/>
    <x v="19"/>
    <x v="0"/>
    <s v="Men'S Track Pants - Hamilton, Woods And Walker"/>
    <x v="4"/>
    <n v="386.56"/>
    <x v="1"/>
    <x v="2"/>
    <n v="1232.48"/>
  </r>
  <r>
    <s v="SALE1528"/>
    <d v="2024-05-22T00:00:00"/>
    <s v="CUST1082"/>
    <s v="PROD3"/>
    <s v="STORE9"/>
    <n v="3"/>
    <n v="657.24"/>
    <n v="0.18"/>
    <s v="PayPal"/>
    <x v="0"/>
    <x v="26"/>
    <x v="3"/>
    <s v="Men'S Running Jacket - Pineda Ltd"/>
    <x v="4"/>
    <n v="364.67"/>
    <x v="2"/>
    <x v="1"/>
    <n v="1971.1800000000003"/>
  </r>
  <r>
    <s v="SALE1529"/>
    <d v="2025-08-24T00:00:00"/>
    <s v="CUST1034"/>
    <s v="PROD41"/>
    <s v="STORE19"/>
    <n v="2"/>
    <n v="392.45"/>
    <n v="0.04"/>
    <s v="PayPal"/>
    <x v="1"/>
    <x v="33"/>
    <x v="1"/>
    <s v="Yoga Exercise Mat - Carroll, Long And Mendoza"/>
    <x v="0"/>
    <n v="313.26"/>
    <x v="3"/>
    <x v="2"/>
    <n v="784.81999999999994"/>
  </r>
  <r>
    <s v="SALE1530"/>
    <d v="2024-02-24T00:00:00"/>
    <s v="CUST1245"/>
    <s v="PROD40"/>
    <s v="STORE14"/>
    <n v="3"/>
    <n v="62.03"/>
    <n v="0.01"/>
    <s v="COD"/>
    <x v="1"/>
    <x v="20"/>
    <x v="1"/>
    <s v="Noise-Canceling Headphones - Taylor-Hart"/>
    <x v="1"/>
    <n v="38.520000000000003"/>
    <x v="2"/>
    <x v="0"/>
    <n v="186.06"/>
  </r>
  <r>
    <s v="SALE1531"/>
    <d v="2024-11-17T00:00:00"/>
    <s v="CUST1092"/>
    <s v="PROD96"/>
    <s v="STORE3"/>
    <n v="4"/>
    <n v="933.73"/>
    <n v="0.25"/>
    <s v="PayPal"/>
    <x v="1"/>
    <x v="3"/>
    <x v="1"/>
    <s v="Women'S Formal Blazer - Phillips And Sons"/>
    <x v="4"/>
    <n v="358.47"/>
    <x v="0"/>
    <x v="0"/>
    <n v="3733.92"/>
  </r>
  <r>
    <s v="SALE1532"/>
    <d v="2025-09-28T00:00:00"/>
    <s v="CUST1155"/>
    <s v="PROD85"/>
    <s v="STORE16"/>
    <n v="3"/>
    <n v="615.30999999999995"/>
    <n v="0.14000000000000001"/>
    <s v="PayPal"/>
    <x v="1"/>
    <x v="9"/>
    <x v="0"/>
    <s v="Women'S Beanie Hat - Richardson-Carrillo"/>
    <x v="4"/>
    <n v="119.57"/>
    <x v="1"/>
    <x v="1"/>
    <n v="1845.5099999999998"/>
  </r>
  <r>
    <s v="SALE1533"/>
    <d v="2024-11-23T00:00:00"/>
    <s v="CUST1373"/>
    <s v="PROD59"/>
    <s v="STORE18"/>
    <n v="4"/>
    <n v="790.38"/>
    <n v="0.22"/>
    <s v="COD"/>
    <x v="1"/>
    <x v="17"/>
    <x v="0"/>
    <s v="Men'S Hair Styling Gel - Cline-Mccarthy"/>
    <x v="2"/>
    <n v="17.309999999999999"/>
    <x v="3"/>
    <x v="1"/>
    <n v="3160.64"/>
  </r>
  <r>
    <s v="SALE1534"/>
    <d v="2024-08-29T00:00:00"/>
    <s v="CUST1269"/>
    <s v="PROD59"/>
    <s v="STORE17"/>
    <n v="2"/>
    <n v="102.85"/>
    <n v="0.08"/>
    <s v="PayPal"/>
    <x v="1"/>
    <x v="24"/>
    <x v="2"/>
    <s v="Men'S Hair Styling Gel - Cline-Mccarthy"/>
    <x v="2"/>
    <n v="17.309999999999999"/>
    <x v="0"/>
    <x v="1"/>
    <n v="205.54"/>
  </r>
  <r>
    <s v="SALE1535"/>
    <d v="2025-05-04T00:00:00"/>
    <s v="CUST1039"/>
    <s v="PROD11"/>
    <s v="STORE16"/>
    <n v="3"/>
    <n v="866.78"/>
    <n v="0.27"/>
    <s v="PayPal"/>
    <x v="1"/>
    <x v="20"/>
    <x v="0"/>
    <s v="Hd Smart Tv Stick - Gibson, Hobbs And Weaver"/>
    <x v="1"/>
    <n v="449.4"/>
    <x v="1"/>
    <x v="1"/>
    <n v="2599.5299999999997"/>
  </r>
  <r>
    <s v="SALE1536"/>
    <d v="2024-03-27T00:00:00"/>
    <s v="CUST1208"/>
    <s v="PROD78"/>
    <s v="STORE16"/>
    <n v="3"/>
    <n v="392.84"/>
    <n v="0.27"/>
    <s v="PayPal"/>
    <x v="0"/>
    <x v="38"/>
    <x v="1"/>
    <s v="Essential Oil Diffuser - Hernandez Inc"/>
    <x v="3"/>
    <n v="325.26"/>
    <x v="1"/>
    <x v="1"/>
    <n v="1177.71"/>
  </r>
  <r>
    <s v="SALE1537"/>
    <d v="2025-01-31T00:00:00"/>
    <s v="CUST1323"/>
    <s v="PROD9"/>
    <s v="STORE5"/>
    <n v="2"/>
    <n v="753.1"/>
    <n v="0.19"/>
    <s v="PayPal"/>
    <x v="1"/>
    <x v="29"/>
    <x v="1"/>
    <s v="Adjustable Dumbbell Set - Hill Plc"/>
    <x v="0"/>
    <n v="495.72"/>
    <x v="0"/>
    <x v="0"/>
    <n v="1505.82"/>
  </r>
  <r>
    <s v="SALE1538"/>
    <d v="2025-09-27T00:00:00"/>
    <s v="CUST1007"/>
    <s v="PROD54"/>
    <s v="STORE17"/>
    <n v="2"/>
    <n v="700.91"/>
    <n v="0.1"/>
    <s v="PayPal"/>
    <x v="1"/>
    <x v="35"/>
    <x v="3"/>
    <s v="Sports Stopwatch Pro - Thompson-French"/>
    <x v="0"/>
    <n v="434.84"/>
    <x v="0"/>
    <x v="1"/>
    <n v="1401.62"/>
  </r>
  <r>
    <s v="SALE1539"/>
    <d v="2025-04-28T00:00:00"/>
    <s v="CUST1072"/>
    <s v="PROD15"/>
    <s v="STORE12"/>
    <n v="4"/>
    <n v="935.98"/>
    <n v="0.11"/>
    <s v="PayPal"/>
    <x v="1"/>
    <x v="9"/>
    <x v="0"/>
    <s v="4K Home Projector - Thomas Llc"/>
    <x v="1"/>
    <n v="465.34"/>
    <x v="0"/>
    <x v="2"/>
    <n v="3743.48"/>
  </r>
  <r>
    <s v="SALE1540"/>
    <d v="2025-07-11T00:00:00"/>
    <s v="CUST1485"/>
    <s v="PROD76"/>
    <s v="STORE16"/>
    <n v="1"/>
    <n v="539.9"/>
    <n v="7.0000000000000007E-2"/>
    <s v="Credit Card"/>
    <x v="1"/>
    <x v="45"/>
    <x v="3"/>
    <s v="Wireless Mouse - Larson Ltd"/>
    <x v="1"/>
    <n v="392.89"/>
    <x v="1"/>
    <x v="1"/>
    <n v="539.82999999999993"/>
  </r>
  <r>
    <s v="SALE1541"/>
    <d v="2024-10-08T00:00:00"/>
    <s v="CUST1171"/>
    <s v="PROD40"/>
    <s v="STORE6"/>
    <n v="1"/>
    <n v="312.81"/>
    <n v="0.14000000000000001"/>
    <s v="PayPal"/>
    <x v="1"/>
    <x v="30"/>
    <x v="1"/>
    <s v="Noise-Canceling Headphones - Taylor-Hart"/>
    <x v="1"/>
    <n v="38.520000000000003"/>
    <x v="3"/>
    <x v="2"/>
    <n v="312.67"/>
  </r>
  <r>
    <s v="SALE1542"/>
    <d v="2024-03-05T00:00:00"/>
    <s v="CUST1249"/>
    <s v="PROD48"/>
    <s v="STORE7"/>
    <n v="3"/>
    <n v="855.96"/>
    <n v="0.28999999999999998"/>
    <s v="COD"/>
    <x v="1"/>
    <x v="14"/>
    <x v="0"/>
    <s v="Car Dashboard Phone Holder - Byrd, Stewart And Valdez"/>
    <x v="1"/>
    <n v="177.98"/>
    <x v="2"/>
    <x v="2"/>
    <n v="2567.0100000000002"/>
  </r>
  <r>
    <s v="SALE1543"/>
    <d v="2024-02-04T00:00:00"/>
    <s v="CUST1355"/>
    <s v="PROD1"/>
    <s v="STORE11"/>
    <n v="3"/>
    <n v="305"/>
    <n v="0.01"/>
    <s v="COD"/>
    <x v="0"/>
    <x v="7"/>
    <x v="0"/>
    <s v="Men'S Graphic T-Shirt - Terry-Moore"/>
    <x v="4"/>
    <n v="342.56"/>
    <x v="2"/>
    <x v="2"/>
    <n v="914.97"/>
  </r>
  <r>
    <s v="SALE1544"/>
    <d v="2024-03-10T00:00:00"/>
    <s v="CUST1468"/>
    <s v="PROD99"/>
    <s v="STORE12"/>
    <n v="3"/>
    <n v="831.15"/>
    <n v="0.19"/>
    <s v="Credit Card"/>
    <x v="0"/>
    <x v="1"/>
    <x v="3"/>
    <s v="Stainless Steel Cookware Set - Campbell Ltd"/>
    <x v="3"/>
    <n v="201.41"/>
    <x v="0"/>
    <x v="2"/>
    <n v="2492.8799999999997"/>
  </r>
  <r>
    <s v="SALE1545"/>
    <d v="2025-09-26T00:00:00"/>
    <s v="CUST1207"/>
    <s v="PROD96"/>
    <s v="STORE3"/>
    <n v="2"/>
    <n v="644.97"/>
    <n v="0.24"/>
    <s v="COD"/>
    <x v="1"/>
    <x v="19"/>
    <x v="3"/>
    <s v="Women'S Formal Blazer - Phillips And Sons"/>
    <x v="4"/>
    <n v="358.47"/>
    <x v="0"/>
    <x v="0"/>
    <n v="1289.46"/>
  </r>
  <r>
    <s v="SALE1546"/>
    <d v="2025-07-01T00:00:00"/>
    <s v="CUST1095"/>
    <s v="PROD88"/>
    <s v="STORE1"/>
    <n v="1"/>
    <n v="149.56"/>
    <n v="0.09"/>
    <s v="Credit Card"/>
    <x v="1"/>
    <x v="14"/>
    <x v="1"/>
    <s v="Sports Wrist Sweatbands - Olsen-Daniels"/>
    <x v="0"/>
    <n v="131.24"/>
    <x v="0"/>
    <x v="1"/>
    <n v="149.47"/>
  </r>
  <r>
    <s v="SALE1547"/>
    <d v="2024-05-22T00:00:00"/>
    <s v="CUST1217"/>
    <s v="PROD43"/>
    <s v="STORE19"/>
    <n v="1"/>
    <n v="661.77"/>
    <n v="0.03"/>
    <s v="PayPal"/>
    <x v="0"/>
    <x v="6"/>
    <x v="2"/>
    <s v="Usb External Hard Drive - Robinson Inc"/>
    <x v="1"/>
    <n v="253.33"/>
    <x v="3"/>
    <x v="2"/>
    <n v="661.74"/>
  </r>
  <r>
    <s v="SALE1548"/>
    <d v="2025-06-11T00:00:00"/>
    <s v="CUST1108"/>
    <s v="PROD94"/>
    <s v="STORE7"/>
    <n v="3"/>
    <n v="99.67"/>
    <n v="0.17"/>
    <s v="Credit Card"/>
    <x v="0"/>
    <x v="21"/>
    <x v="3"/>
    <s v="Vitamin E Body Lotion - Hoffman-Williams"/>
    <x v="2"/>
    <n v="358.47"/>
    <x v="2"/>
    <x v="2"/>
    <n v="298.5"/>
  </r>
  <r>
    <s v="SALE1549"/>
    <d v="2024-09-18T00:00:00"/>
    <s v="CUST1221"/>
    <s v="PROD62"/>
    <s v="STORE1"/>
    <n v="3"/>
    <n v="103.66"/>
    <n v="0.26"/>
    <s v="COD"/>
    <x v="0"/>
    <x v="36"/>
    <x v="1"/>
    <s v="Laptop Cooling Pad - Murray, Gould And Ware"/>
    <x v="1"/>
    <n v="86.42"/>
    <x v="0"/>
    <x v="1"/>
    <n v="310.2"/>
  </r>
  <r>
    <s v="SALE1550"/>
    <d v="2023-11-28T00:00:00"/>
    <s v="CUST1436"/>
    <s v="PROD40"/>
    <s v="STORE2"/>
    <n v="4"/>
    <n v="54.4"/>
    <n v="0.22"/>
    <s v="Credit Card"/>
    <x v="0"/>
    <x v="34"/>
    <x v="0"/>
    <s v="Noise-Canceling Headphones - Taylor-Hart"/>
    <x v="1"/>
    <n v="38.520000000000003"/>
    <x v="2"/>
    <x v="0"/>
    <n v="216.72"/>
  </r>
  <r>
    <s v="SALE1551"/>
    <d v="2024-05-23T00:00:00"/>
    <s v="CUST1490"/>
    <s v="PROD84"/>
    <s v="STORE14"/>
    <n v="1"/>
    <n v="46.66"/>
    <n v="0.2"/>
    <s v="Credit Card"/>
    <x v="0"/>
    <x v="33"/>
    <x v="1"/>
    <s v="Wooden Bookshelf - Collins-Stephenson"/>
    <x v="3"/>
    <n v="388.46"/>
    <x v="2"/>
    <x v="0"/>
    <n v="46.459999999999994"/>
  </r>
  <r>
    <s v="SALE1552"/>
    <d v="2024-06-04T00:00:00"/>
    <s v="CUST1007"/>
    <s v="PROD73"/>
    <s v="STORE11"/>
    <n v="4"/>
    <n v="871.2"/>
    <n v="0.28999999999999998"/>
    <s v="Credit Card"/>
    <x v="1"/>
    <x v="35"/>
    <x v="3"/>
    <s v="Shin Guards – Adult - French Ltd"/>
    <x v="0"/>
    <n v="107.06"/>
    <x v="2"/>
    <x v="2"/>
    <n v="3483.6400000000003"/>
  </r>
  <r>
    <s v="SALE1553"/>
    <d v="2025-03-08T00:00:00"/>
    <s v="CUST1379"/>
    <s v="PROD18"/>
    <s v="STORE14"/>
    <n v="4"/>
    <n v="317.11"/>
    <n v="0.16"/>
    <s v="PayPal"/>
    <x v="1"/>
    <x v="9"/>
    <x v="0"/>
    <s v="Women'S Denim Jeans - Guerra-Hendrix"/>
    <x v="4"/>
    <n v="245.7783116883117"/>
    <x v="2"/>
    <x v="0"/>
    <n v="1267.8"/>
  </r>
  <r>
    <s v="SALE1554"/>
    <d v="2024-02-16T00:00:00"/>
    <s v="CUST1258"/>
    <s v="PROD25"/>
    <s v="STORE13"/>
    <n v="2"/>
    <n v="388.34"/>
    <n v="0.09"/>
    <s v="PayPal"/>
    <x v="1"/>
    <x v="11"/>
    <x v="1"/>
    <s v="Women'S Scarf Set - Brown And Sons"/>
    <x v="4"/>
    <n v="174.02"/>
    <x v="3"/>
    <x v="1"/>
    <n v="776.5"/>
  </r>
  <r>
    <s v="SALE1555"/>
    <d v="2023-11-22T00:00:00"/>
    <s v="CUST1319"/>
    <s v="PROD30"/>
    <s v="STORE6"/>
    <n v="4"/>
    <n v="998.2"/>
    <n v="0.15"/>
    <s v="Credit Card"/>
    <x v="0"/>
    <x v="25"/>
    <x v="1"/>
    <s v="Stainless Steel Cutlery Set - Stevens, Fernandez And Martin"/>
    <x v="3"/>
    <n v="19.52"/>
    <x v="3"/>
    <x v="2"/>
    <n v="3992.2000000000003"/>
  </r>
  <r>
    <s v="SALE1556"/>
    <d v="2024-11-10T00:00:00"/>
    <s v="CUST1493"/>
    <s v="PROD36"/>
    <s v="STORE0"/>
    <n v="1"/>
    <n v="887.38"/>
    <n v="0.01"/>
    <s v="COD"/>
    <x v="0"/>
    <x v="4"/>
    <x v="2"/>
    <s v="Women'S Summer Dress - Smith-Mills"/>
    <x v="4"/>
    <n v="223.43"/>
    <x v="3"/>
    <x v="1"/>
    <n v="887.37"/>
  </r>
  <r>
    <s v="SALE1557"/>
    <d v="2024-08-20T00:00:00"/>
    <s v="CUST1312"/>
    <s v="PROD37"/>
    <s v="STORE12"/>
    <n v="4"/>
    <n v="332.97"/>
    <n v="0.28000000000000003"/>
    <s v="Credit Card"/>
    <x v="1"/>
    <x v="37"/>
    <x v="2"/>
    <s v="Men'S Casual Sneakers - Hogan-Lee"/>
    <x v="4"/>
    <n v="353.47"/>
    <x v="0"/>
    <x v="2"/>
    <n v="1330.7600000000002"/>
  </r>
  <r>
    <s v="SALE1558"/>
    <d v="2025-10-04T00:00:00"/>
    <s v="CUST1021"/>
    <s v="PROD46"/>
    <s v="STORE0"/>
    <n v="2"/>
    <n v="157.91"/>
    <n v="0.09"/>
    <s v="COD"/>
    <x v="1"/>
    <x v="15"/>
    <x v="0"/>
    <s v="Men'S Winter Jacket - Kelly, Smith And Perez"/>
    <x v="4"/>
    <n v="167.34"/>
    <x v="3"/>
    <x v="1"/>
    <n v="315.64"/>
  </r>
  <r>
    <s v="SALE1559"/>
    <d v="2024-09-04T00:00:00"/>
    <s v="CUST1356"/>
    <s v="PROD12"/>
    <s v="STORE18"/>
    <n v="1"/>
    <n v="548.15"/>
    <n v="0.11"/>
    <s v="Credit Card"/>
    <x v="0"/>
    <x v="45"/>
    <x v="3"/>
    <s v="Hair Strengthening Shampoo - Rice Llc"/>
    <x v="2"/>
    <n v="115.82"/>
    <x v="3"/>
    <x v="1"/>
    <n v="548.04"/>
  </r>
  <r>
    <s v="SALE1560"/>
    <d v="2024-09-20T00:00:00"/>
    <s v="CUST1209"/>
    <s v="PROD48"/>
    <s v="STORE15"/>
    <n v="1"/>
    <n v="135.13"/>
    <n v="0.04"/>
    <s v="Credit Card"/>
    <x v="1"/>
    <x v="17"/>
    <x v="1"/>
    <s v="Car Dashboard Phone Holder - Byrd, Stewart And Valdez"/>
    <x v="1"/>
    <n v="177.98"/>
    <x v="0"/>
    <x v="1"/>
    <n v="135.09"/>
  </r>
  <r>
    <s v="SALE1561"/>
    <d v="2023-12-21T00:00:00"/>
    <s v="CUST1219"/>
    <s v="PROD56"/>
    <s v="STORE3"/>
    <n v="3"/>
    <n v="579.26"/>
    <n v="0.19"/>
    <s v="Credit Card"/>
    <x v="1"/>
    <x v="19"/>
    <x v="0"/>
    <s v="Premium Blanket Throw - Hernandez, Kennedy And Porter"/>
    <x v="3"/>
    <n v="461.47"/>
    <x v="0"/>
    <x v="0"/>
    <n v="1737.2099999999998"/>
  </r>
  <r>
    <s v="SALE1562"/>
    <d v="2024-10-17T00:00:00"/>
    <s v="CUST1389"/>
    <s v="PROD17"/>
    <s v="STORE0"/>
    <n v="1"/>
    <n v="465.63"/>
    <n v="0.25"/>
    <s v="Credit Card"/>
    <x v="0"/>
    <x v="48"/>
    <x v="1"/>
    <s v="Soccer Training Cone Set - Ford, Murphy And Wilson"/>
    <x v="0"/>
    <n v="144.53"/>
    <x v="3"/>
    <x v="1"/>
    <n v="465.38"/>
  </r>
  <r>
    <s v="SALE1563"/>
    <d v="2024-03-21T00:00:00"/>
    <s v="CUST1047"/>
    <s v="PROD76"/>
    <s v="STORE16"/>
    <n v="2"/>
    <n v="675.61"/>
    <n v="0.08"/>
    <s v="COD"/>
    <x v="1"/>
    <x v="8"/>
    <x v="2"/>
    <s v="Wireless Mouse - Larson Ltd"/>
    <x v="1"/>
    <n v="392.89"/>
    <x v="1"/>
    <x v="1"/>
    <n v="1351.06"/>
  </r>
  <r>
    <s v="SALE1564"/>
    <d v="2024-06-15T00:00:00"/>
    <s v="CUST1416"/>
    <s v="PROD33"/>
    <s v="STORE6"/>
    <n v="1"/>
    <n v="718.99"/>
    <n v="0.08"/>
    <s v="PayPal"/>
    <x v="0"/>
    <x v="18"/>
    <x v="1"/>
    <s v="Modern Wall Clock - Weiss-Watson"/>
    <x v="3"/>
    <n v="179.77"/>
    <x v="3"/>
    <x v="2"/>
    <n v="718.91"/>
  </r>
  <r>
    <s v="SALE1565"/>
    <d v="2025-10-13T00:00:00"/>
    <s v="CUST1376"/>
    <s v="PROD14"/>
    <s v="STORE10"/>
    <n v="2"/>
    <n v="675.65"/>
    <n v="0.2"/>
    <s v="COD"/>
    <x v="0"/>
    <x v="40"/>
    <x v="3"/>
    <s v="Decorative Wall Mirror - Luna, Anderson And Bowman"/>
    <x v="3"/>
    <n v="48.01"/>
    <x v="3"/>
    <x v="2"/>
    <n v="1350.8999999999999"/>
  </r>
  <r>
    <s v="SALE1566"/>
    <d v="2024-03-23T00:00:00"/>
    <s v="CUST1336"/>
    <s v="PROD95"/>
    <s v="STORE15"/>
    <n v="4"/>
    <n v="284.24"/>
    <n v="0.1"/>
    <s v="Credit Card"/>
    <x v="1"/>
    <x v="47"/>
    <x v="2"/>
    <s v="Sports Stopwatch Basic - Wilson Group"/>
    <x v="0"/>
    <n v="60.65"/>
    <x v="0"/>
    <x v="1"/>
    <n v="1136.56"/>
  </r>
  <r>
    <s v="SALE1567"/>
    <d v="2024-03-23T00:00:00"/>
    <s v="CUST1213"/>
    <s v="PROD1"/>
    <s v="STORE3"/>
    <n v="1"/>
    <n v="94.26"/>
    <n v="0.18"/>
    <s v="PayPal"/>
    <x v="1"/>
    <x v="16"/>
    <x v="1"/>
    <s v="Men'S Graphic T-Shirt - Terry-Moore"/>
    <x v="4"/>
    <n v="342.56"/>
    <x v="0"/>
    <x v="0"/>
    <n v="94.08"/>
  </r>
  <r>
    <s v="SALE1568"/>
    <d v="2025-05-12T00:00:00"/>
    <s v="CUST1416"/>
    <s v="PROD6"/>
    <s v="STORE10"/>
    <n v="4"/>
    <n v="458.58"/>
    <n v="0.28999999999999998"/>
    <s v="COD"/>
    <x v="0"/>
    <x v="18"/>
    <x v="1"/>
    <s v="Herbal Face Moisturizer - Davidson Plc"/>
    <x v="2"/>
    <n v="312.8"/>
    <x v="3"/>
    <x v="2"/>
    <n v="1833.1599999999999"/>
  </r>
  <r>
    <s v="SALE1569"/>
    <d v="2024-06-09T00:00:00"/>
    <s v="CUST1113"/>
    <s v="PROD65"/>
    <s v="STORE10"/>
    <n v="4"/>
    <n v="704.49"/>
    <n v="0.05"/>
    <s v="COD"/>
    <x v="0"/>
    <x v="23"/>
    <x v="0"/>
    <s v="Adjustable Dumbbells 20Kg - Montgomery, Benton And Miller"/>
    <x v="0"/>
    <n v="240.63"/>
    <x v="3"/>
    <x v="2"/>
    <n v="2817.76"/>
  </r>
  <r>
    <s v="SALE1570"/>
    <d v="2023-12-24T00:00:00"/>
    <s v="CUST1032"/>
    <s v="PROD27"/>
    <s v="STORE19"/>
    <n v="4"/>
    <n v="822.32"/>
    <n v="0.26"/>
    <s v="PayPal"/>
    <x v="1"/>
    <x v="28"/>
    <x v="0"/>
    <s v="Decorative Floor Vase - Khan, Jones And Paul"/>
    <x v="3"/>
    <n v="250.02157142857135"/>
    <x v="3"/>
    <x v="2"/>
    <n v="3288.2400000000002"/>
  </r>
  <r>
    <s v="SALE1571"/>
    <d v="2024-02-03T00:00:00"/>
    <s v="CUST1245"/>
    <s v="PROD3"/>
    <s v="STORE13"/>
    <n v="4"/>
    <n v="785.41"/>
    <n v="0.13"/>
    <s v="COD"/>
    <x v="1"/>
    <x v="20"/>
    <x v="1"/>
    <s v="Men'S Running Jacket - Pineda Ltd"/>
    <x v="4"/>
    <n v="364.67"/>
    <x v="3"/>
    <x v="1"/>
    <n v="3141.12"/>
  </r>
  <r>
    <s v="SALE1572"/>
    <d v="2024-06-22T00:00:00"/>
    <s v="CUST1031"/>
    <s v="PROD39"/>
    <s v="STORE14"/>
    <n v="1"/>
    <n v="405.8"/>
    <n v="0.11"/>
    <s v="PayPal"/>
    <x v="0"/>
    <x v="47"/>
    <x v="2"/>
    <s v="Portable Power Bank - Cummings And Sons"/>
    <x v="1"/>
    <n v="326.06"/>
    <x v="2"/>
    <x v="0"/>
    <n v="405.69"/>
  </r>
  <r>
    <s v="SALE1573"/>
    <d v="2024-11-16T00:00:00"/>
    <s v="CUST1433"/>
    <s v="PROD91"/>
    <s v="STORE9"/>
    <n v="2"/>
    <n v="976.83"/>
    <n v="0.1"/>
    <s v="PayPal"/>
    <x v="1"/>
    <x v="14"/>
    <x v="2"/>
    <s v="Women'S High Heels - Smith-Charles"/>
    <x v="4"/>
    <n v="438.25"/>
    <x v="2"/>
    <x v="1"/>
    <n v="1953.46"/>
  </r>
  <r>
    <s v="SALE1574"/>
    <d v="2024-06-29T00:00:00"/>
    <s v="CUST1273"/>
    <s v="PROD64"/>
    <s v="STORE2"/>
    <n v="1"/>
    <n v="644.15"/>
    <n v="0.06"/>
    <s v="Credit Card"/>
    <x v="0"/>
    <x v="25"/>
    <x v="3"/>
    <s v="Matte Lipstick Set - Zhang Inc"/>
    <x v="2"/>
    <n v="299.11"/>
    <x v="2"/>
    <x v="0"/>
    <n v="644.09"/>
  </r>
  <r>
    <s v="SALE1575"/>
    <d v="2025-08-28T00:00:00"/>
    <s v="CUST1337"/>
    <s v="PROD67"/>
    <s v="STORE13"/>
    <n v="1"/>
    <n v="470.55"/>
    <n v="0.23"/>
    <s v="PayPal"/>
    <x v="1"/>
    <x v="29"/>
    <x v="3"/>
    <s v="Smart Led Light Strip - Flores-Davis"/>
    <x v="1"/>
    <n v="349.17"/>
    <x v="3"/>
    <x v="1"/>
    <n v="470.32"/>
  </r>
  <r>
    <s v="SALE1576"/>
    <d v="2023-11-11T00:00:00"/>
    <s v="CUST1478"/>
    <s v="PROD7"/>
    <s v="STORE6"/>
    <n v="3"/>
    <n v="598.82000000000005"/>
    <n v="0.19"/>
    <s v="COD"/>
    <x v="0"/>
    <x v="34"/>
    <x v="0"/>
    <s v="Led Table Lamp - Harrell Llc"/>
    <x v="3"/>
    <n v="218.86"/>
    <x v="3"/>
    <x v="2"/>
    <n v="1795.8899999999999"/>
  </r>
  <r>
    <s v="SALE1577"/>
    <d v="2025-07-13T00:00:00"/>
    <s v="CUST1101"/>
    <s v="PROD20"/>
    <s v="STORE12"/>
    <n v="4"/>
    <n v="659.17"/>
    <n v="0.12"/>
    <s v="Credit Card"/>
    <x v="0"/>
    <x v="39"/>
    <x v="0"/>
    <s v="Outdoor Sports Water Bottle - Soto-Ellis"/>
    <x v="0"/>
    <n v="131.51"/>
    <x v="0"/>
    <x v="2"/>
    <n v="2636.2"/>
  </r>
  <r>
    <s v="SALE1578"/>
    <d v="2024-10-07T00:00:00"/>
    <s v="CUST1104"/>
    <s v="PROD46"/>
    <s v="STORE1"/>
    <n v="2"/>
    <n v="216.02"/>
    <n v="0.25"/>
    <s v="Credit Card"/>
    <x v="0"/>
    <x v="36"/>
    <x v="2"/>
    <s v="Men'S Winter Jacket - Kelly, Smith And Perez"/>
    <x v="4"/>
    <n v="167.34"/>
    <x v="0"/>
    <x v="1"/>
    <n v="431.54"/>
  </r>
  <r>
    <s v="SALE1579"/>
    <d v="2025-04-27T00:00:00"/>
    <s v="CUST1030"/>
    <s v="PROD31"/>
    <s v="STORE10"/>
    <n v="2"/>
    <n v="613.47"/>
    <n v="0.02"/>
    <s v="PayPal"/>
    <x v="1"/>
    <x v="2"/>
    <x v="3"/>
    <s v="Basketball - Nolan-Snow"/>
    <x v="0"/>
    <n v="204.39"/>
    <x v="3"/>
    <x v="2"/>
    <n v="1226.9000000000001"/>
  </r>
  <r>
    <s v="SALE1580"/>
    <d v="2025-09-21T00:00:00"/>
    <s v="CUST1098"/>
    <s v="PROD58"/>
    <s v="STORE12"/>
    <n v="2"/>
    <n v="485.17"/>
    <n v="0.11"/>
    <s v="PayPal"/>
    <x v="0"/>
    <x v="41"/>
    <x v="0"/>
    <s v="Womens Cotton Scarf - Shepherd-Gould"/>
    <x v="4"/>
    <n v="113.83"/>
    <x v="0"/>
    <x v="2"/>
    <n v="970.12"/>
  </r>
  <r>
    <s v="SALE1581"/>
    <d v="2023-12-08T00:00:00"/>
    <s v="CUST1307"/>
    <s v="PROD46"/>
    <s v="STORE10"/>
    <n v="1"/>
    <n v="209.7"/>
    <n v="0.2"/>
    <s v="PayPal"/>
    <x v="1"/>
    <x v="4"/>
    <x v="3"/>
    <s v="Men'S Winter Jacket - Kelly, Smith And Perez"/>
    <x v="4"/>
    <n v="167.34"/>
    <x v="3"/>
    <x v="2"/>
    <n v="209.5"/>
  </r>
  <r>
    <s v="SALE1582"/>
    <d v="2024-04-20T00:00:00"/>
    <s v="CUST1326"/>
    <s v="PROD92"/>
    <s v="STORE0"/>
    <n v="1"/>
    <n v="681.47"/>
    <n v="0.15"/>
    <s v="Credit Card"/>
    <x v="1"/>
    <x v="5"/>
    <x v="0"/>
    <s v="Microwave Oven - Green, Powell And Palmer"/>
    <x v="3"/>
    <n v="447.43"/>
    <x v="3"/>
    <x v="1"/>
    <n v="681.32"/>
  </r>
  <r>
    <s v="SALE1583"/>
    <d v="2025-01-10T00:00:00"/>
    <s v="CUST1440"/>
    <s v="PROD76"/>
    <s v="STORE17"/>
    <n v="2"/>
    <n v="877.21"/>
    <n v="0.1"/>
    <s v="Credit Card"/>
    <x v="0"/>
    <x v="16"/>
    <x v="2"/>
    <s v="Wireless Mouse - Larson Ltd"/>
    <x v="1"/>
    <n v="392.89"/>
    <x v="0"/>
    <x v="1"/>
    <n v="1754.22"/>
  </r>
  <r>
    <s v="SALE1584"/>
    <d v="2025-09-02T00:00:00"/>
    <s v="CUST1318"/>
    <s v="PROD78"/>
    <s v="STORE5"/>
    <n v="2"/>
    <n v="479.77"/>
    <n v="0.21"/>
    <s v="PayPal"/>
    <x v="0"/>
    <x v="32"/>
    <x v="1"/>
    <s v="Essential Oil Diffuser - Hernandez Inc"/>
    <x v="3"/>
    <n v="325.26"/>
    <x v="0"/>
    <x v="0"/>
    <n v="959.12"/>
  </r>
  <r>
    <s v="SALE1585"/>
    <d v="2024-10-24T00:00:00"/>
    <s v="CUST1322"/>
    <s v="PROD83"/>
    <s v="STORE15"/>
    <n v="1"/>
    <n v="140.72"/>
    <n v="0"/>
    <s v="COD"/>
    <x v="0"/>
    <x v="0"/>
    <x v="3"/>
    <s v="Hydrating Face Cleanser - Butler Group"/>
    <x v="2"/>
    <n v="289.35937499999994"/>
    <x v="0"/>
    <x v="1"/>
    <n v="140.72"/>
  </r>
  <r>
    <s v="SALE1586"/>
    <d v="2025-01-11T00:00:00"/>
    <s v="CUST1027"/>
    <s v="PROD19"/>
    <s v="STORE6"/>
    <n v="2"/>
    <n v="764.25"/>
    <n v="0.23"/>
    <s v="PayPal"/>
    <x v="0"/>
    <x v="39"/>
    <x v="4"/>
    <s v="Knee Support Brace - May-Reese"/>
    <x v="0"/>
    <n v="21.34"/>
    <x v="3"/>
    <x v="2"/>
    <n v="1528.04"/>
  </r>
  <r>
    <s v="SALE1587"/>
    <d v="2024-01-09T00:00:00"/>
    <s v="CUST1222"/>
    <s v="PROD83"/>
    <s v="STORE5"/>
    <n v="3"/>
    <n v="107.8"/>
    <n v="0.28999999999999998"/>
    <s v="PayPal"/>
    <x v="0"/>
    <x v="23"/>
    <x v="1"/>
    <s v="Hydrating Face Cleanser - Butler Group"/>
    <x v="2"/>
    <n v="289.35937499999994"/>
    <x v="0"/>
    <x v="0"/>
    <n v="322.52999999999997"/>
  </r>
  <r>
    <s v="SALE1588"/>
    <d v="2025-04-10T00:00:00"/>
    <s v="CUST1147"/>
    <s v="PROD22"/>
    <s v="STORE8"/>
    <n v="4"/>
    <n v="565.37"/>
    <n v="7.0000000000000007E-2"/>
    <s v="PayPal"/>
    <x v="1"/>
    <x v="41"/>
    <x v="1"/>
    <s v="Carbon Fiber Tennis Racket - Flores, Pineda And Rodriguez"/>
    <x v="0"/>
    <n v="484.62"/>
    <x v="1"/>
    <x v="2"/>
    <n v="2261.1999999999998"/>
  </r>
  <r>
    <s v="SALE1589"/>
    <d v="2023-11-05T00:00:00"/>
    <s v="CUST1034"/>
    <s v="PROD36"/>
    <s v="STORE4"/>
    <n v="3"/>
    <n v="811.45"/>
    <n v="0.26"/>
    <s v="Credit Card"/>
    <x v="1"/>
    <x v="33"/>
    <x v="1"/>
    <s v="Women'S Summer Dress - Smith-Mills"/>
    <x v="4"/>
    <n v="223.43"/>
    <x v="2"/>
    <x v="2"/>
    <n v="2433.5700000000002"/>
  </r>
  <r>
    <s v="SALE1590"/>
    <d v="2025-04-02T00:00:00"/>
    <s v="CUST1410"/>
    <s v="PROD33"/>
    <s v="STORE19"/>
    <n v="4"/>
    <n v="62.25"/>
    <n v="0.11"/>
    <s v="PayPal"/>
    <x v="1"/>
    <x v="19"/>
    <x v="3"/>
    <s v="Modern Wall Clock - Weiss-Watson"/>
    <x v="3"/>
    <n v="179.77"/>
    <x v="3"/>
    <x v="2"/>
    <n v="248.56"/>
  </r>
  <r>
    <s v="SALE1591"/>
    <d v="2025-05-30T00:00:00"/>
    <s v="CUST1025"/>
    <s v="PROD95"/>
    <s v="STORE10"/>
    <n v="1"/>
    <n v="749.78"/>
    <n v="0.03"/>
    <s v="Credit Card"/>
    <x v="1"/>
    <x v="24"/>
    <x v="3"/>
    <s v="Sports Stopwatch Basic - Wilson Group"/>
    <x v="0"/>
    <n v="60.65"/>
    <x v="3"/>
    <x v="2"/>
    <n v="749.75"/>
  </r>
  <r>
    <s v="SALE1592"/>
    <d v="2024-07-23T00:00:00"/>
    <s v="CUST1350"/>
    <s v="PROD59"/>
    <s v="STORE5"/>
    <n v="3"/>
    <n v="630.28"/>
    <n v="7.0000000000000007E-2"/>
    <s v="COD"/>
    <x v="0"/>
    <x v="9"/>
    <x v="2"/>
    <s v="Men'S Hair Styling Gel - Cline-Mccarthy"/>
    <x v="2"/>
    <n v="17.309999999999999"/>
    <x v="0"/>
    <x v="0"/>
    <n v="1890.6299999999997"/>
  </r>
  <r>
    <s v="SALE1593"/>
    <d v="2024-03-04T00:00:00"/>
    <s v="CUST1143"/>
    <s v="PROD30"/>
    <s v="STORE16"/>
    <n v="1"/>
    <n v="101.84"/>
    <n v="0.17"/>
    <s v="Credit Card"/>
    <x v="0"/>
    <x v="4"/>
    <x v="3"/>
    <s v="Stainless Steel Cutlery Set - Stevens, Fernandez And Martin"/>
    <x v="3"/>
    <n v="19.52"/>
    <x v="1"/>
    <x v="1"/>
    <n v="101.67"/>
  </r>
  <r>
    <s v="SALE1594"/>
    <d v="2023-11-26T00:00:00"/>
    <s v="CUST1055"/>
    <s v="PROD24"/>
    <s v="STORE18"/>
    <n v="4"/>
    <n v="641.45000000000005"/>
    <n v="0.16"/>
    <s v="COD"/>
    <x v="1"/>
    <x v="46"/>
    <x v="3"/>
    <s v="Foldable Camping Chair - Cook Ltd"/>
    <x v="0"/>
    <n v="166.06"/>
    <x v="3"/>
    <x v="1"/>
    <n v="2565.1600000000003"/>
  </r>
  <r>
    <s v="SALE1595"/>
    <d v="2025-07-11T00:00:00"/>
    <s v="CUST1471"/>
    <s v="PROD43"/>
    <s v="STORE1"/>
    <n v="1"/>
    <n v="135.87"/>
    <n v="0.23"/>
    <s v="PayPal"/>
    <x v="0"/>
    <x v="10"/>
    <x v="1"/>
    <s v="Usb External Hard Drive - Robinson Inc"/>
    <x v="1"/>
    <n v="253.33"/>
    <x v="0"/>
    <x v="1"/>
    <n v="135.64000000000001"/>
  </r>
  <r>
    <s v="SALE1596"/>
    <d v="2024-02-22T00:00:00"/>
    <s v="CUST1095"/>
    <s v="PROD21"/>
    <s v="STORE6"/>
    <n v="1"/>
    <n v="388.35"/>
    <n v="0.01"/>
    <s v="PayPal"/>
    <x v="1"/>
    <x v="14"/>
    <x v="1"/>
    <s v="Multi-Purpose Storage Box - Gardner-Montes"/>
    <x v="3"/>
    <n v="123.46"/>
    <x v="3"/>
    <x v="2"/>
    <n v="388.34000000000003"/>
  </r>
  <r>
    <s v="SALE1597"/>
    <d v="2024-03-16T00:00:00"/>
    <s v="CUST1486"/>
    <s v="PROD38"/>
    <s v="STORE9"/>
    <n v="2"/>
    <n v="999.08"/>
    <n v="0.3"/>
    <s v="PayPal"/>
    <x v="1"/>
    <x v="1"/>
    <x v="3"/>
    <s v="Sports Water Hydration Pack - Sims-Smith"/>
    <x v="0"/>
    <n v="135.61000000000001"/>
    <x v="2"/>
    <x v="1"/>
    <n v="1997.5600000000002"/>
  </r>
  <r>
    <s v="SALE1598"/>
    <d v="2025-08-18T00:00:00"/>
    <s v="CUST1170"/>
    <s v="PROD38"/>
    <s v="STORE17"/>
    <n v="3"/>
    <n v="453.19"/>
    <n v="0.08"/>
    <s v="COD"/>
    <x v="0"/>
    <x v="6"/>
    <x v="0"/>
    <s v="Sports Water Hydration Pack - Sims-Smith"/>
    <x v="0"/>
    <n v="135.61000000000001"/>
    <x v="0"/>
    <x v="1"/>
    <n v="1359.33"/>
  </r>
  <r>
    <s v="SALE1599"/>
    <d v="2024-10-02T00:00:00"/>
    <s v="CUST1235"/>
    <s v="PROD80"/>
    <s v="STORE10"/>
    <n v="2"/>
    <n v="61.31"/>
    <n v="0.15"/>
    <s v="COD"/>
    <x v="1"/>
    <x v="37"/>
    <x v="3"/>
    <s v="Wall-Mounted Spice Rack - Allison Ltd"/>
    <x v="3"/>
    <n v="143.43"/>
    <x v="3"/>
    <x v="2"/>
    <n v="122.32000000000001"/>
  </r>
  <r>
    <s v="SALE1600"/>
    <d v="2023-10-24T00:00:00"/>
    <s v="CUST1342"/>
    <s v="PROD81"/>
    <s v="STORE10"/>
    <n v="2"/>
    <n v="870.13"/>
    <n v="0.23"/>
    <s v="Credit Card"/>
    <x v="1"/>
    <x v="40"/>
    <x v="3"/>
    <s v="Badminton Racket Set - Robinson-Brown"/>
    <x v="0"/>
    <n v="285.54000000000002"/>
    <x v="3"/>
    <x v="2"/>
    <n v="1739.8"/>
  </r>
  <r>
    <s v="SALE1601"/>
    <d v="2025-01-07T00:00:00"/>
    <s v="CUST1067"/>
    <s v="PROD15"/>
    <s v="STORE19"/>
    <n v="1"/>
    <n v="336.51"/>
    <n v="0.11"/>
    <s v="PayPal"/>
    <x v="0"/>
    <x v="26"/>
    <x v="2"/>
    <s v="4K Home Projector - Thomas Llc"/>
    <x v="1"/>
    <n v="465.34"/>
    <x v="3"/>
    <x v="2"/>
    <n v="336.4"/>
  </r>
  <r>
    <s v="SALE1602"/>
    <d v="2024-01-22T00:00:00"/>
    <s v="CUST1181"/>
    <s v="PROD67"/>
    <s v="STORE0"/>
    <n v="1"/>
    <n v="305.70999999999998"/>
    <n v="0.26"/>
    <s v="COD"/>
    <x v="0"/>
    <x v="14"/>
    <x v="3"/>
    <s v="Smart Led Light Strip - Flores-Davis"/>
    <x v="1"/>
    <n v="349.17"/>
    <x v="3"/>
    <x v="1"/>
    <n v="305.45"/>
  </r>
  <r>
    <s v="SALE1603"/>
    <d v="2023-10-25T00:00:00"/>
    <s v="CUST1121"/>
    <s v="PROD10"/>
    <s v="STORE18"/>
    <n v="2"/>
    <n v="635.39"/>
    <n v="0.28999999999999998"/>
    <s v="COD"/>
    <x v="0"/>
    <x v="22"/>
    <x v="1"/>
    <s v="Ceramic Kitchen Bowl Set - Hamilton Group"/>
    <x v="3"/>
    <n v="298.86"/>
    <x v="3"/>
    <x v="1"/>
    <n v="1270.2"/>
  </r>
  <r>
    <s v="SALE1604"/>
    <d v="2024-07-18T00:00:00"/>
    <s v="CUST1116"/>
    <s v="PROD92"/>
    <s v="STORE19"/>
    <n v="2"/>
    <n v="253.87"/>
    <n v="0.23"/>
    <s v="COD"/>
    <x v="1"/>
    <x v="5"/>
    <x v="1"/>
    <s v="Microwave Oven - Green, Powell And Palmer"/>
    <x v="3"/>
    <n v="447.43"/>
    <x v="3"/>
    <x v="2"/>
    <n v="507.28000000000003"/>
  </r>
  <r>
    <s v="SALE1605"/>
    <d v="2024-06-29T00:00:00"/>
    <s v="CUST1484"/>
    <s v="PROD76"/>
    <s v="STORE17"/>
    <n v="3"/>
    <n v="915.81"/>
    <n v="0.17"/>
    <s v="COD"/>
    <x v="0"/>
    <x v="43"/>
    <x v="3"/>
    <s v="Wireless Mouse - Larson Ltd"/>
    <x v="1"/>
    <n v="392.89"/>
    <x v="0"/>
    <x v="1"/>
    <n v="2746.92"/>
  </r>
  <r>
    <s v="SALE1606"/>
    <d v="2025-05-18T00:00:00"/>
    <s v="CUST1209"/>
    <s v="PROD42"/>
    <s v="STORE8"/>
    <n v="3"/>
    <n v="779.5"/>
    <n v="0.02"/>
    <s v="Credit Card"/>
    <x v="1"/>
    <x v="17"/>
    <x v="1"/>
    <s v="Smart Home Wifi Camera - Holmes Llc"/>
    <x v="1"/>
    <n v="450.71"/>
    <x v="1"/>
    <x v="2"/>
    <n v="2338.44"/>
  </r>
  <r>
    <s v="SALE1607"/>
    <d v="2024-06-27T00:00:00"/>
    <s v="CUST1469"/>
    <s v="PROD61"/>
    <s v="STORE16"/>
    <n v="2"/>
    <n v="780.57"/>
    <n v="0.26"/>
    <s v="Credit Card"/>
    <x v="0"/>
    <x v="39"/>
    <x v="0"/>
    <s v="Tennis Ball 3-Pack - Lopez Llc"/>
    <x v="0"/>
    <n v="103.45"/>
    <x v="1"/>
    <x v="1"/>
    <n v="1560.6200000000001"/>
  </r>
  <r>
    <s v="SALE1608"/>
    <d v="2024-04-08T00:00:00"/>
    <s v="CUST1383"/>
    <s v="PROD95"/>
    <s v="STORE19"/>
    <n v="1"/>
    <n v="511.35"/>
    <n v="0"/>
    <s v="Credit Card"/>
    <x v="1"/>
    <x v="42"/>
    <x v="2"/>
    <s v="Sports Stopwatch Basic - Wilson Group"/>
    <x v="0"/>
    <n v="60.65"/>
    <x v="3"/>
    <x v="2"/>
    <n v="511.35"/>
  </r>
  <r>
    <s v="SALE1609"/>
    <d v="2025-05-26T00:00:00"/>
    <s v="CUST1016"/>
    <s v="PROD97"/>
    <s v="STORE3"/>
    <n v="4"/>
    <n v="44.07"/>
    <n v="0.28999999999999998"/>
    <s v="COD"/>
    <x v="1"/>
    <x v="2"/>
    <x v="3"/>
    <s v="Cricket Bat - Khan Llc"/>
    <x v="0"/>
    <n v="245.98"/>
    <x v="0"/>
    <x v="0"/>
    <n v="175.12"/>
  </r>
  <r>
    <s v="SALE1610"/>
    <d v="2024-01-29T00:00:00"/>
    <s v="CUST1197"/>
    <s v="PROD69"/>
    <s v="STORE11"/>
    <n v="2"/>
    <n v="895.92"/>
    <n v="0.15"/>
    <s v="Credit Card"/>
    <x v="1"/>
    <x v="46"/>
    <x v="1"/>
    <s v="Men'S Sports Shorts - Fitzpatrick Ltd"/>
    <x v="4"/>
    <n v="218.22"/>
    <x v="2"/>
    <x v="2"/>
    <n v="1791.54"/>
  </r>
  <r>
    <s v="SALE1611"/>
    <d v="2024-11-23T00:00:00"/>
    <s v="CUST1305"/>
    <s v="PROD53"/>
    <s v="STORE2"/>
    <n v="4"/>
    <n v="456.32"/>
    <n v="0.22"/>
    <s v="COD"/>
    <x v="0"/>
    <x v="7"/>
    <x v="1"/>
    <s v="Men'S Track Pants - Hamilton, Woods And Walker"/>
    <x v="4"/>
    <n v="386.56"/>
    <x v="2"/>
    <x v="0"/>
    <n v="1824.3999999999999"/>
  </r>
  <r>
    <s v="SALE1612"/>
    <d v="2025-04-30T00:00:00"/>
    <s v="CUST1420"/>
    <s v="PROD34"/>
    <s v="STORE0"/>
    <n v="1"/>
    <n v="905.5"/>
    <n v="0.28999999999999998"/>
    <s v="COD"/>
    <x v="0"/>
    <x v="29"/>
    <x v="3"/>
    <s v="Gaming Mechanical Keyboard - Lucero Llc"/>
    <x v="1"/>
    <n v="419.28"/>
    <x v="3"/>
    <x v="1"/>
    <n v="905.21"/>
  </r>
  <r>
    <s v="SALE1613"/>
    <d v="2024-08-19T00:00:00"/>
    <s v="CUST1204"/>
    <s v="PROD16"/>
    <s v="STORE13"/>
    <n v="3"/>
    <n v="63.19"/>
    <n v="0.08"/>
    <s v="Credit Card"/>
    <x v="0"/>
    <x v="45"/>
    <x v="1"/>
    <s v="Beard Grooming Kit - Erickson-Green"/>
    <x v="2"/>
    <n v="337.42"/>
    <x v="3"/>
    <x v="1"/>
    <n v="189.32999999999998"/>
  </r>
  <r>
    <s v="SALE1614"/>
    <d v="2024-12-02T00:00:00"/>
    <s v="CUST1050"/>
    <s v="PROD70"/>
    <s v="STORE7"/>
    <n v="3"/>
    <n v="687.66"/>
    <n v="0.06"/>
    <s v="PayPal"/>
    <x v="1"/>
    <x v="49"/>
    <x v="0"/>
    <s v="Kitchen Storage Rack - Duran Group"/>
    <x v="3"/>
    <n v="138.05000000000001"/>
    <x v="2"/>
    <x v="2"/>
    <n v="2062.8000000000002"/>
  </r>
  <r>
    <s v="SALE1615"/>
    <d v="2025-03-26T00:00:00"/>
    <s v="CUST1219"/>
    <s v="PROD43"/>
    <s v="STORE9"/>
    <n v="4"/>
    <n v="639.05999999999995"/>
    <n v="0.12"/>
    <s v="PayPal"/>
    <x v="1"/>
    <x v="19"/>
    <x v="0"/>
    <s v="Usb External Hard Drive - Robinson Inc"/>
    <x v="1"/>
    <n v="253.33"/>
    <x v="2"/>
    <x v="1"/>
    <n v="2555.7599999999998"/>
  </r>
  <r>
    <s v="SALE1616"/>
    <d v="2024-06-13T00:00:00"/>
    <s v="CUST1067"/>
    <s v="PROD71"/>
    <s v="STORE7"/>
    <n v="1"/>
    <n v="475.15"/>
    <n v="0.04"/>
    <s v="COD"/>
    <x v="0"/>
    <x v="26"/>
    <x v="2"/>
    <s v="Hair Repair Oil Treatment - Hopkins Ltd"/>
    <x v="2"/>
    <n v="214.32"/>
    <x v="2"/>
    <x v="2"/>
    <n v="475.10999999999996"/>
  </r>
  <r>
    <s v="SALE1617"/>
    <d v="2024-08-30T00:00:00"/>
    <s v="CUST1190"/>
    <s v="PROD44"/>
    <s v="STORE6"/>
    <n v="1"/>
    <n v="62.38"/>
    <n v="0.08"/>
    <s v="COD"/>
    <x v="0"/>
    <x v="14"/>
    <x v="3"/>
    <s v="Adjustable Jump Rope - Cox Inc"/>
    <x v="0"/>
    <n v="167.12"/>
    <x v="3"/>
    <x v="2"/>
    <n v="62.300000000000004"/>
  </r>
  <r>
    <s v="SALE1618"/>
    <d v="2024-03-24T00:00:00"/>
    <s v="CUST1354"/>
    <s v="PROD15"/>
    <s v="STORE7"/>
    <n v="1"/>
    <n v="977.02"/>
    <n v="0.2"/>
    <s v="COD"/>
    <x v="0"/>
    <x v="40"/>
    <x v="2"/>
    <s v="4K Home Projector - Thomas Llc"/>
    <x v="1"/>
    <n v="465.34"/>
    <x v="2"/>
    <x v="2"/>
    <n v="976.81999999999994"/>
  </r>
  <r>
    <s v="SALE1619"/>
    <d v="2024-09-11T00:00:00"/>
    <s v="CUST1074"/>
    <s v="PROD83"/>
    <s v="STORE4"/>
    <n v="2"/>
    <n v="898.81"/>
    <n v="0.25"/>
    <s v="Credit Card"/>
    <x v="0"/>
    <x v="44"/>
    <x v="3"/>
    <s v="Hydrating Face Cleanser - Butler Group"/>
    <x v="2"/>
    <n v="289.35937499999994"/>
    <x v="2"/>
    <x v="2"/>
    <n v="1797.12"/>
  </r>
  <r>
    <s v="SALE1620"/>
    <d v="2025-04-22T00:00:00"/>
    <s v="CUST1351"/>
    <s v="PROD57"/>
    <s v="STORE3"/>
    <n v="2"/>
    <n v="422.13"/>
    <n v="0.28000000000000003"/>
    <s v="Credit Card"/>
    <x v="1"/>
    <x v="48"/>
    <x v="3"/>
    <s v="Foam Roller - Atkinson, Camacho And Oliver"/>
    <x v="0"/>
    <n v="30.62"/>
    <x v="0"/>
    <x v="0"/>
    <n v="843.7"/>
  </r>
  <r>
    <s v="SALE1621"/>
    <d v="2024-08-20T00:00:00"/>
    <s v="CUST1050"/>
    <s v="PROD34"/>
    <s v="STORE11"/>
    <n v="1"/>
    <n v="324.56"/>
    <n v="0.03"/>
    <s v="COD"/>
    <x v="1"/>
    <x v="49"/>
    <x v="0"/>
    <s v="Gaming Mechanical Keyboard - Lucero Llc"/>
    <x v="1"/>
    <n v="419.28"/>
    <x v="2"/>
    <x v="2"/>
    <n v="324.53000000000003"/>
  </r>
  <r>
    <s v="SALE1622"/>
    <d v="2024-08-27T00:00:00"/>
    <s v="CUST1468"/>
    <s v="PROD55"/>
    <s v="STORE16"/>
    <n v="4"/>
    <n v="570.38"/>
    <n v="0.26"/>
    <s v="PayPal"/>
    <x v="0"/>
    <x v="1"/>
    <x v="3"/>
    <s v="Ceramic Plant Pot - Hatfield, Baird And Torres"/>
    <x v="3"/>
    <n v="81.75"/>
    <x v="1"/>
    <x v="1"/>
    <n v="2280.48"/>
  </r>
  <r>
    <s v="SALE1623"/>
    <d v="2024-07-06T00:00:00"/>
    <s v="CUST1394"/>
    <s v="PROD34"/>
    <s v="STORE15"/>
    <n v="2"/>
    <n v="223.73"/>
    <n v="0.11"/>
    <s v="PayPal"/>
    <x v="1"/>
    <x v="40"/>
    <x v="3"/>
    <s v="Gaming Mechanical Keyboard - Lucero Llc"/>
    <x v="1"/>
    <n v="419.28"/>
    <x v="0"/>
    <x v="1"/>
    <n v="447.23999999999995"/>
  </r>
  <r>
    <s v="SALE1624"/>
    <d v="2025-07-30T00:00:00"/>
    <s v="CUST1351"/>
    <s v="PROD86"/>
    <s v="STORE16"/>
    <n v="4"/>
    <n v="164.93"/>
    <n v="0.11"/>
    <s v="Credit Card"/>
    <x v="1"/>
    <x v="48"/>
    <x v="3"/>
    <s v="Kitchen Cutting Board - Taylor, Dodson And Johnston"/>
    <x v="3"/>
    <n v="176.07"/>
    <x v="1"/>
    <x v="1"/>
    <n v="659.28"/>
  </r>
  <r>
    <s v="SALE1625"/>
    <d v="2024-10-04T00:00:00"/>
    <s v="CUST1249"/>
    <s v="PROD15"/>
    <s v="STORE7"/>
    <n v="3"/>
    <n v="326.66000000000003"/>
    <n v="0.28000000000000003"/>
    <s v="COD"/>
    <x v="1"/>
    <x v="14"/>
    <x v="0"/>
    <s v="4K Home Projector - Thomas Llc"/>
    <x v="1"/>
    <n v="465.34"/>
    <x v="2"/>
    <x v="2"/>
    <n v="979.1400000000001"/>
  </r>
  <r>
    <s v="SALE1626"/>
    <d v="2024-03-31T00:00:00"/>
    <s v="CUST1182"/>
    <s v="PROD1"/>
    <s v="STORE15"/>
    <n v="2"/>
    <n v="462.93"/>
    <n v="0.17"/>
    <s v="PayPal"/>
    <x v="1"/>
    <x v="15"/>
    <x v="2"/>
    <s v="Men'S Graphic T-Shirt - Terry-Moore"/>
    <x v="4"/>
    <n v="342.56"/>
    <x v="0"/>
    <x v="1"/>
    <n v="925.52"/>
  </r>
  <r>
    <s v="SALE1627"/>
    <d v="2025-08-16T00:00:00"/>
    <s v="CUST1147"/>
    <s v="PROD0"/>
    <s v="STORE16"/>
    <n v="3"/>
    <n v="60.26"/>
    <n v="0.04"/>
    <s v="Credit Card"/>
    <x v="1"/>
    <x v="41"/>
    <x v="1"/>
    <s v="Brother Laser Printer - Hunt Inc"/>
    <x v="1"/>
    <n v="112.42"/>
    <x v="1"/>
    <x v="1"/>
    <n v="180.66"/>
  </r>
  <r>
    <s v="SALE1628"/>
    <d v="2025-06-21T00:00:00"/>
    <s v="CUST1071"/>
    <s v="PROD34"/>
    <s v="STORE9"/>
    <n v="3"/>
    <n v="109.5"/>
    <n v="0.06"/>
    <s v="COD"/>
    <x v="1"/>
    <x v="23"/>
    <x v="0"/>
    <s v="Gaming Mechanical Keyboard - Lucero Llc"/>
    <x v="1"/>
    <n v="419.28"/>
    <x v="2"/>
    <x v="1"/>
    <n v="328.32"/>
  </r>
  <r>
    <s v="SALE1629"/>
    <d v="2025-03-05T00:00:00"/>
    <s v="CUST1382"/>
    <s v="PROD70"/>
    <s v="STORE16"/>
    <n v="1"/>
    <n v="505.83"/>
    <n v="0.14000000000000001"/>
    <s v="COD"/>
    <x v="1"/>
    <x v="24"/>
    <x v="0"/>
    <s v="Kitchen Storage Rack - Duran Group"/>
    <x v="3"/>
    <n v="138.05000000000001"/>
    <x v="1"/>
    <x v="1"/>
    <n v="505.69"/>
  </r>
  <r>
    <s v="SALE1630"/>
    <d v="2024-08-07T00:00:00"/>
    <s v="CUST1163"/>
    <s v="PROD98"/>
    <s v="STORE10"/>
    <n v="2"/>
    <n v="443.15"/>
    <n v="0.27"/>
    <s v="PayPal"/>
    <x v="0"/>
    <x v="49"/>
    <x v="3"/>
    <s v="Portable Bluetooth Speaker - Flores-King"/>
    <x v="1"/>
    <n v="431.67"/>
    <x v="3"/>
    <x v="2"/>
    <n v="885.76"/>
  </r>
  <r>
    <s v="SALE1631"/>
    <d v="2025-03-23T00:00:00"/>
    <s v="CUST1497"/>
    <s v="PROD7"/>
    <s v="STORE7"/>
    <n v="2"/>
    <n v="784.26"/>
    <n v="0.23"/>
    <s v="PayPal"/>
    <x v="1"/>
    <x v="14"/>
    <x v="0"/>
    <s v="Led Table Lamp - Harrell Llc"/>
    <x v="3"/>
    <n v="218.86"/>
    <x v="2"/>
    <x v="2"/>
    <n v="1568.06"/>
  </r>
  <r>
    <s v="SALE1632"/>
    <d v="2024-08-29T00:00:00"/>
    <s v="CUST1455"/>
    <s v="PROD39"/>
    <s v="STORE11"/>
    <n v="3"/>
    <n v="590.30999999999995"/>
    <n v="0.17"/>
    <s v="PayPal"/>
    <x v="0"/>
    <x v="49"/>
    <x v="0"/>
    <s v="Portable Power Bank - Cummings And Sons"/>
    <x v="1"/>
    <n v="326.06"/>
    <x v="2"/>
    <x v="2"/>
    <n v="1770.42"/>
  </r>
  <r>
    <s v="SALE1633"/>
    <d v="2024-09-18T00:00:00"/>
    <s v="CUST1120"/>
    <s v="PROD69"/>
    <s v="STORE16"/>
    <n v="1"/>
    <n v="696.13"/>
    <n v="0.06"/>
    <s v="COD"/>
    <x v="1"/>
    <x v="2"/>
    <x v="1"/>
    <s v="Men'S Sports Shorts - Fitzpatrick Ltd"/>
    <x v="4"/>
    <n v="218.22"/>
    <x v="1"/>
    <x v="1"/>
    <n v="696.07"/>
  </r>
  <r>
    <s v="SALE1634"/>
    <d v="2024-02-19T00:00:00"/>
    <s v="CUST1104"/>
    <s v="PROD51"/>
    <s v="STORE6"/>
    <n v="4"/>
    <n v="194.39"/>
    <n v="0.25"/>
    <s v="Credit Card"/>
    <x v="0"/>
    <x v="36"/>
    <x v="2"/>
    <s v="Hdmi Cable – 2M - Bautista, Green And Hale"/>
    <x v="1"/>
    <n v="88.49"/>
    <x v="3"/>
    <x v="2"/>
    <n v="776.56"/>
  </r>
  <r>
    <s v="SALE1635"/>
    <d v="2024-05-18T00:00:00"/>
    <s v="CUST1330"/>
    <s v="PROD33"/>
    <s v="STORE1"/>
    <n v="1"/>
    <n v="339.7"/>
    <n v="0.1"/>
    <s v="Credit Card"/>
    <x v="0"/>
    <x v="49"/>
    <x v="1"/>
    <s v="Modern Wall Clock - Weiss-Watson"/>
    <x v="3"/>
    <n v="179.77"/>
    <x v="0"/>
    <x v="1"/>
    <n v="339.59999999999997"/>
  </r>
  <r>
    <s v="SALE1636"/>
    <d v="2025-09-12T00:00:00"/>
    <s v="CUST1048"/>
    <s v="PROD68"/>
    <s v="STORE13"/>
    <n v="4"/>
    <n v="463.16"/>
    <n v="0.27"/>
    <s v="PayPal"/>
    <x v="0"/>
    <x v="29"/>
    <x v="1"/>
    <s v="Wooden Nightstand - Wolfe, Ross And Hester"/>
    <x v="3"/>
    <n v="243.7"/>
    <x v="3"/>
    <x v="1"/>
    <n v="1851.5600000000002"/>
  </r>
  <r>
    <s v="SALE1637"/>
    <d v="2025-02-21T00:00:00"/>
    <s v="CUST1107"/>
    <s v="PROD5"/>
    <s v="STORE10"/>
    <n v="2"/>
    <n v="824.91"/>
    <n v="0.09"/>
    <s v="Credit Card"/>
    <x v="1"/>
    <x v="16"/>
    <x v="1"/>
    <s v="Men'S Leather Belt - Baldwin, Garza And Gonzalez"/>
    <x v="4"/>
    <n v="261"/>
    <x v="3"/>
    <x v="2"/>
    <n v="1649.6399999999999"/>
  </r>
  <r>
    <s v="SALE1638"/>
    <d v="2024-08-16T00:00:00"/>
    <s v="CUST1070"/>
    <s v="PROD5"/>
    <s v="STORE2"/>
    <n v="4"/>
    <n v="796.89"/>
    <n v="0.17"/>
    <s v="Credit Card"/>
    <x v="1"/>
    <x v="23"/>
    <x v="0"/>
    <s v="Men'S Leather Belt - Baldwin, Garza And Gonzalez"/>
    <x v="4"/>
    <n v="261"/>
    <x v="2"/>
    <x v="0"/>
    <n v="3186.88"/>
  </r>
  <r>
    <s v="SALE1639"/>
    <d v="2024-07-05T00:00:00"/>
    <s v="CUST1240"/>
    <s v="PROD26"/>
    <s v="STORE17"/>
    <n v="3"/>
    <n v="543.92999999999995"/>
    <n v="0.3"/>
    <s v="COD"/>
    <x v="1"/>
    <x v="20"/>
    <x v="1"/>
    <s v="Wireless Bluetooth Speaker - Reed-Schmidt"/>
    <x v="1"/>
    <n v="322.41000000000003"/>
    <x v="0"/>
    <x v="1"/>
    <n v="1630.8899999999999"/>
  </r>
  <r>
    <s v="SALE1640"/>
    <d v="2024-07-23T00:00:00"/>
    <s v="CUST1173"/>
    <s v="PROD14"/>
    <s v="STORE7"/>
    <n v="2"/>
    <n v="44.65"/>
    <n v="0.03"/>
    <s v="PayPal"/>
    <x v="1"/>
    <x v="9"/>
    <x v="1"/>
    <s v="Decorative Wall Mirror - Luna, Anderson And Bowman"/>
    <x v="3"/>
    <n v="48.01"/>
    <x v="2"/>
    <x v="2"/>
    <n v="89.24"/>
  </r>
  <r>
    <s v="SALE1641"/>
    <d v="2025-03-26T00:00:00"/>
    <s v="CUST1250"/>
    <s v="PROD56"/>
    <s v="STORE0"/>
    <n v="4"/>
    <n v="827.39"/>
    <n v="0.06"/>
    <s v="COD"/>
    <x v="0"/>
    <x v="37"/>
    <x v="1"/>
    <s v="Premium Blanket Throw - Hernandez, Kennedy And Porter"/>
    <x v="3"/>
    <n v="461.47"/>
    <x v="3"/>
    <x v="1"/>
    <n v="3309.32"/>
  </r>
  <r>
    <s v="SALE1642"/>
    <d v="2024-01-10T00:00:00"/>
    <s v="CUST1308"/>
    <s v="PROD14"/>
    <s v="STORE12"/>
    <n v="2"/>
    <n v="403.2"/>
    <n v="0.21"/>
    <s v="PayPal"/>
    <x v="1"/>
    <x v="9"/>
    <x v="0"/>
    <s v="Decorative Wall Mirror - Luna, Anderson And Bowman"/>
    <x v="3"/>
    <n v="48.01"/>
    <x v="0"/>
    <x v="2"/>
    <n v="805.98"/>
  </r>
  <r>
    <s v="SALE1643"/>
    <d v="2024-09-12T00:00:00"/>
    <s v="CUST1017"/>
    <s v="PROD86"/>
    <s v="STORE13"/>
    <n v="4"/>
    <n v="292.31"/>
    <n v="0.27"/>
    <s v="PayPal"/>
    <x v="1"/>
    <x v="36"/>
    <x v="1"/>
    <s v="Kitchen Cutting Board - Taylor, Dodson And Johnston"/>
    <x v="3"/>
    <n v="176.07"/>
    <x v="3"/>
    <x v="1"/>
    <n v="1168.1600000000001"/>
  </r>
  <r>
    <s v="SALE1644"/>
    <d v="2025-05-29T00:00:00"/>
    <s v="CUST1492"/>
    <s v="PROD2"/>
    <s v="STORE10"/>
    <n v="1"/>
    <n v="948.33"/>
    <n v="0.11"/>
    <s v="Credit Card"/>
    <x v="1"/>
    <x v="26"/>
    <x v="1"/>
    <s v="Women'S Casual Hoodie - Sims Inc"/>
    <x v="4"/>
    <n v="254.62086956521742"/>
    <x v="3"/>
    <x v="2"/>
    <n v="948.22"/>
  </r>
  <r>
    <s v="SALE1645"/>
    <d v="2024-01-03T00:00:00"/>
    <s v="CUST1343"/>
    <s v="PROD39"/>
    <s v="STORE5"/>
    <n v="1"/>
    <n v="702.27"/>
    <n v="0.17"/>
    <s v="COD"/>
    <x v="0"/>
    <x v="45"/>
    <x v="3"/>
    <s v="Portable Power Bank - Cummings And Sons"/>
    <x v="1"/>
    <n v="326.06"/>
    <x v="0"/>
    <x v="0"/>
    <n v="702.1"/>
  </r>
  <r>
    <s v="SALE1646"/>
    <d v="2025-08-06T00:00:00"/>
    <s v="CUST1041"/>
    <s v="PROD30"/>
    <s v="STORE3"/>
    <n v="2"/>
    <n v="379.28"/>
    <n v="0.26"/>
    <s v="Credit Card"/>
    <x v="0"/>
    <x v="41"/>
    <x v="1"/>
    <s v="Stainless Steel Cutlery Set - Stevens, Fernandez And Martin"/>
    <x v="3"/>
    <n v="19.52"/>
    <x v="0"/>
    <x v="0"/>
    <n v="758.04"/>
  </r>
  <r>
    <s v="SALE1647"/>
    <d v="2025-01-12T00:00:00"/>
    <s v="CUST1132"/>
    <s v="PROD47"/>
    <s v="STORE0"/>
    <n v="4"/>
    <n v="92.35"/>
    <n v="0.15"/>
    <s v="Credit Card"/>
    <x v="1"/>
    <x v="31"/>
    <x v="0"/>
    <s v="Makeup Brush Set - Cook Inc"/>
    <x v="2"/>
    <n v="255.04901960784306"/>
    <x v="3"/>
    <x v="1"/>
    <n v="368.79999999999995"/>
  </r>
  <r>
    <s v="SALE1648"/>
    <d v="2024-11-10T00:00:00"/>
    <s v="CUST1219"/>
    <s v="PROD39"/>
    <s v="STORE12"/>
    <n v="4"/>
    <n v="721.54"/>
    <n v="0.21"/>
    <s v="Credit Card"/>
    <x v="1"/>
    <x v="19"/>
    <x v="0"/>
    <s v="Portable Power Bank - Cummings And Sons"/>
    <x v="1"/>
    <n v="326.06"/>
    <x v="0"/>
    <x v="2"/>
    <n v="2885.3199999999997"/>
  </r>
  <r>
    <s v="SALE1649"/>
    <d v="2025-05-10T00:00:00"/>
    <s v="CUST1053"/>
    <s v="PROD38"/>
    <s v="STORE9"/>
    <n v="1"/>
    <n v="228.69"/>
    <n v="0.14000000000000001"/>
    <s v="Credit Card"/>
    <x v="1"/>
    <x v="20"/>
    <x v="0"/>
    <s v="Sports Water Hydration Pack - Sims-Smith"/>
    <x v="0"/>
    <n v="135.61000000000001"/>
    <x v="2"/>
    <x v="1"/>
    <n v="228.55"/>
  </r>
  <r>
    <s v="SALE1650"/>
    <d v="2025-09-29T00:00:00"/>
    <s v="CUST1355"/>
    <s v="PROD53"/>
    <s v="STORE10"/>
    <n v="1"/>
    <n v="899.09"/>
    <n v="0.2"/>
    <s v="PayPal"/>
    <x v="0"/>
    <x v="7"/>
    <x v="0"/>
    <s v="Men'S Track Pants - Hamilton, Woods And Walker"/>
    <x v="4"/>
    <n v="386.56"/>
    <x v="3"/>
    <x v="2"/>
    <n v="898.89"/>
  </r>
  <r>
    <s v="SALE1651"/>
    <d v="2024-03-28T00:00:00"/>
    <s v="CUST1384"/>
    <s v="PROD8"/>
    <s v="STORE8"/>
    <n v="4"/>
    <n v="195.75"/>
    <n v="0.17"/>
    <s v="Credit Card"/>
    <x v="1"/>
    <x v="9"/>
    <x v="3"/>
    <s v="Wireless Bluetooth Earbuds - Perez-Johnston"/>
    <x v="1"/>
    <n v="439.07"/>
    <x v="1"/>
    <x v="2"/>
    <n v="782.32"/>
  </r>
  <r>
    <s v="SALE1652"/>
    <d v="2024-08-28T00:00:00"/>
    <s v="CUST1426"/>
    <s v="PROD93"/>
    <s v="STORE15"/>
    <n v="3"/>
    <n v="199.13"/>
    <n v="0.24"/>
    <s v="Credit Card"/>
    <x v="0"/>
    <x v="29"/>
    <x v="1"/>
    <s v="Usb-C Laptop Charger - Martin Llc"/>
    <x v="1"/>
    <n v="377.52"/>
    <x v="0"/>
    <x v="1"/>
    <n v="596.66999999999996"/>
  </r>
  <r>
    <s v="SALE1653"/>
    <d v="2024-06-23T00:00:00"/>
    <s v="CUST1160"/>
    <s v="PROD22"/>
    <s v="STORE14"/>
    <n v="2"/>
    <n v="833.62"/>
    <n v="0.18"/>
    <s v="Credit Card"/>
    <x v="1"/>
    <x v="29"/>
    <x v="1"/>
    <s v="Carbon Fiber Tennis Racket - Flores, Pineda And Rodriguez"/>
    <x v="0"/>
    <n v="484.62"/>
    <x v="2"/>
    <x v="0"/>
    <n v="1666.88"/>
  </r>
  <r>
    <s v="SALE1654"/>
    <d v="2024-04-13T00:00:00"/>
    <s v="CUST1484"/>
    <s v="PROD75"/>
    <s v="STORE0"/>
    <n v="1"/>
    <n v="676.26"/>
    <n v="0.14000000000000001"/>
    <s v="Credit Card"/>
    <x v="0"/>
    <x v="43"/>
    <x v="3"/>
    <s v="Women'S Ankle Boots - Poole Plc"/>
    <x v="4"/>
    <n v="158.13999999999999"/>
    <x v="3"/>
    <x v="1"/>
    <n v="676.12"/>
  </r>
  <r>
    <s v="SALE1655"/>
    <d v="2025-02-20T00:00:00"/>
    <s v="CUST1032"/>
    <s v="PROD60"/>
    <s v="STORE9"/>
    <n v="2"/>
    <n v="666.49"/>
    <n v="0.06"/>
    <s v="Credit Card"/>
    <x v="1"/>
    <x v="28"/>
    <x v="0"/>
    <s v="Luxury Perfume Spray - Gibson, Green And Lopez"/>
    <x v="2"/>
    <n v="482.75"/>
    <x v="2"/>
    <x v="1"/>
    <n v="1332.8600000000001"/>
  </r>
  <r>
    <s v="SALE1656"/>
    <d v="2025-03-19T00:00:00"/>
    <s v="CUST1460"/>
    <s v="PROD15"/>
    <s v="STORE4"/>
    <n v="3"/>
    <n v="471.19"/>
    <n v="0.28000000000000003"/>
    <s v="COD"/>
    <x v="0"/>
    <x v="9"/>
    <x v="0"/>
    <s v="4K Home Projector - Thomas Llc"/>
    <x v="1"/>
    <n v="465.34"/>
    <x v="2"/>
    <x v="2"/>
    <n v="1412.73"/>
  </r>
  <r>
    <s v="SALE1657"/>
    <d v="2023-11-07T00:00:00"/>
    <s v="CUST1119"/>
    <s v="PROD8"/>
    <s v="STORE3"/>
    <n v="4"/>
    <n v="555.65"/>
    <n v="0.25"/>
    <s v="COD"/>
    <x v="0"/>
    <x v="3"/>
    <x v="3"/>
    <s v="Wireless Bluetooth Earbuds - Perez-Johnston"/>
    <x v="1"/>
    <n v="439.07"/>
    <x v="0"/>
    <x v="0"/>
    <n v="2221.6"/>
  </r>
  <r>
    <s v="SALE1658"/>
    <d v="2023-12-22T00:00:00"/>
    <s v="CUST1035"/>
    <s v="PROD95"/>
    <s v="STORE14"/>
    <n v="2"/>
    <n v="100.42"/>
    <n v="0.06"/>
    <s v="Credit Card"/>
    <x v="0"/>
    <x v="16"/>
    <x v="2"/>
    <s v="Sports Stopwatch Basic - Wilson Group"/>
    <x v="0"/>
    <n v="60.65"/>
    <x v="2"/>
    <x v="0"/>
    <n v="200.72"/>
  </r>
  <r>
    <s v="SALE1659"/>
    <d v="2024-02-15T00:00:00"/>
    <s v="CUST1050"/>
    <s v="PROD98"/>
    <s v="STORE18"/>
    <n v="3"/>
    <n v="981.69"/>
    <n v="0.05"/>
    <s v="COD"/>
    <x v="1"/>
    <x v="49"/>
    <x v="0"/>
    <s v="Portable Bluetooth Speaker - Flores-King"/>
    <x v="1"/>
    <n v="431.67"/>
    <x v="3"/>
    <x v="1"/>
    <n v="2944.92"/>
  </r>
  <r>
    <s v="SALE1660"/>
    <d v="2024-01-19T00:00:00"/>
    <s v="CUST1327"/>
    <s v="PROD10"/>
    <s v="STORE16"/>
    <n v="2"/>
    <n v="848.87"/>
    <n v="0.09"/>
    <s v="COD"/>
    <x v="1"/>
    <x v="14"/>
    <x v="3"/>
    <s v="Ceramic Kitchen Bowl Set - Hamilton Group"/>
    <x v="3"/>
    <n v="298.86"/>
    <x v="1"/>
    <x v="1"/>
    <n v="1697.56"/>
  </r>
  <r>
    <s v="SALE1661"/>
    <d v="2023-10-31T00:00:00"/>
    <s v="CUST1375"/>
    <s v="PROD96"/>
    <s v="STORE10"/>
    <n v="3"/>
    <n v="582.32000000000005"/>
    <n v="0"/>
    <s v="PayPal"/>
    <x v="0"/>
    <x v="46"/>
    <x v="1"/>
    <s v="Women'S Formal Blazer - Phillips And Sons"/>
    <x v="4"/>
    <n v="358.47"/>
    <x v="3"/>
    <x v="2"/>
    <n v="1746.96"/>
  </r>
  <r>
    <s v="SALE1662"/>
    <d v="2024-02-19T00:00:00"/>
    <s v="CUST1171"/>
    <s v="PROD49"/>
    <s v="STORE17"/>
    <n v="2"/>
    <n v="869.43"/>
    <n v="0.24"/>
    <s v="COD"/>
    <x v="1"/>
    <x v="30"/>
    <x v="1"/>
    <s v="Men'S Roll-On Perfume - Sullivan And Sons"/>
    <x v="2"/>
    <n v="43.29"/>
    <x v="0"/>
    <x v="1"/>
    <n v="1738.3799999999999"/>
  </r>
  <r>
    <s v="SALE1663"/>
    <d v="2024-05-28T00:00:00"/>
    <s v="CUST1021"/>
    <s v="PROD54"/>
    <s v="STORE4"/>
    <n v="1"/>
    <n v="62.26"/>
    <n v="0.03"/>
    <s v="COD"/>
    <x v="1"/>
    <x v="15"/>
    <x v="0"/>
    <s v="Sports Stopwatch Pro - Thompson-French"/>
    <x v="0"/>
    <n v="434.84"/>
    <x v="2"/>
    <x v="2"/>
    <n v="62.23"/>
  </r>
  <r>
    <s v="SALE1664"/>
    <d v="2025-05-21T00:00:00"/>
    <s v="CUST1152"/>
    <s v="PROD39"/>
    <s v="STORE14"/>
    <n v="3"/>
    <n v="343.97"/>
    <n v="0.04"/>
    <s v="COD"/>
    <x v="1"/>
    <x v="6"/>
    <x v="1"/>
    <s v="Portable Power Bank - Cummings And Sons"/>
    <x v="1"/>
    <n v="326.06"/>
    <x v="2"/>
    <x v="0"/>
    <n v="1031.79"/>
  </r>
  <r>
    <s v="SALE1665"/>
    <d v="2024-01-02T00:00:00"/>
    <s v="CUST1303"/>
    <s v="PROD24"/>
    <s v="STORE12"/>
    <n v="3"/>
    <n v="304.67"/>
    <n v="0.11"/>
    <s v="Credit Card"/>
    <x v="1"/>
    <x v="37"/>
    <x v="1"/>
    <s v="Foldable Camping Chair - Cook Ltd"/>
    <x v="0"/>
    <n v="166.06"/>
    <x v="0"/>
    <x v="2"/>
    <n v="913.68000000000006"/>
  </r>
  <r>
    <s v="SALE1666"/>
    <d v="2024-01-05T00:00:00"/>
    <s v="CUST1365"/>
    <s v="PROD27"/>
    <s v="STORE9"/>
    <n v="4"/>
    <n v="208.34"/>
    <n v="0.01"/>
    <s v="PayPal"/>
    <x v="1"/>
    <x v="41"/>
    <x v="1"/>
    <s v="Decorative Floor Vase - Khan, Jones And Paul"/>
    <x v="3"/>
    <n v="250.02157142857135"/>
    <x v="2"/>
    <x v="1"/>
    <n v="833.32"/>
  </r>
  <r>
    <s v="SALE1667"/>
    <d v="2025-07-22T00:00:00"/>
    <s v="CUST1312"/>
    <s v="PROD86"/>
    <s v="STORE1"/>
    <n v="1"/>
    <n v="119.04"/>
    <n v="0.13"/>
    <s v="COD"/>
    <x v="1"/>
    <x v="37"/>
    <x v="2"/>
    <s v="Kitchen Cutting Board - Taylor, Dodson And Johnston"/>
    <x v="3"/>
    <n v="176.07"/>
    <x v="0"/>
    <x v="1"/>
    <n v="118.91000000000001"/>
  </r>
  <r>
    <s v="SALE1668"/>
    <d v="2025-07-05T00:00:00"/>
    <s v="CUST1321"/>
    <s v="PROD44"/>
    <s v="STORE9"/>
    <n v="4"/>
    <n v="791.65"/>
    <n v="0.06"/>
    <s v="COD"/>
    <x v="1"/>
    <x v="3"/>
    <x v="3"/>
    <s v="Adjustable Jump Rope - Cox Inc"/>
    <x v="0"/>
    <n v="167.12"/>
    <x v="2"/>
    <x v="1"/>
    <n v="3166.36"/>
  </r>
  <r>
    <s v="SALE1669"/>
    <d v="2025-07-24T00:00:00"/>
    <s v="CUST1052"/>
    <s v="PROD14"/>
    <s v="STORE2"/>
    <n v="2"/>
    <n v="414.86"/>
    <n v="0.23"/>
    <s v="Credit Card"/>
    <x v="0"/>
    <x v="46"/>
    <x v="3"/>
    <s v="Decorative Wall Mirror - Luna, Anderson And Bowman"/>
    <x v="3"/>
    <n v="48.01"/>
    <x v="2"/>
    <x v="0"/>
    <n v="829.26"/>
  </r>
  <r>
    <s v="SALE1670"/>
    <d v="2024-04-03T00:00:00"/>
    <s v="CUST1478"/>
    <s v="PROD38"/>
    <s v="STORE12"/>
    <n v="2"/>
    <n v="960.81"/>
    <n v="0.28000000000000003"/>
    <s v="PayPal"/>
    <x v="0"/>
    <x v="34"/>
    <x v="0"/>
    <s v="Sports Water Hydration Pack - Sims-Smith"/>
    <x v="0"/>
    <n v="135.61000000000001"/>
    <x v="0"/>
    <x v="2"/>
    <n v="1921.06"/>
  </r>
  <r>
    <s v="SALE1671"/>
    <d v="2025-01-11T00:00:00"/>
    <s v="CUST1212"/>
    <s v="PROD50"/>
    <s v="STORE4"/>
    <n v="4"/>
    <n v="943.36"/>
    <n v="0.18"/>
    <s v="PayPal"/>
    <x v="1"/>
    <x v="7"/>
    <x v="1"/>
    <s v="Boxing Hand Wraps - Smith-King"/>
    <x v="0"/>
    <n v="190.29"/>
    <x v="2"/>
    <x v="2"/>
    <n v="3772.7200000000003"/>
  </r>
  <r>
    <s v="SALE1672"/>
    <d v="2024-09-26T00:00:00"/>
    <s v="CUST1213"/>
    <s v="PROD3"/>
    <s v="STORE13"/>
    <n v="1"/>
    <n v="830.42"/>
    <n v="0.26"/>
    <s v="COD"/>
    <x v="1"/>
    <x v="16"/>
    <x v="1"/>
    <s v="Men'S Running Jacket - Pineda Ltd"/>
    <x v="4"/>
    <n v="364.67"/>
    <x v="3"/>
    <x v="1"/>
    <n v="830.16"/>
  </r>
  <r>
    <s v="SALE1673"/>
    <d v="2024-12-11T00:00:00"/>
    <s v="CUST1353"/>
    <s v="PROD67"/>
    <s v="STORE17"/>
    <n v="1"/>
    <n v="762.55"/>
    <n v="0.19"/>
    <s v="Credit Card"/>
    <x v="1"/>
    <x v="47"/>
    <x v="1"/>
    <s v="Smart Led Light Strip - Flores-Davis"/>
    <x v="1"/>
    <n v="349.17"/>
    <x v="0"/>
    <x v="1"/>
    <n v="762.3599999999999"/>
  </r>
  <r>
    <s v="SALE1674"/>
    <d v="2025-07-01T00:00:00"/>
    <s v="CUST1343"/>
    <s v="PROD74"/>
    <s v="STORE18"/>
    <n v="2"/>
    <n v="464.43"/>
    <n v="0.24"/>
    <s v="COD"/>
    <x v="0"/>
    <x v="45"/>
    <x v="3"/>
    <s v="Bluetooth Car Audio System - Bruce-Bowen"/>
    <x v="1"/>
    <n v="403.71"/>
    <x v="3"/>
    <x v="1"/>
    <n v="928.38"/>
  </r>
  <r>
    <s v="SALE1675"/>
    <d v="2025-07-13T00:00:00"/>
    <s v="CUST1016"/>
    <s v="PROD64"/>
    <s v="STORE18"/>
    <n v="1"/>
    <n v="711.08"/>
    <n v="0.24"/>
    <s v="PayPal"/>
    <x v="1"/>
    <x v="2"/>
    <x v="3"/>
    <s v="Matte Lipstick Set - Zhang Inc"/>
    <x v="2"/>
    <n v="299.11"/>
    <x v="3"/>
    <x v="1"/>
    <n v="710.84"/>
  </r>
  <r>
    <s v="SALE1676"/>
    <d v="2024-12-30T00:00:00"/>
    <s v="CUST1251"/>
    <s v="PROD45"/>
    <s v="STORE14"/>
    <n v="2"/>
    <n v="984.96"/>
    <n v="0.16"/>
    <s v="PayPal"/>
    <x v="0"/>
    <x v="4"/>
    <x v="2"/>
    <s v="High-Grip Football - Bridges, Banks And Cummings"/>
    <x v="0"/>
    <n v="318.91000000000003"/>
    <x v="2"/>
    <x v="0"/>
    <n v="1969.6000000000001"/>
  </r>
  <r>
    <s v="SALE1677"/>
    <d v="2025-04-12T00:00:00"/>
    <s v="CUST1343"/>
    <s v="PROD38"/>
    <s v="STORE12"/>
    <n v="1"/>
    <n v="21.14"/>
    <n v="0.06"/>
    <s v="COD"/>
    <x v="0"/>
    <x v="45"/>
    <x v="3"/>
    <s v="Sports Water Hydration Pack - Sims-Smith"/>
    <x v="0"/>
    <n v="135.61000000000001"/>
    <x v="0"/>
    <x v="2"/>
    <n v="21.080000000000002"/>
  </r>
  <r>
    <s v="SALE1678"/>
    <d v="2025-01-22T00:00:00"/>
    <s v="CUST1106"/>
    <s v="PROD98"/>
    <s v="STORE8"/>
    <n v="1"/>
    <n v="343.03"/>
    <n v="0.16"/>
    <s v="Credit Card"/>
    <x v="1"/>
    <x v="5"/>
    <x v="3"/>
    <s v="Portable Bluetooth Speaker - Flores-King"/>
    <x v="1"/>
    <n v="431.67"/>
    <x v="1"/>
    <x v="2"/>
    <n v="342.86999999999995"/>
  </r>
  <r>
    <s v="SALE1679"/>
    <d v="2023-11-07T00:00:00"/>
    <s v="CUST1247"/>
    <s v="PROD20"/>
    <s v="STORE18"/>
    <n v="3"/>
    <n v="94.83"/>
    <n v="0.16"/>
    <s v="COD"/>
    <x v="0"/>
    <x v="21"/>
    <x v="1"/>
    <s v="Outdoor Sports Water Bottle - Soto-Ellis"/>
    <x v="0"/>
    <n v="131.51"/>
    <x v="3"/>
    <x v="1"/>
    <n v="284.01"/>
  </r>
  <r>
    <s v="SALE1680"/>
    <d v="2025-05-13T00:00:00"/>
    <s v="CUST1018"/>
    <s v="PROD69"/>
    <s v="STORE19"/>
    <n v="3"/>
    <n v="74.66"/>
    <n v="0.03"/>
    <s v="PayPal"/>
    <x v="0"/>
    <x v="32"/>
    <x v="4"/>
    <s v="Men'S Sports Shorts - Fitzpatrick Ltd"/>
    <x v="4"/>
    <n v="218.22"/>
    <x v="3"/>
    <x v="2"/>
    <n v="223.89"/>
  </r>
  <r>
    <s v="SALE1681"/>
    <d v="2023-12-08T00:00:00"/>
    <s v="CUST1136"/>
    <s v="PROD37"/>
    <s v="STORE15"/>
    <n v="3"/>
    <n v="281.95999999999998"/>
    <n v="0.01"/>
    <s v="COD"/>
    <x v="0"/>
    <x v="48"/>
    <x v="2"/>
    <s v="Men'S Casual Sneakers - Hogan-Lee"/>
    <x v="4"/>
    <n v="353.47"/>
    <x v="0"/>
    <x v="1"/>
    <n v="845.84999999999991"/>
  </r>
  <r>
    <s v="SALE1682"/>
    <d v="2025-01-07T00:00:00"/>
    <s v="CUST1236"/>
    <s v="PROD71"/>
    <s v="STORE18"/>
    <n v="4"/>
    <n v="622.27"/>
    <n v="0.02"/>
    <s v="PayPal"/>
    <x v="1"/>
    <x v="45"/>
    <x v="3"/>
    <s v="Hair Repair Oil Treatment - Hopkins Ltd"/>
    <x v="2"/>
    <n v="214.32"/>
    <x v="3"/>
    <x v="1"/>
    <n v="2489"/>
  </r>
  <r>
    <s v="SALE1683"/>
    <d v="2024-07-02T00:00:00"/>
    <s v="CUST1102"/>
    <s v="PROD37"/>
    <s v="STORE7"/>
    <n v="2"/>
    <n v="78.27"/>
    <n v="0.28999999999999998"/>
    <s v="COD"/>
    <x v="1"/>
    <x v="2"/>
    <x v="3"/>
    <s v="Men'S Casual Sneakers - Hogan-Lee"/>
    <x v="4"/>
    <n v="353.47"/>
    <x v="2"/>
    <x v="2"/>
    <n v="155.95999999999998"/>
  </r>
  <r>
    <s v="SALE1684"/>
    <d v="2025-07-07T00:00:00"/>
    <s v="CUST1012"/>
    <s v="PROD62"/>
    <s v="STORE13"/>
    <n v="4"/>
    <n v="676.58"/>
    <n v="0.23"/>
    <s v="COD"/>
    <x v="1"/>
    <x v="32"/>
    <x v="1"/>
    <s v="Laptop Cooling Pad - Murray, Gould And Ware"/>
    <x v="1"/>
    <n v="86.42"/>
    <x v="3"/>
    <x v="1"/>
    <n v="2705.4"/>
  </r>
  <r>
    <s v="SALE1685"/>
    <d v="2024-06-03T00:00:00"/>
    <s v="CUST1486"/>
    <s v="PROD31"/>
    <s v="STORE1"/>
    <n v="2"/>
    <n v="938.6"/>
    <n v="0.04"/>
    <s v="PayPal"/>
    <x v="1"/>
    <x v="1"/>
    <x v="3"/>
    <s v="Basketball - Nolan-Snow"/>
    <x v="0"/>
    <n v="204.39"/>
    <x v="0"/>
    <x v="1"/>
    <n v="1877.1200000000001"/>
  </r>
  <r>
    <s v="SALE1686"/>
    <d v="2025-04-14T00:00:00"/>
    <s v="CUST1355"/>
    <s v="PROD13"/>
    <s v="STORE14"/>
    <n v="2"/>
    <n v="859.47"/>
    <n v="0.01"/>
    <s v="Credit Card"/>
    <x v="0"/>
    <x v="7"/>
    <x v="0"/>
    <s v="Usb-C Fast Charger - Dawson-Perkins"/>
    <x v="1"/>
    <n v="242.23"/>
    <x v="2"/>
    <x v="0"/>
    <n v="1718.92"/>
  </r>
  <r>
    <s v="SALE1687"/>
    <d v="2024-03-12T00:00:00"/>
    <s v="CUST1057"/>
    <s v="PROD27"/>
    <s v="STORE14"/>
    <n v="3"/>
    <n v="672.98"/>
    <n v="0.23"/>
    <s v="PayPal"/>
    <x v="1"/>
    <x v="5"/>
    <x v="1"/>
    <s v="Decorative Floor Vase - Khan, Jones And Paul"/>
    <x v="3"/>
    <n v="250.02157142857135"/>
    <x v="2"/>
    <x v="0"/>
    <n v="2018.25"/>
  </r>
  <r>
    <s v="SALE1688"/>
    <d v="2024-05-08T00:00:00"/>
    <s v="CUST1206"/>
    <s v="PROD56"/>
    <s v="STORE18"/>
    <n v="1"/>
    <n v="75.8"/>
    <n v="0.28999999999999998"/>
    <s v="PayPal"/>
    <x v="1"/>
    <x v="3"/>
    <x v="2"/>
    <s v="Premium Blanket Throw - Hernandez, Kennedy And Porter"/>
    <x v="3"/>
    <n v="461.47"/>
    <x v="3"/>
    <x v="1"/>
    <n v="75.509999999999991"/>
  </r>
  <r>
    <s v="SALE1689"/>
    <d v="2024-09-01T00:00:00"/>
    <s v="CUST1034"/>
    <s v="PROD17"/>
    <s v="STORE15"/>
    <n v="4"/>
    <n v="742.15"/>
    <n v="0.1"/>
    <s v="COD"/>
    <x v="1"/>
    <x v="33"/>
    <x v="1"/>
    <s v="Soccer Training Cone Set - Ford, Murphy And Wilson"/>
    <x v="0"/>
    <n v="144.53"/>
    <x v="0"/>
    <x v="1"/>
    <n v="2968.2"/>
  </r>
  <r>
    <s v="SALE1690"/>
    <d v="2024-06-02T00:00:00"/>
    <s v="CUST1072"/>
    <s v="PROD30"/>
    <s v="STORE7"/>
    <n v="1"/>
    <n v="637.39"/>
    <n v="0.22"/>
    <s v="PayPal"/>
    <x v="1"/>
    <x v="9"/>
    <x v="0"/>
    <s v="Stainless Steel Cutlery Set - Stevens, Fernandez And Martin"/>
    <x v="3"/>
    <n v="19.52"/>
    <x v="2"/>
    <x v="2"/>
    <n v="637.16999999999996"/>
  </r>
  <r>
    <s v="SALE1691"/>
    <d v="2023-10-31T00:00:00"/>
    <s v="CUST1391"/>
    <s v="PROD6"/>
    <s v="STORE17"/>
    <n v="1"/>
    <n v="631"/>
    <n v="0.04"/>
    <s v="Credit Card"/>
    <x v="1"/>
    <x v="47"/>
    <x v="3"/>
    <s v="Herbal Face Moisturizer - Davidson Plc"/>
    <x v="2"/>
    <n v="312.8"/>
    <x v="0"/>
    <x v="1"/>
    <n v="630.96"/>
  </r>
  <r>
    <s v="SALE1692"/>
    <d v="2025-09-16T00:00:00"/>
    <s v="CUST1393"/>
    <s v="PROD80"/>
    <s v="STORE3"/>
    <n v="4"/>
    <n v="983.98"/>
    <n v="0.11"/>
    <s v="COD"/>
    <x v="0"/>
    <x v="39"/>
    <x v="3"/>
    <s v="Wall-Mounted Spice Rack - Allison Ltd"/>
    <x v="3"/>
    <n v="143.43"/>
    <x v="0"/>
    <x v="0"/>
    <n v="3935.48"/>
  </r>
  <r>
    <s v="SALE1693"/>
    <d v="2024-03-02T00:00:00"/>
    <s v="CUST1054"/>
    <s v="PROD55"/>
    <s v="STORE11"/>
    <n v="4"/>
    <n v="73.69"/>
    <n v="0.08"/>
    <s v="Credit Card"/>
    <x v="0"/>
    <x v="15"/>
    <x v="1"/>
    <s v="Ceramic Plant Pot - Hatfield, Baird And Torres"/>
    <x v="3"/>
    <n v="81.75"/>
    <x v="2"/>
    <x v="2"/>
    <n v="294.44"/>
  </r>
  <r>
    <s v="SALE1694"/>
    <d v="2024-07-17T00:00:00"/>
    <s v="CUST1433"/>
    <s v="PROD11"/>
    <s v="STORE7"/>
    <n v="3"/>
    <n v="110.99"/>
    <n v="0.21"/>
    <s v="Credit Card"/>
    <x v="1"/>
    <x v="14"/>
    <x v="2"/>
    <s v="Hd Smart Tv Stick - Gibson, Hobbs And Weaver"/>
    <x v="1"/>
    <n v="449.4"/>
    <x v="2"/>
    <x v="2"/>
    <n v="332.34000000000003"/>
  </r>
  <r>
    <s v="SALE1695"/>
    <d v="2025-07-12T00:00:00"/>
    <s v="CUST1083"/>
    <s v="PROD10"/>
    <s v="STORE7"/>
    <n v="1"/>
    <n v="66.86"/>
    <n v="0.22"/>
    <s v="COD"/>
    <x v="1"/>
    <x v="36"/>
    <x v="3"/>
    <s v="Ceramic Kitchen Bowl Set - Hamilton Group"/>
    <x v="3"/>
    <n v="298.86"/>
    <x v="2"/>
    <x v="2"/>
    <n v="66.64"/>
  </r>
  <r>
    <s v="SALE1696"/>
    <d v="2024-08-11T00:00:00"/>
    <s v="CUST1417"/>
    <s v="PROD67"/>
    <s v="STORE18"/>
    <n v="1"/>
    <n v="980.26"/>
    <n v="0.14000000000000001"/>
    <s v="PayPal"/>
    <x v="1"/>
    <x v="29"/>
    <x v="3"/>
    <s v="Smart Led Light Strip - Flores-Davis"/>
    <x v="1"/>
    <n v="349.17"/>
    <x v="3"/>
    <x v="1"/>
    <n v="980.12"/>
  </r>
  <r>
    <s v="SALE1697"/>
    <d v="2024-01-31T00:00:00"/>
    <s v="CUST1037"/>
    <s v="PROD18"/>
    <s v="STORE18"/>
    <n v="1"/>
    <n v="235.28"/>
    <n v="0.05"/>
    <s v="PayPal"/>
    <x v="1"/>
    <x v="34"/>
    <x v="4"/>
    <s v="Women'S Denim Jeans - Guerra-Hendrix"/>
    <x v="4"/>
    <n v="245.7783116883117"/>
    <x v="3"/>
    <x v="1"/>
    <n v="235.23"/>
  </r>
  <r>
    <s v="SALE1698"/>
    <d v="2024-09-07T00:00:00"/>
    <s v="CUST1416"/>
    <s v="PROD0"/>
    <s v="STORE15"/>
    <n v="3"/>
    <n v="407.39"/>
    <n v="0.08"/>
    <s v="PayPal"/>
    <x v="0"/>
    <x v="18"/>
    <x v="1"/>
    <s v="Brother Laser Printer - Hunt Inc"/>
    <x v="1"/>
    <n v="112.42"/>
    <x v="0"/>
    <x v="1"/>
    <n v="1221.93"/>
  </r>
  <r>
    <s v="SALE1699"/>
    <d v="2025-01-18T00:00:00"/>
    <s v="CUST1068"/>
    <s v="PROD27"/>
    <s v="STORE14"/>
    <n v="4"/>
    <n v="459.83"/>
    <n v="0.12"/>
    <s v="COD"/>
    <x v="1"/>
    <x v="30"/>
    <x v="2"/>
    <s v="Decorative Floor Vase - Khan, Jones And Paul"/>
    <x v="3"/>
    <n v="250.02157142857135"/>
    <x v="2"/>
    <x v="0"/>
    <n v="1838.84"/>
  </r>
  <r>
    <s v="SALE1700"/>
    <d v="2024-02-11T00:00:00"/>
    <s v="CUST1147"/>
    <s v="PROD93"/>
    <s v="STORE4"/>
    <n v="3"/>
    <n v="706.6"/>
    <n v="0.17"/>
    <s v="PayPal"/>
    <x v="1"/>
    <x v="41"/>
    <x v="1"/>
    <s v="Usb-C Laptop Charger - Martin Llc"/>
    <x v="1"/>
    <n v="377.52"/>
    <x v="2"/>
    <x v="2"/>
    <n v="2119.29"/>
  </r>
  <r>
    <s v="SALE1701"/>
    <d v="2025-06-11T00:00:00"/>
    <s v="CUST1462"/>
    <s v="PROD91"/>
    <s v="STORE19"/>
    <n v="3"/>
    <n v="811.16"/>
    <n v="0.1"/>
    <s v="COD"/>
    <x v="1"/>
    <x v="35"/>
    <x v="2"/>
    <s v="Women'S High Heels - Smith-Charles"/>
    <x v="4"/>
    <n v="438.25"/>
    <x v="3"/>
    <x v="2"/>
    <n v="2433.1799999999998"/>
  </r>
  <r>
    <s v="SALE1702"/>
    <d v="2023-12-08T00:00:00"/>
    <s v="CUST1217"/>
    <s v="PROD37"/>
    <s v="STORE7"/>
    <n v="2"/>
    <n v="985.79"/>
    <n v="0.04"/>
    <s v="PayPal"/>
    <x v="0"/>
    <x v="6"/>
    <x v="2"/>
    <s v="Men'S Casual Sneakers - Hogan-Lee"/>
    <x v="4"/>
    <n v="353.47"/>
    <x v="2"/>
    <x v="2"/>
    <n v="1971.5"/>
  </r>
  <r>
    <s v="SALE1703"/>
    <d v="2024-08-17T00:00:00"/>
    <s v="CUST1187"/>
    <s v="PROD33"/>
    <s v="STORE14"/>
    <n v="1"/>
    <n v="255.02"/>
    <n v="0.3"/>
    <s v="Credit Card"/>
    <x v="1"/>
    <x v="4"/>
    <x v="1"/>
    <s v="Modern Wall Clock - Weiss-Watson"/>
    <x v="3"/>
    <n v="179.77"/>
    <x v="2"/>
    <x v="0"/>
    <n v="254.72"/>
  </r>
  <r>
    <s v="SALE1704"/>
    <d v="2025-02-05T00:00:00"/>
    <s v="CUST1095"/>
    <s v="PROD19"/>
    <s v="STORE8"/>
    <n v="1"/>
    <n v="153.57"/>
    <n v="0.01"/>
    <s v="PayPal"/>
    <x v="1"/>
    <x v="14"/>
    <x v="1"/>
    <s v="Knee Support Brace - May-Reese"/>
    <x v="0"/>
    <n v="21.34"/>
    <x v="1"/>
    <x v="2"/>
    <n v="153.56"/>
  </r>
  <r>
    <s v="SALE1705"/>
    <d v="2025-03-18T00:00:00"/>
    <s v="CUST1253"/>
    <s v="PROD43"/>
    <s v="STORE18"/>
    <n v="3"/>
    <n v="962.98"/>
    <n v="0.21"/>
    <s v="Credit Card"/>
    <x v="0"/>
    <x v="18"/>
    <x v="3"/>
    <s v="Usb External Hard Drive - Robinson Inc"/>
    <x v="1"/>
    <n v="253.33"/>
    <x v="3"/>
    <x v="1"/>
    <n v="2888.31"/>
  </r>
  <r>
    <s v="SALE1706"/>
    <d v="2024-03-26T00:00:00"/>
    <s v="CUST1057"/>
    <s v="PROD44"/>
    <s v="STORE8"/>
    <n v="3"/>
    <n v="884.46"/>
    <n v="0.25"/>
    <s v="Credit Card"/>
    <x v="1"/>
    <x v="5"/>
    <x v="1"/>
    <s v="Adjustable Jump Rope - Cox Inc"/>
    <x v="0"/>
    <n v="167.12"/>
    <x v="1"/>
    <x v="2"/>
    <n v="2652.63"/>
  </r>
  <r>
    <s v="SALE1707"/>
    <d v="2025-05-01T00:00:00"/>
    <s v="CUST1437"/>
    <s v="PROD67"/>
    <s v="STORE10"/>
    <n v="4"/>
    <n v="359.71"/>
    <n v="0.05"/>
    <s v="PayPal"/>
    <x v="1"/>
    <x v="21"/>
    <x v="1"/>
    <s v="Smart Led Light Strip - Flores-Davis"/>
    <x v="1"/>
    <n v="349.17"/>
    <x v="3"/>
    <x v="2"/>
    <n v="1438.6399999999999"/>
  </r>
  <r>
    <s v="SALE1708"/>
    <d v="2025-02-27T00:00:00"/>
    <s v="CUST1051"/>
    <s v="PROD50"/>
    <s v="STORE4"/>
    <n v="3"/>
    <n v="766.47"/>
    <n v="0.18"/>
    <s v="Credit Card"/>
    <x v="1"/>
    <x v="35"/>
    <x v="0"/>
    <s v="Boxing Hand Wraps - Smith-King"/>
    <x v="0"/>
    <n v="190.29"/>
    <x v="2"/>
    <x v="2"/>
    <n v="2298.8700000000003"/>
  </r>
  <r>
    <s v="SALE1709"/>
    <d v="2024-07-19T00:00:00"/>
    <s v="CUST1223"/>
    <s v="PROD56"/>
    <s v="STORE18"/>
    <n v="1"/>
    <n v="772.07"/>
    <n v="0.26"/>
    <s v="PayPal"/>
    <x v="0"/>
    <x v="9"/>
    <x v="1"/>
    <s v="Premium Blanket Throw - Hernandez, Kennedy And Porter"/>
    <x v="3"/>
    <n v="461.47"/>
    <x v="3"/>
    <x v="1"/>
    <n v="771.81000000000006"/>
  </r>
  <r>
    <s v="SALE1710"/>
    <d v="2024-01-01T00:00:00"/>
    <s v="CUST1277"/>
    <s v="PROD19"/>
    <s v="STORE5"/>
    <n v="3"/>
    <n v="108.31"/>
    <n v="0.26"/>
    <s v="COD"/>
    <x v="1"/>
    <x v="44"/>
    <x v="1"/>
    <s v="Knee Support Brace - May-Reese"/>
    <x v="0"/>
    <n v="21.34"/>
    <x v="0"/>
    <x v="0"/>
    <n v="324.14999999999998"/>
  </r>
  <r>
    <s v="SALE1711"/>
    <d v="2024-01-25T00:00:00"/>
    <s v="CUST1218"/>
    <s v="PROD79"/>
    <s v="STORE6"/>
    <n v="1"/>
    <n v="502.53"/>
    <n v="0"/>
    <s v="PayPal"/>
    <x v="0"/>
    <x v="24"/>
    <x v="1"/>
    <s v="Decorative Lamp Shade - Ramirez-Hanson"/>
    <x v="3"/>
    <n v="228.53"/>
    <x v="3"/>
    <x v="2"/>
    <n v="502.53"/>
  </r>
  <r>
    <s v="SALE1712"/>
    <d v="2024-09-13T00:00:00"/>
    <s v="CUST1076"/>
    <s v="PROD1"/>
    <s v="STORE16"/>
    <n v="2"/>
    <n v="508.52"/>
    <n v="0.11"/>
    <s v="COD"/>
    <x v="0"/>
    <x v="15"/>
    <x v="0"/>
    <s v="Men'S Graphic T-Shirt - Terry-Moore"/>
    <x v="4"/>
    <n v="342.56"/>
    <x v="1"/>
    <x v="1"/>
    <n v="1016.8199999999999"/>
  </r>
  <r>
    <s v="SALE1713"/>
    <d v="2024-10-07T00:00:00"/>
    <s v="CUST1468"/>
    <s v="PROD74"/>
    <s v="STORE3"/>
    <n v="1"/>
    <n v="492"/>
    <n v="0.26"/>
    <s v="PayPal"/>
    <x v="0"/>
    <x v="1"/>
    <x v="3"/>
    <s v="Bluetooth Car Audio System - Bruce-Bowen"/>
    <x v="1"/>
    <n v="403.71"/>
    <x v="0"/>
    <x v="0"/>
    <n v="491.74"/>
  </r>
  <r>
    <s v="SALE1714"/>
    <d v="2024-02-25T00:00:00"/>
    <s v="CUST1485"/>
    <s v="PROD37"/>
    <s v="STORE14"/>
    <n v="4"/>
    <n v="746.36"/>
    <n v="0.02"/>
    <s v="Credit Card"/>
    <x v="1"/>
    <x v="45"/>
    <x v="3"/>
    <s v="Men'S Casual Sneakers - Hogan-Lee"/>
    <x v="4"/>
    <n v="353.47"/>
    <x v="2"/>
    <x v="0"/>
    <n v="2985.36"/>
  </r>
  <r>
    <s v="SALE1715"/>
    <d v="2025-06-15T00:00:00"/>
    <s v="CUST1433"/>
    <s v="PROD12"/>
    <s v="STORE1"/>
    <n v="1"/>
    <n v="120.83"/>
    <n v="0.08"/>
    <s v="Credit Card"/>
    <x v="1"/>
    <x v="14"/>
    <x v="2"/>
    <s v="Hair Strengthening Shampoo - Rice Llc"/>
    <x v="2"/>
    <n v="115.82"/>
    <x v="0"/>
    <x v="1"/>
    <n v="120.75"/>
  </r>
  <r>
    <s v="SALE1716"/>
    <d v="2024-04-12T00:00:00"/>
    <s v="CUST1399"/>
    <s v="PROD77"/>
    <s v="STORE18"/>
    <n v="2"/>
    <n v="68.31"/>
    <n v="0.28999999999999998"/>
    <s v="COD"/>
    <x v="0"/>
    <x v="17"/>
    <x v="3"/>
    <s v="Wifi Mesh Router - White, Reeves And Woods"/>
    <x v="1"/>
    <n v="480.9"/>
    <x v="3"/>
    <x v="1"/>
    <n v="136.04"/>
  </r>
  <r>
    <s v="SALE1717"/>
    <d v="2023-12-05T00:00:00"/>
    <s v="CUST1062"/>
    <s v="PROD22"/>
    <s v="STORE18"/>
    <n v="2"/>
    <n v="761.71"/>
    <n v="0.02"/>
    <s v="PayPal"/>
    <x v="0"/>
    <x v="23"/>
    <x v="3"/>
    <s v="Carbon Fiber Tennis Racket - Flores, Pineda And Rodriguez"/>
    <x v="0"/>
    <n v="484.62"/>
    <x v="3"/>
    <x v="1"/>
    <n v="1523.38"/>
  </r>
  <r>
    <s v="SALE1718"/>
    <d v="2023-12-01T00:00:00"/>
    <s v="CUST1066"/>
    <s v="PROD78"/>
    <s v="STORE3"/>
    <n v="4"/>
    <n v="346.37"/>
    <n v="0.18"/>
    <s v="COD"/>
    <x v="1"/>
    <x v="21"/>
    <x v="2"/>
    <s v="Essential Oil Diffuser - Hernandez Inc"/>
    <x v="3"/>
    <n v="325.26"/>
    <x v="0"/>
    <x v="0"/>
    <n v="1384.76"/>
  </r>
  <r>
    <s v="SALE1719"/>
    <d v="2025-02-14T00:00:00"/>
    <s v="CUST1007"/>
    <s v="PROD55"/>
    <s v="STORE12"/>
    <n v="1"/>
    <n v="846.3"/>
    <n v="0.14000000000000001"/>
    <s v="PayPal"/>
    <x v="1"/>
    <x v="35"/>
    <x v="3"/>
    <s v="Ceramic Plant Pot - Hatfield, Baird And Torres"/>
    <x v="3"/>
    <n v="81.75"/>
    <x v="0"/>
    <x v="2"/>
    <n v="846.16"/>
  </r>
  <r>
    <s v="SALE1720"/>
    <d v="2024-11-28T00:00:00"/>
    <s v="CUST1432"/>
    <s v="PROD0"/>
    <s v="STORE19"/>
    <n v="1"/>
    <n v="458.97"/>
    <n v="0.1"/>
    <s v="PayPal"/>
    <x v="0"/>
    <x v="19"/>
    <x v="3"/>
    <s v="Brother Laser Printer - Hunt Inc"/>
    <x v="1"/>
    <n v="112.42"/>
    <x v="3"/>
    <x v="2"/>
    <n v="458.87"/>
  </r>
  <r>
    <s v="SALE1721"/>
    <d v="2025-03-20T00:00:00"/>
    <s v="CUST1289"/>
    <s v="PROD43"/>
    <s v="STORE7"/>
    <n v="2"/>
    <n v="536.61"/>
    <n v="0.14000000000000001"/>
    <s v="Credit Card"/>
    <x v="0"/>
    <x v="31"/>
    <x v="3"/>
    <s v="Usb External Hard Drive - Robinson Inc"/>
    <x v="1"/>
    <n v="253.33"/>
    <x v="2"/>
    <x v="2"/>
    <n v="1072.94"/>
  </r>
  <r>
    <s v="SALE1722"/>
    <d v="2025-02-21T00:00:00"/>
    <s v="CUST1420"/>
    <s v="PROD58"/>
    <s v="STORE0"/>
    <n v="3"/>
    <n v="130.41"/>
    <n v="0.14000000000000001"/>
    <s v="PayPal"/>
    <x v="0"/>
    <x v="29"/>
    <x v="3"/>
    <s v="Womens Cotton Scarf - Shepherd-Gould"/>
    <x v="4"/>
    <n v="113.83"/>
    <x v="3"/>
    <x v="1"/>
    <n v="390.81000000000006"/>
  </r>
  <r>
    <s v="SALE1723"/>
    <d v="2025-03-22T00:00:00"/>
    <s v="CUST1496"/>
    <s v="PROD89"/>
    <s v="STORE12"/>
    <n v="4"/>
    <n v="706.67"/>
    <n v="0.01"/>
    <s v="Credit Card"/>
    <x v="0"/>
    <x v="31"/>
    <x v="3"/>
    <s v="Face Foundation Kit - Taylor-Elliott"/>
    <x v="2"/>
    <n v="183.04"/>
    <x v="0"/>
    <x v="2"/>
    <n v="2826.64"/>
  </r>
  <r>
    <s v="SALE1724"/>
    <d v="2025-01-28T00:00:00"/>
    <s v="CUST1392"/>
    <s v="PROD27"/>
    <s v="STORE3"/>
    <n v="3"/>
    <n v="523.45000000000005"/>
    <n v="0.17"/>
    <s v="Credit Card"/>
    <x v="0"/>
    <x v="6"/>
    <x v="0"/>
    <s v="Decorative Floor Vase - Khan, Jones And Paul"/>
    <x v="3"/>
    <n v="250.02157142857135"/>
    <x v="0"/>
    <x v="0"/>
    <n v="1569.8400000000001"/>
  </r>
  <r>
    <s v="SALE1725"/>
    <d v="2025-02-13T00:00:00"/>
    <s v="CUST1009"/>
    <s v="PROD91"/>
    <s v="STORE18"/>
    <n v="3"/>
    <n v="482.2"/>
    <n v="0.23"/>
    <s v="COD"/>
    <x v="0"/>
    <x v="2"/>
    <x v="1"/>
    <s v="Women'S High Heels - Smith-Charles"/>
    <x v="4"/>
    <n v="438.25"/>
    <x v="3"/>
    <x v="1"/>
    <n v="1445.9099999999999"/>
  </r>
  <r>
    <s v="SALE1726"/>
    <d v="2025-03-29T00:00:00"/>
    <s v="CUST1124"/>
    <s v="PROD63"/>
    <s v="STORE5"/>
    <n v="4"/>
    <n v="688.86"/>
    <n v="0.02"/>
    <s v="COD"/>
    <x v="0"/>
    <x v="49"/>
    <x v="3"/>
    <s v="Organic Sunscreen Lotion - Anderson-Riley"/>
    <x v="2"/>
    <n v="266.86"/>
    <x v="0"/>
    <x v="0"/>
    <n v="2755.36"/>
  </r>
  <r>
    <s v="SALE1727"/>
    <d v="2023-10-15T00:00:00"/>
    <s v="CUST1023"/>
    <s v="PROD12"/>
    <s v="STORE0"/>
    <n v="1"/>
    <n v="145.47999999999999"/>
    <n v="0.1"/>
    <s v="COD"/>
    <x v="1"/>
    <x v="47"/>
    <x v="2"/>
    <s v="Hair Strengthening Shampoo - Rice Llc"/>
    <x v="2"/>
    <n v="115.82"/>
    <x v="3"/>
    <x v="1"/>
    <n v="145.38"/>
  </r>
  <r>
    <s v="SALE1728"/>
    <d v="2024-09-12T00:00:00"/>
    <s v="CUST1052"/>
    <s v="PROD31"/>
    <s v="STORE11"/>
    <n v="4"/>
    <n v="862.25"/>
    <n v="0.28000000000000003"/>
    <s v="PayPal"/>
    <x v="0"/>
    <x v="46"/>
    <x v="3"/>
    <s v="Basketball - Nolan-Snow"/>
    <x v="0"/>
    <n v="204.39"/>
    <x v="2"/>
    <x v="2"/>
    <n v="3447.88"/>
  </r>
  <r>
    <s v="SALE1729"/>
    <d v="2024-01-05T00:00:00"/>
    <s v="CUST1292"/>
    <s v="PROD1"/>
    <s v="STORE14"/>
    <n v="4"/>
    <n v="146.12"/>
    <n v="0.12"/>
    <s v="COD"/>
    <x v="0"/>
    <x v="46"/>
    <x v="2"/>
    <s v="Men'S Graphic T-Shirt - Terry-Moore"/>
    <x v="4"/>
    <n v="342.56"/>
    <x v="2"/>
    <x v="0"/>
    <n v="584"/>
  </r>
  <r>
    <s v="SALE1730"/>
    <d v="2024-09-14T00:00:00"/>
    <s v="CUST1478"/>
    <s v="PROD31"/>
    <s v="STORE18"/>
    <n v="2"/>
    <n v="695.02"/>
    <n v="0.3"/>
    <s v="COD"/>
    <x v="0"/>
    <x v="34"/>
    <x v="0"/>
    <s v="Basketball - Nolan-Snow"/>
    <x v="0"/>
    <n v="204.39"/>
    <x v="3"/>
    <x v="1"/>
    <n v="1389.44"/>
  </r>
  <r>
    <s v="SALE1731"/>
    <d v="2023-11-01T00:00:00"/>
    <s v="CUST1219"/>
    <s v="PROD94"/>
    <s v="STORE10"/>
    <n v="2"/>
    <n v="886.67"/>
    <n v="0.24"/>
    <s v="PayPal"/>
    <x v="1"/>
    <x v="19"/>
    <x v="0"/>
    <s v="Vitamin E Body Lotion - Hoffman-Williams"/>
    <x v="2"/>
    <n v="358.47"/>
    <x v="3"/>
    <x v="2"/>
    <n v="1772.86"/>
  </r>
  <r>
    <s v="SALE1732"/>
    <d v="2024-12-02T00:00:00"/>
    <s v="CUST1054"/>
    <s v="PROD66"/>
    <s v="STORE18"/>
    <n v="2"/>
    <n v="864.09"/>
    <n v="0.06"/>
    <s v="COD"/>
    <x v="0"/>
    <x v="15"/>
    <x v="1"/>
    <s v="Women'S Hair Dryer Brush - Torres, Spencer And Potter"/>
    <x v="2"/>
    <n v="340.39"/>
    <x v="3"/>
    <x v="1"/>
    <n v="1728.0600000000002"/>
  </r>
  <r>
    <s v="SALE1733"/>
    <d v="2025-07-24T00:00:00"/>
    <s v="CUST1003"/>
    <s v="PROD12"/>
    <s v="STORE9"/>
    <n v="1"/>
    <n v="437.65"/>
    <n v="0.02"/>
    <s v="PayPal"/>
    <x v="1"/>
    <x v="31"/>
    <x v="3"/>
    <s v="Hair Strengthening Shampoo - Rice Llc"/>
    <x v="2"/>
    <n v="115.82"/>
    <x v="2"/>
    <x v="1"/>
    <n v="437.63"/>
  </r>
  <r>
    <s v="SALE1734"/>
    <d v="2025-07-05T00:00:00"/>
    <s v="CUST1202"/>
    <s v="PROD36"/>
    <s v="STORE13"/>
    <n v="2"/>
    <n v="208.09"/>
    <n v="0.27"/>
    <s v="Credit Card"/>
    <x v="1"/>
    <x v="32"/>
    <x v="1"/>
    <s v="Women'S Summer Dress - Smith-Mills"/>
    <x v="4"/>
    <n v="223.43"/>
    <x v="3"/>
    <x v="1"/>
    <n v="415.64"/>
  </r>
  <r>
    <s v="SALE1735"/>
    <d v="2024-07-09T00:00:00"/>
    <s v="CUST1054"/>
    <s v="PROD93"/>
    <s v="STORE17"/>
    <n v="4"/>
    <n v="825.78"/>
    <n v="0.02"/>
    <s v="Credit Card"/>
    <x v="0"/>
    <x v="15"/>
    <x v="1"/>
    <s v="Usb-C Laptop Charger - Martin Llc"/>
    <x v="1"/>
    <n v="377.52"/>
    <x v="0"/>
    <x v="1"/>
    <n v="3303.04"/>
  </r>
  <r>
    <s v="SALE1736"/>
    <d v="2024-01-22T00:00:00"/>
    <s v="CUST1116"/>
    <s v="PROD25"/>
    <s v="STORE17"/>
    <n v="3"/>
    <n v="849.77"/>
    <n v="0.12"/>
    <s v="PayPal"/>
    <x v="1"/>
    <x v="5"/>
    <x v="1"/>
    <s v="Women'S Scarf Set - Brown And Sons"/>
    <x v="4"/>
    <n v="174.02"/>
    <x v="0"/>
    <x v="1"/>
    <n v="2548.9499999999998"/>
  </r>
  <r>
    <s v="SALE1737"/>
    <d v="2024-01-23T00:00:00"/>
    <s v="CUST1344"/>
    <s v="PROD60"/>
    <s v="STORE4"/>
    <n v="1"/>
    <n v="88.78"/>
    <n v="0.18"/>
    <s v="Credit Card"/>
    <x v="0"/>
    <x v="23"/>
    <x v="0"/>
    <s v="Luxury Perfume Spray - Gibson, Green And Lopez"/>
    <x v="2"/>
    <n v="482.75"/>
    <x v="2"/>
    <x v="2"/>
    <n v="88.6"/>
  </r>
  <r>
    <s v="SALE1738"/>
    <d v="2024-08-22T00:00:00"/>
    <s v="CUST1191"/>
    <s v="PROD78"/>
    <s v="STORE4"/>
    <n v="4"/>
    <n v="507.22"/>
    <n v="0.14000000000000001"/>
    <s v="PayPal"/>
    <x v="1"/>
    <x v="31"/>
    <x v="3"/>
    <s v="Essential Oil Diffuser - Hernandez Inc"/>
    <x v="3"/>
    <n v="325.26"/>
    <x v="2"/>
    <x v="2"/>
    <n v="2028.3200000000002"/>
  </r>
  <r>
    <s v="SALE1739"/>
    <d v="2025-08-18T00:00:00"/>
    <s v="CUST1316"/>
    <s v="PROD96"/>
    <s v="STORE0"/>
    <n v="3"/>
    <n v="330.98"/>
    <n v="0.11"/>
    <s v="Credit Card"/>
    <x v="0"/>
    <x v="33"/>
    <x v="0"/>
    <s v="Women'S Formal Blazer - Phillips And Sons"/>
    <x v="4"/>
    <n v="358.47"/>
    <x v="3"/>
    <x v="1"/>
    <n v="992.61"/>
  </r>
  <r>
    <s v="SALE1740"/>
    <d v="2024-09-27T00:00:00"/>
    <s v="CUST1051"/>
    <s v="PROD37"/>
    <s v="STORE19"/>
    <n v="4"/>
    <n v="442.87"/>
    <n v="0.08"/>
    <s v="Credit Card"/>
    <x v="1"/>
    <x v="35"/>
    <x v="0"/>
    <s v="Men'S Casual Sneakers - Hogan-Lee"/>
    <x v="4"/>
    <n v="353.47"/>
    <x v="3"/>
    <x v="2"/>
    <n v="1771.16"/>
  </r>
  <r>
    <s v="SALE1741"/>
    <d v="2025-08-11T00:00:00"/>
    <s v="CUST1009"/>
    <s v="PROD96"/>
    <s v="STORE2"/>
    <n v="2"/>
    <n v="939.66"/>
    <n v="0.14000000000000001"/>
    <s v="PayPal"/>
    <x v="0"/>
    <x v="2"/>
    <x v="1"/>
    <s v="Women'S Formal Blazer - Phillips And Sons"/>
    <x v="4"/>
    <n v="358.47"/>
    <x v="2"/>
    <x v="0"/>
    <n v="1879.04"/>
  </r>
  <r>
    <s v="SALE1742"/>
    <d v="2024-09-21T00:00:00"/>
    <s v="CUST1293"/>
    <s v="PROD73"/>
    <s v="STORE3"/>
    <n v="1"/>
    <n v="24.13"/>
    <n v="0"/>
    <s v="Credit Card"/>
    <x v="1"/>
    <x v="38"/>
    <x v="1"/>
    <s v="Shin Guards – Adult - French Ltd"/>
    <x v="0"/>
    <n v="107.06"/>
    <x v="0"/>
    <x v="0"/>
    <n v="24.13"/>
  </r>
  <r>
    <s v="SALE1743"/>
    <d v="2024-03-04T00:00:00"/>
    <s v="CUST1364"/>
    <s v="PROD41"/>
    <s v="STORE3"/>
    <n v="3"/>
    <n v="239.54"/>
    <n v="0.28999999999999998"/>
    <s v="COD"/>
    <x v="0"/>
    <x v="28"/>
    <x v="3"/>
    <s v="Yoga Exercise Mat - Carroll, Long And Mendoza"/>
    <x v="0"/>
    <n v="313.26"/>
    <x v="0"/>
    <x v="0"/>
    <n v="717.75"/>
  </r>
  <r>
    <s v="SALE1744"/>
    <d v="2023-11-14T00:00:00"/>
    <s v="CUST1482"/>
    <s v="PROD46"/>
    <s v="STORE14"/>
    <n v="1"/>
    <n v="588.53"/>
    <n v="0.1"/>
    <s v="Credit Card"/>
    <x v="0"/>
    <x v="27"/>
    <x v="1"/>
    <s v="Men'S Winter Jacket - Kelly, Smith And Perez"/>
    <x v="4"/>
    <n v="167.34"/>
    <x v="2"/>
    <x v="0"/>
    <n v="588.42999999999995"/>
  </r>
  <r>
    <s v="SALE1745"/>
    <d v="2025-07-25T00:00:00"/>
    <s v="CUST1288"/>
    <s v="PROD60"/>
    <s v="STORE15"/>
    <n v="1"/>
    <n v="145.96"/>
    <n v="0.3"/>
    <s v="Credit Card"/>
    <x v="0"/>
    <x v="40"/>
    <x v="0"/>
    <s v="Luxury Perfume Spray - Gibson, Green And Lopez"/>
    <x v="2"/>
    <n v="482.75"/>
    <x v="0"/>
    <x v="1"/>
    <n v="145.66"/>
  </r>
  <r>
    <s v="SALE1746"/>
    <d v="2024-10-08T00:00:00"/>
    <s v="CUST1101"/>
    <s v="PROD70"/>
    <s v="STORE4"/>
    <n v="4"/>
    <n v="640.91"/>
    <n v="0.06"/>
    <s v="Credit Card"/>
    <x v="0"/>
    <x v="39"/>
    <x v="0"/>
    <s v="Kitchen Storage Rack - Duran Group"/>
    <x v="3"/>
    <n v="138.05000000000001"/>
    <x v="2"/>
    <x v="2"/>
    <n v="2563.4"/>
  </r>
  <r>
    <s v="SALE1747"/>
    <d v="2025-05-15T00:00:00"/>
    <s v="CUST1042"/>
    <s v="PROD64"/>
    <s v="STORE11"/>
    <n v="3"/>
    <n v="773.86"/>
    <n v="0.22"/>
    <s v="Credit Card"/>
    <x v="0"/>
    <x v="40"/>
    <x v="1"/>
    <s v="Matte Lipstick Set - Zhang Inc"/>
    <x v="2"/>
    <n v="299.11"/>
    <x v="2"/>
    <x v="2"/>
    <n v="2320.92"/>
  </r>
  <r>
    <s v="SALE1748"/>
    <d v="2025-03-28T00:00:00"/>
    <s v="CUST1463"/>
    <s v="PROD31"/>
    <s v="STORE15"/>
    <n v="2"/>
    <n v="31.28"/>
    <n v="0.2"/>
    <s v="COD"/>
    <x v="1"/>
    <x v="40"/>
    <x v="3"/>
    <s v="Basketball - Nolan-Snow"/>
    <x v="0"/>
    <n v="204.39"/>
    <x v="0"/>
    <x v="1"/>
    <n v="62.160000000000004"/>
  </r>
  <r>
    <s v="SALE1749"/>
    <d v="2025-07-04T00:00:00"/>
    <s v="CUST1373"/>
    <s v="PROD82"/>
    <s v="STORE6"/>
    <n v="4"/>
    <n v="389.22"/>
    <n v="0.18"/>
    <s v="Credit Card"/>
    <x v="1"/>
    <x v="17"/>
    <x v="0"/>
    <s v="Fitness Resistance Bands - Reese-Watson"/>
    <x v="0"/>
    <n v="152.91999999999999"/>
    <x v="3"/>
    <x v="2"/>
    <n v="1556.16"/>
  </r>
  <r>
    <s v="SALE1750"/>
    <d v="2024-07-29T00:00:00"/>
    <s v="CUST1015"/>
    <s v="PROD64"/>
    <s v="STORE15"/>
    <n v="3"/>
    <n v="543.44000000000005"/>
    <n v="0.13"/>
    <s v="PayPal"/>
    <x v="1"/>
    <x v="7"/>
    <x v="1"/>
    <s v="Matte Lipstick Set - Zhang Inc"/>
    <x v="2"/>
    <n v="299.11"/>
    <x v="0"/>
    <x v="1"/>
    <n v="1629.9300000000003"/>
  </r>
  <r>
    <s v="SALE1751"/>
    <d v="2024-01-05T00:00:00"/>
    <s v="CUST1257"/>
    <s v="PROD97"/>
    <s v="STORE19"/>
    <n v="4"/>
    <n v="715.42"/>
    <n v="0.28999999999999998"/>
    <s v="PayPal"/>
    <x v="0"/>
    <x v="43"/>
    <x v="2"/>
    <s v="Cricket Bat - Khan Llc"/>
    <x v="0"/>
    <n v="245.98"/>
    <x v="3"/>
    <x v="2"/>
    <n v="2860.52"/>
  </r>
  <r>
    <s v="SALE1752"/>
    <d v="2025-08-17T00:00:00"/>
    <s v="CUST1051"/>
    <s v="PROD12"/>
    <s v="STORE4"/>
    <n v="4"/>
    <n v="676.14"/>
    <n v="0.11"/>
    <s v="COD"/>
    <x v="1"/>
    <x v="35"/>
    <x v="0"/>
    <s v="Hair Strengthening Shampoo - Rice Llc"/>
    <x v="2"/>
    <n v="115.82"/>
    <x v="2"/>
    <x v="2"/>
    <n v="2704.12"/>
  </r>
  <r>
    <s v="SALE1753"/>
    <d v="2024-05-13T00:00:00"/>
    <s v="CUST1089"/>
    <s v="PROD39"/>
    <s v="STORE1"/>
    <n v="4"/>
    <n v="352.72"/>
    <n v="0.25"/>
    <s v="Credit Card"/>
    <x v="0"/>
    <x v="18"/>
    <x v="1"/>
    <s v="Portable Power Bank - Cummings And Sons"/>
    <x v="1"/>
    <n v="326.06"/>
    <x v="0"/>
    <x v="1"/>
    <n v="1409.88"/>
  </r>
  <r>
    <s v="SALE1754"/>
    <d v="2025-05-20T00:00:00"/>
    <s v="CUST1173"/>
    <s v="PROD11"/>
    <s v="STORE12"/>
    <n v="1"/>
    <n v="470.18"/>
    <n v="0.19"/>
    <s v="PayPal"/>
    <x v="1"/>
    <x v="9"/>
    <x v="1"/>
    <s v="Hd Smart Tv Stick - Gibson, Hobbs And Weaver"/>
    <x v="1"/>
    <n v="449.4"/>
    <x v="0"/>
    <x v="2"/>
    <n v="469.99"/>
  </r>
  <r>
    <s v="SALE1755"/>
    <d v="2025-08-29T00:00:00"/>
    <s v="CUST1230"/>
    <s v="PROD66"/>
    <s v="STORE11"/>
    <n v="1"/>
    <n v="891.79"/>
    <n v="0.03"/>
    <s v="Credit Card"/>
    <x v="0"/>
    <x v="26"/>
    <x v="3"/>
    <s v="Women'S Hair Dryer Brush - Torres, Spencer And Potter"/>
    <x v="2"/>
    <n v="340.39"/>
    <x v="2"/>
    <x v="2"/>
    <n v="891.76"/>
  </r>
  <r>
    <s v="SALE1756"/>
    <d v="2024-04-08T00:00:00"/>
    <s v="CUST1348"/>
    <s v="PROD89"/>
    <s v="STORE17"/>
    <n v="2"/>
    <n v="433.07"/>
    <n v="0.25"/>
    <s v="COD"/>
    <x v="0"/>
    <x v="2"/>
    <x v="2"/>
    <s v="Face Foundation Kit - Taylor-Elliott"/>
    <x v="2"/>
    <n v="183.04"/>
    <x v="0"/>
    <x v="1"/>
    <n v="865.64"/>
  </r>
  <r>
    <s v="SALE1757"/>
    <d v="2024-03-04T00:00:00"/>
    <s v="CUST1012"/>
    <s v="PROD66"/>
    <s v="STORE19"/>
    <n v="3"/>
    <n v="626.71"/>
    <n v="7.0000000000000007E-2"/>
    <s v="COD"/>
    <x v="1"/>
    <x v="32"/>
    <x v="1"/>
    <s v="Women'S Hair Dryer Brush - Torres, Spencer And Potter"/>
    <x v="2"/>
    <n v="340.39"/>
    <x v="3"/>
    <x v="2"/>
    <n v="1879.92"/>
  </r>
  <r>
    <s v="SALE1758"/>
    <d v="2025-09-16T00:00:00"/>
    <s v="CUST1076"/>
    <s v="PROD36"/>
    <s v="STORE0"/>
    <n v="2"/>
    <n v="324.18"/>
    <n v="0.06"/>
    <s v="COD"/>
    <x v="0"/>
    <x v="15"/>
    <x v="0"/>
    <s v="Women'S Summer Dress - Smith-Mills"/>
    <x v="4"/>
    <n v="223.43"/>
    <x v="3"/>
    <x v="1"/>
    <n v="648.24"/>
  </r>
  <r>
    <s v="SALE1759"/>
    <d v="2024-06-05T00:00:00"/>
    <s v="CUST1013"/>
    <s v="PROD14"/>
    <s v="STORE17"/>
    <n v="4"/>
    <n v="839.74"/>
    <n v="0.13"/>
    <s v="PayPal"/>
    <x v="1"/>
    <x v="10"/>
    <x v="2"/>
    <s v="Decorative Wall Mirror - Luna, Anderson And Bowman"/>
    <x v="3"/>
    <n v="48.01"/>
    <x v="0"/>
    <x v="1"/>
    <n v="3358.44"/>
  </r>
  <r>
    <s v="SALE1760"/>
    <d v="2024-04-20T00:00:00"/>
    <s v="CUST1156"/>
    <s v="PROD62"/>
    <s v="STORE15"/>
    <n v="3"/>
    <n v="252.63"/>
    <n v="0.28000000000000003"/>
    <s v="Credit Card"/>
    <x v="0"/>
    <x v="16"/>
    <x v="3"/>
    <s v="Laptop Cooling Pad - Murray, Gould And Ware"/>
    <x v="1"/>
    <n v="86.42"/>
    <x v="0"/>
    <x v="1"/>
    <n v="757.05"/>
  </r>
  <r>
    <s v="SALE1761"/>
    <d v="2024-10-16T00:00:00"/>
    <s v="CUST1255"/>
    <s v="PROD79"/>
    <s v="STORE19"/>
    <n v="2"/>
    <n v="60.53"/>
    <n v="0.18"/>
    <s v="Credit Card"/>
    <x v="0"/>
    <x v="31"/>
    <x v="0"/>
    <s v="Decorative Lamp Shade - Ramirez-Hanson"/>
    <x v="3"/>
    <n v="228.53"/>
    <x v="3"/>
    <x v="2"/>
    <n v="120.7"/>
  </r>
  <r>
    <s v="SALE1762"/>
    <d v="2024-11-14T00:00:00"/>
    <s v="CUST1054"/>
    <s v="PROD84"/>
    <s v="STORE13"/>
    <n v="4"/>
    <n v="341.95"/>
    <n v="0.25"/>
    <s v="Credit Card"/>
    <x v="0"/>
    <x v="15"/>
    <x v="1"/>
    <s v="Wooden Bookshelf - Collins-Stephenson"/>
    <x v="3"/>
    <n v="388.46"/>
    <x v="3"/>
    <x v="1"/>
    <n v="1366.8"/>
  </r>
  <r>
    <s v="SALE1763"/>
    <d v="2024-05-26T00:00:00"/>
    <s v="CUST1283"/>
    <s v="PROD22"/>
    <s v="STORE16"/>
    <n v="4"/>
    <n v="300.12"/>
    <n v="0.05"/>
    <s v="PayPal"/>
    <x v="1"/>
    <x v="0"/>
    <x v="2"/>
    <s v="Carbon Fiber Tennis Racket - Flores, Pineda And Rodriguez"/>
    <x v="0"/>
    <n v="484.62"/>
    <x v="1"/>
    <x v="1"/>
    <n v="1200.28"/>
  </r>
  <r>
    <s v="SALE1764"/>
    <d v="2025-02-17T00:00:00"/>
    <s v="CUST1115"/>
    <s v="PROD28"/>
    <s v="STORE17"/>
    <n v="2"/>
    <n v="289.14"/>
    <n v="0.12"/>
    <s v="COD"/>
    <x v="1"/>
    <x v="16"/>
    <x v="1"/>
    <s v="Sports Stopwatch Timer - Burns-Hansen"/>
    <x v="0"/>
    <n v="38.76"/>
    <x v="0"/>
    <x v="1"/>
    <n v="578.04"/>
  </r>
  <r>
    <s v="SALE1765"/>
    <d v="2025-02-07T00:00:00"/>
    <s v="CUST1045"/>
    <s v="PROD25"/>
    <s v="STORE0"/>
    <n v="2"/>
    <n v="596.84"/>
    <n v="0.01"/>
    <s v="PayPal"/>
    <x v="0"/>
    <x v="28"/>
    <x v="0"/>
    <s v="Women'S Scarf Set - Brown And Sons"/>
    <x v="4"/>
    <n v="174.02"/>
    <x v="3"/>
    <x v="1"/>
    <n v="1193.6600000000001"/>
  </r>
  <r>
    <s v="SALE1766"/>
    <d v="2024-10-06T00:00:00"/>
    <s v="CUST1436"/>
    <s v="PROD19"/>
    <s v="STORE8"/>
    <n v="4"/>
    <n v="466.24"/>
    <n v="0.16"/>
    <s v="Credit Card"/>
    <x v="0"/>
    <x v="34"/>
    <x v="0"/>
    <s v="Knee Support Brace - May-Reese"/>
    <x v="0"/>
    <n v="21.34"/>
    <x v="1"/>
    <x v="2"/>
    <n v="1864.32"/>
  </r>
  <r>
    <s v="SALE1767"/>
    <d v="2024-09-09T00:00:00"/>
    <s v="CUST1252"/>
    <s v="PROD13"/>
    <s v="STORE16"/>
    <n v="2"/>
    <n v="330.59"/>
    <n v="0.14000000000000001"/>
    <s v="Credit Card"/>
    <x v="0"/>
    <x v="34"/>
    <x v="2"/>
    <s v="Usb-C Fast Charger - Dawson-Perkins"/>
    <x v="1"/>
    <n v="242.23"/>
    <x v="1"/>
    <x v="1"/>
    <n v="660.9"/>
  </r>
  <r>
    <s v="SALE1768"/>
    <d v="2024-12-28T00:00:00"/>
    <s v="CUST1493"/>
    <s v="PROD22"/>
    <s v="STORE6"/>
    <n v="2"/>
    <n v="616.42999999999995"/>
    <n v="0.02"/>
    <s v="COD"/>
    <x v="0"/>
    <x v="4"/>
    <x v="2"/>
    <s v="Carbon Fiber Tennis Racket - Flores, Pineda And Rodriguez"/>
    <x v="0"/>
    <n v="484.62"/>
    <x v="3"/>
    <x v="2"/>
    <n v="1232.82"/>
  </r>
  <r>
    <s v="SALE1769"/>
    <d v="2024-10-24T00:00:00"/>
    <s v="CUST1403"/>
    <s v="PROD63"/>
    <s v="STORE6"/>
    <n v="3"/>
    <n v="195.89"/>
    <n v="0.16"/>
    <s v="PayPal"/>
    <x v="0"/>
    <x v="38"/>
    <x v="3"/>
    <s v="Organic Sunscreen Lotion - Anderson-Riley"/>
    <x v="2"/>
    <n v="266.86"/>
    <x v="3"/>
    <x v="2"/>
    <n v="587.18999999999994"/>
  </r>
  <r>
    <s v="SALE1770"/>
    <d v="2024-07-14T00:00:00"/>
    <s v="CUST1343"/>
    <s v="PROD7"/>
    <s v="STORE10"/>
    <n v="4"/>
    <n v="614.76"/>
    <n v="0.16"/>
    <s v="Credit Card"/>
    <x v="0"/>
    <x v="45"/>
    <x v="3"/>
    <s v="Led Table Lamp - Harrell Llc"/>
    <x v="3"/>
    <n v="218.86"/>
    <x v="3"/>
    <x v="2"/>
    <n v="2458.4"/>
  </r>
  <r>
    <s v="SALE1771"/>
    <d v="2024-05-06T00:00:00"/>
    <s v="CUST1404"/>
    <s v="PROD79"/>
    <s v="STORE7"/>
    <n v="1"/>
    <n v="224.49"/>
    <n v="0.11"/>
    <s v="PayPal"/>
    <x v="1"/>
    <x v="13"/>
    <x v="2"/>
    <s v="Decorative Lamp Shade - Ramirez-Hanson"/>
    <x v="3"/>
    <n v="228.53"/>
    <x v="2"/>
    <x v="2"/>
    <n v="224.38"/>
  </r>
  <r>
    <s v="SALE1772"/>
    <d v="2024-02-16T00:00:00"/>
    <s v="CUST1356"/>
    <s v="PROD55"/>
    <s v="STORE12"/>
    <n v="1"/>
    <n v="967.76"/>
    <n v="0.09"/>
    <s v="Credit Card"/>
    <x v="0"/>
    <x v="45"/>
    <x v="3"/>
    <s v="Ceramic Plant Pot - Hatfield, Baird And Torres"/>
    <x v="3"/>
    <n v="81.75"/>
    <x v="0"/>
    <x v="2"/>
    <n v="967.67"/>
  </r>
  <r>
    <s v="SALE1773"/>
    <d v="2024-08-03T00:00:00"/>
    <s v="CUST1067"/>
    <s v="PROD41"/>
    <s v="STORE19"/>
    <n v="2"/>
    <n v="56.52"/>
    <n v="0.17"/>
    <s v="PayPal"/>
    <x v="0"/>
    <x v="26"/>
    <x v="2"/>
    <s v="Yoga Exercise Mat - Carroll, Long And Mendoza"/>
    <x v="0"/>
    <n v="313.26"/>
    <x v="3"/>
    <x v="2"/>
    <n v="112.7"/>
  </r>
  <r>
    <s v="SALE1774"/>
    <d v="2023-12-15T00:00:00"/>
    <s v="CUST1490"/>
    <s v="PROD67"/>
    <s v="STORE1"/>
    <n v="4"/>
    <n v="921.84"/>
    <n v="0.04"/>
    <s v="Credit Card"/>
    <x v="0"/>
    <x v="33"/>
    <x v="1"/>
    <s v="Smart Led Light Strip - Flores-Davis"/>
    <x v="1"/>
    <n v="349.17"/>
    <x v="0"/>
    <x v="1"/>
    <n v="3687.2000000000003"/>
  </r>
  <r>
    <s v="SALE1775"/>
    <d v="2024-01-28T00:00:00"/>
    <s v="CUST1328"/>
    <s v="PROD86"/>
    <s v="STORE16"/>
    <n v="3"/>
    <n v="738.47"/>
    <n v="0.28000000000000003"/>
    <s v="Credit Card"/>
    <x v="0"/>
    <x v="46"/>
    <x v="1"/>
    <s v="Kitchen Cutting Board - Taylor, Dodson And Johnston"/>
    <x v="3"/>
    <n v="176.07"/>
    <x v="1"/>
    <x v="1"/>
    <n v="2214.5700000000002"/>
  </r>
  <r>
    <s v="SALE1776"/>
    <d v="2024-11-24T00:00:00"/>
    <s v="CUST1328"/>
    <s v="PROD5"/>
    <s v="STORE0"/>
    <n v="4"/>
    <n v="477.83"/>
    <n v="0.05"/>
    <s v="COD"/>
    <x v="0"/>
    <x v="46"/>
    <x v="1"/>
    <s v="Men'S Leather Belt - Baldwin, Garza And Gonzalez"/>
    <x v="4"/>
    <n v="261"/>
    <x v="3"/>
    <x v="1"/>
    <n v="1911.12"/>
  </r>
  <r>
    <s v="SALE1777"/>
    <d v="2025-06-23T00:00:00"/>
    <s v="CUST1168"/>
    <s v="PROD42"/>
    <s v="STORE12"/>
    <n v="3"/>
    <n v="605.83000000000004"/>
    <n v="0.28000000000000003"/>
    <s v="COD"/>
    <x v="1"/>
    <x v="26"/>
    <x v="1"/>
    <s v="Smart Home Wifi Camera - Holmes Llc"/>
    <x v="1"/>
    <n v="450.71"/>
    <x v="0"/>
    <x v="2"/>
    <n v="1816.65"/>
  </r>
  <r>
    <s v="SALE1778"/>
    <d v="2024-03-22T00:00:00"/>
    <s v="CUST1067"/>
    <s v="PROD43"/>
    <s v="STORE3"/>
    <n v="2"/>
    <n v="521.44000000000005"/>
    <n v="0.25"/>
    <s v="COD"/>
    <x v="0"/>
    <x v="26"/>
    <x v="2"/>
    <s v="Usb External Hard Drive - Robinson Inc"/>
    <x v="1"/>
    <n v="253.33"/>
    <x v="0"/>
    <x v="0"/>
    <n v="1042.3800000000001"/>
  </r>
  <r>
    <s v="SALE1779"/>
    <d v="2025-07-25T00:00:00"/>
    <s v="CUST1373"/>
    <s v="PROD10"/>
    <s v="STORE7"/>
    <n v="4"/>
    <n v="499.02"/>
    <n v="0.06"/>
    <s v="Credit Card"/>
    <x v="1"/>
    <x v="17"/>
    <x v="0"/>
    <s v="Ceramic Kitchen Bowl Set - Hamilton Group"/>
    <x v="3"/>
    <n v="298.86"/>
    <x v="2"/>
    <x v="2"/>
    <n v="1995.84"/>
  </r>
  <r>
    <s v="SALE1780"/>
    <d v="2025-04-11T00:00:00"/>
    <s v="CUST1153"/>
    <s v="PROD4"/>
    <s v="STORE18"/>
    <n v="4"/>
    <n v="299.45999999999998"/>
    <n v="0.18"/>
    <s v="COD"/>
    <x v="0"/>
    <x v="16"/>
    <x v="3"/>
    <s v="Women'S Yoga Pants - Gonzales-Davis"/>
    <x v="4"/>
    <n v="306.45999999999998"/>
    <x v="3"/>
    <x v="1"/>
    <n v="1197.1199999999999"/>
  </r>
  <r>
    <s v="SALE1781"/>
    <d v="2023-12-25T00:00:00"/>
    <s v="CUST1457"/>
    <s v="PROD39"/>
    <s v="STORE0"/>
    <n v="1"/>
    <n v="609.29"/>
    <n v="0.15"/>
    <s v="Credit Card"/>
    <x v="0"/>
    <x v="27"/>
    <x v="1"/>
    <s v="Portable Power Bank - Cummings And Sons"/>
    <x v="1"/>
    <n v="326.06"/>
    <x v="3"/>
    <x v="1"/>
    <n v="609.14"/>
  </r>
  <r>
    <s v="SALE1782"/>
    <d v="2024-12-30T00:00:00"/>
    <s v="CUST1101"/>
    <s v="PROD2"/>
    <s v="STORE8"/>
    <n v="1"/>
    <n v="213.74"/>
    <n v="7.0000000000000007E-2"/>
    <s v="COD"/>
    <x v="0"/>
    <x v="39"/>
    <x v="0"/>
    <s v="Women'S Casual Hoodie - Sims Inc"/>
    <x v="4"/>
    <n v="254.62086956521742"/>
    <x v="1"/>
    <x v="2"/>
    <n v="213.67000000000002"/>
  </r>
  <r>
    <s v="SALE1783"/>
    <d v="2025-03-02T00:00:00"/>
    <s v="CUST1153"/>
    <s v="PROD55"/>
    <s v="STORE16"/>
    <n v="4"/>
    <n v="613.16999999999996"/>
    <n v="0.26"/>
    <s v="Credit Card"/>
    <x v="0"/>
    <x v="16"/>
    <x v="3"/>
    <s v="Ceramic Plant Pot - Hatfield, Baird And Torres"/>
    <x v="3"/>
    <n v="81.75"/>
    <x v="1"/>
    <x v="1"/>
    <n v="2451.64"/>
  </r>
  <r>
    <s v="SALE1784"/>
    <d v="2024-01-02T00:00:00"/>
    <s v="CUST1357"/>
    <s v="PROD59"/>
    <s v="STORE11"/>
    <n v="2"/>
    <n v="687.36"/>
    <n v="7.0000000000000007E-2"/>
    <s v="COD"/>
    <x v="0"/>
    <x v="3"/>
    <x v="0"/>
    <s v="Men'S Hair Styling Gel - Cline-Mccarthy"/>
    <x v="2"/>
    <n v="17.309999999999999"/>
    <x v="2"/>
    <x v="2"/>
    <n v="1374.58"/>
  </r>
  <r>
    <s v="SALE1785"/>
    <d v="2025-09-15T00:00:00"/>
    <s v="CUST1326"/>
    <s v="PROD67"/>
    <s v="STORE13"/>
    <n v="3"/>
    <n v="115.39"/>
    <n v="0.02"/>
    <s v="PayPal"/>
    <x v="1"/>
    <x v="5"/>
    <x v="0"/>
    <s v="Smart Led Light Strip - Flores-Davis"/>
    <x v="1"/>
    <n v="349.17"/>
    <x v="3"/>
    <x v="1"/>
    <n v="346.11"/>
  </r>
  <r>
    <s v="SALE1786"/>
    <d v="2024-03-08T00:00:00"/>
    <s v="CUST1179"/>
    <s v="PROD24"/>
    <s v="STORE12"/>
    <n v="2"/>
    <n v="722.06"/>
    <n v="7.0000000000000007E-2"/>
    <s v="Credit Card"/>
    <x v="1"/>
    <x v="39"/>
    <x v="2"/>
    <s v="Foldable Camping Chair - Cook Ltd"/>
    <x v="0"/>
    <n v="166.06"/>
    <x v="0"/>
    <x v="2"/>
    <n v="1443.9799999999998"/>
  </r>
  <r>
    <s v="SALE1787"/>
    <d v="2024-12-26T00:00:00"/>
    <s v="CUST1425"/>
    <s v="PROD7"/>
    <s v="STORE15"/>
    <n v="1"/>
    <n v="384.57"/>
    <n v="0.06"/>
    <s v="PayPal"/>
    <x v="0"/>
    <x v="39"/>
    <x v="3"/>
    <s v="Led Table Lamp - Harrell Llc"/>
    <x v="3"/>
    <n v="218.86"/>
    <x v="0"/>
    <x v="1"/>
    <n v="384.51"/>
  </r>
  <r>
    <s v="SALE1788"/>
    <d v="2025-03-19T00:00:00"/>
    <s v="CUST1210"/>
    <s v="PROD8"/>
    <s v="STORE13"/>
    <n v="2"/>
    <n v="194.09"/>
    <n v="0.18"/>
    <s v="PayPal"/>
    <x v="0"/>
    <x v="36"/>
    <x v="2"/>
    <s v="Wireless Bluetooth Earbuds - Perez-Johnston"/>
    <x v="1"/>
    <n v="439.07"/>
    <x v="3"/>
    <x v="1"/>
    <n v="387.82"/>
  </r>
  <r>
    <s v="SALE1789"/>
    <d v="2024-10-14T00:00:00"/>
    <s v="CUST1172"/>
    <s v="PROD88"/>
    <s v="STORE3"/>
    <n v="2"/>
    <n v="403.91"/>
    <n v="7.0000000000000007E-2"/>
    <s v="Credit Card"/>
    <x v="1"/>
    <x v="35"/>
    <x v="3"/>
    <s v="Sports Wrist Sweatbands - Olsen-Daniels"/>
    <x v="0"/>
    <n v="131.24"/>
    <x v="0"/>
    <x v="0"/>
    <n v="807.68000000000006"/>
  </r>
  <r>
    <s v="SALE1790"/>
    <d v="2025-03-05T00:00:00"/>
    <s v="CUST1076"/>
    <s v="PROD17"/>
    <s v="STORE14"/>
    <n v="1"/>
    <n v="878.69"/>
    <n v="0.3"/>
    <s v="PayPal"/>
    <x v="0"/>
    <x v="15"/>
    <x v="0"/>
    <s v="Soccer Training Cone Set - Ford, Murphy And Wilson"/>
    <x v="0"/>
    <n v="144.53"/>
    <x v="2"/>
    <x v="0"/>
    <n v="878.3900000000001"/>
  </r>
  <r>
    <s v="SALE1791"/>
    <d v="2024-06-03T00:00:00"/>
    <s v="CUST1381"/>
    <s v="PROD33"/>
    <s v="STORE15"/>
    <n v="1"/>
    <n v="161.16999999999999"/>
    <n v="0.05"/>
    <s v="Credit Card"/>
    <x v="0"/>
    <x v="4"/>
    <x v="2"/>
    <s v="Modern Wall Clock - Weiss-Watson"/>
    <x v="3"/>
    <n v="179.77"/>
    <x v="0"/>
    <x v="1"/>
    <n v="161.11999999999998"/>
  </r>
  <r>
    <s v="SALE1792"/>
    <d v="2024-04-05T00:00:00"/>
    <s v="CUST1214"/>
    <s v="PROD73"/>
    <s v="STORE14"/>
    <n v="2"/>
    <n v="720.15"/>
    <n v="0.22"/>
    <s v="COD"/>
    <x v="0"/>
    <x v="10"/>
    <x v="0"/>
    <s v="Shin Guards – Adult - French Ltd"/>
    <x v="0"/>
    <n v="107.06"/>
    <x v="2"/>
    <x v="0"/>
    <n v="1439.86"/>
  </r>
  <r>
    <s v="SALE1793"/>
    <d v="2023-10-23T00:00:00"/>
    <s v="CUST1347"/>
    <s v="PROD26"/>
    <s v="STORE8"/>
    <n v="1"/>
    <n v="361.8"/>
    <n v="0.02"/>
    <s v="COD"/>
    <x v="1"/>
    <x v="40"/>
    <x v="0"/>
    <s v="Wireless Bluetooth Speaker - Reed-Schmidt"/>
    <x v="1"/>
    <n v="322.41000000000003"/>
    <x v="1"/>
    <x v="2"/>
    <n v="361.78000000000003"/>
  </r>
  <r>
    <s v="SALE1794"/>
    <d v="2024-04-20T00:00:00"/>
    <s v="CUST1230"/>
    <s v="PROD95"/>
    <s v="STORE6"/>
    <n v="1"/>
    <n v="779.84"/>
    <n v="0.28999999999999998"/>
    <s v="PayPal"/>
    <x v="0"/>
    <x v="26"/>
    <x v="3"/>
    <s v="Sports Stopwatch Basic - Wilson Group"/>
    <x v="0"/>
    <n v="60.65"/>
    <x v="3"/>
    <x v="2"/>
    <n v="779.55000000000007"/>
  </r>
  <r>
    <s v="SALE1795"/>
    <d v="2024-06-12T00:00:00"/>
    <s v="CUST1004"/>
    <s v="PROD96"/>
    <s v="STORE4"/>
    <n v="2"/>
    <n v="649.89"/>
    <n v="0.17"/>
    <s v="COD"/>
    <x v="1"/>
    <x v="24"/>
    <x v="2"/>
    <s v="Women'S Formal Blazer - Phillips And Sons"/>
    <x v="4"/>
    <n v="358.47"/>
    <x v="2"/>
    <x v="2"/>
    <n v="1299.44"/>
  </r>
  <r>
    <s v="SALE1796"/>
    <d v="2025-08-08T00:00:00"/>
    <s v="CUST1204"/>
    <s v="PROD53"/>
    <s v="STORE6"/>
    <n v="1"/>
    <n v="952.73"/>
    <n v="0.17"/>
    <s v="Credit Card"/>
    <x v="0"/>
    <x v="45"/>
    <x v="1"/>
    <s v="Men'S Track Pants - Hamilton, Woods And Walker"/>
    <x v="4"/>
    <n v="386.56"/>
    <x v="3"/>
    <x v="2"/>
    <n v="952.56000000000006"/>
  </r>
  <r>
    <s v="SALE1797"/>
    <d v="2025-08-06T00:00:00"/>
    <s v="CUST1084"/>
    <s v="PROD99"/>
    <s v="STORE16"/>
    <n v="4"/>
    <n v="820.78"/>
    <n v="0.25"/>
    <s v="Credit Card"/>
    <x v="1"/>
    <x v="30"/>
    <x v="1"/>
    <s v="Stainless Steel Cookware Set - Campbell Ltd"/>
    <x v="3"/>
    <n v="201.41"/>
    <x v="1"/>
    <x v="1"/>
    <n v="3282.12"/>
  </r>
  <r>
    <s v="SALE1798"/>
    <d v="2024-10-27T00:00:00"/>
    <s v="CUST1342"/>
    <s v="PROD38"/>
    <s v="STORE3"/>
    <n v="4"/>
    <n v="247.55"/>
    <n v="0.05"/>
    <s v="Credit Card"/>
    <x v="1"/>
    <x v="40"/>
    <x v="3"/>
    <s v="Sports Water Hydration Pack - Sims-Smith"/>
    <x v="0"/>
    <n v="135.61000000000001"/>
    <x v="0"/>
    <x v="0"/>
    <n v="990"/>
  </r>
  <r>
    <s v="SALE1799"/>
    <d v="2024-03-18T00:00:00"/>
    <s v="CUST1227"/>
    <s v="PROD99"/>
    <s v="STORE8"/>
    <n v="3"/>
    <n v="561.44000000000005"/>
    <n v="0.2"/>
    <s v="COD"/>
    <x v="1"/>
    <x v="32"/>
    <x v="0"/>
    <s v="Stainless Steel Cookware Set - Campbell Ltd"/>
    <x v="3"/>
    <n v="201.41"/>
    <x v="1"/>
    <x v="2"/>
    <n v="1683.72"/>
  </r>
  <r>
    <s v="SALE1800"/>
    <d v="2023-11-19T00:00:00"/>
    <s v="CUST1281"/>
    <s v="PROD72"/>
    <s v="STORE8"/>
    <n v="4"/>
    <n v="214.37"/>
    <n v="0.11"/>
    <s v="COD"/>
    <x v="0"/>
    <x v="40"/>
    <x v="1"/>
    <s v="Professional Jump Rope - Davis Plc"/>
    <x v="0"/>
    <n v="477.61"/>
    <x v="1"/>
    <x v="2"/>
    <n v="857.04"/>
  </r>
  <r>
    <s v="SALE1801"/>
    <d v="2025-03-25T00:00:00"/>
    <s v="CUST1417"/>
    <s v="PROD17"/>
    <s v="STORE16"/>
    <n v="3"/>
    <n v="123.74"/>
    <n v="0.23"/>
    <s v="PayPal"/>
    <x v="1"/>
    <x v="29"/>
    <x v="3"/>
    <s v="Soccer Training Cone Set - Ford, Murphy And Wilson"/>
    <x v="0"/>
    <n v="144.53"/>
    <x v="1"/>
    <x v="1"/>
    <n v="370.53"/>
  </r>
  <r>
    <s v="SALE1802"/>
    <d v="2024-05-15T00:00:00"/>
    <s v="CUST1013"/>
    <s v="PROD67"/>
    <s v="STORE11"/>
    <n v="4"/>
    <n v="645.71"/>
    <n v="0.1"/>
    <s v="PayPal"/>
    <x v="1"/>
    <x v="10"/>
    <x v="2"/>
    <s v="Smart Led Light Strip - Flores-Davis"/>
    <x v="1"/>
    <n v="349.17"/>
    <x v="2"/>
    <x v="2"/>
    <n v="2582.44"/>
  </r>
  <r>
    <s v="SALE1803"/>
    <d v="2025-03-20T00:00:00"/>
    <s v="CUST1033"/>
    <s v="PROD21"/>
    <s v="STORE12"/>
    <n v="3"/>
    <n v="587.12"/>
    <n v="0.3"/>
    <s v="Credit Card"/>
    <x v="0"/>
    <x v="15"/>
    <x v="1"/>
    <s v="Multi-Purpose Storage Box - Gardner-Montes"/>
    <x v="3"/>
    <n v="123.46"/>
    <x v="0"/>
    <x v="2"/>
    <n v="1760.46"/>
  </r>
  <r>
    <s v="SALE1804"/>
    <d v="2025-10-11T00:00:00"/>
    <s v="CUST1241"/>
    <s v="PROD25"/>
    <s v="STORE18"/>
    <n v="1"/>
    <n v="401.18"/>
    <n v="0.15"/>
    <s v="COD"/>
    <x v="0"/>
    <x v="45"/>
    <x v="1"/>
    <s v="Women'S Scarf Set - Brown And Sons"/>
    <x v="4"/>
    <n v="174.02"/>
    <x v="3"/>
    <x v="1"/>
    <n v="401.03000000000003"/>
  </r>
  <r>
    <s v="SALE1805"/>
    <d v="2024-07-13T00:00:00"/>
    <s v="CUST1366"/>
    <s v="PROD58"/>
    <s v="STORE18"/>
    <n v="3"/>
    <n v="658.33"/>
    <n v="0.12"/>
    <s v="COD"/>
    <x v="1"/>
    <x v="4"/>
    <x v="1"/>
    <s v="Womens Cotton Scarf - Shepherd-Gould"/>
    <x v="4"/>
    <n v="113.83"/>
    <x v="3"/>
    <x v="1"/>
    <n v="1974.63"/>
  </r>
  <r>
    <s v="SALE1806"/>
    <d v="2024-07-01T00:00:00"/>
    <s v="CUST1201"/>
    <s v="PROD49"/>
    <s v="STORE11"/>
    <n v="4"/>
    <n v="450.3"/>
    <n v="0.02"/>
    <s v="Credit Card"/>
    <x v="1"/>
    <x v="20"/>
    <x v="3"/>
    <s v="Men'S Roll-On Perfume - Sullivan And Sons"/>
    <x v="2"/>
    <n v="43.29"/>
    <x v="2"/>
    <x v="2"/>
    <n v="1801.1200000000001"/>
  </r>
  <r>
    <s v="SALE1807"/>
    <d v="2025-04-10T00:00:00"/>
    <s v="CUST1145"/>
    <s v="PROD94"/>
    <s v="STORE10"/>
    <n v="4"/>
    <n v="33.630000000000003"/>
    <n v="0.05"/>
    <s v="Credit Card"/>
    <x v="0"/>
    <x v="30"/>
    <x v="1"/>
    <s v="Vitamin E Body Lotion - Hoffman-Williams"/>
    <x v="2"/>
    <n v="358.47"/>
    <x v="3"/>
    <x v="2"/>
    <n v="134.32000000000002"/>
  </r>
  <r>
    <s v="SALE1808"/>
    <d v="2024-07-02T00:00:00"/>
    <s v="CUST1035"/>
    <s v="PROD16"/>
    <s v="STORE0"/>
    <n v="3"/>
    <n v="168.89"/>
    <n v="0.03"/>
    <s v="COD"/>
    <x v="0"/>
    <x v="16"/>
    <x v="2"/>
    <s v="Beard Grooming Kit - Erickson-Green"/>
    <x v="2"/>
    <n v="337.42"/>
    <x v="3"/>
    <x v="1"/>
    <n v="506.57999999999993"/>
  </r>
  <r>
    <s v="SALE1809"/>
    <d v="2024-09-11T00:00:00"/>
    <s v="CUST1095"/>
    <s v="PROD60"/>
    <s v="STORE11"/>
    <n v="1"/>
    <n v="141.85"/>
    <n v="0.06"/>
    <s v="PayPal"/>
    <x v="1"/>
    <x v="14"/>
    <x v="1"/>
    <s v="Luxury Perfume Spray - Gibson, Green And Lopez"/>
    <x v="2"/>
    <n v="482.75"/>
    <x v="2"/>
    <x v="2"/>
    <n v="141.79"/>
  </r>
  <r>
    <s v="SALE1810"/>
    <d v="2024-08-16T00:00:00"/>
    <s v="CUST1306"/>
    <s v="PROD35"/>
    <s v="STORE7"/>
    <n v="1"/>
    <n v="617.4"/>
    <n v="0.21"/>
    <s v="Credit Card"/>
    <x v="0"/>
    <x v="3"/>
    <x v="1"/>
    <s v="Bedroom Table Lamp - Jones Llc"/>
    <x v="3"/>
    <n v="382.22"/>
    <x v="2"/>
    <x v="2"/>
    <n v="617.18999999999994"/>
  </r>
  <r>
    <s v="SALE1811"/>
    <d v="2024-08-30T00:00:00"/>
    <s v="CUST1147"/>
    <s v="PROD53"/>
    <s v="STORE1"/>
    <n v="3"/>
    <n v="841.47"/>
    <n v="0.15"/>
    <s v="COD"/>
    <x v="1"/>
    <x v="41"/>
    <x v="1"/>
    <s v="Men'S Track Pants - Hamilton, Woods And Walker"/>
    <x v="4"/>
    <n v="386.56"/>
    <x v="0"/>
    <x v="1"/>
    <n v="2523.96"/>
  </r>
  <r>
    <s v="SALE1812"/>
    <d v="2024-02-12T00:00:00"/>
    <s v="CUST1059"/>
    <s v="PROD21"/>
    <s v="STORE13"/>
    <n v="2"/>
    <n v="960.41"/>
    <n v="0.18"/>
    <s v="Credit Card"/>
    <x v="0"/>
    <x v="10"/>
    <x v="1"/>
    <s v="Multi-Purpose Storage Box - Gardner-Montes"/>
    <x v="3"/>
    <n v="123.46"/>
    <x v="3"/>
    <x v="1"/>
    <n v="1920.46"/>
  </r>
  <r>
    <s v="SALE1813"/>
    <d v="2023-12-29T00:00:00"/>
    <s v="CUST1451"/>
    <s v="PROD75"/>
    <s v="STORE18"/>
    <n v="3"/>
    <n v="717.22"/>
    <n v="0.24"/>
    <s v="PayPal"/>
    <x v="0"/>
    <x v="23"/>
    <x v="0"/>
    <s v="Women'S Ankle Boots - Poole Plc"/>
    <x v="4"/>
    <n v="158.13999999999999"/>
    <x v="3"/>
    <x v="1"/>
    <n v="2150.94"/>
  </r>
  <r>
    <s v="SALE1814"/>
    <d v="2025-06-24T00:00:00"/>
    <s v="CUST1115"/>
    <s v="PROD12"/>
    <s v="STORE0"/>
    <n v="1"/>
    <n v="281.83"/>
    <n v="0.16"/>
    <s v="COD"/>
    <x v="1"/>
    <x v="16"/>
    <x v="1"/>
    <s v="Hair Strengthening Shampoo - Rice Llc"/>
    <x v="2"/>
    <n v="115.82"/>
    <x v="3"/>
    <x v="1"/>
    <n v="281.66999999999996"/>
  </r>
  <r>
    <s v="SALE1815"/>
    <d v="2024-04-18T00:00:00"/>
    <s v="CUST1204"/>
    <s v="PROD59"/>
    <s v="STORE14"/>
    <n v="1"/>
    <n v="509.08"/>
    <n v="0.04"/>
    <s v="PayPal"/>
    <x v="0"/>
    <x v="45"/>
    <x v="1"/>
    <s v="Men'S Hair Styling Gel - Cline-Mccarthy"/>
    <x v="2"/>
    <n v="17.309999999999999"/>
    <x v="2"/>
    <x v="0"/>
    <n v="509.03999999999996"/>
  </r>
  <r>
    <s v="SALE1816"/>
    <d v="2025-09-30T00:00:00"/>
    <s v="CUST1400"/>
    <s v="PROD96"/>
    <s v="STORE2"/>
    <n v="4"/>
    <n v="827.09"/>
    <n v="0.3"/>
    <s v="Credit Card"/>
    <x v="1"/>
    <x v="15"/>
    <x v="1"/>
    <s v="Women'S Formal Blazer - Phillips And Sons"/>
    <x v="4"/>
    <n v="358.47"/>
    <x v="2"/>
    <x v="0"/>
    <n v="3307.1600000000003"/>
  </r>
  <r>
    <s v="SALE1817"/>
    <d v="2025-10-05T00:00:00"/>
    <s v="CUST1210"/>
    <s v="PROD29"/>
    <s v="STORE4"/>
    <n v="2"/>
    <n v="823.36"/>
    <n v="0.23"/>
    <s v="Credit Card"/>
    <x v="0"/>
    <x v="36"/>
    <x v="2"/>
    <s v="Fabric Sofa Throw Blanket - Hoffman Group"/>
    <x v="3"/>
    <n v="218.48"/>
    <x v="2"/>
    <x v="2"/>
    <n v="1646.26"/>
  </r>
  <r>
    <s v="SALE1818"/>
    <d v="2025-06-06T00:00:00"/>
    <s v="CUST1137"/>
    <s v="PROD26"/>
    <s v="STORE5"/>
    <n v="4"/>
    <n v="282.18"/>
    <n v="0.13"/>
    <s v="COD"/>
    <x v="1"/>
    <x v="31"/>
    <x v="1"/>
    <s v="Wireless Bluetooth Speaker - Reed-Schmidt"/>
    <x v="1"/>
    <n v="322.41000000000003"/>
    <x v="0"/>
    <x v="0"/>
    <n v="1128.2"/>
  </r>
  <r>
    <s v="SALE1819"/>
    <d v="2024-02-01T00:00:00"/>
    <s v="CUST1172"/>
    <s v="PROD21"/>
    <s v="STORE1"/>
    <n v="1"/>
    <n v="486.39"/>
    <n v="0.09"/>
    <s v="COD"/>
    <x v="1"/>
    <x v="35"/>
    <x v="3"/>
    <s v="Multi-Purpose Storage Box - Gardner-Montes"/>
    <x v="3"/>
    <n v="123.46"/>
    <x v="0"/>
    <x v="1"/>
    <n v="486.3"/>
  </r>
  <r>
    <s v="SALE1820"/>
    <d v="2024-01-21T00:00:00"/>
    <s v="CUST1044"/>
    <s v="PROD18"/>
    <s v="STORE3"/>
    <n v="2"/>
    <n v="603.62"/>
    <n v="0.18"/>
    <s v="COD"/>
    <x v="0"/>
    <x v="22"/>
    <x v="3"/>
    <s v="Women'S Denim Jeans - Guerra-Hendrix"/>
    <x v="4"/>
    <n v="245.7783116883117"/>
    <x v="0"/>
    <x v="0"/>
    <n v="1206.8800000000001"/>
  </r>
  <r>
    <s v="SALE1821"/>
    <d v="2024-09-19T00:00:00"/>
    <s v="CUST1147"/>
    <s v="PROD37"/>
    <s v="STORE8"/>
    <n v="3"/>
    <n v="204.17"/>
    <n v="0.1"/>
    <s v="PayPal"/>
    <x v="1"/>
    <x v="41"/>
    <x v="1"/>
    <s v="Men'S Casual Sneakers - Hogan-Lee"/>
    <x v="4"/>
    <n v="353.47"/>
    <x v="1"/>
    <x v="2"/>
    <n v="612.21"/>
  </r>
  <r>
    <s v="SALE1822"/>
    <d v="2024-01-19T00:00:00"/>
    <s v="CUST1137"/>
    <s v="PROD8"/>
    <s v="STORE15"/>
    <n v="1"/>
    <n v="43.58"/>
    <n v="0.01"/>
    <s v="COD"/>
    <x v="1"/>
    <x v="31"/>
    <x v="1"/>
    <s v="Wireless Bluetooth Earbuds - Perez-Johnston"/>
    <x v="1"/>
    <n v="439.07"/>
    <x v="0"/>
    <x v="1"/>
    <n v="43.57"/>
  </r>
  <r>
    <s v="SALE1823"/>
    <d v="2024-10-29T00:00:00"/>
    <s v="CUST1332"/>
    <s v="PROD47"/>
    <s v="STORE2"/>
    <n v="3"/>
    <n v="469.33"/>
    <n v="0.14000000000000001"/>
    <s v="PayPal"/>
    <x v="1"/>
    <x v="22"/>
    <x v="3"/>
    <s v="Makeup Brush Set - Cook Inc"/>
    <x v="2"/>
    <n v="255.04901960784306"/>
    <x v="2"/>
    <x v="0"/>
    <n v="1407.57"/>
  </r>
  <r>
    <s v="SALE1824"/>
    <d v="2025-07-02T00:00:00"/>
    <s v="CUST1209"/>
    <s v="PROD8"/>
    <s v="STORE8"/>
    <n v="4"/>
    <n v="836.23"/>
    <n v="0.12"/>
    <s v="Credit Card"/>
    <x v="1"/>
    <x v="17"/>
    <x v="1"/>
    <s v="Wireless Bluetooth Earbuds - Perez-Johnston"/>
    <x v="1"/>
    <n v="439.07"/>
    <x v="1"/>
    <x v="2"/>
    <n v="3344.44"/>
  </r>
  <r>
    <s v="SALE1825"/>
    <d v="2024-09-14T00:00:00"/>
    <s v="CUST1178"/>
    <s v="PROD67"/>
    <s v="STORE19"/>
    <n v="2"/>
    <n v="661.53"/>
    <n v="0.2"/>
    <s v="PayPal"/>
    <x v="1"/>
    <x v="42"/>
    <x v="3"/>
    <s v="Smart Led Light Strip - Flores-Davis"/>
    <x v="1"/>
    <n v="349.17"/>
    <x v="3"/>
    <x v="2"/>
    <n v="1322.6599999999999"/>
  </r>
  <r>
    <s v="SALE1826"/>
    <d v="2025-09-03T00:00:00"/>
    <s v="CUST1118"/>
    <s v="PROD56"/>
    <s v="STORE16"/>
    <n v="3"/>
    <n v="753.47"/>
    <n v="0.25"/>
    <s v="PayPal"/>
    <x v="0"/>
    <x v="48"/>
    <x v="1"/>
    <s v="Premium Blanket Throw - Hernandez, Kennedy And Porter"/>
    <x v="3"/>
    <n v="461.47"/>
    <x v="1"/>
    <x v="1"/>
    <n v="2259.66"/>
  </r>
  <r>
    <s v="SALE1827"/>
    <d v="2025-01-16T00:00:00"/>
    <s v="CUST1156"/>
    <s v="PROD64"/>
    <s v="STORE0"/>
    <n v="3"/>
    <n v="713.95"/>
    <n v="0"/>
    <s v="Credit Card"/>
    <x v="0"/>
    <x v="16"/>
    <x v="3"/>
    <s v="Matte Lipstick Set - Zhang Inc"/>
    <x v="2"/>
    <n v="299.11"/>
    <x v="3"/>
    <x v="1"/>
    <n v="2141.8500000000004"/>
  </r>
  <r>
    <s v="SALE1828"/>
    <d v="2024-04-13T00:00:00"/>
    <s v="CUST1099"/>
    <s v="PROD11"/>
    <s v="STORE5"/>
    <n v="3"/>
    <n v="596"/>
    <n v="0.28000000000000003"/>
    <s v="COD"/>
    <x v="0"/>
    <x v="3"/>
    <x v="2"/>
    <s v="Hd Smart Tv Stick - Gibson, Hobbs And Weaver"/>
    <x v="1"/>
    <n v="449.4"/>
    <x v="0"/>
    <x v="0"/>
    <n v="1787.16"/>
  </r>
  <r>
    <s v="SALE1829"/>
    <d v="2024-03-28T00:00:00"/>
    <s v="CUST1334"/>
    <s v="PROD9"/>
    <s v="STORE9"/>
    <n v="2"/>
    <n v="169.46"/>
    <n v="0.03"/>
    <s v="PayPal"/>
    <x v="1"/>
    <x v="40"/>
    <x v="2"/>
    <s v="Adjustable Dumbbell Set - Hill Plc"/>
    <x v="0"/>
    <n v="495.72"/>
    <x v="2"/>
    <x v="1"/>
    <n v="338.86"/>
  </r>
  <r>
    <s v="SALE1830"/>
    <d v="2025-07-22T00:00:00"/>
    <s v="CUST1300"/>
    <s v="PROD65"/>
    <s v="STORE14"/>
    <n v="4"/>
    <n v="611.91999999999996"/>
    <n v="0.2"/>
    <s v="PayPal"/>
    <x v="0"/>
    <x v="47"/>
    <x v="2"/>
    <s v="Adjustable Dumbbells 20Kg - Montgomery, Benton And Miller"/>
    <x v="0"/>
    <n v="240.63"/>
    <x v="2"/>
    <x v="0"/>
    <n v="2446.8799999999997"/>
  </r>
  <r>
    <s v="SALE1831"/>
    <d v="2025-02-16T00:00:00"/>
    <s v="CUST1003"/>
    <s v="PROD74"/>
    <s v="STORE15"/>
    <n v="2"/>
    <n v="25.3"/>
    <n v="0.21"/>
    <s v="Credit Card"/>
    <x v="1"/>
    <x v="31"/>
    <x v="3"/>
    <s v="Bluetooth Car Audio System - Bruce-Bowen"/>
    <x v="1"/>
    <n v="403.71"/>
    <x v="0"/>
    <x v="1"/>
    <n v="50.18"/>
  </r>
  <r>
    <s v="SALE1832"/>
    <d v="2024-02-05T00:00:00"/>
    <s v="CUST1433"/>
    <s v="PROD73"/>
    <s v="STORE10"/>
    <n v="4"/>
    <n v="166.93"/>
    <n v="0.02"/>
    <s v="PayPal"/>
    <x v="1"/>
    <x v="14"/>
    <x v="2"/>
    <s v="Shin Guards – Adult - French Ltd"/>
    <x v="0"/>
    <n v="107.06"/>
    <x v="3"/>
    <x v="2"/>
    <n v="667.64"/>
  </r>
  <r>
    <s v="SALE1833"/>
    <d v="2025-03-05T00:00:00"/>
    <s v="CUST1280"/>
    <s v="PROD60"/>
    <s v="STORE11"/>
    <n v="4"/>
    <n v="861.55"/>
    <n v="0.12"/>
    <s v="Credit Card"/>
    <x v="0"/>
    <x v="22"/>
    <x v="3"/>
    <s v="Luxury Perfume Spray - Gibson, Green And Lopez"/>
    <x v="2"/>
    <n v="482.75"/>
    <x v="2"/>
    <x v="2"/>
    <n v="3445.72"/>
  </r>
  <r>
    <s v="SALE1834"/>
    <d v="2025-07-04T00:00:00"/>
    <s v="CUST1360"/>
    <s v="PROD43"/>
    <s v="STORE5"/>
    <n v="3"/>
    <n v="56.17"/>
    <n v="0.01"/>
    <s v="COD"/>
    <x v="0"/>
    <x v="13"/>
    <x v="1"/>
    <s v="Usb External Hard Drive - Robinson Inc"/>
    <x v="1"/>
    <n v="253.33"/>
    <x v="0"/>
    <x v="0"/>
    <n v="168.48000000000002"/>
  </r>
  <r>
    <s v="SALE1835"/>
    <d v="2025-07-24T00:00:00"/>
    <s v="CUST1266"/>
    <s v="PROD15"/>
    <s v="STORE19"/>
    <n v="1"/>
    <n v="582.29"/>
    <n v="0.2"/>
    <s v="Credit Card"/>
    <x v="1"/>
    <x v="27"/>
    <x v="3"/>
    <s v="4K Home Projector - Thomas Llc"/>
    <x v="1"/>
    <n v="465.34"/>
    <x v="3"/>
    <x v="2"/>
    <n v="582.08999999999992"/>
  </r>
  <r>
    <s v="SALE1836"/>
    <d v="2025-01-24T00:00:00"/>
    <s v="CUST1261"/>
    <s v="PROD83"/>
    <s v="STORE0"/>
    <n v="3"/>
    <n v="63.96"/>
    <n v="0.02"/>
    <s v="Credit Card"/>
    <x v="1"/>
    <x v="47"/>
    <x v="2"/>
    <s v="Hydrating Face Cleanser - Butler Group"/>
    <x v="2"/>
    <n v="289.35937499999994"/>
    <x v="3"/>
    <x v="1"/>
    <n v="191.82"/>
  </r>
  <r>
    <s v="SALE1837"/>
    <d v="2024-04-10T00:00:00"/>
    <s v="CUST1065"/>
    <s v="PROD9"/>
    <s v="STORE12"/>
    <n v="1"/>
    <n v="829.83"/>
    <n v="0.26"/>
    <s v="COD"/>
    <x v="1"/>
    <x v="8"/>
    <x v="2"/>
    <s v="Adjustable Dumbbell Set - Hill Plc"/>
    <x v="0"/>
    <n v="495.72"/>
    <x v="0"/>
    <x v="2"/>
    <n v="829.57"/>
  </r>
  <r>
    <s v="SALE1838"/>
    <d v="2024-10-21T00:00:00"/>
    <s v="CUST1370"/>
    <s v="PROD34"/>
    <s v="STORE16"/>
    <n v="2"/>
    <n v="858.15"/>
    <n v="0.03"/>
    <s v="Credit Card"/>
    <x v="0"/>
    <x v="30"/>
    <x v="2"/>
    <s v="Gaming Mechanical Keyboard - Lucero Llc"/>
    <x v="1"/>
    <n v="419.28"/>
    <x v="1"/>
    <x v="1"/>
    <n v="1716.24"/>
  </r>
  <r>
    <s v="SALE1839"/>
    <d v="2024-02-18T00:00:00"/>
    <s v="CUST1359"/>
    <s v="PROD73"/>
    <s v="STORE13"/>
    <n v="3"/>
    <n v="717.32"/>
    <n v="0.23"/>
    <s v="COD"/>
    <x v="0"/>
    <x v="32"/>
    <x v="2"/>
    <s v="Shin Guards – Adult - French Ltd"/>
    <x v="0"/>
    <n v="107.06"/>
    <x v="3"/>
    <x v="1"/>
    <n v="2151.27"/>
  </r>
  <r>
    <s v="SALE1840"/>
    <d v="2025-07-15T00:00:00"/>
    <s v="CUST1428"/>
    <s v="PROD83"/>
    <s v="STORE12"/>
    <n v="1"/>
    <n v="163.19999999999999"/>
    <n v="0.22"/>
    <s v="PayPal"/>
    <x v="1"/>
    <x v="38"/>
    <x v="3"/>
    <s v="Hydrating Face Cleanser - Butler Group"/>
    <x v="2"/>
    <n v="289.35937499999994"/>
    <x v="0"/>
    <x v="2"/>
    <n v="162.97999999999999"/>
  </r>
  <r>
    <s v="SALE1841"/>
    <d v="2024-07-16T00:00:00"/>
    <s v="CUST1126"/>
    <s v="PROD81"/>
    <s v="STORE12"/>
    <n v="2"/>
    <n v="966.71"/>
    <n v="0.11"/>
    <s v="Credit Card"/>
    <x v="1"/>
    <x v="28"/>
    <x v="0"/>
    <s v="Badminton Racket Set - Robinson-Brown"/>
    <x v="0"/>
    <n v="285.54000000000002"/>
    <x v="0"/>
    <x v="2"/>
    <n v="1933.2"/>
  </r>
  <r>
    <s v="SALE1842"/>
    <d v="2025-04-14T00:00:00"/>
    <s v="CUST1348"/>
    <s v="PROD35"/>
    <s v="STORE13"/>
    <n v="2"/>
    <n v="873.94"/>
    <n v="0.14000000000000001"/>
    <s v="COD"/>
    <x v="0"/>
    <x v="2"/>
    <x v="2"/>
    <s v="Bedroom Table Lamp - Jones Llc"/>
    <x v="3"/>
    <n v="382.22"/>
    <x v="3"/>
    <x v="1"/>
    <n v="1747.6000000000001"/>
  </r>
  <r>
    <s v="SALE1843"/>
    <d v="2024-03-28T00:00:00"/>
    <s v="CUST1149"/>
    <s v="PROD0"/>
    <s v="STORE3"/>
    <n v="1"/>
    <n v="140.24"/>
    <n v="0.27"/>
    <s v="Credit Card"/>
    <x v="0"/>
    <x v="26"/>
    <x v="1"/>
    <s v="Brother Laser Printer - Hunt Inc"/>
    <x v="1"/>
    <n v="112.42"/>
    <x v="0"/>
    <x v="0"/>
    <n v="139.97"/>
  </r>
  <r>
    <s v="SALE1844"/>
    <d v="2025-02-28T00:00:00"/>
    <s v="CUST1201"/>
    <s v="PROD43"/>
    <s v="STORE5"/>
    <n v="2"/>
    <n v="549.91999999999996"/>
    <n v="0.28000000000000003"/>
    <s v="Credit Card"/>
    <x v="1"/>
    <x v="20"/>
    <x v="3"/>
    <s v="Usb External Hard Drive - Robinson Inc"/>
    <x v="1"/>
    <n v="253.33"/>
    <x v="0"/>
    <x v="0"/>
    <n v="1099.28"/>
  </r>
  <r>
    <s v="SALE1845"/>
    <d v="2024-03-13T00:00:00"/>
    <s v="CUST1111"/>
    <s v="PROD17"/>
    <s v="STORE5"/>
    <n v="4"/>
    <n v="715.88"/>
    <n v="0.19"/>
    <s v="PayPal"/>
    <x v="1"/>
    <x v="28"/>
    <x v="1"/>
    <s v="Soccer Training Cone Set - Ford, Murphy And Wilson"/>
    <x v="0"/>
    <n v="144.53"/>
    <x v="0"/>
    <x v="0"/>
    <n v="2862.7599999999998"/>
  </r>
  <r>
    <s v="SALE1846"/>
    <d v="2025-04-05T00:00:00"/>
    <s v="CUST1371"/>
    <s v="PROD2"/>
    <s v="STORE8"/>
    <n v="3"/>
    <n v="591.9"/>
    <n v="0.27"/>
    <s v="Credit Card"/>
    <x v="1"/>
    <x v="21"/>
    <x v="1"/>
    <s v="Women'S Casual Hoodie - Sims Inc"/>
    <x v="4"/>
    <n v="254.62086956521742"/>
    <x v="1"/>
    <x v="2"/>
    <n v="1774.8899999999999"/>
  </r>
  <r>
    <s v="SALE1847"/>
    <d v="2025-08-14T00:00:00"/>
    <s v="CUST1375"/>
    <s v="PROD22"/>
    <s v="STORE10"/>
    <n v="2"/>
    <n v="523.14"/>
    <n v="0.13"/>
    <s v="PayPal"/>
    <x v="0"/>
    <x v="46"/>
    <x v="1"/>
    <s v="Carbon Fiber Tennis Racket - Flores, Pineda And Rodriguez"/>
    <x v="0"/>
    <n v="484.62"/>
    <x v="3"/>
    <x v="2"/>
    <n v="1046.02"/>
  </r>
  <r>
    <s v="SALE1848"/>
    <d v="2024-07-04T00:00:00"/>
    <s v="CUST1226"/>
    <s v="PROD69"/>
    <s v="STORE14"/>
    <n v="2"/>
    <n v="478.62"/>
    <n v="0.17"/>
    <s v="COD"/>
    <x v="0"/>
    <x v="41"/>
    <x v="0"/>
    <s v="Men'S Sports Shorts - Fitzpatrick Ltd"/>
    <x v="4"/>
    <n v="218.22"/>
    <x v="2"/>
    <x v="0"/>
    <n v="956.9"/>
  </r>
  <r>
    <s v="SALE1849"/>
    <d v="2024-09-21T00:00:00"/>
    <s v="CUST1299"/>
    <s v="PROD82"/>
    <s v="STORE1"/>
    <n v="4"/>
    <n v="740.5"/>
    <n v="0.17"/>
    <s v="PayPal"/>
    <x v="1"/>
    <x v="38"/>
    <x v="1"/>
    <s v="Fitness Resistance Bands - Reese-Watson"/>
    <x v="0"/>
    <n v="152.91999999999999"/>
    <x v="0"/>
    <x v="1"/>
    <n v="2961.32"/>
  </r>
  <r>
    <s v="SALE1850"/>
    <d v="2024-06-22T00:00:00"/>
    <s v="CUST1112"/>
    <s v="PROD46"/>
    <s v="STORE2"/>
    <n v="1"/>
    <n v="780.24"/>
    <n v="0.04"/>
    <s v="COD"/>
    <x v="1"/>
    <x v="20"/>
    <x v="2"/>
    <s v="Men'S Winter Jacket - Kelly, Smith And Perez"/>
    <x v="4"/>
    <n v="167.34"/>
    <x v="2"/>
    <x v="0"/>
    <n v="780.2"/>
  </r>
  <r>
    <s v="SALE1851"/>
    <d v="2024-09-17T00:00:00"/>
    <s v="CUST1107"/>
    <s v="PROD70"/>
    <s v="STORE16"/>
    <n v="4"/>
    <n v="579.24"/>
    <n v="0.04"/>
    <s v="COD"/>
    <x v="1"/>
    <x v="16"/>
    <x v="1"/>
    <s v="Kitchen Storage Rack - Duran Group"/>
    <x v="3"/>
    <n v="138.05000000000001"/>
    <x v="1"/>
    <x v="1"/>
    <n v="2316.8000000000002"/>
  </r>
  <r>
    <s v="SALE1852"/>
    <d v="2024-12-09T00:00:00"/>
    <s v="CUST1371"/>
    <s v="PROD1"/>
    <s v="STORE2"/>
    <n v="3"/>
    <n v="268.95"/>
    <n v="0.04"/>
    <s v="PayPal"/>
    <x v="1"/>
    <x v="21"/>
    <x v="1"/>
    <s v="Men'S Graphic T-Shirt - Terry-Moore"/>
    <x v="4"/>
    <n v="342.56"/>
    <x v="2"/>
    <x v="0"/>
    <n v="806.7299999999999"/>
  </r>
  <r>
    <s v="SALE1853"/>
    <d v="2025-03-24T00:00:00"/>
    <s v="CUST1305"/>
    <s v="PROD5"/>
    <s v="STORE4"/>
    <n v="1"/>
    <n v="47.47"/>
    <n v="0.28000000000000003"/>
    <s v="Credit Card"/>
    <x v="0"/>
    <x v="7"/>
    <x v="1"/>
    <s v="Men'S Leather Belt - Baldwin, Garza And Gonzalez"/>
    <x v="4"/>
    <n v="261"/>
    <x v="2"/>
    <x v="2"/>
    <n v="47.19"/>
  </r>
  <r>
    <s v="SALE1854"/>
    <d v="2025-05-19T00:00:00"/>
    <s v="CUST1257"/>
    <s v="PROD33"/>
    <s v="STORE17"/>
    <n v="3"/>
    <n v="858.81"/>
    <n v="7.0000000000000007E-2"/>
    <s v="Credit Card"/>
    <x v="0"/>
    <x v="43"/>
    <x v="2"/>
    <s v="Modern Wall Clock - Weiss-Watson"/>
    <x v="3"/>
    <n v="179.77"/>
    <x v="0"/>
    <x v="1"/>
    <n v="2576.2199999999998"/>
  </r>
  <r>
    <s v="SALE1855"/>
    <d v="2025-02-22T00:00:00"/>
    <s v="CUST1310"/>
    <s v="PROD19"/>
    <s v="STORE10"/>
    <n v="3"/>
    <n v="569.98"/>
    <n v="0.05"/>
    <s v="Credit Card"/>
    <x v="0"/>
    <x v="1"/>
    <x v="2"/>
    <s v="Knee Support Brace - May-Reese"/>
    <x v="0"/>
    <n v="21.34"/>
    <x v="3"/>
    <x v="2"/>
    <n v="1709.7900000000002"/>
  </r>
  <r>
    <s v="SALE1856"/>
    <d v="2024-10-31T00:00:00"/>
    <s v="CUST1327"/>
    <s v="PROD74"/>
    <s v="STORE12"/>
    <n v="3"/>
    <n v="306.52"/>
    <n v="0.01"/>
    <s v="COD"/>
    <x v="1"/>
    <x v="14"/>
    <x v="3"/>
    <s v="Bluetooth Car Audio System - Bruce-Bowen"/>
    <x v="1"/>
    <n v="403.71"/>
    <x v="0"/>
    <x v="2"/>
    <n v="919.53"/>
  </r>
  <r>
    <s v="SALE1857"/>
    <d v="2024-03-03T00:00:00"/>
    <s v="CUST1064"/>
    <s v="PROD56"/>
    <s v="STORE13"/>
    <n v="3"/>
    <n v="184.67"/>
    <n v="0.03"/>
    <s v="COD"/>
    <x v="0"/>
    <x v="28"/>
    <x v="0"/>
    <s v="Premium Blanket Throw - Hernandez, Kennedy And Porter"/>
    <x v="3"/>
    <n v="461.47"/>
    <x v="3"/>
    <x v="1"/>
    <n v="553.91999999999996"/>
  </r>
  <r>
    <s v="SALE1858"/>
    <d v="2024-05-16T00:00:00"/>
    <s v="CUST1482"/>
    <s v="PROD26"/>
    <s v="STORE5"/>
    <n v="4"/>
    <n v="189.56"/>
    <n v="0"/>
    <s v="COD"/>
    <x v="0"/>
    <x v="27"/>
    <x v="1"/>
    <s v="Wireless Bluetooth Speaker - Reed-Schmidt"/>
    <x v="1"/>
    <n v="322.41000000000003"/>
    <x v="0"/>
    <x v="0"/>
    <n v="758.24"/>
  </r>
  <r>
    <s v="SALE1859"/>
    <d v="2024-08-07T00:00:00"/>
    <s v="CUST1208"/>
    <s v="PROD75"/>
    <s v="STORE5"/>
    <n v="1"/>
    <n v="805.24"/>
    <n v="0.04"/>
    <s v="PayPal"/>
    <x v="0"/>
    <x v="38"/>
    <x v="1"/>
    <s v="Women'S Ankle Boots - Poole Plc"/>
    <x v="4"/>
    <n v="158.13999999999999"/>
    <x v="0"/>
    <x v="0"/>
    <n v="805.2"/>
  </r>
  <r>
    <s v="SALE1860"/>
    <d v="2024-09-14T00:00:00"/>
    <s v="CUST1188"/>
    <s v="PROD54"/>
    <s v="STORE17"/>
    <n v="3"/>
    <n v="683.74"/>
    <n v="0.24"/>
    <s v="Credit Card"/>
    <x v="0"/>
    <x v="23"/>
    <x v="2"/>
    <s v="Sports Stopwatch Pro - Thompson-French"/>
    <x v="0"/>
    <n v="434.84"/>
    <x v="0"/>
    <x v="1"/>
    <n v="2050.5"/>
  </r>
  <r>
    <s v="SALE1861"/>
    <d v="2024-10-08T00:00:00"/>
    <s v="CUST1210"/>
    <s v="PROD56"/>
    <s v="STORE18"/>
    <n v="3"/>
    <n v="439.21"/>
    <n v="0.28000000000000003"/>
    <s v="COD"/>
    <x v="0"/>
    <x v="36"/>
    <x v="2"/>
    <s v="Premium Blanket Throw - Hernandez, Kennedy And Porter"/>
    <x v="3"/>
    <n v="461.47"/>
    <x v="3"/>
    <x v="1"/>
    <n v="1316.79"/>
  </r>
  <r>
    <s v="SALE1862"/>
    <d v="2025-09-04T00:00:00"/>
    <s v="CUST1119"/>
    <s v="PROD66"/>
    <s v="STORE6"/>
    <n v="1"/>
    <n v="126.92"/>
    <n v="0.24"/>
    <s v="COD"/>
    <x v="0"/>
    <x v="3"/>
    <x v="3"/>
    <s v="Women'S Hair Dryer Brush - Torres, Spencer And Potter"/>
    <x v="2"/>
    <n v="340.39"/>
    <x v="3"/>
    <x v="2"/>
    <n v="126.68"/>
  </r>
  <r>
    <s v="SALE1863"/>
    <d v="2024-07-16T00:00:00"/>
    <s v="CUST1004"/>
    <s v="PROD73"/>
    <s v="STORE4"/>
    <n v="4"/>
    <n v="834.7"/>
    <n v="0.14000000000000001"/>
    <s v="Credit Card"/>
    <x v="1"/>
    <x v="24"/>
    <x v="2"/>
    <s v="Shin Guards – Adult - French Ltd"/>
    <x v="0"/>
    <n v="107.06"/>
    <x v="2"/>
    <x v="2"/>
    <n v="3338.2400000000002"/>
  </r>
  <r>
    <s v="SALE1864"/>
    <d v="2025-09-09T00:00:00"/>
    <s v="CUST1341"/>
    <s v="PROD42"/>
    <s v="STORE11"/>
    <n v="2"/>
    <n v="271.88"/>
    <n v="0.11"/>
    <s v="COD"/>
    <x v="1"/>
    <x v="49"/>
    <x v="3"/>
    <s v="Smart Home Wifi Camera - Holmes Llc"/>
    <x v="1"/>
    <n v="450.71"/>
    <x v="2"/>
    <x v="2"/>
    <n v="543.54"/>
  </r>
  <r>
    <s v="SALE1865"/>
    <d v="2025-03-04T00:00:00"/>
    <s v="CUST1480"/>
    <s v="PROD11"/>
    <s v="STORE1"/>
    <n v="4"/>
    <n v="972.14"/>
    <n v="0.25"/>
    <s v="Credit Card"/>
    <x v="0"/>
    <x v="26"/>
    <x v="3"/>
    <s v="Hd Smart Tv Stick - Gibson, Hobbs And Weaver"/>
    <x v="1"/>
    <n v="449.4"/>
    <x v="0"/>
    <x v="1"/>
    <n v="3887.56"/>
  </r>
  <r>
    <s v="SALE1866"/>
    <d v="2025-06-23T00:00:00"/>
    <s v="CUST1093"/>
    <s v="PROD43"/>
    <s v="STORE4"/>
    <n v="3"/>
    <n v="523.66"/>
    <n v="0.27"/>
    <s v="PayPal"/>
    <x v="1"/>
    <x v="42"/>
    <x v="0"/>
    <s v="Usb External Hard Drive - Robinson Inc"/>
    <x v="1"/>
    <n v="253.33"/>
    <x v="2"/>
    <x v="2"/>
    <n v="1570.17"/>
  </r>
  <r>
    <s v="SALE1867"/>
    <d v="2024-11-06T00:00:00"/>
    <s v="CUST1148"/>
    <s v="PROD64"/>
    <s v="STORE2"/>
    <n v="4"/>
    <n v="838.99"/>
    <n v="0.16"/>
    <s v="Credit Card"/>
    <x v="1"/>
    <x v="18"/>
    <x v="3"/>
    <s v="Matte Lipstick Set - Zhang Inc"/>
    <x v="2"/>
    <n v="299.11"/>
    <x v="2"/>
    <x v="0"/>
    <n v="3355.32"/>
  </r>
  <r>
    <s v="SALE1868"/>
    <d v="2025-03-06T00:00:00"/>
    <s v="CUST1135"/>
    <s v="PROD11"/>
    <s v="STORE17"/>
    <n v="4"/>
    <n v="838.7"/>
    <n v="0.21"/>
    <s v="COD"/>
    <x v="1"/>
    <x v="20"/>
    <x v="1"/>
    <s v="Hd Smart Tv Stick - Gibson, Hobbs And Weaver"/>
    <x v="1"/>
    <n v="449.4"/>
    <x v="0"/>
    <x v="1"/>
    <n v="3353.96"/>
  </r>
  <r>
    <s v="SALE1869"/>
    <d v="2025-05-17T00:00:00"/>
    <s v="CUST1420"/>
    <s v="PROD74"/>
    <s v="STORE8"/>
    <n v="3"/>
    <n v="943.24"/>
    <n v="0.21"/>
    <s v="Credit Card"/>
    <x v="0"/>
    <x v="29"/>
    <x v="3"/>
    <s v="Bluetooth Car Audio System - Bruce-Bowen"/>
    <x v="1"/>
    <n v="403.71"/>
    <x v="1"/>
    <x v="2"/>
    <n v="2829.09"/>
  </r>
  <r>
    <s v="SALE1870"/>
    <d v="2025-01-02T00:00:00"/>
    <s v="CUST1299"/>
    <s v="PROD0"/>
    <s v="STORE17"/>
    <n v="2"/>
    <n v="310.33"/>
    <n v="0.26"/>
    <s v="Credit Card"/>
    <x v="1"/>
    <x v="38"/>
    <x v="1"/>
    <s v="Brother Laser Printer - Hunt Inc"/>
    <x v="1"/>
    <n v="112.42"/>
    <x v="0"/>
    <x v="1"/>
    <n v="620.14"/>
  </r>
  <r>
    <s v="SALE1871"/>
    <d v="2024-07-28T00:00:00"/>
    <s v="CUST1346"/>
    <s v="PROD45"/>
    <s v="STORE0"/>
    <n v="3"/>
    <n v="201.05"/>
    <n v="0.23"/>
    <s v="PayPal"/>
    <x v="1"/>
    <x v="3"/>
    <x v="1"/>
    <s v="High-Grip Football - Bridges, Banks And Cummings"/>
    <x v="0"/>
    <n v="318.91000000000003"/>
    <x v="3"/>
    <x v="1"/>
    <n v="602.46"/>
  </r>
  <r>
    <s v="SALE1872"/>
    <d v="2024-04-26T00:00:00"/>
    <s v="CUST1252"/>
    <s v="PROD58"/>
    <s v="STORE17"/>
    <n v="1"/>
    <n v="803.37"/>
    <n v="0.3"/>
    <s v="PayPal"/>
    <x v="0"/>
    <x v="34"/>
    <x v="2"/>
    <s v="Womens Cotton Scarf - Shepherd-Gould"/>
    <x v="4"/>
    <n v="113.83"/>
    <x v="0"/>
    <x v="1"/>
    <n v="803.07"/>
  </r>
  <r>
    <s v="SALE1873"/>
    <d v="2025-08-17T00:00:00"/>
    <s v="CUST1036"/>
    <s v="PROD61"/>
    <s v="STORE15"/>
    <n v="3"/>
    <n v="259.98"/>
    <n v="7.0000000000000007E-2"/>
    <s v="COD"/>
    <x v="1"/>
    <x v="36"/>
    <x v="0"/>
    <s v="Tennis Ball 3-Pack - Lopez Llc"/>
    <x v="0"/>
    <n v="103.45"/>
    <x v="0"/>
    <x v="1"/>
    <n v="779.73"/>
  </r>
  <r>
    <s v="SALE1874"/>
    <d v="2024-05-14T00:00:00"/>
    <s v="CUST1124"/>
    <s v="PROD2"/>
    <s v="STORE3"/>
    <n v="4"/>
    <n v="591.9"/>
    <n v="0.2"/>
    <s v="PayPal"/>
    <x v="0"/>
    <x v="49"/>
    <x v="3"/>
    <s v="Women'S Casual Hoodie - Sims Inc"/>
    <x v="4"/>
    <n v="254.62086956521742"/>
    <x v="0"/>
    <x v="0"/>
    <n v="2366.7999999999997"/>
  </r>
  <r>
    <s v="SALE1875"/>
    <d v="2025-03-14T00:00:00"/>
    <s v="CUST1031"/>
    <s v="PROD60"/>
    <s v="STORE12"/>
    <n v="2"/>
    <n v="396.9"/>
    <n v="0.18"/>
    <s v="PayPal"/>
    <x v="0"/>
    <x v="47"/>
    <x v="2"/>
    <s v="Luxury Perfume Spray - Gibson, Green And Lopez"/>
    <x v="2"/>
    <n v="482.75"/>
    <x v="0"/>
    <x v="2"/>
    <n v="793.43999999999994"/>
  </r>
  <r>
    <s v="SALE1876"/>
    <d v="2025-03-15T00:00:00"/>
    <s v="CUST1453"/>
    <s v="PROD98"/>
    <s v="STORE2"/>
    <n v="1"/>
    <n v="176.84"/>
    <n v="0.19"/>
    <s v="Credit Card"/>
    <x v="1"/>
    <x v="22"/>
    <x v="1"/>
    <s v="Portable Bluetooth Speaker - Flores-King"/>
    <x v="1"/>
    <n v="431.67"/>
    <x v="2"/>
    <x v="0"/>
    <n v="176.65"/>
  </r>
  <r>
    <s v="SALE1877"/>
    <d v="2023-12-12T00:00:00"/>
    <s v="CUST1254"/>
    <s v="PROD26"/>
    <s v="STORE0"/>
    <n v="2"/>
    <n v="614.21"/>
    <n v="0.11"/>
    <s v="PayPal"/>
    <x v="0"/>
    <x v="41"/>
    <x v="2"/>
    <s v="Wireless Bluetooth Speaker - Reed-Schmidt"/>
    <x v="1"/>
    <n v="322.41000000000003"/>
    <x v="3"/>
    <x v="1"/>
    <n v="1228.2"/>
  </r>
  <r>
    <s v="SALE1878"/>
    <d v="2024-10-19T00:00:00"/>
    <s v="CUST1108"/>
    <s v="PROD3"/>
    <s v="STORE7"/>
    <n v="3"/>
    <n v="604.66"/>
    <n v="0.18"/>
    <s v="COD"/>
    <x v="0"/>
    <x v="21"/>
    <x v="3"/>
    <s v="Men'S Running Jacket - Pineda Ltd"/>
    <x v="4"/>
    <n v="364.67"/>
    <x v="2"/>
    <x v="2"/>
    <n v="1813.44"/>
  </r>
  <r>
    <s v="SALE1879"/>
    <d v="2024-08-30T00:00:00"/>
    <s v="CUST1498"/>
    <s v="PROD2"/>
    <s v="STORE12"/>
    <n v="3"/>
    <n v="24.29"/>
    <n v="0.12"/>
    <s v="PayPal"/>
    <x v="0"/>
    <x v="23"/>
    <x v="2"/>
    <s v="Women'S Casual Hoodie - Sims Inc"/>
    <x v="4"/>
    <n v="254.62086956521742"/>
    <x v="0"/>
    <x v="2"/>
    <n v="72.509999999999991"/>
  </r>
  <r>
    <s v="SALE1880"/>
    <d v="2024-07-09T00:00:00"/>
    <s v="CUST1121"/>
    <s v="PROD63"/>
    <s v="STORE11"/>
    <n v="1"/>
    <n v="503.95"/>
    <n v="0.24"/>
    <s v="PayPal"/>
    <x v="0"/>
    <x v="22"/>
    <x v="1"/>
    <s v="Organic Sunscreen Lotion - Anderson-Riley"/>
    <x v="2"/>
    <n v="266.86"/>
    <x v="2"/>
    <x v="2"/>
    <n v="503.71"/>
  </r>
  <r>
    <s v="SALE1881"/>
    <d v="2024-07-02T00:00:00"/>
    <s v="CUST1319"/>
    <s v="PROD51"/>
    <s v="STORE14"/>
    <n v="4"/>
    <n v="860.78"/>
    <n v="0.03"/>
    <s v="Credit Card"/>
    <x v="0"/>
    <x v="25"/>
    <x v="1"/>
    <s v="Hdmi Cable – 2M - Bautista, Green And Hale"/>
    <x v="1"/>
    <n v="88.49"/>
    <x v="2"/>
    <x v="0"/>
    <n v="3443"/>
  </r>
  <r>
    <s v="SALE1882"/>
    <d v="2023-11-04T00:00:00"/>
    <s v="CUST1197"/>
    <s v="PROD42"/>
    <s v="STORE3"/>
    <n v="3"/>
    <n v="41.97"/>
    <n v="0.03"/>
    <s v="COD"/>
    <x v="1"/>
    <x v="46"/>
    <x v="1"/>
    <s v="Smart Home Wifi Camera - Holmes Llc"/>
    <x v="1"/>
    <n v="450.71"/>
    <x v="0"/>
    <x v="0"/>
    <n v="125.82"/>
  </r>
  <r>
    <s v="SALE1883"/>
    <d v="2024-04-15T00:00:00"/>
    <s v="CUST1033"/>
    <s v="PROD15"/>
    <s v="STORE5"/>
    <n v="1"/>
    <n v="649.59"/>
    <n v="0.12"/>
    <s v="COD"/>
    <x v="0"/>
    <x v="15"/>
    <x v="1"/>
    <s v="4K Home Projector - Thomas Llc"/>
    <x v="1"/>
    <n v="465.34"/>
    <x v="0"/>
    <x v="0"/>
    <n v="649.47"/>
  </r>
  <r>
    <s v="SALE1884"/>
    <d v="2024-07-29T00:00:00"/>
    <s v="CUST1053"/>
    <s v="PROD63"/>
    <s v="STORE9"/>
    <n v="2"/>
    <n v="386.09"/>
    <n v="0.19"/>
    <s v="PayPal"/>
    <x v="1"/>
    <x v="20"/>
    <x v="0"/>
    <s v="Organic Sunscreen Lotion - Anderson-Riley"/>
    <x v="2"/>
    <n v="266.86"/>
    <x v="2"/>
    <x v="1"/>
    <n v="771.8"/>
  </r>
  <r>
    <s v="SALE1885"/>
    <d v="2024-12-18T00:00:00"/>
    <s v="CUST1099"/>
    <s v="PROD51"/>
    <s v="STORE12"/>
    <n v="1"/>
    <n v="891.62"/>
    <n v="0.06"/>
    <s v="PayPal"/>
    <x v="0"/>
    <x v="3"/>
    <x v="2"/>
    <s v="Hdmi Cable – 2M - Bautista, Green And Hale"/>
    <x v="1"/>
    <n v="88.49"/>
    <x v="0"/>
    <x v="2"/>
    <n v="891.56000000000006"/>
  </r>
  <r>
    <s v="SALE1886"/>
    <d v="2024-11-21T00:00:00"/>
    <s v="CUST1381"/>
    <s v="PROD64"/>
    <s v="STORE15"/>
    <n v="2"/>
    <n v="558.9"/>
    <n v="0.05"/>
    <s v="COD"/>
    <x v="0"/>
    <x v="4"/>
    <x v="2"/>
    <s v="Matte Lipstick Set - Zhang Inc"/>
    <x v="2"/>
    <n v="299.11"/>
    <x v="0"/>
    <x v="1"/>
    <n v="1117.7"/>
  </r>
  <r>
    <s v="SALE1887"/>
    <d v="2025-05-20T00:00:00"/>
    <s v="CUST1352"/>
    <s v="PROD1"/>
    <s v="STORE3"/>
    <n v="2"/>
    <n v="99.04"/>
    <n v="0.26"/>
    <s v="COD"/>
    <x v="1"/>
    <x v="18"/>
    <x v="2"/>
    <s v="Men'S Graphic T-Shirt - Terry-Moore"/>
    <x v="4"/>
    <n v="342.56"/>
    <x v="0"/>
    <x v="0"/>
    <n v="197.56"/>
  </r>
  <r>
    <s v="SALE1888"/>
    <d v="2025-03-24T00:00:00"/>
    <s v="CUST1291"/>
    <s v="PROD3"/>
    <s v="STORE8"/>
    <n v="4"/>
    <n v="625.13"/>
    <n v="0.06"/>
    <s v="Credit Card"/>
    <x v="1"/>
    <x v="6"/>
    <x v="3"/>
    <s v="Men'S Running Jacket - Pineda Ltd"/>
    <x v="4"/>
    <n v="364.67"/>
    <x v="1"/>
    <x v="2"/>
    <n v="2500.2800000000002"/>
  </r>
  <r>
    <s v="SALE1889"/>
    <d v="2025-06-16T00:00:00"/>
    <s v="CUST1036"/>
    <s v="PROD40"/>
    <s v="STORE18"/>
    <n v="4"/>
    <n v="38.380000000000003"/>
    <n v="0.16"/>
    <s v="COD"/>
    <x v="1"/>
    <x v="36"/>
    <x v="0"/>
    <s v="Noise-Canceling Headphones - Taylor-Hart"/>
    <x v="1"/>
    <n v="38.520000000000003"/>
    <x v="3"/>
    <x v="1"/>
    <n v="152.88000000000002"/>
  </r>
  <r>
    <s v="SALE1890"/>
    <d v="2024-04-22T00:00:00"/>
    <s v="CUST1492"/>
    <s v="PROD94"/>
    <s v="STORE10"/>
    <n v="4"/>
    <n v="731.72"/>
    <n v="0.22"/>
    <s v="COD"/>
    <x v="1"/>
    <x v="26"/>
    <x v="1"/>
    <s v="Vitamin E Body Lotion - Hoffman-Williams"/>
    <x v="2"/>
    <n v="358.47"/>
    <x v="3"/>
    <x v="2"/>
    <n v="2926"/>
  </r>
  <r>
    <s v="SALE1891"/>
    <d v="2025-09-16T00:00:00"/>
    <s v="CUST1457"/>
    <s v="PROD81"/>
    <s v="STORE19"/>
    <n v="3"/>
    <n v="825.33"/>
    <n v="0.21"/>
    <s v="Credit Card"/>
    <x v="0"/>
    <x v="27"/>
    <x v="1"/>
    <s v="Badminton Racket Set - Robinson-Brown"/>
    <x v="0"/>
    <n v="285.54000000000002"/>
    <x v="3"/>
    <x v="2"/>
    <n v="2475.36"/>
  </r>
  <r>
    <s v="SALE1892"/>
    <d v="2023-12-09T00:00:00"/>
    <s v="CUST1059"/>
    <s v="PROD70"/>
    <s v="STORE14"/>
    <n v="2"/>
    <n v="47.3"/>
    <n v="0.01"/>
    <s v="PayPal"/>
    <x v="0"/>
    <x v="10"/>
    <x v="1"/>
    <s v="Kitchen Storage Rack - Duran Group"/>
    <x v="3"/>
    <n v="138.05000000000001"/>
    <x v="2"/>
    <x v="0"/>
    <n v="94.58"/>
  </r>
  <r>
    <s v="SALE1893"/>
    <d v="2024-07-20T00:00:00"/>
    <s v="CUST1171"/>
    <s v="PROD72"/>
    <s v="STORE17"/>
    <n v="1"/>
    <n v="389.12"/>
    <n v="0.18"/>
    <s v="PayPal"/>
    <x v="1"/>
    <x v="30"/>
    <x v="1"/>
    <s v="Professional Jump Rope - Davis Plc"/>
    <x v="0"/>
    <n v="477.61"/>
    <x v="0"/>
    <x v="1"/>
    <n v="388.94"/>
  </r>
  <r>
    <s v="SALE1894"/>
    <d v="2024-09-23T00:00:00"/>
    <s v="CUST1458"/>
    <s v="PROD82"/>
    <s v="STORE18"/>
    <n v="3"/>
    <n v="543.83000000000004"/>
    <n v="0.05"/>
    <s v="Credit Card"/>
    <x v="1"/>
    <x v="2"/>
    <x v="2"/>
    <s v="Fitness Resistance Bands - Reese-Watson"/>
    <x v="0"/>
    <n v="152.91999999999999"/>
    <x v="3"/>
    <x v="1"/>
    <n v="1631.3400000000001"/>
  </r>
  <r>
    <s v="SALE1895"/>
    <d v="2024-05-11T00:00:00"/>
    <s v="CUST1024"/>
    <s v="PROD14"/>
    <s v="STORE1"/>
    <n v="2"/>
    <n v="660.27"/>
    <n v="0.01"/>
    <s v="PayPal"/>
    <x v="0"/>
    <x v="12"/>
    <x v="1"/>
    <s v="Decorative Wall Mirror - Luna, Anderson And Bowman"/>
    <x v="3"/>
    <n v="48.01"/>
    <x v="0"/>
    <x v="1"/>
    <n v="1320.52"/>
  </r>
  <r>
    <s v="SALE1896"/>
    <d v="2025-05-03T00:00:00"/>
    <s v="CUST1434"/>
    <s v="PROD13"/>
    <s v="STORE8"/>
    <n v="4"/>
    <n v="729.31"/>
    <n v="0.03"/>
    <s v="Credit Card"/>
    <x v="1"/>
    <x v="30"/>
    <x v="0"/>
    <s v="Usb-C Fast Charger - Dawson-Perkins"/>
    <x v="1"/>
    <n v="242.23"/>
    <x v="1"/>
    <x v="2"/>
    <n v="2917.12"/>
  </r>
  <r>
    <s v="SALE1897"/>
    <d v="2024-02-23T00:00:00"/>
    <s v="CUST1421"/>
    <s v="PROD87"/>
    <s v="STORE6"/>
    <n v="2"/>
    <n v="152.91"/>
    <n v="0.24"/>
    <s v="PayPal"/>
    <x v="1"/>
    <x v="7"/>
    <x v="1"/>
    <s v="Led Bedside Lamp - Aguilar, Horton And Lewis"/>
    <x v="3"/>
    <n v="371.38"/>
    <x v="3"/>
    <x v="2"/>
    <n v="305.33999999999997"/>
  </r>
  <r>
    <s v="SALE1898"/>
    <d v="2024-02-22T00:00:00"/>
    <s v="CUST1461"/>
    <s v="PROD74"/>
    <s v="STORE15"/>
    <n v="4"/>
    <n v="592.14"/>
    <n v="0.12"/>
    <s v="COD"/>
    <x v="1"/>
    <x v="32"/>
    <x v="2"/>
    <s v="Bluetooth Car Audio System - Bruce-Bowen"/>
    <x v="1"/>
    <n v="403.71"/>
    <x v="0"/>
    <x v="1"/>
    <n v="2368.08"/>
  </r>
  <r>
    <s v="SALE1899"/>
    <d v="2024-08-21T00:00:00"/>
    <s v="CUST1062"/>
    <s v="PROD78"/>
    <s v="STORE12"/>
    <n v="1"/>
    <n v="984.37"/>
    <n v="0"/>
    <s v="PayPal"/>
    <x v="0"/>
    <x v="23"/>
    <x v="3"/>
    <s v="Essential Oil Diffuser - Hernandez Inc"/>
    <x v="3"/>
    <n v="325.26"/>
    <x v="0"/>
    <x v="2"/>
    <n v="984.37"/>
  </r>
  <r>
    <s v="SALE1900"/>
    <d v="2024-02-07T00:00:00"/>
    <s v="CUST1292"/>
    <s v="PROD1"/>
    <s v="STORE12"/>
    <n v="2"/>
    <n v="237.59"/>
    <n v="0.12"/>
    <s v="Credit Card"/>
    <x v="0"/>
    <x v="46"/>
    <x v="2"/>
    <s v="Men'S Graphic T-Shirt - Terry-Moore"/>
    <x v="4"/>
    <n v="342.56"/>
    <x v="0"/>
    <x v="2"/>
    <n v="474.94"/>
  </r>
  <r>
    <s v="SALE1901"/>
    <d v="2023-11-20T00:00:00"/>
    <s v="CUST1431"/>
    <s v="PROD25"/>
    <s v="STORE8"/>
    <n v="1"/>
    <n v="52.06"/>
    <n v="0.27"/>
    <s v="COD"/>
    <x v="0"/>
    <x v="24"/>
    <x v="1"/>
    <s v="Women'S Scarf Set - Brown And Sons"/>
    <x v="4"/>
    <n v="174.02"/>
    <x v="1"/>
    <x v="2"/>
    <n v="51.79"/>
  </r>
  <r>
    <s v="SALE1902"/>
    <d v="2025-02-03T00:00:00"/>
    <s v="CUST1455"/>
    <s v="PROD3"/>
    <s v="STORE1"/>
    <n v="2"/>
    <n v="594.63"/>
    <n v="0.12"/>
    <s v="Credit Card"/>
    <x v="0"/>
    <x v="49"/>
    <x v="0"/>
    <s v="Men'S Running Jacket - Pineda Ltd"/>
    <x v="4"/>
    <n v="364.67"/>
    <x v="0"/>
    <x v="1"/>
    <n v="1189.02"/>
  </r>
  <r>
    <s v="SALE1903"/>
    <d v="2024-12-18T00:00:00"/>
    <s v="CUST1167"/>
    <s v="PROD3"/>
    <s v="STORE0"/>
    <n v="3"/>
    <n v="476.1"/>
    <n v="0.05"/>
    <s v="COD"/>
    <x v="1"/>
    <x v="3"/>
    <x v="0"/>
    <s v="Men'S Running Jacket - Pineda Ltd"/>
    <x v="4"/>
    <n v="364.67"/>
    <x v="3"/>
    <x v="1"/>
    <n v="1428.15"/>
  </r>
  <r>
    <s v="SALE1904"/>
    <d v="2024-08-10T00:00:00"/>
    <s v="CUST1061"/>
    <s v="PROD61"/>
    <s v="STORE6"/>
    <n v="1"/>
    <n v="546.47"/>
    <n v="0.08"/>
    <s v="COD"/>
    <x v="0"/>
    <x v="6"/>
    <x v="2"/>
    <s v="Tennis Ball 3-Pack - Lopez Llc"/>
    <x v="0"/>
    <n v="103.45"/>
    <x v="3"/>
    <x v="2"/>
    <n v="546.39"/>
  </r>
  <r>
    <s v="SALE1905"/>
    <d v="2025-04-13T00:00:00"/>
    <s v="CUST1176"/>
    <s v="PROD75"/>
    <s v="STORE12"/>
    <n v="1"/>
    <n v="979.49"/>
    <n v="0.19"/>
    <s v="COD"/>
    <x v="0"/>
    <x v="1"/>
    <x v="2"/>
    <s v="Women'S Ankle Boots - Poole Plc"/>
    <x v="4"/>
    <n v="158.13999999999999"/>
    <x v="0"/>
    <x v="2"/>
    <n v="979.3"/>
  </r>
  <r>
    <s v="SALE1906"/>
    <d v="2023-12-29T00:00:00"/>
    <s v="CUST1193"/>
    <s v="PROD17"/>
    <s v="STORE2"/>
    <n v="3"/>
    <n v="988.53"/>
    <n v="0.3"/>
    <s v="COD"/>
    <x v="0"/>
    <x v="36"/>
    <x v="0"/>
    <s v="Soccer Training Cone Set - Ford, Murphy And Wilson"/>
    <x v="0"/>
    <n v="144.53"/>
    <x v="2"/>
    <x v="0"/>
    <n v="2964.69"/>
  </r>
  <r>
    <s v="SALE1907"/>
    <d v="2025-02-16T00:00:00"/>
    <s v="CUST1255"/>
    <s v="PROD76"/>
    <s v="STORE3"/>
    <n v="4"/>
    <n v="849.29"/>
    <n v="0.26"/>
    <s v="Credit Card"/>
    <x v="0"/>
    <x v="31"/>
    <x v="0"/>
    <s v="Wireless Mouse - Larson Ltd"/>
    <x v="1"/>
    <n v="392.89"/>
    <x v="0"/>
    <x v="0"/>
    <n v="3396.12"/>
  </r>
  <r>
    <s v="SALE1908"/>
    <d v="2024-01-27T00:00:00"/>
    <s v="CUST1343"/>
    <s v="PROD95"/>
    <s v="STORE14"/>
    <n v="2"/>
    <n v="452.29"/>
    <n v="0.01"/>
    <s v="COD"/>
    <x v="0"/>
    <x v="45"/>
    <x v="3"/>
    <s v="Sports Stopwatch Basic - Wilson Group"/>
    <x v="0"/>
    <n v="60.65"/>
    <x v="2"/>
    <x v="0"/>
    <n v="904.56000000000006"/>
  </r>
  <r>
    <s v="SALE1909"/>
    <d v="2024-07-22T00:00:00"/>
    <s v="CUST1445"/>
    <s v="PROD54"/>
    <s v="STORE18"/>
    <n v="2"/>
    <n v="810.81"/>
    <n v="0.11"/>
    <s v="COD"/>
    <x v="1"/>
    <x v="45"/>
    <x v="1"/>
    <s v="Sports Stopwatch Pro - Thompson-French"/>
    <x v="0"/>
    <n v="434.84"/>
    <x v="3"/>
    <x v="1"/>
    <n v="1621.3999999999999"/>
  </r>
  <r>
    <s v="SALE1910"/>
    <d v="2024-09-25T00:00:00"/>
    <s v="CUST1031"/>
    <s v="PROD61"/>
    <s v="STORE8"/>
    <n v="1"/>
    <n v="846.67"/>
    <n v="0.1"/>
    <s v="COD"/>
    <x v="0"/>
    <x v="47"/>
    <x v="2"/>
    <s v="Tennis Ball 3-Pack - Lopez Llc"/>
    <x v="0"/>
    <n v="103.45"/>
    <x v="1"/>
    <x v="2"/>
    <n v="846.56999999999994"/>
  </r>
  <r>
    <s v="SALE1911"/>
    <d v="2024-03-16T00:00:00"/>
    <s v="CUST1017"/>
    <s v="PROD24"/>
    <s v="STORE6"/>
    <n v="4"/>
    <n v="73.55"/>
    <n v="0.24"/>
    <s v="COD"/>
    <x v="1"/>
    <x v="36"/>
    <x v="1"/>
    <s v="Foldable Camping Chair - Cook Ltd"/>
    <x v="0"/>
    <n v="166.06"/>
    <x v="3"/>
    <x v="2"/>
    <n v="293.24"/>
  </r>
  <r>
    <s v="SALE1912"/>
    <d v="2025-07-23T00:00:00"/>
    <s v="CUST1278"/>
    <s v="PROD92"/>
    <s v="STORE6"/>
    <n v="1"/>
    <n v="882.03"/>
    <n v="0.04"/>
    <s v="COD"/>
    <x v="1"/>
    <x v="5"/>
    <x v="1"/>
    <s v="Microwave Oven - Green, Powell And Palmer"/>
    <x v="3"/>
    <n v="447.43"/>
    <x v="3"/>
    <x v="2"/>
    <n v="881.99"/>
  </r>
  <r>
    <s v="SALE1913"/>
    <d v="2024-10-24T00:00:00"/>
    <s v="CUST1008"/>
    <s v="PROD22"/>
    <s v="STORE14"/>
    <n v="1"/>
    <n v="958.44"/>
    <n v="0.21"/>
    <s v="Credit Card"/>
    <x v="1"/>
    <x v="21"/>
    <x v="0"/>
    <s v="Carbon Fiber Tennis Racket - Flores, Pineda And Rodriguez"/>
    <x v="0"/>
    <n v="484.62"/>
    <x v="2"/>
    <x v="0"/>
    <n v="958.23"/>
  </r>
  <r>
    <s v="SALE1914"/>
    <d v="2024-09-25T00:00:00"/>
    <s v="CUST1008"/>
    <s v="PROD99"/>
    <s v="STORE2"/>
    <n v="1"/>
    <n v="716.29"/>
    <n v="0.01"/>
    <s v="PayPal"/>
    <x v="1"/>
    <x v="21"/>
    <x v="0"/>
    <s v="Stainless Steel Cookware Set - Campbell Ltd"/>
    <x v="3"/>
    <n v="201.41"/>
    <x v="2"/>
    <x v="0"/>
    <n v="716.28"/>
  </r>
  <r>
    <s v="SALE1915"/>
    <d v="2024-04-26T00:00:00"/>
    <s v="CUST1323"/>
    <s v="PROD9"/>
    <s v="STORE16"/>
    <n v="2"/>
    <n v="409.14"/>
    <n v="0.01"/>
    <s v="PayPal"/>
    <x v="1"/>
    <x v="29"/>
    <x v="1"/>
    <s v="Adjustable Dumbbell Set - Hill Plc"/>
    <x v="0"/>
    <n v="495.72"/>
    <x v="1"/>
    <x v="1"/>
    <n v="818.26"/>
  </r>
  <r>
    <s v="SALE1916"/>
    <d v="2025-02-26T00:00:00"/>
    <s v="CUST1084"/>
    <s v="PROD99"/>
    <s v="STORE9"/>
    <n v="4"/>
    <n v="261.73"/>
    <n v="0.1"/>
    <s v="PayPal"/>
    <x v="1"/>
    <x v="30"/>
    <x v="1"/>
    <s v="Stainless Steel Cookware Set - Campbell Ltd"/>
    <x v="3"/>
    <n v="201.41"/>
    <x v="2"/>
    <x v="1"/>
    <n v="1046.52"/>
  </r>
  <r>
    <s v="SALE1917"/>
    <d v="2025-01-04T00:00:00"/>
    <s v="CUST1466"/>
    <s v="PROD12"/>
    <s v="STORE0"/>
    <n v="2"/>
    <n v="687.35"/>
    <n v="0.2"/>
    <s v="COD"/>
    <x v="0"/>
    <x v="46"/>
    <x v="2"/>
    <s v="Hair Strengthening Shampoo - Rice Llc"/>
    <x v="2"/>
    <n v="115.82"/>
    <x v="3"/>
    <x v="1"/>
    <n v="1374.3"/>
  </r>
  <r>
    <s v="SALE1918"/>
    <d v="2025-09-21T00:00:00"/>
    <s v="CUST1207"/>
    <s v="PROD84"/>
    <s v="STORE8"/>
    <n v="2"/>
    <n v="30.14"/>
    <n v="0.21"/>
    <s v="Credit Card"/>
    <x v="1"/>
    <x v="19"/>
    <x v="3"/>
    <s v="Wooden Bookshelf - Collins-Stephenson"/>
    <x v="3"/>
    <n v="388.46"/>
    <x v="1"/>
    <x v="2"/>
    <n v="59.86"/>
  </r>
  <r>
    <s v="SALE1919"/>
    <d v="2024-12-25T00:00:00"/>
    <s v="CUST1099"/>
    <s v="PROD34"/>
    <s v="STORE8"/>
    <n v="3"/>
    <n v="570.12"/>
    <n v="0.12"/>
    <s v="PayPal"/>
    <x v="0"/>
    <x v="3"/>
    <x v="2"/>
    <s v="Gaming Mechanical Keyboard - Lucero Llc"/>
    <x v="1"/>
    <n v="419.28"/>
    <x v="1"/>
    <x v="2"/>
    <n v="1710"/>
  </r>
  <r>
    <s v="SALE1920"/>
    <d v="2025-08-14T00:00:00"/>
    <s v="CUST1281"/>
    <s v="PROD77"/>
    <s v="STORE19"/>
    <n v="3"/>
    <n v="401.87"/>
    <n v="0.28999999999999998"/>
    <s v="COD"/>
    <x v="0"/>
    <x v="40"/>
    <x v="1"/>
    <s v="Wifi Mesh Router - White, Reeves And Woods"/>
    <x v="1"/>
    <n v="480.9"/>
    <x v="3"/>
    <x v="2"/>
    <n v="1204.74"/>
  </r>
  <r>
    <s v="SALE1921"/>
    <d v="2024-11-28T00:00:00"/>
    <s v="CUST1496"/>
    <s v="PROD79"/>
    <s v="STORE12"/>
    <n v="4"/>
    <n v="619.35"/>
    <n v="0.3"/>
    <s v="Credit Card"/>
    <x v="0"/>
    <x v="31"/>
    <x v="3"/>
    <s v="Decorative Lamp Shade - Ramirez-Hanson"/>
    <x v="3"/>
    <n v="228.53"/>
    <x v="0"/>
    <x v="2"/>
    <n v="2476.2000000000003"/>
  </r>
  <r>
    <s v="SALE1922"/>
    <d v="2023-12-16T00:00:00"/>
    <s v="CUST1247"/>
    <s v="PROD46"/>
    <s v="STORE17"/>
    <n v="4"/>
    <n v="569.36"/>
    <n v="0.27"/>
    <s v="PayPal"/>
    <x v="0"/>
    <x v="21"/>
    <x v="1"/>
    <s v="Men'S Winter Jacket - Kelly, Smith And Perez"/>
    <x v="4"/>
    <n v="167.34"/>
    <x v="0"/>
    <x v="1"/>
    <n v="2276.36"/>
  </r>
  <r>
    <s v="SALE1923"/>
    <d v="2024-02-22T00:00:00"/>
    <s v="CUST1476"/>
    <s v="PROD27"/>
    <s v="STORE4"/>
    <n v="2"/>
    <n v="846.35"/>
    <n v="0.3"/>
    <s v="COD"/>
    <x v="1"/>
    <x v="15"/>
    <x v="0"/>
    <s v="Decorative Floor Vase - Khan, Jones And Paul"/>
    <x v="3"/>
    <n v="250.02157142857135"/>
    <x v="2"/>
    <x v="2"/>
    <n v="1692.1000000000001"/>
  </r>
  <r>
    <s v="SALE1924"/>
    <d v="2025-07-11T00:00:00"/>
    <s v="CUST1434"/>
    <s v="PROD30"/>
    <s v="STORE2"/>
    <n v="1"/>
    <n v="788.45"/>
    <n v="0.28999999999999998"/>
    <s v="PayPal"/>
    <x v="1"/>
    <x v="30"/>
    <x v="0"/>
    <s v="Stainless Steel Cutlery Set - Stevens, Fernandez And Martin"/>
    <x v="3"/>
    <n v="19.52"/>
    <x v="2"/>
    <x v="0"/>
    <n v="788.16000000000008"/>
  </r>
  <r>
    <s v="SALE1925"/>
    <d v="2025-08-11T00:00:00"/>
    <s v="CUST1360"/>
    <s v="PROD35"/>
    <s v="STORE12"/>
    <n v="2"/>
    <n v="338.81"/>
    <n v="7.0000000000000007E-2"/>
    <s v="COD"/>
    <x v="0"/>
    <x v="13"/>
    <x v="1"/>
    <s v="Bedroom Table Lamp - Jones Llc"/>
    <x v="3"/>
    <n v="382.22"/>
    <x v="0"/>
    <x v="2"/>
    <n v="677.48"/>
  </r>
  <r>
    <s v="SALE1926"/>
    <d v="2025-09-07T00:00:00"/>
    <s v="CUST1026"/>
    <s v="PROD14"/>
    <s v="STORE5"/>
    <n v="4"/>
    <n v="94.48"/>
    <n v="0.06"/>
    <s v="COD"/>
    <x v="1"/>
    <x v="6"/>
    <x v="0"/>
    <s v="Decorative Wall Mirror - Luna, Anderson And Bowman"/>
    <x v="3"/>
    <n v="48.01"/>
    <x v="0"/>
    <x v="0"/>
    <n v="377.68"/>
  </r>
  <r>
    <s v="SALE1927"/>
    <d v="2024-09-10T00:00:00"/>
    <s v="CUST1477"/>
    <s v="PROD19"/>
    <s v="STORE13"/>
    <n v="3"/>
    <n v="941.85"/>
    <n v="0.16"/>
    <s v="PayPal"/>
    <x v="1"/>
    <x v="32"/>
    <x v="1"/>
    <s v="Knee Support Brace - May-Reese"/>
    <x v="0"/>
    <n v="21.34"/>
    <x v="3"/>
    <x v="1"/>
    <n v="2825.07"/>
  </r>
  <r>
    <s v="SALE1928"/>
    <d v="2023-11-27T00:00:00"/>
    <s v="CUST1161"/>
    <s v="PROD45"/>
    <s v="STORE5"/>
    <n v="2"/>
    <n v="336.97"/>
    <n v="0.14000000000000001"/>
    <s v="PayPal"/>
    <x v="1"/>
    <x v="28"/>
    <x v="2"/>
    <s v="High-Grip Football - Bridges, Banks And Cummings"/>
    <x v="0"/>
    <n v="318.91000000000003"/>
    <x v="0"/>
    <x v="0"/>
    <n v="673.66000000000008"/>
  </r>
  <r>
    <s v="SALE1929"/>
    <d v="2024-06-23T00:00:00"/>
    <s v="CUST1310"/>
    <s v="PROD5"/>
    <s v="STORE5"/>
    <n v="2"/>
    <n v="344.16"/>
    <n v="0.09"/>
    <s v="PayPal"/>
    <x v="0"/>
    <x v="1"/>
    <x v="2"/>
    <s v="Men'S Leather Belt - Baldwin, Garza And Gonzalez"/>
    <x v="4"/>
    <n v="261"/>
    <x v="0"/>
    <x v="0"/>
    <n v="688.1400000000001"/>
  </r>
  <r>
    <s v="SALE1930"/>
    <d v="2025-07-09T00:00:00"/>
    <s v="CUST1300"/>
    <s v="PROD48"/>
    <s v="STORE9"/>
    <n v="1"/>
    <n v="841.53"/>
    <n v="0.15"/>
    <s v="Credit Card"/>
    <x v="0"/>
    <x v="47"/>
    <x v="2"/>
    <s v="Car Dashboard Phone Holder - Byrd, Stewart And Valdez"/>
    <x v="1"/>
    <n v="177.98"/>
    <x v="2"/>
    <x v="1"/>
    <n v="841.38"/>
  </r>
  <r>
    <s v="SALE1931"/>
    <d v="2025-06-17T00:00:00"/>
    <s v="CUST1424"/>
    <s v="PROD83"/>
    <s v="STORE17"/>
    <n v="3"/>
    <n v="63.36"/>
    <n v="0.28999999999999998"/>
    <s v="COD"/>
    <x v="0"/>
    <x v="29"/>
    <x v="3"/>
    <s v="Hydrating Face Cleanser - Butler Group"/>
    <x v="2"/>
    <n v="289.35937499999994"/>
    <x v="0"/>
    <x v="1"/>
    <n v="189.21"/>
  </r>
  <r>
    <s v="SALE1932"/>
    <d v="2025-07-01T00:00:00"/>
    <s v="CUST1496"/>
    <s v="PROD78"/>
    <s v="STORE8"/>
    <n v="2"/>
    <n v="552.49"/>
    <n v="0.1"/>
    <s v="Credit Card"/>
    <x v="0"/>
    <x v="31"/>
    <x v="3"/>
    <s v="Essential Oil Diffuser - Hernandez Inc"/>
    <x v="3"/>
    <n v="325.26"/>
    <x v="1"/>
    <x v="2"/>
    <n v="1104.78"/>
  </r>
  <r>
    <s v="SALE1933"/>
    <d v="2025-03-04T00:00:00"/>
    <s v="CUST1236"/>
    <s v="PROD24"/>
    <s v="STORE6"/>
    <n v="3"/>
    <n v="447.38"/>
    <n v="0.03"/>
    <s v="Credit Card"/>
    <x v="1"/>
    <x v="45"/>
    <x v="3"/>
    <s v="Foldable Camping Chair - Cook Ltd"/>
    <x v="0"/>
    <n v="166.06"/>
    <x v="3"/>
    <x v="2"/>
    <n v="1342.0500000000002"/>
  </r>
  <r>
    <s v="SALE1934"/>
    <d v="2023-11-20T00:00:00"/>
    <s v="CUST1450"/>
    <s v="PROD73"/>
    <s v="STORE19"/>
    <n v="1"/>
    <n v="727.7"/>
    <n v="0.21"/>
    <s v="COD"/>
    <x v="0"/>
    <x v="48"/>
    <x v="3"/>
    <s v="Shin Guards – Adult - French Ltd"/>
    <x v="0"/>
    <n v="107.06"/>
    <x v="3"/>
    <x v="2"/>
    <n v="727.49"/>
  </r>
  <r>
    <s v="SALE1935"/>
    <d v="2023-11-28T00:00:00"/>
    <s v="CUST1436"/>
    <s v="PROD51"/>
    <s v="STORE7"/>
    <n v="4"/>
    <n v="581.34"/>
    <n v="0.08"/>
    <s v="Credit Card"/>
    <x v="0"/>
    <x v="34"/>
    <x v="0"/>
    <s v="Hdmi Cable – 2M - Bautista, Green And Hale"/>
    <x v="1"/>
    <n v="88.49"/>
    <x v="2"/>
    <x v="2"/>
    <n v="2325.04"/>
  </r>
  <r>
    <s v="SALE1936"/>
    <d v="2025-05-16T00:00:00"/>
    <s v="CUST1096"/>
    <s v="PROD66"/>
    <s v="STORE1"/>
    <n v="1"/>
    <n v="338.83"/>
    <n v="0.19"/>
    <s v="PayPal"/>
    <x v="1"/>
    <x v="38"/>
    <x v="1"/>
    <s v="Women'S Hair Dryer Brush - Torres, Spencer And Potter"/>
    <x v="2"/>
    <n v="340.39"/>
    <x v="0"/>
    <x v="1"/>
    <n v="338.64"/>
  </r>
  <r>
    <s v="SALE1937"/>
    <d v="2023-12-05T00:00:00"/>
    <s v="CUST1285"/>
    <s v="PROD49"/>
    <s v="STORE13"/>
    <n v="4"/>
    <n v="568.80999999999995"/>
    <n v="0.25"/>
    <s v="Credit Card"/>
    <x v="1"/>
    <x v="43"/>
    <x v="2"/>
    <s v="Men'S Roll-On Perfume - Sullivan And Sons"/>
    <x v="2"/>
    <n v="43.29"/>
    <x v="3"/>
    <x v="1"/>
    <n v="2274.2399999999998"/>
  </r>
  <r>
    <s v="SALE1938"/>
    <d v="2024-11-11T00:00:00"/>
    <s v="CUST1375"/>
    <s v="PROD61"/>
    <s v="STORE17"/>
    <n v="2"/>
    <n v="352.63"/>
    <n v="0.15"/>
    <s v="PayPal"/>
    <x v="0"/>
    <x v="46"/>
    <x v="1"/>
    <s v="Tennis Ball 3-Pack - Lopez Llc"/>
    <x v="0"/>
    <n v="103.45"/>
    <x v="0"/>
    <x v="1"/>
    <n v="704.96"/>
  </r>
  <r>
    <s v="SALE1939"/>
    <d v="2024-03-31T00:00:00"/>
    <s v="CUST1156"/>
    <s v="PROD96"/>
    <s v="STORE13"/>
    <n v="2"/>
    <n v="629.86"/>
    <n v="0.15"/>
    <s v="PayPal"/>
    <x v="0"/>
    <x v="16"/>
    <x v="3"/>
    <s v="Women'S Formal Blazer - Phillips And Sons"/>
    <x v="4"/>
    <n v="358.47"/>
    <x v="3"/>
    <x v="1"/>
    <n v="1259.42"/>
  </r>
  <r>
    <s v="SALE1940"/>
    <d v="2025-05-16T00:00:00"/>
    <s v="CUST1493"/>
    <s v="PROD98"/>
    <s v="STORE3"/>
    <n v="3"/>
    <n v="212.08"/>
    <n v="7.0000000000000007E-2"/>
    <s v="Credit Card"/>
    <x v="0"/>
    <x v="4"/>
    <x v="2"/>
    <s v="Portable Bluetooth Speaker - Flores-King"/>
    <x v="1"/>
    <n v="431.67"/>
    <x v="0"/>
    <x v="0"/>
    <n v="636.03000000000009"/>
  </r>
  <r>
    <s v="SALE1941"/>
    <d v="2024-10-25T00:00:00"/>
    <s v="CUST1161"/>
    <s v="PROD57"/>
    <s v="STORE2"/>
    <n v="3"/>
    <n v="878.62"/>
    <n v="0.05"/>
    <s v="PayPal"/>
    <x v="1"/>
    <x v="28"/>
    <x v="2"/>
    <s v="Foam Roller - Atkinson, Camacho And Oliver"/>
    <x v="0"/>
    <n v="30.62"/>
    <x v="2"/>
    <x v="0"/>
    <n v="2635.71"/>
  </r>
  <r>
    <s v="SALE1942"/>
    <d v="2025-01-22T00:00:00"/>
    <s v="CUST1261"/>
    <s v="PROD80"/>
    <s v="STORE10"/>
    <n v="4"/>
    <n v="87.83"/>
    <n v="0.23"/>
    <s v="PayPal"/>
    <x v="1"/>
    <x v="47"/>
    <x v="2"/>
    <s v="Wall-Mounted Spice Rack - Allison Ltd"/>
    <x v="3"/>
    <n v="143.43"/>
    <x v="3"/>
    <x v="2"/>
    <n v="350.4"/>
  </r>
  <r>
    <s v="SALE1943"/>
    <d v="2025-06-06T00:00:00"/>
    <s v="CUST1275"/>
    <s v="PROD56"/>
    <s v="STORE9"/>
    <n v="3"/>
    <n v="442.64"/>
    <n v="0.15"/>
    <s v="COD"/>
    <x v="0"/>
    <x v="27"/>
    <x v="0"/>
    <s v="Premium Blanket Throw - Hernandez, Kennedy And Porter"/>
    <x v="3"/>
    <n v="461.47"/>
    <x v="2"/>
    <x v="1"/>
    <n v="1327.47"/>
  </r>
  <r>
    <s v="SALE1944"/>
    <d v="2025-05-18T00:00:00"/>
    <s v="CUST1093"/>
    <s v="PROD38"/>
    <s v="STORE2"/>
    <n v="3"/>
    <n v="410.04"/>
    <n v="0.09"/>
    <s v="COD"/>
    <x v="1"/>
    <x v="42"/>
    <x v="0"/>
    <s v="Sports Water Hydration Pack - Sims-Smith"/>
    <x v="0"/>
    <n v="135.61000000000001"/>
    <x v="2"/>
    <x v="0"/>
    <n v="1229.8500000000001"/>
  </r>
  <r>
    <s v="SALE1945"/>
    <d v="2025-05-20T00:00:00"/>
    <s v="CUST1133"/>
    <s v="PROD94"/>
    <s v="STORE17"/>
    <n v="1"/>
    <n v="355.31"/>
    <n v="0.27"/>
    <s v="Credit Card"/>
    <x v="1"/>
    <x v="26"/>
    <x v="3"/>
    <s v="Vitamin E Body Lotion - Hoffman-Williams"/>
    <x v="2"/>
    <n v="358.47"/>
    <x v="0"/>
    <x v="1"/>
    <n v="355.04"/>
  </r>
  <r>
    <s v="SALE1946"/>
    <d v="2024-11-11T00:00:00"/>
    <s v="CUST1376"/>
    <s v="PROD9"/>
    <s v="STORE13"/>
    <n v="4"/>
    <n v="243.13"/>
    <n v="0.25"/>
    <s v="COD"/>
    <x v="0"/>
    <x v="40"/>
    <x v="3"/>
    <s v="Adjustable Dumbbell Set - Hill Plc"/>
    <x v="0"/>
    <n v="495.72"/>
    <x v="3"/>
    <x v="1"/>
    <n v="971.52"/>
  </r>
  <r>
    <s v="SALE1947"/>
    <d v="2024-11-18T00:00:00"/>
    <s v="CUST1229"/>
    <s v="PROD59"/>
    <s v="STORE11"/>
    <n v="2"/>
    <n v="410.63"/>
    <n v="0.28000000000000003"/>
    <s v="COD"/>
    <x v="1"/>
    <x v="33"/>
    <x v="3"/>
    <s v="Men'S Hair Styling Gel - Cline-Mccarthy"/>
    <x v="2"/>
    <n v="17.309999999999999"/>
    <x v="2"/>
    <x v="2"/>
    <n v="820.7"/>
  </r>
  <r>
    <s v="SALE1948"/>
    <d v="2024-01-02T00:00:00"/>
    <s v="CUST1425"/>
    <s v="PROD94"/>
    <s v="STORE10"/>
    <n v="4"/>
    <n v="101.25"/>
    <n v="0.16"/>
    <s v="PayPal"/>
    <x v="0"/>
    <x v="39"/>
    <x v="3"/>
    <s v="Vitamin E Body Lotion - Hoffman-Williams"/>
    <x v="2"/>
    <n v="358.47"/>
    <x v="3"/>
    <x v="2"/>
    <n v="404.36"/>
  </r>
  <r>
    <s v="SALE1949"/>
    <d v="2024-01-10T00:00:00"/>
    <s v="CUST1226"/>
    <s v="PROD7"/>
    <s v="STORE17"/>
    <n v="4"/>
    <n v="716.39"/>
    <n v="0.03"/>
    <s v="PayPal"/>
    <x v="0"/>
    <x v="41"/>
    <x v="0"/>
    <s v="Led Table Lamp - Harrell Llc"/>
    <x v="3"/>
    <n v="218.86"/>
    <x v="0"/>
    <x v="1"/>
    <n v="2865.44"/>
  </r>
  <r>
    <s v="SALE1950"/>
    <d v="2024-01-20T00:00:00"/>
    <s v="CUST1094"/>
    <s v="PROD73"/>
    <s v="STORE1"/>
    <n v="1"/>
    <n v="721.74"/>
    <n v="0.24"/>
    <s v="PayPal"/>
    <x v="1"/>
    <x v="8"/>
    <x v="0"/>
    <s v="Shin Guards – Adult - French Ltd"/>
    <x v="0"/>
    <n v="107.06"/>
    <x v="0"/>
    <x v="1"/>
    <n v="721.5"/>
  </r>
  <r>
    <s v="SALE1951"/>
    <d v="2025-02-14T00:00:00"/>
    <s v="CUST1054"/>
    <s v="PROD62"/>
    <s v="STORE11"/>
    <n v="2"/>
    <n v="527.91"/>
    <n v="0.02"/>
    <s v="Credit Card"/>
    <x v="0"/>
    <x v="15"/>
    <x v="1"/>
    <s v="Laptop Cooling Pad - Murray, Gould And Ware"/>
    <x v="1"/>
    <n v="86.42"/>
    <x v="2"/>
    <x v="2"/>
    <n v="1055.78"/>
  </r>
  <r>
    <s v="SALE1952"/>
    <d v="2024-08-21T00:00:00"/>
    <s v="CUST1319"/>
    <s v="PROD52"/>
    <s v="STORE13"/>
    <n v="2"/>
    <n v="945.92"/>
    <n v="0.19"/>
    <s v="COD"/>
    <x v="0"/>
    <x v="25"/>
    <x v="1"/>
    <s v="Rugby Ball - Harris Inc"/>
    <x v="0"/>
    <n v="212.26"/>
    <x v="3"/>
    <x v="1"/>
    <n v="1891.4599999999998"/>
  </r>
  <r>
    <s v="SALE1953"/>
    <d v="2025-05-03T00:00:00"/>
    <s v="CUST1081"/>
    <s v="PROD56"/>
    <s v="STORE17"/>
    <n v="2"/>
    <n v="981.35"/>
    <n v="0.16"/>
    <s v="PayPal"/>
    <x v="1"/>
    <x v="28"/>
    <x v="1"/>
    <s v="Premium Blanket Throw - Hernandez, Kennedy And Porter"/>
    <x v="3"/>
    <n v="461.47"/>
    <x v="0"/>
    <x v="1"/>
    <n v="1962.38"/>
  </r>
  <r>
    <s v="SALE1954"/>
    <d v="2025-06-11T00:00:00"/>
    <s v="CUST1223"/>
    <s v="PROD59"/>
    <s v="STORE3"/>
    <n v="1"/>
    <n v="913.99"/>
    <n v="0.14000000000000001"/>
    <s v="Credit Card"/>
    <x v="0"/>
    <x v="9"/>
    <x v="1"/>
    <s v="Men'S Hair Styling Gel - Cline-Mccarthy"/>
    <x v="2"/>
    <n v="17.309999999999999"/>
    <x v="0"/>
    <x v="0"/>
    <n v="913.85"/>
  </r>
  <r>
    <s v="SALE1955"/>
    <d v="2025-07-25T00:00:00"/>
    <s v="CUST1011"/>
    <s v="PROD66"/>
    <s v="STORE8"/>
    <n v="4"/>
    <n v="270.69"/>
    <n v="0.18"/>
    <s v="PayPal"/>
    <x v="1"/>
    <x v="14"/>
    <x v="0"/>
    <s v="Women'S Hair Dryer Brush - Torres, Spencer And Potter"/>
    <x v="2"/>
    <n v="340.39"/>
    <x v="1"/>
    <x v="2"/>
    <n v="1082.04"/>
  </r>
  <r>
    <s v="SALE1956"/>
    <d v="2025-01-30T00:00:00"/>
    <s v="CUST1161"/>
    <s v="PROD77"/>
    <s v="STORE6"/>
    <n v="3"/>
    <n v="998.58"/>
    <n v="0.02"/>
    <s v="Credit Card"/>
    <x v="1"/>
    <x v="28"/>
    <x v="2"/>
    <s v="Wifi Mesh Router - White, Reeves And Woods"/>
    <x v="1"/>
    <n v="480.9"/>
    <x v="3"/>
    <x v="2"/>
    <n v="2995.6800000000003"/>
  </r>
  <r>
    <s v="SALE1957"/>
    <d v="2025-05-29T00:00:00"/>
    <s v="CUST1456"/>
    <s v="PROD37"/>
    <s v="STORE9"/>
    <n v="3"/>
    <n v="765.12"/>
    <n v="0.18"/>
    <s v="Credit Card"/>
    <x v="1"/>
    <x v="13"/>
    <x v="0"/>
    <s v="Men'S Casual Sneakers - Hogan-Lee"/>
    <x v="4"/>
    <n v="353.47"/>
    <x v="2"/>
    <x v="1"/>
    <n v="2294.8200000000002"/>
  </r>
  <r>
    <s v="SALE1958"/>
    <d v="2023-10-17T00:00:00"/>
    <s v="CUST1072"/>
    <s v="PROD64"/>
    <s v="STORE19"/>
    <n v="3"/>
    <n v="449.99"/>
    <n v="0.17"/>
    <s v="COD"/>
    <x v="1"/>
    <x v="9"/>
    <x v="0"/>
    <s v="Matte Lipstick Set - Zhang Inc"/>
    <x v="2"/>
    <n v="299.11"/>
    <x v="3"/>
    <x v="2"/>
    <n v="1349.46"/>
  </r>
  <r>
    <s v="SALE1959"/>
    <d v="2024-12-13T00:00:00"/>
    <s v="CUST1252"/>
    <s v="PROD43"/>
    <s v="STORE11"/>
    <n v="2"/>
    <n v="249.02"/>
    <n v="0.01"/>
    <s v="COD"/>
    <x v="0"/>
    <x v="34"/>
    <x v="2"/>
    <s v="Usb External Hard Drive - Robinson Inc"/>
    <x v="1"/>
    <n v="253.33"/>
    <x v="2"/>
    <x v="2"/>
    <n v="498.02000000000004"/>
  </r>
  <r>
    <s v="SALE1960"/>
    <d v="2024-06-11T00:00:00"/>
    <s v="CUST1137"/>
    <s v="PROD57"/>
    <s v="STORE19"/>
    <n v="3"/>
    <n v="223.64"/>
    <n v="0.05"/>
    <s v="Credit Card"/>
    <x v="1"/>
    <x v="31"/>
    <x v="1"/>
    <s v="Foam Roller - Atkinson, Camacho And Oliver"/>
    <x v="0"/>
    <n v="30.62"/>
    <x v="3"/>
    <x v="2"/>
    <n v="670.77"/>
  </r>
  <r>
    <s v="SALE1961"/>
    <d v="2025-10-04T00:00:00"/>
    <s v="CUST1106"/>
    <s v="PROD24"/>
    <s v="STORE4"/>
    <n v="2"/>
    <n v="92.94"/>
    <n v="0.12"/>
    <s v="Credit Card"/>
    <x v="1"/>
    <x v="5"/>
    <x v="3"/>
    <s v="Foldable Camping Chair - Cook Ltd"/>
    <x v="0"/>
    <n v="166.06"/>
    <x v="2"/>
    <x v="2"/>
    <n v="185.64"/>
  </r>
  <r>
    <s v="SALE1962"/>
    <d v="2024-04-19T00:00:00"/>
    <s v="CUST1361"/>
    <s v="PROD16"/>
    <s v="STORE2"/>
    <n v="4"/>
    <n v="268.3"/>
    <n v="0.02"/>
    <s v="COD"/>
    <x v="0"/>
    <x v="30"/>
    <x v="1"/>
    <s v="Beard Grooming Kit - Erickson-Green"/>
    <x v="2"/>
    <n v="337.42"/>
    <x v="2"/>
    <x v="0"/>
    <n v="1073.1200000000001"/>
  </r>
  <r>
    <s v="SALE1963"/>
    <d v="2025-04-23T00:00:00"/>
    <s v="CUST1442"/>
    <s v="PROD59"/>
    <s v="STORE19"/>
    <n v="4"/>
    <n v="835.61"/>
    <n v="0.03"/>
    <s v="Credit Card"/>
    <x v="1"/>
    <x v="47"/>
    <x v="3"/>
    <s v="Men'S Hair Styling Gel - Cline-Mccarthy"/>
    <x v="2"/>
    <n v="17.309999999999999"/>
    <x v="3"/>
    <x v="2"/>
    <n v="3342.32"/>
  </r>
  <r>
    <s v="SALE1964"/>
    <d v="2024-04-23T00:00:00"/>
    <s v="CUST1382"/>
    <s v="PROD68"/>
    <s v="STORE5"/>
    <n v="3"/>
    <n v="120.97"/>
    <n v="0.11"/>
    <s v="Credit Card"/>
    <x v="1"/>
    <x v="24"/>
    <x v="0"/>
    <s v="Wooden Nightstand - Wolfe, Ross And Hester"/>
    <x v="3"/>
    <n v="243.7"/>
    <x v="0"/>
    <x v="0"/>
    <n v="362.58"/>
  </r>
  <r>
    <s v="SALE1965"/>
    <d v="2024-05-12T00:00:00"/>
    <s v="CUST1030"/>
    <s v="PROD40"/>
    <s v="STORE9"/>
    <n v="2"/>
    <n v="26.36"/>
    <n v="0.03"/>
    <s v="COD"/>
    <x v="1"/>
    <x v="2"/>
    <x v="3"/>
    <s v="Noise-Canceling Headphones - Taylor-Hart"/>
    <x v="1"/>
    <n v="38.520000000000003"/>
    <x v="2"/>
    <x v="1"/>
    <n v="52.66"/>
  </r>
  <r>
    <s v="SALE1966"/>
    <d v="2025-08-12T00:00:00"/>
    <s v="CUST1033"/>
    <s v="PROD77"/>
    <s v="STORE6"/>
    <n v="1"/>
    <n v="918.87"/>
    <n v="0.11"/>
    <s v="PayPal"/>
    <x v="0"/>
    <x v="15"/>
    <x v="1"/>
    <s v="Wifi Mesh Router - White, Reeves And Woods"/>
    <x v="1"/>
    <n v="480.9"/>
    <x v="3"/>
    <x v="2"/>
    <n v="918.76"/>
  </r>
  <r>
    <s v="SALE1967"/>
    <d v="2025-05-17T00:00:00"/>
    <s v="CUST1031"/>
    <s v="PROD67"/>
    <s v="STORE11"/>
    <n v="2"/>
    <n v="924.73"/>
    <n v="0.28999999999999998"/>
    <s v="PayPal"/>
    <x v="0"/>
    <x v="47"/>
    <x v="2"/>
    <s v="Smart Led Light Strip - Flores-Davis"/>
    <x v="1"/>
    <n v="349.17"/>
    <x v="2"/>
    <x v="2"/>
    <n v="1848.88"/>
  </r>
  <r>
    <s v="SALE1968"/>
    <d v="2025-01-08T00:00:00"/>
    <s v="CUST1021"/>
    <s v="PROD12"/>
    <s v="STORE10"/>
    <n v="3"/>
    <n v="195.31"/>
    <n v="0.13"/>
    <s v="COD"/>
    <x v="1"/>
    <x v="15"/>
    <x v="0"/>
    <s v="Hair Strengthening Shampoo - Rice Llc"/>
    <x v="2"/>
    <n v="115.82"/>
    <x v="3"/>
    <x v="2"/>
    <n v="585.54"/>
  </r>
  <r>
    <s v="SALE1969"/>
    <d v="2025-05-16T00:00:00"/>
    <s v="CUST1142"/>
    <s v="PROD38"/>
    <s v="STORE8"/>
    <n v="1"/>
    <n v="91.38"/>
    <n v="0.14000000000000001"/>
    <s v="Credit Card"/>
    <x v="0"/>
    <x v="10"/>
    <x v="3"/>
    <s v="Sports Water Hydration Pack - Sims-Smith"/>
    <x v="0"/>
    <n v="135.61000000000001"/>
    <x v="1"/>
    <x v="2"/>
    <n v="91.24"/>
  </r>
  <r>
    <s v="SALE1970"/>
    <d v="2024-09-28T00:00:00"/>
    <s v="CUST1483"/>
    <s v="PROD86"/>
    <s v="STORE11"/>
    <n v="2"/>
    <n v="494.35"/>
    <n v="0.1"/>
    <s v="Credit Card"/>
    <x v="0"/>
    <x v="8"/>
    <x v="0"/>
    <s v="Kitchen Cutting Board - Taylor, Dodson And Johnston"/>
    <x v="3"/>
    <n v="176.07"/>
    <x v="2"/>
    <x v="2"/>
    <n v="988.5"/>
  </r>
  <r>
    <s v="SALE1971"/>
    <d v="2024-10-12T00:00:00"/>
    <s v="CUST1255"/>
    <s v="PROD24"/>
    <s v="STORE10"/>
    <n v="1"/>
    <n v="412.2"/>
    <n v="0.11"/>
    <s v="Credit Card"/>
    <x v="0"/>
    <x v="31"/>
    <x v="0"/>
    <s v="Foldable Camping Chair - Cook Ltd"/>
    <x v="0"/>
    <n v="166.06"/>
    <x v="3"/>
    <x v="2"/>
    <n v="412.09"/>
  </r>
  <r>
    <s v="SALE1972"/>
    <d v="2024-06-23T00:00:00"/>
    <s v="CUST1394"/>
    <s v="PROD79"/>
    <s v="STORE16"/>
    <n v="1"/>
    <n v="650.47"/>
    <n v="0.13"/>
    <s v="PayPal"/>
    <x v="1"/>
    <x v="40"/>
    <x v="3"/>
    <s v="Decorative Lamp Shade - Ramirez-Hanson"/>
    <x v="3"/>
    <n v="228.53"/>
    <x v="1"/>
    <x v="1"/>
    <n v="650.34"/>
  </r>
  <r>
    <s v="SALE1973"/>
    <d v="2023-11-26T00:00:00"/>
    <s v="CUST1155"/>
    <s v="PROD14"/>
    <s v="STORE12"/>
    <n v="1"/>
    <n v="68.209999999999994"/>
    <n v="0.05"/>
    <s v="PayPal"/>
    <x v="1"/>
    <x v="9"/>
    <x v="0"/>
    <s v="Decorative Wall Mirror - Luna, Anderson And Bowman"/>
    <x v="3"/>
    <n v="48.01"/>
    <x v="0"/>
    <x v="2"/>
    <n v="68.16"/>
  </r>
  <r>
    <s v="SALE1974"/>
    <d v="2025-08-17T00:00:00"/>
    <s v="CUST1135"/>
    <s v="PROD53"/>
    <s v="STORE7"/>
    <n v="2"/>
    <n v="842.89"/>
    <n v="0.25"/>
    <s v="COD"/>
    <x v="1"/>
    <x v="20"/>
    <x v="1"/>
    <s v="Men'S Track Pants - Hamilton, Woods And Walker"/>
    <x v="4"/>
    <n v="386.56"/>
    <x v="2"/>
    <x v="2"/>
    <n v="1685.28"/>
  </r>
  <r>
    <s v="SALE1975"/>
    <d v="2024-04-08T00:00:00"/>
    <s v="CUST1300"/>
    <s v="PROD5"/>
    <s v="STORE4"/>
    <n v="2"/>
    <n v="227.95"/>
    <n v="0.24"/>
    <s v="COD"/>
    <x v="0"/>
    <x v="47"/>
    <x v="2"/>
    <s v="Men'S Leather Belt - Baldwin, Garza And Gonzalez"/>
    <x v="4"/>
    <n v="261"/>
    <x v="2"/>
    <x v="2"/>
    <n v="455.41999999999996"/>
  </r>
  <r>
    <s v="SALE1976"/>
    <d v="2024-04-06T00:00:00"/>
    <s v="CUST1192"/>
    <s v="PROD66"/>
    <s v="STORE12"/>
    <n v="3"/>
    <n v="685.97"/>
    <n v="0.24"/>
    <s v="PayPal"/>
    <x v="0"/>
    <x v="12"/>
    <x v="0"/>
    <s v="Women'S Hair Dryer Brush - Torres, Spencer And Potter"/>
    <x v="2"/>
    <n v="340.39"/>
    <x v="0"/>
    <x v="2"/>
    <n v="2057.19"/>
  </r>
  <r>
    <s v="SALE1977"/>
    <d v="2025-05-16T00:00:00"/>
    <s v="CUST1365"/>
    <s v="PROD29"/>
    <s v="STORE2"/>
    <n v="1"/>
    <n v="722.57"/>
    <n v="0.18"/>
    <s v="Credit Card"/>
    <x v="1"/>
    <x v="41"/>
    <x v="1"/>
    <s v="Fabric Sofa Throw Blanket - Hoffman Group"/>
    <x v="3"/>
    <n v="218.48"/>
    <x v="2"/>
    <x v="0"/>
    <n v="722.3900000000001"/>
  </r>
  <r>
    <s v="SALE1978"/>
    <d v="2024-11-19T00:00:00"/>
    <s v="CUST1140"/>
    <s v="PROD35"/>
    <s v="STORE5"/>
    <n v="3"/>
    <n v="585.54999999999995"/>
    <n v="0.14000000000000001"/>
    <s v="COD"/>
    <x v="1"/>
    <x v="2"/>
    <x v="0"/>
    <s v="Bedroom Table Lamp - Jones Llc"/>
    <x v="3"/>
    <n v="382.22"/>
    <x v="0"/>
    <x v="0"/>
    <n v="1756.23"/>
  </r>
  <r>
    <s v="SALE1979"/>
    <d v="2025-01-09T00:00:00"/>
    <s v="CUST1309"/>
    <s v="PROD46"/>
    <s v="STORE13"/>
    <n v="2"/>
    <n v="635.80999999999995"/>
    <n v="0.13"/>
    <s v="PayPal"/>
    <x v="1"/>
    <x v="24"/>
    <x v="3"/>
    <s v="Men'S Winter Jacket - Kelly, Smith And Perez"/>
    <x v="4"/>
    <n v="167.34"/>
    <x v="3"/>
    <x v="1"/>
    <n v="1271.3599999999999"/>
  </r>
  <r>
    <s v="SALE1980"/>
    <d v="2024-12-18T00:00:00"/>
    <s v="CUST1277"/>
    <s v="PROD14"/>
    <s v="STORE4"/>
    <n v="2"/>
    <n v="353.74"/>
    <n v="0.01"/>
    <s v="Credit Card"/>
    <x v="1"/>
    <x v="44"/>
    <x v="1"/>
    <s v="Decorative Wall Mirror - Luna, Anderson And Bowman"/>
    <x v="3"/>
    <n v="48.01"/>
    <x v="2"/>
    <x v="2"/>
    <n v="707.46"/>
  </r>
  <r>
    <s v="SALE1981"/>
    <d v="2024-12-22T00:00:00"/>
    <s v="CUST1264"/>
    <s v="PROD36"/>
    <s v="STORE7"/>
    <n v="1"/>
    <n v="377.52"/>
    <n v="0.15"/>
    <s v="Credit Card"/>
    <x v="0"/>
    <x v="0"/>
    <x v="0"/>
    <s v="Women'S Summer Dress - Smith-Mills"/>
    <x v="4"/>
    <n v="223.43"/>
    <x v="2"/>
    <x v="2"/>
    <n v="377.37"/>
  </r>
  <r>
    <s v="SALE1982"/>
    <d v="2024-07-27T00:00:00"/>
    <s v="CUST1205"/>
    <s v="PROD68"/>
    <s v="STORE2"/>
    <n v="3"/>
    <n v="901.49"/>
    <n v="0"/>
    <s v="Credit Card"/>
    <x v="1"/>
    <x v="19"/>
    <x v="0"/>
    <s v="Wooden Nightstand - Wolfe, Ross And Hester"/>
    <x v="3"/>
    <n v="243.7"/>
    <x v="2"/>
    <x v="0"/>
    <n v="2704.4700000000003"/>
  </r>
  <r>
    <s v="SALE1983"/>
    <d v="2025-05-29T00:00:00"/>
    <s v="CUST1200"/>
    <s v="PROD30"/>
    <s v="STORE5"/>
    <n v="1"/>
    <n v="563.01"/>
    <n v="0.1"/>
    <s v="Credit Card"/>
    <x v="0"/>
    <x v="17"/>
    <x v="1"/>
    <s v="Stainless Steel Cutlery Set - Stevens, Fernandez And Martin"/>
    <x v="3"/>
    <n v="19.52"/>
    <x v="0"/>
    <x v="0"/>
    <n v="562.91"/>
  </r>
  <r>
    <s v="SALE1984"/>
    <d v="2024-03-14T00:00:00"/>
    <s v="CUST1052"/>
    <s v="PROD70"/>
    <s v="STORE6"/>
    <n v="4"/>
    <n v="167.25"/>
    <n v="0.11"/>
    <s v="Credit Card"/>
    <x v="0"/>
    <x v="46"/>
    <x v="3"/>
    <s v="Kitchen Storage Rack - Duran Group"/>
    <x v="3"/>
    <n v="138.05000000000001"/>
    <x v="3"/>
    <x v="2"/>
    <n v="668.56"/>
  </r>
  <r>
    <s v="SALE1985"/>
    <d v="2023-10-30T00:00:00"/>
    <s v="CUST1454"/>
    <s v="PROD60"/>
    <s v="STORE18"/>
    <n v="3"/>
    <n v="345.43"/>
    <n v="0.08"/>
    <s v="COD"/>
    <x v="0"/>
    <x v="15"/>
    <x v="0"/>
    <s v="Luxury Perfume Spray - Gibson, Green And Lopez"/>
    <x v="2"/>
    <n v="482.75"/>
    <x v="3"/>
    <x v="1"/>
    <n v="1036.0500000000002"/>
  </r>
  <r>
    <s v="SALE1986"/>
    <d v="2024-02-27T00:00:00"/>
    <s v="CUST1308"/>
    <s v="PROD82"/>
    <s v="STORE9"/>
    <n v="4"/>
    <n v="752.48"/>
    <n v="0.23"/>
    <s v="Credit Card"/>
    <x v="1"/>
    <x v="9"/>
    <x v="0"/>
    <s v="Fitness Resistance Bands - Reese-Watson"/>
    <x v="0"/>
    <n v="152.91999999999999"/>
    <x v="2"/>
    <x v="1"/>
    <n v="3009"/>
  </r>
  <r>
    <s v="SALE1987"/>
    <d v="2025-08-17T00:00:00"/>
    <s v="CUST1449"/>
    <s v="PROD57"/>
    <s v="STORE19"/>
    <n v="1"/>
    <n v="120.02"/>
    <n v="0.26"/>
    <s v="Credit Card"/>
    <x v="0"/>
    <x v="31"/>
    <x v="3"/>
    <s v="Foam Roller - Atkinson, Camacho And Oliver"/>
    <x v="0"/>
    <n v="30.62"/>
    <x v="3"/>
    <x v="2"/>
    <n v="119.75999999999999"/>
  </r>
  <r>
    <s v="SALE1988"/>
    <d v="2024-03-08T00:00:00"/>
    <s v="CUST1323"/>
    <s v="PROD41"/>
    <s v="STORE8"/>
    <n v="3"/>
    <n v="146.71"/>
    <n v="0.28000000000000003"/>
    <s v="Credit Card"/>
    <x v="1"/>
    <x v="29"/>
    <x v="1"/>
    <s v="Yoga Exercise Mat - Carroll, Long And Mendoza"/>
    <x v="0"/>
    <n v="313.26"/>
    <x v="1"/>
    <x v="2"/>
    <n v="439.29"/>
  </r>
  <r>
    <s v="SALE1989"/>
    <d v="2025-03-14T00:00:00"/>
    <s v="CUST1082"/>
    <s v="PROD64"/>
    <s v="STORE0"/>
    <n v="2"/>
    <n v="358.87"/>
    <n v="0.24"/>
    <s v="Credit Card"/>
    <x v="0"/>
    <x v="26"/>
    <x v="3"/>
    <s v="Matte Lipstick Set - Zhang Inc"/>
    <x v="2"/>
    <n v="299.11"/>
    <x v="3"/>
    <x v="1"/>
    <n v="717.26"/>
  </r>
  <r>
    <s v="SALE1990"/>
    <d v="2024-06-13T00:00:00"/>
    <s v="CUST1241"/>
    <s v="PROD52"/>
    <s v="STORE3"/>
    <n v="4"/>
    <n v="212.75"/>
    <n v="0.11"/>
    <s v="COD"/>
    <x v="0"/>
    <x v="45"/>
    <x v="1"/>
    <s v="Rugby Ball - Harris Inc"/>
    <x v="0"/>
    <n v="212.26"/>
    <x v="0"/>
    <x v="0"/>
    <n v="850.56"/>
  </r>
  <r>
    <s v="SALE1991"/>
    <d v="2024-06-07T00:00:00"/>
    <s v="CUST1327"/>
    <s v="PROD45"/>
    <s v="STORE11"/>
    <n v="1"/>
    <n v="183.47"/>
    <n v="0.17"/>
    <s v="PayPal"/>
    <x v="1"/>
    <x v="14"/>
    <x v="3"/>
    <s v="High-Grip Football - Bridges, Banks And Cummings"/>
    <x v="0"/>
    <n v="318.91000000000003"/>
    <x v="2"/>
    <x v="2"/>
    <n v="183.3"/>
  </r>
  <r>
    <s v="SALE1992"/>
    <d v="2024-07-20T00:00:00"/>
    <s v="CUST1068"/>
    <s v="PROD89"/>
    <s v="STORE15"/>
    <n v="4"/>
    <n v="569.98"/>
    <n v="0.23"/>
    <s v="Credit Card"/>
    <x v="1"/>
    <x v="30"/>
    <x v="2"/>
    <s v="Face Foundation Kit - Taylor-Elliott"/>
    <x v="2"/>
    <n v="183.04"/>
    <x v="0"/>
    <x v="1"/>
    <n v="2279"/>
  </r>
  <r>
    <s v="SALE1993"/>
    <d v="2023-12-14T00:00:00"/>
    <s v="CUST1472"/>
    <s v="PROD21"/>
    <s v="STORE12"/>
    <n v="3"/>
    <n v="984.12"/>
    <n v="0.27"/>
    <s v="Credit Card"/>
    <x v="0"/>
    <x v="43"/>
    <x v="2"/>
    <s v="Multi-Purpose Storage Box - Gardner-Montes"/>
    <x v="3"/>
    <n v="123.46"/>
    <x v="0"/>
    <x v="2"/>
    <n v="2951.55"/>
  </r>
  <r>
    <s v="SALE1994"/>
    <d v="2025-07-06T00:00:00"/>
    <s v="CUST1473"/>
    <s v="PROD84"/>
    <s v="STORE8"/>
    <n v="1"/>
    <n v="905.23"/>
    <n v="0"/>
    <s v="Credit Card"/>
    <x v="0"/>
    <x v="18"/>
    <x v="3"/>
    <s v="Wooden Bookshelf - Collins-Stephenson"/>
    <x v="3"/>
    <n v="388.46"/>
    <x v="1"/>
    <x v="2"/>
    <n v="905.23"/>
  </r>
  <r>
    <s v="SALE1995"/>
    <d v="2023-12-04T00:00:00"/>
    <s v="CUST1186"/>
    <s v="PROD99"/>
    <s v="STORE19"/>
    <n v="3"/>
    <n v="112.77"/>
    <n v="0.19"/>
    <s v="Credit Card"/>
    <x v="0"/>
    <x v="6"/>
    <x v="2"/>
    <s v="Stainless Steel Cookware Set - Campbell Ltd"/>
    <x v="3"/>
    <n v="201.41"/>
    <x v="3"/>
    <x v="2"/>
    <n v="337.74"/>
  </r>
  <r>
    <s v="SALE1996"/>
    <d v="2025-04-26T00:00:00"/>
    <s v="CUST1161"/>
    <s v="PROD35"/>
    <s v="STORE8"/>
    <n v="3"/>
    <n v="875.99"/>
    <n v="0.09"/>
    <s v="PayPal"/>
    <x v="1"/>
    <x v="28"/>
    <x v="2"/>
    <s v="Bedroom Table Lamp - Jones Llc"/>
    <x v="3"/>
    <n v="382.22"/>
    <x v="1"/>
    <x v="2"/>
    <n v="2627.7"/>
  </r>
  <r>
    <s v="SALE1997"/>
    <d v="2024-06-17T00:00:00"/>
    <s v="CUST1128"/>
    <s v="PROD89"/>
    <s v="STORE10"/>
    <n v="2"/>
    <n v="685.31"/>
    <n v="0.26"/>
    <s v="PayPal"/>
    <x v="0"/>
    <x v="13"/>
    <x v="2"/>
    <s v="Face Foundation Kit - Taylor-Elliott"/>
    <x v="2"/>
    <n v="183.04"/>
    <x v="3"/>
    <x v="2"/>
    <n v="1370.1"/>
  </r>
  <r>
    <s v="SALE1998"/>
    <d v="2024-11-11T00:00:00"/>
    <s v="CUST1052"/>
    <s v="PROD61"/>
    <s v="STORE11"/>
    <n v="3"/>
    <n v="945.37"/>
    <n v="0.05"/>
    <s v="Credit Card"/>
    <x v="0"/>
    <x v="46"/>
    <x v="3"/>
    <s v="Tennis Ball 3-Pack - Lopez Llc"/>
    <x v="0"/>
    <n v="103.45"/>
    <x v="2"/>
    <x v="2"/>
    <n v="2835.96"/>
  </r>
  <r>
    <s v="SALE1999"/>
    <d v="2023-12-07T00:00:00"/>
    <s v="CUST1023"/>
    <s v="PROD76"/>
    <s v="STORE19"/>
    <n v="3"/>
    <n v="68.45"/>
    <n v="0.17"/>
    <s v="PayPal"/>
    <x v="1"/>
    <x v="47"/>
    <x v="2"/>
    <s v="Wireless Mouse - Larson Ltd"/>
    <x v="1"/>
    <n v="392.89"/>
    <x v="3"/>
    <x v="2"/>
    <n v="204.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s v="SALE0"/>
    <x v="0"/>
    <s v="CUST1409"/>
    <s v="PROD97"/>
    <s v="STORE3"/>
    <n v="1"/>
    <n v="218.04"/>
    <x v="0"/>
    <x v="0"/>
    <x v="0"/>
    <x v="0"/>
    <x v="0"/>
    <x v="0"/>
    <x v="0"/>
    <n v="245.98"/>
    <x v="0"/>
    <x v="0"/>
    <x v="0"/>
    <n v="55"/>
  </r>
  <r>
    <s v="SALE1"/>
    <x v="1"/>
    <s v="CUST1467"/>
    <s v="PROD74"/>
    <s v="STORE17"/>
    <n v="3"/>
    <n v="104.47"/>
    <x v="1"/>
    <x v="1"/>
    <x v="1"/>
    <x v="1"/>
    <x v="0"/>
    <x v="1"/>
    <x v="1"/>
    <n v="403.71"/>
    <x v="0"/>
    <x v="1"/>
    <x v="1"/>
    <n v="63"/>
  </r>
  <r>
    <s v="SALE2"/>
    <x v="2"/>
    <s v="CUST1056"/>
    <s v="PROD49"/>
    <s v="STORE8"/>
    <n v="4"/>
    <n v="914.05"/>
    <x v="2"/>
    <x v="0"/>
    <x v="1"/>
    <x v="2"/>
    <x v="0"/>
    <x v="2"/>
    <x v="2"/>
    <n v="43.29"/>
    <x v="1"/>
    <x v="2"/>
    <x v="2"/>
    <n v="49"/>
  </r>
  <r>
    <s v="SALE3"/>
    <x v="3"/>
    <s v="CUST1346"/>
    <s v="PROD76"/>
    <s v="STORE8"/>
    <n v="1"/>
    <n v="921.51"/>
    <x v="3"/>
    <x v="2"/>
    <x v="1"/>
    <x v="3"/>
    <x v="1"/>
    <x v="3"/>
    <x v="1"/>
    <n v="392.89"/>
    <x v="1"/>
    <x v="2"/>
    <x v="3"/>
    <n v="58"/>
  </r>
  <r>
    <s v="SALE4"/>
    <x v="4"/>
    <s v="CUST1493"/>
    <s v="PROD59"/>
    <s v="STORE5"/>
    <n v="3"/>
    <n v="745.3"/>
    <x v="4"/>
    <x v="0"/>
    <x v="0"/>
    <x v="4"/>
    <x v="2"/>
    <x v="4"/>
    <x v="2"/>
    <n v="17.31"/>
    <x v="0"/>
    <x v="0"/>
    <x v="4"/>
    <n v="28"/>
  </r>
  <r>
    <s v="SALE5"/>
    <x v="5"/>
    <s v="CUST1116"/>
    <s v="PROD15"/>
    <s v="STORE7"/>
    <n v="3"/>
    <n v="147.01"/>
    <x v="5"/>
    <x v="2"/>
    <x v="1"/>
    <x v="5"/>
    <x v="1"/>
    <x v="5"/>
    <x v="1"/>
    <n v="465.34"/>
    <x v="2"/>
    <x v="2"/>
    <x v="5"/>
    <n v="18"/>
  </r>
  <r>
    <s v="SALE6"/>
    <x v="6"/>
    <s v="CUST1016"/>
    <s v="PROD56"/>
    <s v="STORE4"/>
    <n v="2"/>
    <n v="785.31"/>
    <x v="6"/>
    <x v="1"/>
    <x v="1"/>
    <x v="2"/>
    <x v="3"/>
    <x v="6"/>
    <x v="3"/>
    <n v="461.47"/>
    <x v="2"/>
    <x v="2"/>
    <x v="6"/>
    <n v="24"/>
  </r>
  <r>
    <s v="SALE7"/>
    <x v="7"/>
    <s v="CUST1152"/>
    <s v="PROD70"/>
    <s v="STORE8"/>
    <n v="4"/>
    <n v="342.39"/>
    <x v="7"/>
    <x v="1"/>
    <x v="1"/>
    <x v="6"/>
    <x v="1"/>
    <x v="7"/>
    <x v="3"/>
    <n v="138.05"/>
    <x v="1"/>
    <x v="2"/>
    <x v="7"/>
    <n v="41"/>
  </r>
  <r>
    <s v="SALE8"/>
    <x v="8"/>
    <s v="CUST1187"/>
    <s v="PROD99"/>
    <s v="STORE5"/>
    <n v="2"/>
    <n v="448.25"/>
    <x v="8"/>
    <x v="1"/>
    <x v="1"/>
    <x v="4"/>
    <x v="1"/>
    <x v="8"/>
    <x v="3"/>
    <n v="201.41"/>
    <x v="0"/>
    <x v="0"/>
    <x v="8"/>
    <n v="60"/>
  </r>
  <r>
    <s v="SALE9"/>
    <x v="9"/>
    <s v="CUST1464"/>
    <s v="PROD33"/>
    <s v="STORE0"/>
    <n v="2"/>
    <n v="873.17"/>
    <x v="7"/>
    <x v="1"/>
    <x v="1"/>
    <x v="7"/>
    <x v="1"/>
    <x v="9"/>
    <x v="3"/>
    <n v="179.77"/>
    <x v="3"/>
    <x v="1"/>
    <x v="9"/>
    <n v="45"/>
  </r>
  <r>
    <s v="SALE10"/>
    <x v="10"/>
    <s v="CUST1065"/>
    <s v="PROD24"/>
    <s v="STORE14"/>
    <n v="1"/>
    <n v="278.63"/>
    <x v="8"/>
    <x v="0"/>
    <x v="1"/>
    <x v="8"/>
    <x v="2"/>
    <x v="10"/>
    <x v="0"/>
    <n v="166.06"/>
    <x v="2"/>
    <x v="0"/>
    <x v="10"/>
    <n v="21"/>
  </r>
  <r>
    <s v="SALE11"/>
    <x v="11"/>
    <s v="CUST1320"/>
    <s v="PROD39"/>
    <s v="STORE1"/>
    <n v="4"/>
    <n v="286.92"/>
    <x v="9"/>
    <x v="0"/>
    <x v="1"/>
    <x v="9"/>
    <x v="3"/>
    <x v="11"/>
    <x v="1"/>
    <n v="326.06"/>
    <x v="0"/>
    <x v="1"/>
    <x v="11"/>
    <n v="34"/>
  </r>
  <r>
    <s v="SALE12"/>
    <x v="12"/>
    <s v="CUST1237"/>
    <s v="PROD88"/>
    <s v="STORE4"/>
    <n v="4"/>
    <n v="644.58"/>
    <x v="10"/>
    <x v="0"/>
    <x v="1"/>
    <x v="10"/>
    <x v="0"/>
    <x v="12"/>
    <x v="0"/>
    <n v="131.24"/>
    <x v="2"/>
    <x v="2"/>
    <x v="12"/>
    <n v="41"/>
  </r>
  <r>
    <s v="SALE13"/>
    <x v="13"/>
    <s v="CUST1443"/>
    <s v="PROD34"/>
    <s v="STORE16"/>
    <n v="2"/>
    <n v="316.9"/>
    <x v="11"/>
    <x v="1"/>
    <x v="0"/>
    <x v="11"/>
    <x v="2"/>
    <x v="13"/>
    <x v="1"/>
    <n v="419.28"/>
    <x v="1"/>
    <x v="1"/>
    <x v="13"/>
    <n v="51"/>
  </r>
  <r>
    <s v="SALE14"/>
    <x v="14"/>
    <s v="CUST1348"/>
    <s v="PROD24"/>
    <s v="STORE15"/>
    <n v="4"/>
    <n v="403.47"/>
    <x v="12"/>
    <x v="1"/>
    <x v="0"/>
    <x v="2"/>
    <x v="2"/>
    <x v="10"/>
    <x v="0"/>
    <n v="166.06"/>
    <x v="0"/>
    <x v="1"/>
    <x v="14"/>
    <n v="55"/>
  </r>
  <r>
    <s v="SALE15"/>
    <x v="15"/>
    <s v="CUST1435"/>
    <s v="PROD36"/>
    <s v="STORE9"/>
    <n v="2"/>
    <n v="871.34"/>
    <x v="13"/>
    <x v="2"/>
    <x v="1"/>
    <x v="12"/>
    <x v="2"/>
    <x v="14"/>
    <x v="4"/>
    <n v="223.43"/>
    <x v="2"/>
    <x v="1"/>
    <x v="15"/>
    <n v="37"/>
  </r>
  <r>
    <s v="SALE16"/>
    <x v="16"/>
    <s v="CUST1276"/>
    <s v="PROD65"/>
    <s v="STORE19"/>
    <n v="2"/>
    <n v="451.98"/>
    <x v="2"/>
    <x v="0"/>
    <x v="0"/>
    <x v="8"/>
    <x v="0"/>
    <x v="15"/>
    <x v="0"/>
    <n v="240.63"/>
    <x v="3"/>
    <x v="2"/>
    <x v="16"/>
    <n v="38"/>
  </r>
  <r>
    <s v="SALE17"/>
    <x v="17"/>
    <s v="CUST1079"/>
    <s v="PROD27"/>
    <s v="STORE4"/>
    <n v="2"/>
    <n v="502.69"/>
    <x v="7"/>
    <x v="0"/>
    <x v="1"/>
    <x v="13"/>
    <x v="1"/>
    <x v="16"/>
    <x v="3"/>
    <n v="250.021571428571"/>
    <x v="2"/>
    <x v="2"/>
    <x v="17"/>
    <n v="22"/>
  </r>
  <r>
    <s v="SALE18"/>
    <x v="18"/>
    <s v="CUST1094"/>
    <s v="PROD39"/>
    <s v="STORE4"/>
    <n v="2"/>
    <n v="559.23"/>
    <x v="2"/>
    <x v="2"/>
    <x v="1"/>
    <x v="8"/>
    <x v="0"/>
    <x v="11"/>
    <x v="1"/>
    <n v="326.06"/>
    <x v="2"/>
    <x v="2"/>
    <x v="18"/>
    <n v="43"/>
  </r>
  <r>
    <s v="SALE19"/>
    <x v="19"/>
    <s v="CUST1239"/>
    <s v="PROD60"/>
    <s v="STORE13"/>
    <n v="4"/>
    <n v="513.984772158237"/>
    <x v="13"/>
    <x v="2"/>
    <x v="1"/>
    <x v="8"/>
    <x v="1"/>
    <x v="17"/>
    <x v="2"/>
    <n v="482.75"/>
    <x v="3"/>
    <x v="1"/>
    <x v="19"/>
    <n v="58"/>
  </r>
  <r>
    <s v="SALE20"/>
    <x v="20"/>
    <s v="CUST1144"/>
    <s v="PROD72"/>
    <s v="STORE17"/>
    <n v="3"/>
    <n v="986.04"/>
    <x v="1"/>
    <x v="2"/>
    <x v="1"/>
    <x v="8"/>
    <x v="3"/>
    <x v="18"/>
    <x v="0"/>
    <n v="477.61"/>
    <x v="0"/>
    <x v="1"/>
    <x v="20"/>
    <n v="62"/>
  </r>
  <r>
    <s v="SALE21"/>
    <x v="21"/>
    <s v="CUST1396"/>
    <s v="PROD43"/>
    <s v="STORE18"/>
    <n v="1"/>
    <n v="589.56"/>
    <x v="14"/>
    <x v="0"/>
    <x v="1"/>
    <x v="14"/>
    <x v="2"/>
    <x v="19"/>
    <x v="1"/>
    <n v="253.33"/>
    <x v="3"/>
    <x v="1"/>
    <x v="21"/>
    <n v="25"/>
  </r>
  <r>
    <s v="SALE22"/>
    <x v="22"/>
    <s v="CUST1476"/>
    <s v="PROD69"/>
    <s v="STORE10"/>
    <n v="3"/>
    <n v="979.42"/>
    <x v="15"/>
    <x v="1"/>
    <x v="1"/>
    <x v="15"/>
    <x v="0"/>
    <x v="20"/>
    <x v="4"/>
    <n v="218.22"/>
    <x v="3"/>
    <x v="2"/>
    <x v="22"/>
    <n v="33"/>
  </r>
  <r>
    <s v="SALE23"/>
    <x v="23"/>
    <s v="CUST1368"/>
    <s v="PROD12"/>
    <s v="STORE8"/>
    <n v="1"/>
    <n v="719.28"/>
    <x v="16"/>
    <x v="0"/>
    <x v="1"/>
    <x v="14"/>
    <x v="1"/>
    <x v="21"/>
    <x v="2"/>
    <n v="115.82"/>
    <x v="1"/>
    <x v="2"/>
    <x v="23"/>
    <n v="34"/>
  </r>
  <r>
    <s v="SALE24"/>
    <x v="24"/>
    <s v="CUST1186"/>
    <s v="PROD67"/>
    <s v="STORE6"/>
    <n v="3"/>
    <n v="77.6"/>
    <x v="8"/>
    <x v="0"/>
    <x v="0"/>
    <x v="6"/>
    <x v="2"/>
    <x v="22"/>
    <x v="1"/>
    <n v="349.17"/>
    <x v="3"/>
    <x v="2"/>
    <x v="24"/>
    <n v="53"/>
  </r>
  <r>
    <s v="SALE25"/>
    <x v="25"/>
    <s v="CUST1381"/>
    <s v="PROD5"/>
    <s v="STORE3"/>
    <n v="4"/>
    <n v="852.71"/>
    <x v="17"/>
    <x v="1"/>
    <x v="0"/>
    <x v="4"/>
    <x v="2"/>
    <x v="23"/>
    <x v="4"/>
    <n v="261"/>
    <x v="0"/>
    <x v="0"/>
    <x v="25"/>
    <n v="50"/>
  </r>
  <r>
    <s v="SALE26"/>
    <x v="26"/>
    <s v="CUST1213"/>
    <s v="PROD98"/>
    <s v="STORE8"/>
    <n v="4"/>
    <n v="156.16"/>
    <x v="17"/>
    <x v="0"/>
    <x v="1"/>
    <x v="16"/>
    <x v="1"/>
    <x v="24"/>
    <x v="1"/>
    <n v="431.67"/>
    <x v="1"/>
    <x v="2"/>
    <x v="26"/>
    <n v="42"/>
  </r>
  <r>
    <s v="SALE27"/>
    <x v="27"/>
    <s v="CUST1200"/>
    <s v="PROD77"/>
    <s v="STORE8"/>
    <n v="3"/>
    <n v="815.49"/>
    <x v="18"/>
    <x v="0"/>
    <x v="0"/>
    <x v="17"/>
    <x v="1"/>
    <x v="25"/>
    <x v="1"/>
    <n v="480.9"/>
    <x v="1"/>
    <x v="2"/>
    <x v="27"/>
    <n v="30"/>
  </r>
  <r>
    <s v="SALE28"/>
    <x v="28"/>
    <s v="CUST1148"/>
    <s v="PROD13"/>
    <s v="STORE2"/>
    <n v="2"/>
    <n v="74.21"/>
    <x v="19"/>
    <x v="1"/>
    <x v="1"/>
    <x v="18"/>
    <x v="3"/>
    <x v="26"/>
    <x v="1"/>
    <n v="242.23"/>
    <x v="2"/>
    <x v="0"/>
    <x v="28"/>
    <n v="42"/>
  </r>
  <r>
    <s v="SALE29"/>
    <x v="29"/>
    <s v="CUST1348"/>
    <s v="PROD99"/>
    <s v="STORE3"/>
    <n v="2"/>
    <n v="451.67"/>
    <x v="20"/>
    <x v="0"/>
    <x v="0"/>
    <x v="2"/>
    <x v="2"/>
    <x v="8"/>
    <x v="3"/>
    <n v="201.41"/>
    <x v="0"/>
    <x v="0"/>
    <x v="29"/>
    <n v="55"/>
  </r>
  <r>
    <s v="SALE30"/>
    <x v="30"/>
    <s v="CUST1028"/>
    <s v="PROD5"/>
    <s v="STORE19"/>
    <n v="1"/>
    <n v="429.38"/>
    <x v="21"/>
    <x v="1"/>
    <x v="1"/>
    <x v="19"/>
    <x v="1"/>
    <x v="23"/>
    <x v="4"/>
    <n v="261"/>
    <x v="3"/>
    <x v="2"/>
    <x v="30"/>
    <n v="27"/>
  </r>
  <r>
    <s v="SALE31"/>
    <x v="31"/>
    <s v="CUST1412"/>
    <s v="PROD53"/>
    <s v="STORE12"/>
    <n v="2"/>
    <n v="148.96"/>
    <x v="15"/>
    <x v="2"/>
    <x v="1"/>
    <x v="20"/>
    <x v="0"/>
    <x v="27"/>
    <x v="4"/>
    <n v="386.56"/>
    <x v="0"/>
    <x v="2"/>
    <x v="31"/>
    <n v="23"/>
  </r>
  <r>
    <s v="SALE32"/>
    <x v="32"/>
    <s v="CUST1398"/>
    <s v="PROD75"/>
    <s v="STORE8"/>
    <n v="4"/>
    <n v="313.83"/>
    <x v="16"/>
    <x v="0"/>
    <x v="0"/>
    <x v="21"/>
    <x v="3"/>
    <x v="28"/>
    <x v="4"/>
    <n v="158.14"/>
    <x v="1"/>
    <x v="2"/>
    <x v="32"/>
    <n v="54"/>
  </r>
  <r>
    <s v="SALE33"/>
    <x v="33"/>
    <s v="CUST1453"/>
    <s v="PROD12"/>
    <s v="STORE6"/>
    <n v="2"/>
    <n v="717.31"/>
    <x v="6"/>
    <x v="0"/>
    <x v="1"/>
    <x v="22"/>
    <x v="1"/>
    <x v="21"/>
    <x v="2"/>
    <n v="115.82"/>
    <x v="3"/>
    <x v="2"/>
    <x v="33"/>
    <n v="62"/>
  </r>
  <r>
    <s v="SALE34"/>
    <x v="34"/>
    <s v="CUST1344"/>
    <s v="PROD79"/>
    <s v="STORE1"/>
    <n v="2"/>
    <n v="873.22"/>
    <x v="4"/>
    <x v="0"/>
    <x v="0"/>
    <x v="23"/>
    <x v="0"/>
    <x v="29"/>
    <x v="3"/>
    <n v="228.53"/>
    <x v="0"/>
    <x v="1"/>
    <x v="34"/>
    <n v="39"/>
  </r>
  <r>
    <s v="SALE35"/>
    <x v="35"/>
    <s v="CUST1218"/>
    <s v="PROD16"/>
    <s v="STORE3"/>
    <n v="4"/>
    <n v="109.36"/>
    <x v="5"/>
    <x v="2"/>
    <x v="0"/>
    <x v="24"/>
    <x v="1"/>
    <x v="30"/>
    <x v="2"/>
    <n v="337.42"/>
    <x v="0"/>
    <x v="0"/>
    <x v="35"/>
    <n v="46"/>
  </r>
  <r>
    <s v="SALE36"/>
    <x v="36"/>
    <s v="CUST1086"/>
    <s v="PROD5"/>
    <s v="STORE7"/>
    <n v="3"/>
    <n v="559.52"/>
    <x v="3"/>
    <x v="1"/>
    <x v="1"/>
    <x v="25"/>
    <x v="0"/>
    <x v="23"/>
    <x v="4"/>
    <n v="261"/>
    <x v="2"/>
    <x v="2"/>
    <x v="36"/>
    <n v="19"/>
  </r>
  <r>
    <s v="SALE37"/>
    <x v="37"/>
    <s v="CUST1492"/>
    <s v="PROD10"/>
    <s v="STORE17"/>
    <n v="3"/>
    <n v="121.76"/>
    <x v="1"/>
    <x v="1"/>
    <x v="1"/>
    <x v="26"/>
    <x v="1"/>
    <x v="31"/>
    <x v="3"/>
    <n v="298.86"/>
    <x v="0"/>
    <x v="1"/>
    <x v="37"/>
    <n v="59"/>
  </r>
  <r>
    <s v="SALE38"/>
    <x v="38"/>
    <s v="CUST1189"/>
    <s v="PROD33"/>
    <s v="STORE13"/>
    <n v="4"/>
    <n v="735.32"/>
    <x v="22"/>
    <x v="2"/>
    <x v="0"/>
    <x v="27"/>
    <x v="0"/>
    <x v="9"/>
    <x v="3"/>
    <n v="179.77"/>
    <x v="3"/>
    <x v="1"/>
    <x v="38"/>
    <n v="29"/>
  </r>
  <r>
    <s v="SALE39"/>
    <x v="39"/>
    <s v="CUST1431"/>
    <s v="PROD94"/>
    <s v="STORE3"/>
    <n v="2"/>
    <n v="600.73"/>
    <x v="16"/>
    <x v="0"/>
    <x v="0"/>
    <x v="24"/>
    <x v="1"/>
    <x v="32"/>
    <x v="2"/>
    <n v="358.47"/>
    <x v="0"/>
    <x v="0"/>
    <x v="39"/>
    <n v="27"/>
  </r>
  <r>
    <s v="SALE40"/>
    <x v="40"/>
    <s v="CUST1072"/>
    <s v="PROD26"/>
    <s v="STORE19"/>
    <n v="2"/>
    <n v="873.86"/>
    <x v="8"/>
    <x v="2"/>
    <x v="1"/>
    <x v="9"/>
    <x v="0"/>
    <x v="33"/>
    <x v="1"/>
    <n v="322.41"/>
    <x v="3"/>
    <x v="2"/>
    <x v="40"/>
    <n v="39"/>
  </r>
  <r>
    <s v="SALE41"/>
    <x v="41"/>
    <s v="CUST1302"/>
    <s v="PROD23"/>
    <s v="STORE8"/>
    <n v="3"/>
    <n v="342.47"/>
    <x v="16"/>
    <x v="1"/>
    <x v="0"/>
    <x v="28"/>
    <x v="0"/>
    <x v="34"/>
    <x v="4"/>
    <n v="248.821917808219"/>
    <x v="1"/>
    <x v="2"/>
    <x v="41"/>
    <n v="36"/>
  </r>
  <r>
    <s v="SALE42"/>
    <x v="42"/>
    <s v="CUST1335"/>
    <s v="PROD29"/>
    <s v="STORE9"/>
    <n v="2"/>
    <n v="915.15"/>
    <x v="3"/>
    <x v="1"/>
    <x v="0"/>
    <x v="29"/>
    <x v="1"/>
    <x v="35"/>
    <x v="3"/>
    <n v="218.48"/>
    <x v="2"/>
    <x v="1"/>
    <x v="42"/>
    <n v="37"/>
  </r>
  <r>
    <s v="SALE43"/>
    <x v="43"/>
    <s v="CUST1084"/>
    <s v="PROD33"/>
    <s v="STORE17"/>
    <n v="2"/>
    <n v="863.11"/>
    <x v="23"/>
    <x v="1"/>
    <x v="1"/>
    <x v="30"/>
    <x v="1"/>
    <x v="9"/>
    <x v="3"/>
    <n v="179.77"/>
    <x v="0"/>
    <x v="1"/>
    <x v="43"/>
    <n v="26"/>
  </r>
  <r>
    <s v="SALE44"/>
    <x v="44"/>
    <s v="CUST1203"/>
    <s v="PROD43"/>
    <s v="STORE12"/>
    <n v="2"/>
    <n v="209.32"/>
    <x v="7"/>
    <x v="2"/>
    <x v="0"/>
    <x v="9"/>
    <x v="1"/>
    <x v="19"/>
    <x v="1"/>
    <n v="253.33"/>
    <x v="0"/>
    <x v="2"/>
    <x v="44"/>
    <n v="47"/>
  </r>
  <r>
    <s v="SALE45"/>
    <x v="45"/>
    <s v="CUST1470"/>
    <s v="PROD59"/>
    <s v="STORE8"/>
    <n v="4"/>
    <n v="288.6"/>
    <x v="0"/>
    <x v="1"/>
    <x v="1"/>
    <x v="21"/>
    <x v="0"/>
    <x v="4"/>
    <x v="2"/>
    <n v="17.31"/>
    <x v="1"/>
    <x v="2"/>
    <x v="45"/>
    <n v="21"/>
  </r>
  <r>
    <s v="SALE46"/>
    <x v="46"/>
    <s v="CUST1070"/>
    <s v="PROD78"/>
    <s v="STORE16"/>
    <n v="1"/>
    <n v="418.69"/>
    <x v="22"/>
    <x v="1"/>
    <x v="1"/>
    <x v="23"/>
    <x v="0"/>
    <x v="36"/>
    <x v="3"/>
    <n v="325.26"/>
    <x v="1"/>
    <x v="1"/>
    <x v="46"/>
    <n v="29"/>
  </r>
  <r>
    <s v="SALE47"/>
    <x v="23"/>
    <s v="CUST1008"/>
    <s v="PROD30"/>
    <s v="STORE11"/>
    <n v="1"/>
    <n v="135.78"/>
    <x v="17"/>
    <x v="1"/>
    <x v="1"/>
    <x v="21"/>
    <x v="0"/>
    <x v="37"/>
    <x v="3"/>
    <n v="19.52"/>
    <x v="2"/>
    <x v="2"/>
    <x v="47"/>
    <n v="53"/>
  </r>
  <r>
    <s v="SALE48"/>
    <x v="47"/>
    <s v="CUST1203"/>
    <s v="PROD44"/>
    <s v="STORE17"/>
    <n v="1"/>
    <n v="517.13"/>
    <x v="23"/>
    <x v="0"/>
    <x v="0"/>
    <x v="9"/>
    <x v="1"/>
    <x v="38"/>
    <x v="0"/>
    <n v="167.12"/>
    <x v="0"/>
    <x v="1"/>
    <x v="48"/>
    <n v="47"/>
  </r>
  <r>
    <s v="SALE49"/>
    <x v="48"/>
    <s v="CUST1420"/>
    <s v="PROD21"/>
    <s v="STORE16"/>
    <n v="2"/>
    <n v="384.66"/>
    <x v="16"/>
    <x v="2"/>
    <x v="0"/>
    <x v="29"/>
    <x v="3"/>
    <x v="39"/>
    <x v="3"/>
    <n v="123.46"/>
    <x v="1"/>
    <x v="1"/>
    <x v="49"/>
    <n v="60"/>
  </r>
  <r>
    <s v="SALE50"/>
    <x v="49"/>
    <s v="CUST1070"/>
    <s v="PROD52"/>
    <s v="STORE9"/>
    <n v="3"/>
    <n v="83.7"/>
    <x v="24"/>
    <x v="1"/>
    <x v="1"/>
    <x v="23"/>
    <x v="0"/>
    <x v="40"/>
    <x v="0"/>
    <n v="212.26"/>
    <x v="2"/>
    <x v="1"/>
    <x v="50"/>
    <n v="29"/>
  </r>
  <r>
    <s v="SALE51"/>
    <x v="50"/>
    <s v="CUST1142"/>
    <s v="PROD69"/>
    <s v="STORE7"/>
    <n v="3"/>
    <n v="76.57"/>
    <x v="25"/>
    <x v="0"/>
    <x v="0"/>
    <x v="10"/>
    <x v="3"/>
    <x v="20"/>
    <x v="4"/>
    <n v="218.22"/>
    <x v="2"/>
    <x v="2"/>
    <x v="51"/>
    <n v="37"/>
  </r>
  <r>
    <s v="SALE52"/>
    <x v="51"/>
    <s v="CUST1148"/>
    <s v="PROD89"/>
    <s v="STORE6"/>
    <n v="3"/>
    <n v="513.984772158237"/>
    <x v="26"/>
    <x v="0"/>
    <x v="1"/>
    <x v="18"/>
    <x v="3"/>
    <x v="41"/>
    <x v="2"/>
    <n v="183.04"/>
    <x v="3"/>
    <x v="2"/>
    <x v="52"/>
    <n v="42"/>
  </r>
  <r>
    <s v="SALE53"/>
    <x v="43"/>
    <s v="CUST1324"/>
    <s v="PROD20"/>
    <s v="STORE8"/>
    <n v="1"/>
    <n v="900.35"/>
    <x v="21"/>
    <x v="2"/>
    <x v="0"/>
    <x v="15"/>
    <x v="3"/>
    <x v="42"/>
    <x v="0"/>
    <n v="131.51"/>
    <x v="1"/>
    <x v="2"/>
    <x v="53"/>
    <n v="58"/>
  </r>
  <r>
    <s v="SALE54"/>
    <x v="52"/>
    <s v="CUST1095"/>
    <s v="PROD40"/>
    <s v="STORE10"/>
    <n v="4"/>
    <n v="428.09"/>
    <x v="8"/>
    <x v="0"/>
    <x v="1"/>
    <x v="14"/>
    <x v="1"/>
    <x v="43"/>
    <x v="1"/>
    <n v="38.52"/>
    <x v="3"/>
    <x v="2"/>
    <x v="54"/>
    <n v="62"/>
  </r>
  <r>
    <s v="SALE55"/>
    <x v="53"/>
    <s v="CUST1416"/>
    <s v="PROD49"/>
    <s v="STORE11"/>
    <n v="2"/>
    <n v="559.71"/>
    <x v="11"/>
    <x v="2"/>
    <x v="0"/>
    <x v="18"/>
    <x v="1"/>
    <x v="2"/>
    <x v="2"/>
    <n v="43.29"/>
    <x v="2"/>
    <x v="2"/>
    <x v="55"/>
    <n v="46"/>
  </r>
  <r>
    <s v="SALE56"/>
    <x v="54"/>
    <s v="CUST1080"/>
    <s v="PROD34"/>
    <s v="STORE6"/>
    <n v="2"/>
    <n v="833.7"/>
    <x v="22"/>
    <x v="1"/>
    <x v="1"/>
    <x v="23"/>
    <x v="3"/>
    <x v="13"/>
    <x v="1"/>
    <n v="419.28"/>
    <x v="3"/>
    <x v="2"/>
    <x v="56"/>
    <n v="61"/>
  </r>
  <r>
    <s v="SALE57"/>
    <x v="55"/>
    <s v="CUST1467"/>
    <s v="PROD47"/>
    <s v="STORE14"/>
    <n v="2"/>
    <n v="680.16"/>
    <x v="23"/>
    <x v="0"/>
    <x v="1"/>
    <x v="1"/>
    <x v="0"/>
    <x v="44"/>
    <x v="2"/>
    <n v="255.049019607843"/>
    <x v="2"/>
    <x v="0"/>
    <x v="57"/>
    <n v="63"/>
  </r>
  <r>
    <s v="SALE58"/>
    <x v="56"/>
    <s v="CUST1404"/>
    <s v="PROD15"/>
    <s v="STORE7"/>
    <n v="4"/>
    <n v="733.42"/>
    <x v="26"/>
    <x v="1"/>
    <x v="1"/>
    <x v="13"/>
    <x v="2"/>
    <x v="5"/>
    <x v="1"/>
    <n v="465.34"/>
    <x v="2"/>
    <x v="2"/>
    <x v="58"/>
    <n v="22"/>
  </r>
  <r>
    <s v="SALE59"/>
    <x v="57"/>
    <s v="CUST1367"/>
    <s v="PROD89"/>
    <s v="STORE11"/>
    <n v="1"/>
    <n v="996.33"/>
    <x v="7"/>
    <x v="1"/>
    <x v="0"/>
    <x v="31"/>
    <x v="3"/>
    <x v="41"/>
    <x v="2"/>
    <n v="183.04"/>
    <x v="2"/>
    <x v="2"/>
    <x v="59"/>
    <n v="51"/>
  </r>
  <r>
    <s v="SALE60"/>
    <x v="58"/>
    <s v="CUST1408"/>
    <s v="PROD31"/>
    <s v="STORE10"/>
    <n v="1"/>
    <n v="198.83"/>
    <x v="0"/>
    <x v="2"/>
    <x v="0"/>
    <x v="19"/>
    <x v="0"/>
    <x v="45"/>
    <x v="0"/>
    <n v="204.39"/>
    <x v="3"/>
    <x v="2"/>
    <x v="60"/>
    <n v="36"/>
  </r>
  <r>
    <s v="SALE61"/>
    <x v="59"/>
    <s v="CUST1239"/>
    <s v="PROD19"/>
    <s v="STORE7"/>
    <n v="1"/>
    <n v="374.92"/>
    <x v="4"/>
    <x v="1"/>
    <x v="1"/>
    <x v="8"/>
    <x v="1"/>
    <x v="46"/>
    <x v="0"/>
    <n v="21.34"/>
    <x v="2"/>
    <x v="2"/>
    <x v="61"/>
    <n v="58"/>
  </r>
  <r>
    <s v="SALE62"/>
    <x v="60"/>
    <s v="CUST1464"/>
    <s v="PROD93"/>
    <s v="STORE16"/>
    <n v="1"/>
    <n v="468.94"/>
    <x v="27"/>
    <x v="0"/>
    <x v="1"/>
    <x v="7"/>
    <x v="1"/>
    <x v="47"/>
    <x v="1"/>
    <n v="377.52"/>
    <x v="1"/>
    <x v="1"/>
    <x v="62"/>
    <n v="45"/>
  </r>
  <r>
    <s v="SALE63"/>
    <x v="61"/>
    <s v="CUST1126"/>
    <s v="PROD89"/>
    <s v="STORE12"/>
    <n v="2"/>
    <n v="121.37"/>
    <x v="28"/>
    <x v="0"/>
    <x v="1"/>
    <x v="28"/>
    <x v="0"/>
    <x v="41"/>
    <x v="2"/>
    <n v="183.04"/>
    <x v="0"/>
    <x v="2"/>
    <x v="63"/>
    <n v="62"/>
  </r>
  <r>
    <s v="SALE64"/>
    <x v="62"/>
    <s v="CUST1255"/>
    <s v="PROD53"/>
    <s v="STORE10"/>
    <n v="3"/>
    <n v="480.06"/>
    <x v="10"/>
    <x v="0"/>
    <x v="0"/>
    <x v="31"/>
    <x v="0"/>
    <x v="27"/>
    <x v="4"/>
    <n v="386.56"/>
    <x v="3"/>
    <x v="2"/>
    <x v="64"/>
    <n v="21"/>
  </r>
  <r>
    <s v="SALE65"/>
    <x v="63"/>
    <s v="CUST1162"/>
    <s v="PROD99"/>
    <s v="STORE17"/>
    <n v="2"/>
    <n v="856.57"/>
    <x v="24"/>
    <x v="0"/>
    <x v="0"/>
    <x v="3"/>
    <x v="2"/>
    <x v="8"/>
    <x v="3"/>
    <n v="201.41"/>
    <x v="0"/>
    <x v="1"/>
    <x v="65"/>
    <n v="37"/>
  </r>
  <r>
    <s v="SALE66"/>
    <x v="64"/>
    <s v="CUST1269"/>
    <s v="PROD77"/>
    <s v="STORE2"/>
    <n v="4"/>
    <n v="814.25"/>
    <x v="4"/>
    <x v="0"/>
    <x v="1"/>
    <x v="24"/>
    <x v="2"/>
    <x v="25"/>
    <x v="1"/>
    <n v="480.9"/>
    <x v="2"/>
    <x v="0"/>
    <x v="66"/>
    <n v="45"/>
  </r>
  <r>
    <s v="SALE67"/>
    <x v="65"/>
    <s v="CUST1483"/>
    <s v="PROD12"/>
    <s v="STORE2"/>
    <n v="1"/>
    <n v="989.17"/>
    <x v="29"/>
    <x v="1"/>
    <x v="0"/>
    <x v="8"/>
    <x v="0"/>
    <x v="21"/>
    <x v="2"/>
    <n v="115.82"/>
    <x v="2"/>
    <x v="0"/>
    <x v="67"/>
    <n v="48"/>
  </r>
  <r>
    <s v="SALE68"/>
    <x v="66"/>
    <s v="CUST1372"/>
    <s v="PROD72"/>
    <s v="STORE10"/>
    <n v="4"/>
    <n v="62.48"/>
    <x v="4"/>
    <x v="0"/>
    <x v="0"/>
    <x v="31"/>
    <x v="3"/>
    <x v="18"/>
    <x v="0"/>
    <n v="477.61"/>
    <x v="3"/>
    <x v="2"/>
    <x v="68"/>
    <n v="28"/>
  </r>
  <r>
    <s v="SALE69"/>
    <x v="67"/>
    <s v="CUST1423"/>
    <s v="PROD13"/>
    <s v="STORE16"/>
    <n v="4"/>
    <n v="561.24"/>
    <x v="24"/>
    <x v="0"/>
    <x v="0"/>
    <x v="32"/>
    <x v="2"/>
    <x v="26"/>
    <x v="1"/>
    <n v="242.23"/>
    <x v="1"/>
    <x v="1"/>
    <x v="69"/>
    <n v="35"/>
  </r>
  <r>
    <s v="SALE70"/>
    <x v="68"/>
    <s v="CUST1058"/>
    <s v="PROD60"/>
    <s v="STORE5"/>
    <n v="3"/>
    <n v="92.24"/>
    <x v="23"/>
    <x v="2"/>
    <x v="0"/>
    <x v="33"/>
    <x v="1"/>
    <x v="17"/>
    <x v="2"/>
    <n v="482.75"/>
    <x v="0"/>
    <x v="0"/>
    <x v="70"/>
    <n v="51"/>
  </r>
  <r>
    <s v="SALE71"/>
    <x v="69"/>
    <s v="CUST1168"/>
    <s v="PROD72"/>
    <s v="STORE1"/>
    <n v="2"/>
    <n v="668.3"/>
    <x v="8"/>
    <x v="0"/>
    <x v="1"/>
    <x v="26"/>
    <x v="1"/>
    <x v="18"/>
    <x v="0"/>
    <n v="477.61"/>
    <x v="0"/>
    <x v="1"/>
    <x v="71"/>
    <n v="36"/>
  </r>
  <r>
    <s v="SALE72"/>
    <x v="70"/>
    <s v="CUST1409"/>
    <s v="PROD38"/>
    <s v="STORE5"/>
    <n v="1"/>
    <n v="553.82"/>
    <x v="0"/>
    <x v="0"/>
    <x v="0"/>
    <x v="0"/>
    <x v="0"/>
    <x v="48"/>
    <x v="0"/>
    <n v="135.61"/>
    <x v="0"/>
    <x v="0"/>
    <x v="72"/>
    <n v="55"/>
  </r>
  <r>
    <s v="SALE73"/>
    <x v="71"/>
    <s v="CUST1037"/>
    <s v="PROD45"/>
    <s v="STORE11"/>
    <n v="2"/>
    <n v="556.43"/>
    <x v="21"/>
    <x v="0"/>
    <x v="1"/>
    <x v="34"/>
    <x v="4"/>
    <x v="49"/>
    <x v="0"/>
    <n v="318.91"/>
    <x v="2"/>
    <x v="2"/>
    <x v="73"/>
    <n v="27"/>
  </r>
  <r>
    <s v="SALE74"/>
    <x v="72"/>
    <s v="CUST1273"/>
    <s v="PROD20"/>
    <s v="STORE8"/>
    <n v="1"/>
    <n v="184.98"/>
    <x v="30"/>
    <x v="2"/>
    <x v="0"/>
    <x v="25"/>
    <x v="3"/>
    <x v="42"/>
    <x v="0"/>
    <n v="131.51"/>
    <x v="1"/>
    <x v="2"/>
    <x v="74"/>
    <n v="23"/>
  </r>
  <r>
    <s v="SALE75"/>
    <x v="73"/>
    <s v="CUST1035"/>
    <s v="PROD97"/>
    <s v="STORE12"/>
    <n v="4"/>
    <n v="700.18"/>
    <x v="7"/>
    <x v="0"/>
    <x v="0"/>
    <x v="16"/>
    <x v="2"/>
    <x v="0"/>
    <x v="0"/>
    <n v="245.98"/>
    <x v="0"/>
    <x v="2"/>
    <x v="75"/>
    <n v="52"/>
  </r>
  <r>
    <s v="SALE76"/>
    <x v="1"/>
    <s v="CUST1019"/>
    <s v="PROD76"/>
    <s v="STORE10"/>
    <n v="2"/>
    <n v="686.31"/>
    <x v="2"/>
    <x v="0"/>
    <x v="1"/>
    <x v="19"/>
    <x v="1"/>
    <x v="3"/>
    <x v="1"/>
    <n v="392.89"/>
    <x v="3"/>
    <x v="2"/>
    <x v="76"/>
    <n v="46"/>
  </r>
  <r>
    <s v="SALE77"/>
    <x v="74"/>
    <s v="CUST1007"/>
    <s v="PROD67"/>
    <s v="STORE15"/>
    <n v="1"/>
    <n v="687.82"/>
    <x v="1"/>
    <x v="2"/>
    <x v="1"/>
    <x v="35"/>
    <x v="3"/>
    <x v="22"/>
    <x v="1"/>
    <n v="349.17"/>
    <x v="0"/>
    <x v="1"/>
    <x v="77"/>
    <n v="29"/>
  </r>
  <r>
    <s v="SALE78"/>
    <x v="75"/>
    <s v="CUST1221"/>
    <s v="PROD83"/>
    <s v="STORE8"/>
    <n v="2"/>
    <n v="900.55"/>
    <x v="3"/>
    <x v="0"/>
    <x v="0"/>
    <x v="36"/>
    <x v="1"/>
    <x v="50"/>
    <x v="2"/>
    <n v="289.359375"/>
    <x v="1"/>
    <x v="2"/>
    <x v="78"/>
    <n v="38"/>
  </r>
  <r>
    <s v="SALE79"/>
    <x v="76"/>
    <s v="CUST1115"/>
    <s v="PROD21"/>
    <s v="STORE2"/>
    <n v="1"/>
    <n v="341.17"/>
    <x v="6"/>
    <x v="0"/>
    <x v="1"/>
    <x v="16"/>
    <x v="1"/>
    <x v="39"/>
    <x v="3"/>
    <n v="123.46"/>
    <x v="2"/>
    <x v="0"/>
    <x v="79"/>
    <n v="53"/>
  </r>
  <r>
    <s v="SALE80"/>
    <x v="77"/>
    <s v="CUST1176"/>
    <s v="PROD52"/>
    <s v="STORE8"/>
    <n v="1"/>
    <n v="442.27"/>
    <x v="22"/>
    <x v="2"/>
    <x v="0"/>
    <x v="1"/>
    <x v="2"/>
    <x v="40"/>
    <x v="0"/>
    <n v="212.26"/>
    <x v="1"/>
    <x v="2"/>
    <x v="80"/>
    <n v="48"/>
  </r>
  <r>
    <s v="SALE81"/>
    <x v="78"/>
    <s v="CUST1253"/>
    <s v="PROD71"/>
    <s v="STORE9"/>
    <n v="1"/>
    <n v="363.73"/>
    <x v="2"/>
    <x v="1"/>
    <x v="0"/>
    <x v="18"/>
    <x v="3"/>
    <x v="51"/>
    <x v="2"/>
    <n v="214.32"/>
    <x v="2"/>
    <x v="1"/>
    <x v="81"/>
    <n v="32"/>
  </r>
  <r>
    <s v="SALE82"/>
    <x v="79"/>
    <s v="CUST1378"/>
    <s v="PROD91"/>
    <s v="STORE17"/>
    <n v="2"/>
    <n v="601.33"/>
    <x v="3"/>
    <x v="1"/>
    <x v="1"/>
    <x v="37"/>
    <x v="3"/>
    <x v="52"/>
    <x v="4"/>
    <n v="438.25"/>
    <x v="0"/>
    <x v="1"/>
    <x v="82"/>
    <n v="44"/>
  </r>
  <r>
    <s v="SALE83"/>
    <x v="80"/>
    <s v="CUST1403"/>
    <s v="PROD17"/>
    <s v="STORE18"/>
    <n v="4"/>
    <n v="34.39"/>
    <x v="15"/>
    <x v="1"/>
    <x v="0"/>
    <x v="38"/>
    <x v="3"/>
    <x v="53"/>
    <x v="0"/>
    <n v="144.53"/>
    <x v="3"/>
    <x v="1"/>
    <x v="83"/>
    <n v="34"/>
  </r>
  <r>
    <s v="SALE84"/>
    <x v="76"/>
    <s v="CUST1423"/>
    <s v="PROD46"/>
    <s v="STORE17"/>
    <n v="1"/>
    <n v="773.57"/>
    <x v="28"/>
    <x v="2"/>
    <x v="0"/>
    <x v="32"/>
    <x v="2"/>
    <x v="54"/>
    <x v="4"/>
    <n v="167.34"/>
    <x v="0"/>
    <x v="1"/>
    <x v="84"/>
    <n v="35"/>
  </r>
  <r>
    <s v="SALE85"/>
    <x v="54"/>
    <s v="CUST1054"/>
    <s v="PROD88"/>
    <s v="STORE7"/>
    <n v="4"/>
    <n v="127.1"/>
    <x v="24"/>
    <x v="2"/>
    <x v="0"/>
    <x v="15"/>
    <x v="1"/>
    <x v="12"/>
    <x v="0"/>
    <n v="131.24"/>
    <x v="2"/>
    <x v="2"/>
    <x v="85"/>
    <n v="24"/>
  </r>
  <r>
    <s v="SALE86"/>
    <x v="81"/>
    <s v="CUST1303"/>
    <s v="PROD20"/>
    <s v="STORE3"/>
    <n v="3"/>
    <n v="899.58"/>
    <x v="23"/>
    <x v="1"/>
    <x v="1"/>
    <x v="37"/>
    <x v="1"/>
    <x v="42"/>
    <x v="0"/>
    <n v="131.51"/>
    <x v="0"/>
    <x v="0"/>
    <x v="86"/>
    <n v="23"/>
  </r>
  <r>
    <s v="SALE87"/>
    <x v="82"/>
    <s v="CUST1327"/>
    <s v="PROD1"/>
    <s v="STORE10"/>
    <n v="3"/>
    <n v="964.39"/>
    <x v="13"/>
    <x v="0"/>
    <x v="1"/>
    <x v="14"/>
    <x v="3"/>
    <x v="55"/>
    <x v="4"/>
    <n v="342.56"/>
    <x v="3"/>
    <x v="2"/>
    <x v="87"/>
    <n v="62"/>
  </r>
  <r>
    <s v="SALE88"/>
    <x v="83"/>
    <s v="CUST1183"/>
    <s v="PROD38"/>
    <s v="STORE0"/>
    <n v="2"/>
    <n v="217.83"/>
    <x v="17"/>
    <x v="1"/>
    <x v="0"/>
    <x v="14"/>
    <x v="1"/>
    <x v="48"/>
    <x v="0"/>
    <n v="135.61"/>
    <x v="3"/>
    <x v="1"/>
    <x v="88"/>
    <n v="18"/>
  </r>
  <r>
    <s v="SALE89"/>
    <x v="84"/>
    <s v="CUST1143"/>
    <s v="PROD17"/>
    <s v="STORE1"/>
    <n v="4"/>
    <n v="187.71"/>
    <x v="22"/>
    <x v="2"/>
    <x v="0"/>
    <x v="4"/>
    <x v="3"/>
    <x v="53"/>
    <x v="0"/>
    <n v="144.53"/>
    <x v="0"/>
    <x v="1"/>
    <x v="89"/>
    <n v="46"/>
  </r>
  <r>
    <s v="SALE90"/>
    <x v="85"/>
    <s v="CUST1010"/>
    <s v="PROD33"/>
    <s v="STORE18"/>
    <n v="2"/>
    <n v="350.12"/>
    <x v="27"/>
    <x v="2"/>
    <x v="0"/>
    <x v="2"/>
    <x v="3"/>
    <x v="9"/>
    <x v="3"/>
    <n v="179.77"/>
    <x v="3"/>
    <x v="1"/>
    <x v="90"/>
    <n v="53"/>
  </r>
  <r>
    <s v="SALE91"/>
    <x v="86"/>
    <s v="CUST1406"/>
    <s v="PROD16"/>
    <s v="STORE1"/>
    <n v="4"/>
    <n v="102.19"/>
    <x v="9"/>
    <x v="1"/>
    <x v="1"/>
    <x v="18"/>
    <x v="0"/>
    <x v="30"/>
    <x v="2"/>
    <n v="337.42"/>
    <x v="0"/>
    <x v="1"/>
    <x v="91"/>
    <n v="23"/>
  </r>
  <r>
    <s v="SALE92"/>
    <x v="87"/>
    <s v="CUST1007"/>
    <s v="PROD86"/>
    <s v="STORE4"/>
    <n v="1"/>
    <n v="696.53"/>
    <x v="9"/>
    <x v="0"/>
    <x v="1"/>
    <x v="35"/>
    <x v="3"/>
    <x v="56"/>
    <x v="3"/>
    <n v="176.07"/>
    <x v="2"/>
    <x v="2"/>
    <x v="92"/>
    <n v="29"/>
  </r>
  <r>
    <s v="SALE93"/>
    <x v="88"/>
    <s v="CUST1065"/>
    <s v="PROD19"/>
    <s v="STORE4"/>
    <n v="2"/>
    <n v="327.52"/>
    <x v="6"/>
    <x v="1"/>
    <x v="1"/>
    <x v="8"/>
    <x v="2"/>
    <x v="46"/>
    <x v="0"/>
    <n v="21.34"/>
    <x v="2"/>
    <x v="2"/>
    <x v="93"/>
    <n v="21"/>
  </r>
  <r>
    <s v="SALE94"/>
    <x v="89"/>
    <s v="CUST1298"/>
    <s v="PROD97"/>
    <s v="STORE19"/>
    <n v="2"/>
    <n v="569.36"/>
    <x v="10"/>
    <x v="1"/>
    <x v="0"/>
    <x v="17"/>
    <x v="1"/>
    <x v="0"/>
    <x v="0"/>
    <n v="245.98"/>
    <x v="3"/>
    <x v="2"/>
    <x v="94"/>
    <n v="64"/>
  </r>
  <r>
    <s v="SALE95"/>
    <x v="90"/>
    <s v="CUST1321"/>
    <s v="PROD99"/>
    <s v="STORE6"/>
    <n v="2"/>
    <n v="68.29"/>
    <x v="17"/>
    <x v="2"/>
    <x v="1"/>
    <x v="3"/>
    <x v="3"/>
    <x v="8"/>
    <x v="3"/>
    <n v="201.41"/>
    <x v="3"/>
    <x v="2"/>
    <x v="95"/>
    <n v="21"/>
  </r>
  <r>
    <s v="SALE96"/>
    <x v="91"/>
    <s v="CUST1244"/>
    <s v="PROD50"/>
    <s v="STORE10"/>
    <n v="1"/>
    <n v="842.9"/>
    <x v="22"/>
    <x v="2"/>
    <x v="0"/>
    <x v="39"/>
    <x v="3"/>
    <x v="57"/>
    <x v="0"/>
    <n v="190.29"/>
    <x v="3"/>
    <x v="2"/>
    <x v="96"/>
    <n v="19"/>
  </r>
  <r>
    <s v="SALE97"/>
    <x v="92"/>
    <s v="CUST1287"/>
    <s v="PROD3"/>
    <s v="STORE3"/>
    <n v="3"/>
    <n v="751.94"/>
    <x v="25"/>
    <x v="1"/>
    <x v="1"/>
    <x v="1"/>
    <x v="0"/>
    <x v="58"/>
    <x v="4"/>
    <n v="364.67"/>
    <x v="0"/>
    <x v="0"/>
    <x v="97"/>
    <n v="22"/>
  </r>
  <r>
    <s v="SALE98"/>
    <x v="93"/>
    <s v="CUST1131"/>
    <s v="PROD56"/>
    <s v="STORE7"/>
    <n v="4"/>
    <n v="476.28"/>
    <x v="9"/>
    <x v="0"/>
    <x v="1"/>
    <x v="4"/>
    <x v="3"/>
    <x v="6"/>
    <x v="3"/>
    <n v="461.47"/>
    <x v="2"/>
    <x v="2"/>
    <x v="98"/>
    <n v="34"/>
  </r>
  <r>
    <s v="SALE99"/>
    <x v="94"/>
    <s v="CUST1325"/>
    <s v="PROD54"/>
    <s v="STORE3"/>
    <n v="3"/>
    <n v="541.99"/>
    <x v="24"/>
    <x v="2"/>
    <x v="0"/>
    <x v="18"/>
    <x v="3"/>
    <x v="59"/>
    <x v="0"/>
    <n v="434.84"/>
    <x v="0"/>
    <x v="0"/>
    <x v="99"/>
    <n v="60"/>
  </r>
  <r>
    <s v="SALE100"/>
    <x v="43"/>
    <s v="CUST1369"/>
    <s v="PROD33"/>
    <s v="STORE5"/>
    <n v="2"/>
    <n v="401.5"/>
    <x v="4"/>
    <x v="0"/>
    <x v="1"/>
    <x v="1"/>
    <x v="1"/>
    <x v="9"/>
    <x v="3"/>
    <n v="179.77"/>
    <x v="0"/>
    <x v="0"/>
    <x v="100"/>
    <n v="20"/>
  </r>
  <r>
    <s v="SALE101"/>
    <x v="95"/>
    <s v="CUST1084"/>
    <s v="PROD25"/>
    <s v="STORE13"/>
    <n v="3"/>
    <n v="359.56"/>
    <x v="9"/>
    <x v="1"/>
    <x v="1"/>
    <x v="30"/>
    <x v="1"/>
    <x v="60"/>
    <x v="4"/>
    <n v="174.02"/>
    <x v="3"/>
    <x v="1"/>
    <x v="101"/>
    <n v="26"/>
  </r>
  <r>
    <s v="SALE102"/>
    <x v="25"/>
    <s v="CUST1097"/>
    <s v="PROD80"/>
    <s v="STORE12"/>
    <n v="2"/>
    <n v="471.88"/>
    <x v="24"/>
    <x v="1"/>
    <x v="0"/>
    <x v="34"/>
    <x v="2"/>
    <x v="61"/>
    <x v="3"/>
    <n v="143.43"/>
    <x v="0"/>
    <x v="2"/>
    <x v="102"/>
    <n v="36"/>
  </r>
  <r>
    <s v="SALE103"/>
    <x v="96"/>
    <s v="CUST1182"/>
    <s v="PROD34"/>
    <s v="STORE4"/>
    <n v="4"/>
    <n v="925.19"/>
    <x v="5"/>
    <x v="1"/>
    <x v="1"/>
    <x v="15"/>
    <x v="2"/>
    <x v="13"/>
    <x v="1"/>
    <n v="419.28"/>
    <x v="2"/>
    <x v="2"/>
    <x v="103"/>
    <n v="23"/>
  </r>
  <r>
    <s v="SALE104"/>
    <x v="97"/>
    <s v="CUST1029"/>
    <s v="PROD86"/>
    <s v="STORE11"/>
    <n v="2"/>
    <n v="879.63"/>
    <x v="8"/>
    <x v="2"/>
    <x v="1"/>
    <x v="24"/>
    <x v="2"/>
    <x v="56"/>
    <x v="3"/>
    <n v="176.07"/>
    <x v="2"/>
    <x v="2"/>
    <x v="104"/>
    <n v="54"/>
  </r>
  <r>
    <s v="SALE105"/>
    <x v="98"/>
    <s v="CUST1002"/>
    <s v="PROD79"/>
    <s v="STORE17"/>
    <n v="2"/>
    <n v="418.23"/>
    <x v="23"/>
    <x v="0"/>
    <x v="1"/>
    <x v="4"/>
    <x v="1"/>
    <x v="29"/>
    <x v="3"/>
    <n v="228.53"/>
    <x v="0"/>
    <x v="1"/>
    <x v="105"/>
    <n v="29"/>
  </r>
  <r>
    <s v="SALE106"/>
    <x v="99"/>
    <s v="CUST1269"/>
    <s v="PROD19"/>
    <s v="STORE18"/>
    <n v="3"/>
    <n v="551.72"/>
    <x v="15"/>
    <x v="2"/>
    <x v="1"/>
    <x v="24"/>
    <x v="2"/>
    <x v="46"/>
    <x v="0"/>
    <n v="21.34"/>
    <x v="3"/>
    <x v="1"/>
    <x v="106"/>
    <n v="45"/>
  </r>
  <r>
    <s v="SALE107"/>
    <x v="100"/>
    <s v="CUST1338"/>
    <s v="PROD86"/>
    <s v="STORE7"/>
    <n v="4"/>
    <n v="525.61"/>
    <x v="31"/>
    <x v="1"/>
    <x v="1"/>
    <x v="40"/>
    <x v="2"/>
    <x v="56"/>
    <x v="3"/>
    <n v="176.07"/>
    <x v="2"/>
    <x v="2"/>
    <x v="107"/>
    <n v="46"/>
  </r>
  <r>
    <s v="SALE108"/>
    <x v="101"/>
    <s v="CUST1041"/>
    <s v="PROD22"/>
    <s v="STORE13"/>
    <n v="3"/>
    <n v="815.3"/>
    <x v="15"/>
    <x v="0"/>
    <x v="0"/>
    <x v="41"/>
    <x v="1"/>
    <x v="62"/>
    <x v="0"/>
    <n v="484.62"/>
    <x v="3"/>
    <x v="1"/>
    <x v="108"/>
    <n v="21"/>
  </r>
  <r>
    <s v="SALE109"/>
    <x v="102"/>
    <s v="CUST1214"/>
    <s v="PROD91"/>
    <s v="STORE0"/>
    <n v="3"/>
    <n v="376.46"/>
    <x v="0"/>
    <x v="2"/>
    <x v="0"/>
    <x v="10"/>
    <x v="0"/>
    <x v="52"/>
    <x v="4"/>
    <n v="438.25"/>
    <x v="3"/>
    <x v="1"/>
    <x v="109"/>
    <n v="61"/>
  </r>
  <r>
    <s v="SALE110"/>
    <x v="103"/>
    <s v="CUST1007"/>
    <s v="PROD42"/>
    <s v="STORE8"/>
    <n v="4"/>
    <n v="239.83"/>
    <x v="16"/>
    <x v="0"/>
    <x v="1"/>
    <x v="35"/>
    <x v="3"/>
    <x v="63"/>
    <x v="1"/>
    <n v="450.71"/>
    <x v="1"/>
    <x v="2"/>
    <x v="110"/>
    <n v="29"/>
  </r>
  <r>
    <s v="SALE111"/>
    <x v="104"/>
    <s v="CUST1119"/>
    <s v="PROD90"/>
    <s v="STORE3"/>
    <n v="2"/>
    <n v="845.71"/>
    <x v="10"/>
    <x v="1"/>
    <x v="0"/>
    <x v="3"/>
    <x v="3"/>
    <x v="64"/>
    <x v="1"/>
    <n v="340.14"/>
    <x v="0"/>
    <x v="0"/>
    <x v="111"/>
    <n v="40"/>
  </r>
  <r>
    <s v="SALE112"/>
    <x v="105"/>
    <s v="CUST1087"/>
    <s v="PROD76"/>
    <s v="STORE13"/>
    <n v="3"/>
    <n v="948.69"/>
    <x v="12"/>
    <x v="0"/>
    <x v="1"/>
    <x v="42"/>
    <x v="3"/>
    <x v="3"/>
    <x v="1"/>
    <n v="392.89"/>
    <x v="3"/>
    <x v="1"/>
    <x v="112"/>
    <n v="58"/>
  </r>
  <r>
    <s v="SALE113"/>
    <x v="106"/>
    <s v="CUST1467"/>
    <s v="PROD27"/>
    <s v="STORE10"/>
    <n v="1"/>
    <n v="281.97"/>
    <x v="29"/>
    <x v="1"/>
    <x v="1"/>
    <x v="1"/>
    <x v="0"/>
    <x v="16"/>
    <x v="3"/>
    <n v="250.021571428571"/>
    <x v="3"/>
    <x v="2"/>
    <x v="113"/>
    <n v="63"/>
  </r>
  <r>
    <s v="SALE114"/>
    <x v="107"/>
    <s v="CUST1152"/>
    <s v="PROD91"/>
    <s v="STORE4"/>
    <n v="2"/>
    <n v="731.01"/>
    <x v="28"/>
    <x v="1"/>
    <x v="1"/>
    <x v="6"/>
    <x v="1"/>
    <x v="52"/>
    <x v="4"/>
    <n v="438.25"/>
    <x v="2"/>
    <x v="2"/>
    <x v="114"/>
    <n v="41"/>
  </r>
  <r>
    <s v="SALE115"/>
    <x v="108"/>
    <s v="CUST1257"/>
    <s v="PROD85"/>
    <s v="STORE7"/>
    <n v="4"/>
    <n v="930.85"/>
    <x v="21"/>
    <x v="1"/>
    <x v="0"/>
    <x v="43"/>
    <x v="2"/>
    <x v="65"/>
    <x v="4"/>
    <n v="119.57"/>
    <x v="2"/>
    <x v="2"/>
    <x v="115"/>
    <n v="42"/>
  </r>
  <r>
    <s v="SALE116"/>
    <x v="109"/>
    <s v="CUST1419"/>
    <s v="PROD3"/>
    <s v="STORE8"/>
    <n v="4"/>
    <n v="770.77"/>
    <x v="14"/>
    <x v="0"/>
    <x v="0"/>
    <x v="25"/>
    <x v="0"/>
    <x v="58"/>
    <x v="4"/>
    <n v="364.67"/>
    <x v="1"/>
    <x v="2"/>
    <x v="116"/>
    <n v="33"/>
  </r>
  <r>
    <s v="SALE117"/>
    <x v="110"/>
    <s v="CUST1067"/>
    <s v="PROD46"/>
    <s v="STORE4"/>
    <n v="3"/>
    <n v="479.63"/>
    <x v="11"/>
    <x v="1"/>
    <x v="0"/>
    <x v="26"/>
    <x v="2"/>
    <x v="54"/>
    <x v="4"/>
    <n v="167.34"/>
    <x v="2"/>
    <x v="2"/>
    <x v="117"/>
    <n v="58"/>
  </r>
  <r>
    <s v="SALE118"/>
    <x v="111"/>
    <s v="CUST1105"/>
    <s v="PROD39"/>
    <s v="STORE11"/>
    <n v="1"/>
    <n v="165"/>
    <x v="11"/>
    <x v="2"/>
    <x v="1"/>
    <x v="26"/>
    <x v="0"/>
    <x v="11"/>
    <x v="1"/>
    <n v="326.06"/>
    <x v="2"/>
    <x v="2"/>
    <x v="118"/>
    <n v="50"/>
  </r>
  <r>
    <s v="SALE119"/>
    <x v="112"/>
    <s v="CUST1158"/>
    <s v="PROD19"/>
    <s v="STORE8"/>
    <n v="2"/>
    <n v="151.51"/>
    <x v="12"/>
    <x v="2"/>
    <x v="0"/>
    <x v="1"/>
    <x v="3"/>
    <x v="46"/>
    <x v="0"/>
    <n v="21.34"/>
    <x v="1"/>
    <x v="2"/>
    <x v="119"/>
    <n v="43"/>
  </r>
  <r>
    <s v="SALE120"/>
    <x v="113"/>
    <s v="CUST1231"/>
    <s v="PROD31"/>
    <s v="STORE17"/>
    <n v="2"/>
    <n v="872.93"/>
    <x v="12"/>
    <x v="2"/>
    <x v="1"/>
    <x v="42"/>
    <x v="3"/>
    <x v="45"/>
    <x v="0"/>
    <n v="204.39"/>
    <x v="0"/>
    <x v="1"/>
    <x v="120"/>
    <n v="22"/>
  </r>
  <r>
    <s v="SALE121"/>
    <x v="114"/>
    <s v="CUST1264"/>
    <s v="PROD22"/>
    <s v="STORE10"/>
    <n v="3"/>
    <n v="432.4"/>
    <x v="13"/>
    <x v="0"/>
    <x v="0"/>
    <x v="0"/>
    <x v="0"/>
    <x v="62"/>
    <x v="0"/>
    <n v="484.62"/>
    <x v="3"/>
    <x v="2"/>
    <x v="121"/>
    <n v="25"/>
  </r>
  <r>
    <s v="SALE122"/>
    <x v="115"/>
    <s v="CUST1338"/>
    <s v="PROD50"/>
    <s v="STORE7"/>
    <n v="2"/>
    <n v="197.76"/>
    <x v="13"/>
    <x v="0"/>
    <x v="1"/>
    <x v="40"/>
    <x v="2"/>
    <x v="57"/>
    <x v="0"/>
    <n v="190.29"/>
    <x v="2"/>
    <x v="2"/>
    <x v="122"/>
    <n v="46"/>
  </r>
  <r>
    <s v="SALE123"/>
    <x v="116"/>
    <s v="CUST1476"/>
    <s v="PROD40"/>
    <s v="STORE2"/>
    <n v="3"/>
    <n v="334.6"/>
    <x v="32"/>
    <x v="1"/>
    <x v="1"/>
    <x v="15"/>
    <x v="0"/>
    <x v="43"/>
    <x v="1"/>
    <n v="38.52"/>
    <x v="2"/>
    <x v="0"/>
    <x v="123"/>
    <n v="33"/>
  </r>
  <r>
    <s v="SALE124"/>
    <x v="117"/>
    <s v="CUST1087"/>
    <s v="PROD14"/>
    <s v="STORE3"/>
    <n v="2"/>
    <n v="44.35"/>
    <x v="29"/>
    <x v="2"/>
    <x v="1"/>
    <x v="42"/>
    <x v="3"/>
    <x v="66"/>
    <x v="3"/>
    <n v="48.01"/>
    <x v="0"/>
    <x v="0"/>
    <x v="124"/>
    <n v="58"/>
  </r>
  <r>
    <s v="SALE125"/>
    <x v="118"/>
    <s v="CUST1498"/>
    <s v="PROD8"/>
    <s v="STORE6"/>
    <n v="1"/>
    <n v="846.31"/>
    <x v="28"/>
    <x v="1"/>
    <x v="0"/>
    <x v="23"/>
    <x v="2"/>
    <x v="67"/>
    <x v="1"/>
    <n v="439.07"/>
    <x v="3"/>
    <x v="2"/>
    <x v="125"/>
    <n v="35"/>
  </r>
  <r>
    <s v="SALE126"/>
    <x v="119"/>
    <s v="CUST1131"/>
    <s v="PROD35"/>
    <s v="STORE12"/>
    <n v="1"/>
    <n v="996.48"/>
    <x v="8"/>
    <x v="2"/>
    <x v="1"/>
    <x v="4"/>
    <x v="3"/>
    <x v="68"/>
    <x v="3"/>
    <n v="382.22"/>
    <x v="0"/>
    <x v="2"/>
    <x v="126"/>
    <n v="34"/>
  </r>
  <r>
    <s v="SALE127"/>
    <x v="120"/>
    <s v="CUST1277"/>
    <s v="PROD93"/>
    <s v="STORE6"/>
    <n v="3"/>
    <n v="949.19"/>
    <x v="15"/>
    <x v="2"/>
    <x v="1"/>
    <x v="44"/>
    <x v="1"/>
    <x v="47"/>
    <x v="1"/>
    <n v="377.52"/>
    <x v="3"/>
    <x v="2"/>
    <x v="127"/>
    <n v="22"/>
  </r>
  <r>
    <s v="SALE128"/>
    <x v="121"/>
    <s v="CUST1397"/>
    <s v="PROD94"/>
    <s v="STORE9"/>
    <n v="2"/>
    <n v="724.97"/>
    <x v="30"/>
    <x v="0"/>
    <x v="1"/>
    <x v="32"/>
    <x v="1"/>
    <x v="32"/>
    <x v="2"/>
    <n v="358.47"/>
    <x v="2"/>
    <x v="1"/>
    <x v="128"/>
    <n v="62"/>
  </r>
  <r>
    <s v="SALE129"/>
    <x v="122"/>
    <s v="CUST1315"/>
    <s v="PROD1"/>
    <s v="STORE16"/>
    <n v="1"/>
    <n v="783.25"/>
    <x v="11"/>
    <x v="0"/>
    <x v="0"/>
    <x v="43"/>
    <x v="2"/>
    <x v="55"/>
    <x v="4"/>
    <n v="342.56"/>
    <x v="1"/>
    <x v="1"/>
    <x v="129"/>
    <n v="49"/>
  </r>
  <r>
    <s v="SALE130"/>
    <x v="123"/>
    <s v="CUST1343"/>
    <s v="PROD17"/>
    <s v="STORE3"/>
    <n v="1"/>
    <n v="942.38"/>
    <x v="9"/>
    <x v="0"/>
    <x v="0"/>
    <x v="45"/>
    <x v="3"/>
    <x v="53"/>
    <x v="0"/>
    <n v="144.53"/>
    <x v="0"/>
    <x v="0"/>
    <x v="130"/>
    <n v="38"/>
  </r>
  <r>
    <s v="SALE131"/>
    <x v="124"/>
    <s v="CUST1496"/>
    <s v="PROD51"/>
    <s v="STORE11"/>
    <n v="3"/>
    <n v="298.35"/>
    <x v="28"/>
    <x v="2"/>
    <x v="0"/>
    <x v="31"/>
    <x v="3"/>
    <x v="69"/>
    <x v="1"/>
    <n v="88.49"/>
    <x v="2"/>
    <x v="2"/>
    <x v="131"/>
    <n v="56"/>
  </r>
  <r>
    <s v="SALE132"/>
    <x v="125"/>
    <s v="CUST1164"/>
    <s v="PROD48"/>
    <s v="STORE12"/>
    <n v="4"/>
    <n v="950.04"/>
    <x v="21"/>
    <x v="1"/>
    <x v="1"/>
    <x v="36"/>
    <x v="2"/>
    <x v="70"/>
    <x v="1"/>
    <n v="177.98"/>
    <x v="0"/>
    <x v="2"/>
    <x v="132"/>
    <n v="39"/>
  </r>
  <r>
    <s v="SALE133"/>
    <x v="126"/>
    <s v="CUST1329"/>
    <s v="PROD57"/>
    <s v="STORE4"/>
    <n v="2"/>
    <n v="267.19"/>
    <x v="8"/>
    <x v="0"/>
    <x v="1"/>
    <x v="46"/>
    <x v="3"/>
    <x v="71"/>
    <x v="0"/>
    <n v="30.62"/>
    <x v="2"/>
    <x v="2"/>
    <x v="133"/>
    <n v="62"/>
  </r>
  <r>
    <s v="SALE134"/>
    <x v="127"/>
    <s v="CUST1201"/>
    <s v="PROD87"/>
    <s v="STORE15"/>
    <n v="4"/>
    <n v="72.63"/>
    <x v="22"/>
    <x v="1"/>
    <x v="1"/>
    <x v="20"/>
    <x v="3"/>
    <x v="72"/>
    <x v="3"/>
    <n v="371.38"/>
    <x v="0"/>
    <x v="1"/>
    <x v="134"/>
    <n v="25"/>
  </r>
  <r>
    <s v="SALE135"/>
    <x v="128"/>
    <s v="CUST1427"/>
    <s v="PROD53"/>
    <s v="STORE5"/>
    <n v="3"/>
    <n v="576.52"/>
    <x v="14"/>
    <x v="2"/>
    <x v="1"/>
    <x v="17"/>
    <x v="0"/>
    <x v="27"/>
    <x v="4"/>
    <n v="386.56"/>
    <x v="0"/>
    <x v="0"/>
    <x v="135"/>
    <n v="18"/>
  </r>
  <r>
    <s v="SALE136"/>
    <x v="129"/>
    <s v="CUST1349"/>
    <s v="PROD71"/>
    <s v="STORE9"/>
    <n v="3"/>
    <n v="849.36"/>
    <x v="15"/>
    <x v="0"/>
    <x v="0"/>
    <x v="41"/>
    <x v="3"/>
    <x v="51"/>
    <x v="2"/>
    <n v="214.32"/>
    <x v="2"/>
    <x v="1"/>
    <x v="136"/>
    <n v="31"/>
  </r>
  <r>
    <s v="SALE137"/>
    <x v="130"/>
    <s v="CUST1473"/>
    <s v="PROD50"/>
    <s v="STORE6"/>
    <n v="1"/>
    <n v="245.85"/>
    <x v="4"/>
    <x v="2"/>
    <x v="0"/>
    <x v="18"/>
    <x v="3"/>
    <x v="57"/>
    <x v="0"/>
    <n v="190.29"/>
    <x v="3"/>
    <x v="2"/>
    <x v="137"/>
    <n v="53"/>
  </r>
  <r>
    <s v="SALE138"/>
    <x v="53"/>
    <s v="CUST1178"/>
    <s v="PROD97"/>
    <s v="STORE10"/>
    <n v="3"/>
    <n v="237.68"/>
    <x v="30"/>
    <x v="2"/>
    <x v="1"/>
    <x v="42"/>
    <x v="3"/>
    <x v="0"/>
    <x v="0"/>
    <n v="245.98"/>
    <x v="3"/>
    <x v="2"/>
    <x v="138"/>
    <n v="33"/>
  </r>
  <r>
    <s v="SALE139"/>
    <x v="131"/>
    <s v="CUST1337"/>
    <s v="PROD71"/>
    <s v="STORE14"/>
    <n v="4"/>
    <n v="715.85"/>
    <x v="2"/>
    <x v="1"/>
    <x v="1"/>
    <x v="29"/>
    <x v="3"/>
    <x v="51"/>
    <x v="2"/>
    <n v="214.32"/>
    <x v="2"/>
    <x v="0"/>
    <x v="139"/>
    <n v="40"/>
  </r>
  <r>
    <s v="SALE140"/>
    <x v="65"/>
    <s v="CUST1171"/>
    <s v="PROD90"/>
    <s v="STORE5"/>
    <n v="2"/>
    <n v="478.85"/>
    <x v="10"/>
    <x v="2"/>
    <x v="1"/>
    <x v="30"/>
    <x v="1"/>
    <x v="64"/>
    <x v="1"/>
    <n v="340.14"/>
    <x v="0"/>
    <x v="0"/>
    <x v="140"/>
    <n v="44"/>
  </r>
  <r>
    <s v="SALE141"/>
    <x v="132"/>
    <s v="CUST1113"/>
    <s v="PROD47"/>
    <s v="STORE0"/>
    <n v="1"/>
    <n v="503.95"/>
    <x v="25"/>
    <x v="2"/>
    <x v="0"/>
    <x v="23"/>
    <x v="0"/>
    <x v="44"/>
    <x v="2"/>
    <n v="255.049019607843"/>
    <x v="3"/>
    <x v="1"/>
    <x v="141"/>
    <n v="51"/>
  </r>
  <r>
    <s v="SALE142"/>
    <x v="133"/>
    <s v="CUST1399"/>
    <s v="PROD66"/>
    <s v="STORE12"/>
    <n v="2"/>
    <n v="975.48"/>
    <x v="25"/>
    <x v="2"/>
    <x v="0"/>
    <x v="17"/>
    <x v="3"/>
    <x v="73"/>
    <x v="2"/>
    <n v="340.39"/>
    <x v="0"/>
    <x v="2"/>
    <x v="142"/>
    <n v="27"/>
  </r>
  <r>
    <s v="SALE143"/>
    <x v="119"/>
    <s v="CUST1401"/>
    <s v="PROD34"/>
    <s v="STORE16"/>
    <n v="4"/>
    <n v="450.12"/>
    <x v="12"/>
    <x v="2"/>
    <x v="1"/>
    <x v="8"/>
    <x v="1"/>
    <x v="13"/>
    <x v="1"/>
    <n v="419.28"/>
    <x v="1"/>
    <x v="1"/>
    <x v="143"/>
    <n v="51"/>
  </r>
  <r>
    <s v="SALE144"/>
    <x v="134"/>
    <s v="CUST1435"/>
    <s v="PROD36"/>
    <s v="STORE8"/>
    <n v="3"/>
    <n v="237.24"/>
    <x v="24"/>
    <x v="1"/>
    <x v="1"/>
    <x v="12"/>
    <x v="2"/>
    <x v="14"/>
    <x v="4"/>
    <n v="223.43"/>
    <x v="1"/>
    <x v="2"/>
    <x v="144"/>
    <n v="37"/>
  </r>
  <r>
    <s v="SALE145"/>
    <x v="135"/>
    <s v="CUST1459"/>
    <s v="PROD54"/>
    <s v="STORE15"/>
    <n v="2"/>
    <n v="536.84"/>
    <x v="0"/>
    <x v="2"/>
    <x v="1"/>
    <x v="42"/>
    <x v="0"/>
    <x v="59"/>
    <x v="0"/>
    <n v="434.84"/>
    <x v="0"/>
    <x v="1"/>
    <x v="145"/>
    <n v="29"/>
  </r>
  <r>
    <s v="SALE146"/>
    <x v="71"/>
    <s v="CUST1443"/>
    <s v="PROD36"/>
    <s v="STORE19"/>
    <n v="3"/>
    <n v="584.41"/>
    <x v="33"/>
    <x v="2"/>
    <x v="0"/>
    <x v="11"/>
    <x v="2"/>
    <x v="14"/>
    <x v="4"/>
    <n v="223.43"/>
    <x v="3"/>
    <x v="2"/>
    <x v="146"/>
    <n v="51"/>
  </r>
  <r>
    <s v="SALE147"/>
    <x v="136"/>
    <s v="CUST1294"/>
    <s v="PROD82"/>
    <s v="STORE19"/>
    <n v="1"/>
    <n v="653.87"/>
    <x v="17"/>
    <x v="1"/>
    <x v="0"/>
    <x v="10"/>
    <x v="1"/>
    <x v="74"/>
    <x v="0"/>
    <n v="152.92"/>
    <x v="3"/>
    <x v="2"/>
    <x v="147"/>
    <n v="29"/>
  </r>
  <r>
    <s v="SALE148"/>
    <x v="35"/>
    <s v="CUST1493"/>
    <s v="PROD87"/>
    <s v="STORE0"/>
    <n v="1"/>
    <n v="652.03"/>
    <x v="1"/>
    <x v="0"/>
    <x v="0"/>
    <x v="4"/>
    <x v="2"/>
    <x v="72"/>
    <x v="3"/>
    <n v="371.38"/>
    <x v="3"/>
    <x v="1"/>
    <x v="148"/>
    <n v="28"/>
  </r>
  <r>
    <s v="SALE149"/>
    <x v="137"/>
    <s v="CUST1093"/>
    <s v="PROD5"/>
    <s v="STORE12"/>
    <n v="3"/>
    <n v="513.36"/>
    <x v="8"/>
    <x v="2"/>
    <x v="1"/>
    <x v="42"/>
    <x v="0"/>
    <x v="23"/>
    <x v="4"/>
    <n v="261"/>
    <x v="0"/>
    <x v="2"/>
    <x v="149"/>
    <n v="28"/>
  </r>
  <r>
    <s v="SALE150"/>
    <x v="138"/>
    <s v="CUST1068"/>
    <s v="PROD52"/>
    <s v="STORE5"/>
    <n v="4"/>
    <n v="355.64"/>
    <x v="3"/>
    <x v="2"/>
    <x v="1"/>
    <x v="30"/>
    <x v="2"/>
    <x v="40"/>
    <x v="0"/>
    <n v="212.26"/>
    <x v="0"/>
    <x v="0"/>
    <x v="150"/>
    <n v="24"/>
  </r>
  <r>
    <s v="SALE151"/>
    <x v="139"/>
    <s v="CUST1022"/>
    <s v="PROD13"/>
    <s v="STORE8"/>
    <n v="4"/>
    <n v="535.4"/>
    <x v="25"/>
    <x v="1"/>
    <x v="1"/>
    <x v="22"/>
    <x v="2"/>
    <x v="26"/>
    <x v="1"/>
    <n v="242.23"/>
    <x v="1"/>
    <x v="2"/>
    <x v="151"/>
    <n v="33"/>
  </r>
  <r>
    <s v="SALE152"/>
    <x v="104"/>
    <s v="CUST1243"/>
    <s v="PROD69"/>
    <s v="STORE19"/>
    <n v="2"/>
    <n v="108.74"/>
    <x v="32"/>
    <x v="1"/>
    <x v="1"/>
    <x v="11"/>
    <x v="0"/>
    <x v="20"/>
    <x v="4"/>
    <n v="218.22"/>
    <x v="3"/>
    <x v="2"/>
    <x v="152"/>
    <n v="56"/>
  </r>
  <r>
    <s v="SALE153"/>
    <x v="140"/>
    <s v="CUST1314"/>
    <s v="PROD11"/>
    <s v="STORE19"/>
    <n v="3"/>
    <n v="591.98"/>
    <x v="3"/>
    <x v="0"/>
    <x v="1"/>
    <x v="7"/>
    <x v="2"/>
    <x v="75"/>
    <x v="1"/>
    <n v="449.4"/>
    <x v="3"/>
    <x v="2"/>
    <x v="153"/>
    <n v="53"/>
  </r>
  <r>
    <s v="SALE154"/>
    <x v="141"/>
    <s v="CUST1405"/>
    <s v="PROD48"/>
    <s v="STORE2"/>
    <n v="1"/>
    <n v="345.06"/>
    <x v="21"/>
    <x v="2"/>
    <x v="1"/>
    <x v="38"/>
    <x v="0"/>
    <x v="70"/>
    <x v="1"/>
    <n v="177.98"/>
    <x v="2"/>
    <x v="0"/>
    <x v="154"/>
    <n v="18"/>
  </r>
  <r>
    <s v="SALE155"/>
    <x v="142"/>
    <s v="CUST1307"/>
    <s v="PROD93"/>
    <s v="STORE12"/>
    <n v="4"/>
    <n v="986.41"/>
    <x v="14"/>
    <x v="0"/>
    <x v="1"/>
    <x v="4"/>
    <x v="3"/>
    <x v="47"/>
    <x v="1"/>
    <n v="377.52"/>
    <x v="0"/>
    <x v="2"/>
    <x v="155"/>
    <n v="56"/>
  </r>
  <r>
    <s v="SALE156"/>
    <x v="143"/>
    <s v="CUST1319"/>
    <s v="PROD49"/>
    <s v="STORE0"/>
    <n v="2"/>
    <n v="921.52"/>
    <x v="33"/>
    <x v="1"/>
    <x v="0"/>
    <x v="25"/>
    <x v="1"/>
    <x v="2"/>
    <x v="2"/>
    <n v="43.29"/>
    <x v="3"/>
    <x v="1"/>
    <x v="156"/>
    <n v="54"/>
  </r>
  <r>
    <s v="SALE157"/>
    <x v="144"/>
    <s v="CUST1097"/>
    <s v="PROD55"/>
    <s v="STORE5"/>
    <n v="1"/>
    <n v="83.1"/>
    <x v="13"/>
    <x v="1"/>
    <x v="0"/>
    <x v="34"/>
    <x v="2"/>
    <x v="76"/>
    <x v="3"/>
    <n v="81.75"/>
    <x v="0"/>
    <x v="0"/>
    <x v="157"/>
    <n v="36"/>
  </r>
  <r>
    <s v="SALE158"/>
    <x v="145"/>
    <s v="CUST1369"/>
    <s v="PROD28"/>
    <s v="STORE11"/>
    <n v="2"/>
    <n v="60.98"/>
    <x v="7"/>
    <x v="1"/>
    <x v="1"/>
    <x v="1"/>
    <x v="1"/>
    <x v="77"/>
    <x v="0"/>
    <n v="38.76"/>
    <x v="2"/>
    <x v="2"/>
    <x v="158"/>
    <n v="20"/>
  </r>
  <r>
    <s v="SALE159"/>
    <x v="146"/>
    <s v="CUST1394"/>
    <s v="PROD89"/>
    <s v="STORE16"/>
    <n v="2"/>
    <n v="122.23"/>
    <x v="34"/>
    <x v="2"/>
    <x v="1"/>
    <x v="40"/>
    <x v="3"/>
    <x v="41"/>
    <x v="2"/>
    <n v="183.04"/>
    <x v="1"/>
    <x v="1"/>
    <x v="159"/>
    <n v="43"/>
  </r>
  <r>
    <s v="SALE160"/>
    <x v="147"/>
    <s v="CUST1020"/>
    <s v="PROD70"/>
    <s v="STORE18"/>
    <n v="2"/>
    <n v="623.38"/>
    <x v="21"/>
    <x v="0"/>
    <x v="0"/>
    <x v="37"/>
    <x v="2"/>
    <x v="7"/>
    <x v="3"/>
    <n v="138.05"/>
    <x v="3"/>
    <x v="1"/>
    <x v="160"/>
    <n v="59"/>
  </r>
  <r>
    <s v="SALE161"/>
    <x v="148"/>
    <s v="CUST1058"/>
    <s v="PROD70"/>
    <s v="STORE0"/>
    <n v="1"/>
    <n v="479.58"/>
    <x v="28"/>
    <x v="1"/>
    <x v="0"/>
    <x v="33"/>
    <x v="1"/>
    <x v="7"/>
    <x v="3"/>
    <n v="138.05"/>
    <x v="3"/>
    <x v="1"/>
    <x v="161"/>
    <n v="51"/>
  </r>
  <r>
    <s v="SALE162"/>
    <x v="149"/>
    <s v="CUST1298"/>
    <s v="PROD73"/>
    <s v="STORE6"/>
    <n v="3"/>
    <n v="369.32"/>
    <x v="17"/>
    <x v="1"/>
    <x v="0"/>
    <x v="17"/>
    <x v="1"/>
    <x v="78"/>
    <x v="0"/>
    <n v="107.06"/>
    <x v="3"/>
    <x v="2"/>
    <x v="162"/>
    <n v="64"/>
  </r>
  <r>
    <s v="SALE163"/>
    <x v="103"/>
    <s v="CUST1076"/>
    <s v="PROD32"/>
    <s v="STORE1"/>
    <n v="1"/>
    <n v="488.31"/>
    <x v="15"/>
    <x v="1"/>
    <x v="0"/>
    <x v="15"/>
    <x v="0"/>
    <x v="79"/>
    <x v="2"/>
    <n v="283.83"/>
    <x v="0"/>
    <x v="1"/>
    <x v="163"/>
    <n v="37"/>
  </r>
  <r>
    <s v="SALE164"/>
    <x v="150"/>
    <s v="CUST1276"/>
    <s v="PROD54"/>
    <s v="STORE12"/>
    <n v="4"/>
    <n v="164.04"/>
    <x v="25"/>
    <x v="0"/>
    <x v="0"/>
    <x v="8"/>
    <x v="0"/>
    <x v="59"/>
    <x v="0"/>
    <n v="434.84"/>
    <x v="0"/>
    <x v="2"/>
    <x v="164"/>
    <n v="38"/>
  </r>
  <r>
    <s v="SALE165"/>
    <x v="151"/>
    <s v="CUST1073"/>
    <s v="PROD10"/>
    <s v="STORE17"/>
    <n v="3"/>
    <n v="707.95"/>
    <x v="4"/>
    <x v="1"/>
    <x v="1"/>
    <x v="35"/>
    <x v="2"/>
    <x v="31"/>
    <x v="3"/>
    <n v="298.86"/>
    <x v="0"/>
    <x v="1"/>
    <x v="165"/>
    <n v="56"/>
  </r>
  <r>
    <s v="SALE166"/>
    <x v="152"/>
    <s v="CUST1295"/>
    <s v="PROD69"/>
    <s v="STORE8"/>
    <n v="4"/>
    <n v="714.47"/>
    <x v="4"/>
    <x v="2"/>
    <x v="1"/>
    <x v="32"/>
    <x v="3"/>
    <x v="20"/>
    <x v="4"/>
    <n v="218.22"/>
    <x v="1"/>
    <x v="2"/>
    <x v="166"/>
    <n v="19"/>
  </r>
  <r>
    <s v="SALE167"/>
    <x v="153"/>
    <s v="CUST1415"/>
    <s v="PROD79"/>
    <s v="STORE7"/>
    <n v="4"/>
    <n v="422.09"/>
    <x v="13"/>
    <x v="0"/>
    <x v="1"/>
    <x v="41"/>
    <x v="2"/>
    <x v="29"/>
    <x v="3"/>
    <n v="228.53"/>
    <x v="2"/>
    <x v="2"/>
    <x v="167"/>
    <n v="26"/>
  </r>
  <r>
    <s v="SALE168"/>
    <x v="55"/>
    <s v="CUST1108"/>
    <s v="PROD30"/>
    <s v="STORE9"/>
    <n v="1"/>
    <n v="998.19"/>
    <x v="29"/>
    <x v="0"/>
    <x v="0"/>
    <x v="21"/>
    <x v="3"/>
    <x v="37"/>
    <x v="3"/>
    <n v="19.52"/>
    <x v="2"/>
    <x v="1"/>
    <x v="168"/>
    <n v="38"/>
  </r>
  <r>
    <s v="SALE169"/>
    <x v="154"/>
    <s v="CUST1373"/>
    <s v="PROD72"/>
    <s v="STORE7"/>
    <n v="2"/>
    <n v="343.42"/>
    <x v="27"/>
    <x v="2"/>
    <x v="1"/>
    <x v="17"/>
    <x v="0"/>
    <x v="18"/>
    <x v="0"/>
    <n v="477.61"/>
    <x v="2"/>
    <x v="2"/>
    <x v="169"/>
    <n v="37"/>
  </r>
  <r>
    <s v="SALE170"/>
    <x v="155"/>
    <s v="CUST1256"/>
    <s v="PROD34"/>
    <s v="STORE6"/>
    <n v="1"/>
    <n v="152.17"/>
    <x v="23"/>
    <x v="2"/>
    <x v="0"/>
    <x v="13"/>
    <x v="1"/>
    <x v="13"/>
    <x v="1"/>
    <n v="419.28"/>
    <x v="3"/>
    <x v="2"/>
    <x v="170"/>
    <n v="57"/>
  </r>
  <r>
    <s v="SALE171"/>
    <x v="156"/>
    <s v="CUST1175"/>
    <s v="PROD49"/>
    <s v="STORE11"/>
    <n v="1"/>
    <n v="325.08"/>
    <x v="25"/>
    <x v="1"/>
    <x v="0"/>
    <x v="22"/>
    <x v="1"/>
    <x v="2"/>
    <x v="2"/>
    <n v="43.29"/>
    <x v="2"/>
    <x v="2"/>
    <x v="171"/>
    <n v="56"/>
  </r>
  <r>
    <s v="SALE172"/>
    <x v="157"/>
    <s v="CUST1344"/>
    <s v="PROD89"/>
    <s v="STORE10"/>
    <n v="2"/>
    <n v="827.92"/>
    <x v="2"/>
    <x v="2"/>
    <x v="0"/>
    <x v="23"/>
    <x v="0"/>
    <x v="41"/>
    <x v="2"/>
    <n v="183.04"/>
    <x v="3"/>
    <x v="2"/>
    <x v="172"/>
    <n v="39"/>
  </r>
  <r>
    <s v="SALE173"/>
    <x v="158"/>
    <s v="CUST1485"/>
    <s v="PROD26"/>
    <s v="STORE2"/>
    <n v="2"/>
    <n v="593.47"/>
    <x v="30"/>
    <x v="2"/>
    <x v="1"/>
    <x v="45"/>
    <x v="3"/>
    <x v="33"/>
    <x v="1"/>
    <n v="322.41"/>
    <x v="2"/>
    <x v="0"/>
    <x v="173"/>
    <n v="46"/>
  </r>
  <r>
    <s v="SALE174"/>
    <x v="157"/>
    <s v="CUST1293"/>
    <s v="PROD20"/>
    <s v="STORE7"/>
    <n v="4"/>
    <n v="756.28"/>
    <x v="28"/>
    <x v="2"/>
    <x v="1"/>
    <x v="38"/>
    <x v="1"/>
    <x v="42"/>
    <x v="0"/>
    <n v="131.51"/>
    <x v="2"/>
    <x v="2"/>
    <x v="174"/>
    <n v="56"/>
  </r>
  <r>
    <s v="SALE175"/>
    <x v="159"/>
    <s v="CUST1377"/>
    <s v="PROD92"/>
    <s v="STORE1"/>
    <n v="2"/>
    <n v="707.65"/>
    <x v="17"/>
    <x v="0"/>
    <x v="1"/>
    <x v="17"/>
    <x v="0"/>
    <x v="80"/>
    <x v="3"/>
    <n v="447.43"/>
    <x v="0"/>
    <x v="1"/>
    <x v="175"/>
    <n v="39"/>
  </r>
  <r>
    <s v="SALE176"/>
    <x v="160"/>
    <s v="CUST1128"/>
    <s v="PROD25"/>
    <s v="STORE15"/>
    <n v="1"/>
    <n v="857.35"/>
    <x v="23"/>
    <x v="1"/>
    <x v="0"/>
    <x v="13"/>
    <x v="2"/>
    <x v="60"/>
    <x v="4"/>
    <n v="174.02"/>
    <x v="0"/>
    <x v="1"/>
    <x v="176"/>
    <n v="45"/>
  </r>
  <r>
    <s v="SALE177"/>
    <x v="161"/>
    <s v="CUST1499"/>
    <s v="PROD55"/>
    <s v="STORE8"/>
    <n v="1"/>
    <n v="79"/>
    <x v="13"/>
    <x v="1"/>
    <x v="1"/>
    <x v="47"/>
    <x v="1"/>
    <x v="76"/>
    <x v="3"/>
    <n v="81.75"/>
    <x v="1"/>
    <x v="2"/>
    <x v="177"/>
    <n v="27"/>
  </r>
  <r>
    <s v="SALE178"/>
    <x v="77"/>
    <s v="CUST1066"/>
    <s v="PROD94"/>
    <s v="STORE5"/>
    <n v="4"/>
    <n v="638.91"/>
    <x v="33"/>
    <x v="2"/>
    <x v="1"/>
    <x v="21"/>
    <x v="2"/>
    <x v="32"/>
    <x v="2"/>
    <n v="358.47"/>
    <x v="0"/>
    <x v="0"/>
    <x v="178"/>
    <n v="27"/>
  </r>
  <r>
    <s v="SALE179"/>
    <x v="162"/>
    <s v="CUST1081"/>
    <s v="PROD45"/>
    <s v="STORE0"/>
    <n v="2"/>
    <n v="522.17"/>
    <x v="1"/>
    <x v="0"/>
    <x v="1"/>
    <x v="28"/>
    <x v="1"/>
    <x v="49"/>
    <x v="0"/>
    <n v="318.91"/>
    <x v="3"/>
    <x v="1"/>
    <x v="179"/>
    <n v="34"/>
  </r>
  <r>
    <s v="SALE180"/>
    <x v="163"/>
    <s v="CUST1478"/>
    <s v="PROD39"/>
    <s v="STORE12"/>
    <n v="3"/>
    <n v="954.29"/>
    <x v="1"/>
    <x v="0"/>
    <x v="0"/>
    <x v="34"/>
    <x v="0"/>
    <x v="11"/>
    <x v="1"/>
    <n v="326.06"/>
    <x v="0"/>
    <x v="2"/>
    <x v="180"/>
    <n v="59"/>
  </r>
  <r>
    <s v="SALE181"/>
    <x v="27"/>
    <s v="CUST1462"/>
    <s v="PROD33"/>
    <s v="STORE13"/>
    <n v="3"/>
    <n v="53.92"/>
    <x v="6"/>
    <x v="1"/>
    <x v="1"/>
    <x v="35"/>
    <x v="2"/>
    <x v="9"/>
    <x v="3"/>
    <n v="179.77"/>
    <x v="3"/>
    <x v="1"/>
    <x v="181"/>
    <n v="34"/>
  </r>
  <r>
    <s v="SALE182"/>
    <x v="164"/>
    <s v="CUST1396"/>
    <s v="PROD34"/>
    <s v="STORE0"/>
    <n v="4"/>
    <n v="741.88"/>
    <x v="31"/>
    <x v="2"/>
    <x v="1"/>
    <x v="14"/>
    <x v="2"/>
    <x v="13"/>
    <x v="1"/>
    <n v="419.28"/>
    <x v="3"/>
    <x v="1"/>
    <x v="182"/>
    <n v="25"/>
  </r>
  <r>
    <s v="SALE183"/>
    <x v="139"/>
    <s v="CUST1033"/>
    <s v="PROD46"/>
    <s v="STORE3"/>
    <n v="1"/>
    <n v="547.09"/>
    <x v="10"/>
    <x v="1"/>
    <x v="0"/>
    <x v="15"/>
    <x v="1"/>
    <x v="54"/>
    <x v="4"/>
    <n v="167.34"/>
    <x v="0"/>
    <x v="0"/>
    <x v="183"/>
    <n v="25"/>
  </r>
  <r>
    <s v="SALE184"/>
    <x v="165"/>
    <s v="CUST1489"/>
    <s v="PROD89"/>
    <s v="STORE3"/>
    <n v="1"/>
    <n v="789.35"/>
    <x v="17"/>
    <x v="1"/>
    <x v="1"/>
    <x v="30"/>
    <x v="2"/>
    <x v="41"/>
    <x v="2"/>
    <n v="183.04"/>
    <x v="0"/>
    <x v="0"/>
    <x v="184"/>
    <n v="42"/>
  </r>
  <r>
    <s v="SALE185"/>
    <x v="166"/>
    <s v="CUST1428"/>
    <s v="PROD63"/>
    <s v="STORE3"/>
    <n v="3"/>
    <n v="476.78"/>
    <x v="0"/>
    <x v="2"/>
    <x v="1"/>
    <x v="38"/>
    <x v="3"/>
    <x v="81"/>
    <x v="2"/>
    <n v="266.86"/>
    <x v="0"/>
    <x v="0"/>
    <x v="185"/>
    <n v="27"/>
  </r>
  <r>
    <s v="SALE186"/>
    <x v="167"/>
    <s v="CUST1453"/>
    <s v="PROD79"/>
    <s v="STORE18"/>
    <n v="2"/>
    <n v="504.26"/>
    <x v="13"/>
    <x v="1"/>
    <x v="1"/>
    <x v="22"/>
    <x v="1"/>
    <x v="29"/>
    <x v="3"/>
    <n v="228.53"/>
    <x v="3"/>
    <x v="1"/>
    <x v="186"/>
    <n v="62"/>
  </r>
  <r>
    <s v="SALE187"/>
    <x v="44"/>
    <s v="CUST1272"/>
    <s v="PROD81"/>
    <s v="STORE6"/>
    <n v="2"/>
    <n v="549.33"/>
    <x v="10"/>
    <x v="2"/>
    <x v="1"/>
    <x v="24"/>
    <x v="0"/>
    <x v="82"/>
    <x v="0"/>
    <n v="285.54"/>
    <x v="3"/>
    <x v="2"/>
    <x v="187"/>
    <n v="48"/>
  </r>
  <r>
    <s v="SALE188"/>
    <x v="168"/>
    <s v="CUST1382"/>
    <s v="PROD4"/>
    <s v="STORE3"/>
    <n v="3"/>
    <n v="620.22"/>
    <x v="13"/>
    <x v="0"/>
    <x v="1"/>
    <x v="24"/>
    <x v="0"/>
    <x v="83"/>
    <x v="4"/>
    <n v="306.46"/>
    <x v="0"/>
    <x v="0"/>
    <x v="188"/>
    <n v="20"/>
  </r>
  <r>
    <s v="SALE189"/>
    <x v="168"/>
    <s v="CUST1091"/>
    <s v="PROD46"/>
    <s v="STORE3"/>
    <n v="1"/>
    <n v="580.76"/>
    <x v="30"/>
    <x v="2"/>
    <x v="1"/>
    <x v="28"/>
    <x v="2"/>
    <x v="54"/>
    <x v="4"/>
    <n v="167.34"/>
    <x v="0"/>
    <x v="0"/>
    <x v="189"/>
    <n v="29"/>
  </r>
  <r>
    <s v="SALE190"/>
    <x v="169"/>
    <s v="CUST1334"/>
    <s v="PROD71"/>
    <s v="STORE9"/>
    <n v="3"/>
    <n v="444.55"/>
    <x v="17"/>
    <x v="1"/>
    <x v="1"/>
    <x v="40"/>
    <x v="2"/>
    <x v="51"/>
    <x v="2"/>
    <n v="214.32"/>
    <x v="2"/>
    <x v="1"/>
    <x v="190"/>
    <n v="50"/>
  </r>
  <r>
    <s v="SALE191"/>
    <x v="170"/>
    <s v="CUST1138"/>
    <s v="PROD46"/>
    <s v="STORE18"/>
    <n v="1"/>
    <n v="804.9"/>
    <x v="15"/>
    <x v="1"/>
    <x v="0"/>
    <x v="45"/>
    <x v="0"/>
    <x v="54"/>
    <x v="4"/>
    <n v="167.34"/>
    <x v="3"/>
    <x v="1"/>
    <x v="191"/>
    <n v="43"/>
  </r>
  <r>
    <s v="SALE192"/>
    <x v="136"/>
    <s v="CUST1424"/>
    <s v="PROD92"/>
    <s v="STORE14"/>
    <n v="3"/>
    <n v="361.65"/>
    <x v="6"/>
    <x v="2"/>
    <x v="0"/>
    <x v="29"/>
    <x v="3"/>
    <x v="80"/>
    <x v="3"/>
    <n v="447.43"/>
    <x v="2"/>
    <x v="0"/>
    <x v="192"/>
    <n v="53"/>
  </r>
  <r>
    <s v="SALE193"/>
    <x v="171"/>
    <s v="CUST1162"/>
    <s v="PROD7"/>
    <s v="STORE4"/>
    <n v="1"/>
    <n v="271.76"/>
    <x v="15"/>
    <x v="0"/>
    <x v="0"/>
    <x v="3"/>
    <x v="2"/>
    <x v="84"/>
    <x v="3"/>
    <n v="218.86"/>
    <x v="2"/>
    <x v="2"/>
    <x v="193"/>
    <n v="37"/>
  </r>
  <r>
    <s v="SALE194"/>
    <x v="172"/>
    <s v="CUST1323"/>
    <s v="PROD49"/>
    <s v="STORE10"/>
    <n v="3"/>
    <n v="958.15"/>
    <x v="24"/>
    <x v="2"/>
    <x v="1"/>
    <x v="29"/>
    <x v="1"/>
    <x v="2"/>
    <x v="2"/>
    <n v="43.29"/>
    <x v="3"/>
    <x v="2"/>
    <x v="194"/>
    <n v="64"/>
  </r>
  <r>
    <s v="SALE195"/>
    <x v="63"/>
    <s v="CUST1427"/>
    <s v="PROD60"/>
    <s v="STORE17"/>
    <n v="1"/>
    <n v="889.19"/>
    <x v="15"/>
    <x v="0"/>
    <x v="1"/>
    <x v="17"/>
    <x v="0"/>
    <x v="17"/>
    <x v="2"/>
    <n v="482.75"/>
    <x v="0"/>
    <x v="1"/>
    <x v="195"/>
    <n v="18"/>
  </r>
  <r>
    <s v="SALE196"/>
    <x v="173"/>
    <s v="CUST1464"/>
    <s v="PROD57"/>
    <s v="STORE16"/>
    <n v="4"/>
    <n v="689.67"/>
    <x v="28"/>
    <x v="2"/>
    <x v="1"/>
    <x v="7"/>
    <x v="1"/>
    <x v="71"/>
    <x v="0"/>
    <n v="30.62"/>
    <x v="1"/>
    <x v="1"/>
    <x v="196"/>
    <n v="45"/>
  </r>
  <r>
    <s v="SALE197"/>
    <x v="174"/>
    <s v="CUST1135"/>
    <s v="PROD44"/>
    <s v="STORE11"/>
    <n v="1"/>
    <n v="541.24"/>
    <x v="15"/>
    <x v="1"/>
    <x v="1"/>
    <x v="20"/>
    <x v="1"/>
    <x v="38"/>
    <x v="0"/>
    <n v="167.12"/>
    <x v="2"/>
    <x v="2"/>
    <x v="197"/>
    <n v="33"/>
  </r>
  <r>
    <s v="SALE198"/>
    <x v="167"/>
    <s v="CUST1448"/>
    <s v="PROD81"/>
    <s v="STORE6"/>
    <n v="1"/>
    <n v="454.71"/>
    <x v="3"/>
    <x v="1"/>
    <x v="1"/>
    <x v="0"/>
    <x v="3"/>
    <x v="82"/>
    <x v="0"/>
    <n v="285.54"/>
    <x v="3"/>
    <x v="2"/>
    <x v="198"/>
    <n v="64"/>
  </r>
  <r>
    <s v="SALE199"/>
    <x v="175"/>
    <s v="CUST1038"/>
    <s v="PROD66"/>
    <s v="STORE5"/>
    <n v="2"/>
    <n v="397.63"/>
    <x v="25"/>
    <x v="0"/>
    <x v="1"/>
    <x v="16"/>
    <x v="3"/>
    <x v="73"/>
    <x v="2"/>
    <n v="340.39"/>
    <x v="0"/>
    <x v="0"/>
    <x v="199"/>
    <n v="35"/>
  </r>
  <r>
    <s v="SALE200"/>
    <x v="176"/>
    <s v="CUST1170"/>
    <s v="PROD83"/>
    <s v="STORE6"/>
    <n v="3"/>
    <n v="748.56"/>
    <x v="25"/>
    <x v="1"/>
    <x v="0"/>
    <x v="6"/>
    <x v="0"/>
    <x v="50"/>
    <x v="2"/>
    <n v="289.359375"/>
    <x v="3"/>
    <x v="2"/>
    <x v="200"/>
    <n v="18"/>
  </r>
  <r>
    <s v="SALE201"/>
    <x v="177"/>
    <s v="CUST1144"/>
    <s v="PROD33"/>
    <s v="STORE4"/>
    <n v="1"/>
    <n v="885.72"/>
    <x v="6"/>
    <x v="0"/>
    <x v="1"/>
    <x v="8"/>
    <x v="3"/>
    <x v="9"/>
    <x v="3"/>
    <n v="179.77"/>
    <x v="2"/>
    <x v="2"/>
    <x v="201"/>
    <n v="62"/>
  </r>
  <r>
    <s v="SALE202"/>
    <x v="178"/>
    <s v="CUST1108"/>
    <s v="PROD62"/>
    <s v="STORE1"/>
    <n v="4"/>
    <n v="408.07"/>
    <x v="23"/>
    <x v="2"/>
    <x v="0"/>
    <x v="21"/>
    <x v="3"/>
    <x v="85"/>
    <x v="1"/>
    <n v="86.42"/>
    <x v="0"/>
    <x v="1"/>
    <x v="202"/>
    <n v="38"/>
  </r>
  <r>
    <s v="SALE203"/>
    <x v="179"/>
    <s v="CUST1472"/>
    <s v="PROD34"/>
    <s v="STORE9"/>
    <n v="2"/>
    <n v="597.07"/>
    <x v="23"/>
    <x v="1"/>
    <x v="0"/>
    <x v="43"/>
    <x v="2"/>
    <x v="13"/>
    <x v="1"/>
    <n v="419.28"/>
    <x v="2"/>
    <x v="1"/>
    <x v="203"/>
    <n v="42"/>
  </r>
  <r>
    <s v="SALE204"/>
    <x v="180"/>
    <s v="CUST1022"/>
    <s v="PROD67"/>
    <s v="STORE9"/>
    <n v="3"/>
    <n v="723.47"/>
    <x v="27"/>
    <x v="2"/>
    <x v="1"/>
    <x v="22"/>
    <x v="2"/>
    <x v="22"/>
    <x v="1"/>
    <n v="349.17"/>
    <x v="2"/>
    <x v="1"/>
    <x v="204"/>
    <n v="33"/>
  </r>
  <r>
    <s v="SALE205"/>
    <x v="144"/>
    <s v="CUST1437"/>
    <s v="PROD88"/>
    <s v="STORE5"/>
    <n v="1"/>
    <n v="479.93"/>
    <x v="14"/>
    <x v="0"/>
    <x v="1"/>
    <x v="21"/>
    <x v="1"/>
    <x v="12"/>
    <x v="0"/>
    <n v="131.24"/>
    <x v="0"/>
    <x v="0"/>
    <x v="205"/>
    <n v="47"/>
  </r>
  <r>
    <s v="SALE206"/>
    <x v="181"/>
    <s v="CUST1243"/>
    <s v="PROD34"/>
    <s v="STORE16"/>
    <n v="4"/>
    <n v="362.81"/>
    <x v="34"/>
    <x v="2"/>
    <x v="1"/>
    <x v="11"/>
    <x v="0"/>
    <x v="13"/>
    <x v="1"/>
    <n v="419.28"/>
    <x v="1"/>
    <x v="1"/>
    <x v="206"/>
    <n v="56"/>
  </r>
  <r>
    <s v="SALE207"/>
    <x v="182"/>
    <s v="CUST1185"/>
    <s v="PROD79"/>
    <s v="STORE3"/>
    <n v="1"/>
    <n v="127.11"/>
    <x v="10"/>
    <x v="1"/>
    <x v="1"/>
    <x v="19"/>
    <x v="1"/>
    <x v="29"/>
    <x v="3"/>
    <n v="228.53"/>
    <x v="0"/>
    <x v="0"/>
    <x v="207"/>
    <n v="54"/>
  </r>
  <r>
    <s v="SALE208"/>
    <x v="168"/>
    <s v="CUST1184"/>
    <s v="PROD34"/>
    <s v="STORE17"/>
    <n v="4"/>
    <n v="931.26"/>
    <x v="13"/>
    <x v="0"/>
    <x v="1"/>
    <x v="16"/>
    <x v="2"/>
    <x v="13"/>
    <x v="1"/>
    <n v="419.28"/>
    <x v="0"/>
    <x v="1"/>
    <x v="208"/>
    <n v="46"/>
  </r>
  <r>
    <s v="SALE209"/>
    <x v="183"/>
    <s v="CUST1371"/>
    <s v="PROD67"/>
    <s v="STORE8"/>
    <n v="1"/>
    <n v="620.81"/>
    <x v="13"/>
    <x v="1"/>
    <x v="1"/>
    <x v="21"/>
    <x v="1"/>
    <x v="22"/>
    <x v="1"/>
    <n v="349.17"/>
    <x v="1"/>
    <x v="2"/>
    <x v="209"/>
    <n v="21"/>
  </r>
  <r>
    <s v="SALE210"/>
    <x v="184"/>
    <s v="CUST1094"/>
    <s v="PROD50"/>
    <s v="STORE2"/>
    <n v="1"/>
    <n v="823.26"/>
    <x v="1"/>
    <x v="2"/>
    <x v="1"/>
    <x v="8"/>
    <x v="0"/>
    <x v="57"/>
    <x v="0"/>
    <n v="190.29"/>
    <x v="2"/>
    <x v="0"/>
    <x v="210"/>
    <n v="43"/>
  </r>
  <r>
    <s v="SALE211"/>
    <x v="185"/>
    <s v="CUST1012"/>
    <s v="PROD27"/>
    <s v="STORE8"/>
    <n v="3"/>
    <n v="681.01"/>
    <x v="1"/>
    <x v="2"/>
    <x v="1"/>
    <x v="32"/>
    <x v="1"/>
    <x v="16"/>
    <x v="3"/>
    <n v="250.021571428571"/>
    <x v="1"/>
    <x v="2"/>
    <x v="211"/>
    <n v="55"/>
  </r>
  <r>
    <s v="SALE212"/>
    <x v="72"/>
    <s v="CUST1442"/>
    <s v="PROD56"/>
    <s v="STORE19"/>
    <n v="4"/>
    <n v="119.83"/>
    <x v="21"/>
    <x v="0"/>
    <x v="1"/>
    <x v="47"/>
    <x v="3"/>
    <x v="6"/>
    <x v="3"/>
    <n v="461.47"/>
    <x v="3"/>
    <x v="2"/>
    <x v="212"/>
    <n v="42"/>
  </r>
  <r>
    <s v="SALE213"/>
    <x v="158"/>
    <s v="CUST1307"/>
    <s v="PROD78"/>
    <s v="STORE2"/>
    <n v="1"/>
    <n v="575.66"/>
    <x v="15"/>
    <x v="1"/>
    <x v="1"/>
    <x v="4"/>
    <x v="3"/>
    <x v="36"/>
    <x v="3"/>
    <n v="325.26"/>
    <x v="2"/>
    <x v="0"/>
    <x v="213"/>
    <n v="56"/>
  </r>
  <r>
    <s v="SALE214"/>
    <x v="186"/>
    <s v="CUST1199"/>
    <s v="PROD48"/>
    <s v="STORE16"/>
    <n v="1"/>
    <n v="775.84"/>
    <x v="25"/>
    <x v="0"/>
    <x v="0"/>
    <x v="3"/>
    <x v="3"/>
    <x v="70"/>
    <x v="1"/>
    <n v="177.98"/>
    <x v="1"/>
    <x v="1"/>
    <x v="214"/>
    <n v="46"/>
  </r>
  <r>
    <s v="SALE215"/>
    <x v="187"/>
    <s v="CUST1443"/>
    <s v="PROD14"/>
    <s v="STORE9"/>
    <n v="3"/>
    <n v="318.43"/>
    <x v="28"/>
    <x v="0"/>
    <x v="0"/>
    <x v="11"/>
    <x v="2"/>
    <x v="66"/>
    <x v="3"/>
    <n v="48.01"/>
    <x v="2"/>
    <x v="1"/>
    <x v="215"/>
    <n v="51"/>
  </r>
  <r>
    <s v="SALE216"/>
    <x v="58"/>
    <s v="CUST1153"/>
    <s v="PROD72"/>
    <s v="STORE8"/>
    <n v="3"/>
    <n v="141.6"/>
    <x v="16"/>
    <x v="2"/>
    <x v="0"/>
    <x v="16"/>
    <x v="3"/>
    <x v="18"/>
    <x v="0"/>
    <n v="477.61"/>
    <x v="1"/>
    <x v="2"/>
    <x v="216"/>
    <n v="31"/>
  </r>
  <r>
    <s v="SALE217"/>
    <x v="188"/>
    <s v="CUST1266"/>
    <s v="PROD15"/>
    <s v="STORE19"/>
    <n v="1"/>
    <n v="332.82"/>
    <x v="17"/>
    <x v="1"/>
    <x v="1"/>
    <x v="27"/>
    <x v="3"/>
    <x v="5"/>
    <x v="1"/>
    <n v="465.34"/>
    <x v="3"/>
    <x v="2"/>
    <x v="217"/>
    <n v="32"/>
  </r>
  <r>
    <s v="SALE218"/>
    <x v="21"/>
    <s v="CUST1246"/>
    <s v="PROD72"/>
    <s v="STORE1"/>
    <n v="4"/>
    <n v="640.97"/>
    <x v="32"/>
    <x v="2"/>
    <x v="0"/>
    <x v="13"/>
    <x v="3"/>
    <x v="18"/>
    <x v="0"/>
    <n v="477.61"/>
    <x v="0"/>
    <x v="1"/>
    <x v="218"/>
    <n v="58"/>
  </r>
  <r>
    <s v="SALE219"/>
    <x v="189"/>
    <s v="CUST1203"/>
    <s v="PROD90"/>
    <s v="STORE15"/>
    <n v="4"/>
    <n v="75.37"/>
    <x v="31"/>
    <x v="2"/>
    <x v="0"/>
    <x v="9"/>
    <x v="1"/>
    <x v="64"/>
    <x v="1"/>
    <n v="340.14"/>
    <x v="0"/>
    <x v="1"/>
    <x v="219"/>
    <n v="47"/>
  </r>
  <r>
    <s v="SALE220"/>
    <x v="190"/>
    <s v="CUST1075"/>
    <s v="PROD16"/>
    <s v="STORE18"/>
    <n v="3"/>
    <n v="434.55"/>
    <x v="16"/>
    <x v="2"/>
    <x v="1"/>
    <x v="24"/>
    <x v="0"/>
    <x v="30"/>
    <x v="2"/>
    <n v="337.42"/>
    <x v="3"/>
    <x v="1"/>
    <x v="220"/>
    <n v="61"/>
  </r>
  <r>
    <s v="SALE221"/>
    <x v="148"/>
    <s v="CUST1099"/>
    <s v="PROD26"/>
    <s v="STORE14"/>
    <n v="4"/>
    <n v="652.28"/>
    <x v="6"/>
    <x v="0"/>
    <x v="0"/>
    <x v="3"/>
    <x v="2"/>
    <x v="33"/>
    <x v="1"/>
    <n v="322.41"/>
    <x v="2"/>
    <x v="0"/>
    <x v="221"/>
    <n v="35"/>
  </r>
  <r>
    <s v="SALE222"/>
    <x v="0"/>
    <s v="CUST1269"/>
    <s v="PROD76"/>
    <s v="STORE17"/>
    <n v="3"/>
    <n v="207.8"/>
    <x v="6"/>
    <x v="0"/>
    <x v="1"/>
    <x v="24"/>
    <x v="2"/>
    <x v="3"/>
    <x v="1"/>
    <n v="392.89"/>
    <x v="0"/>
    <x v="1"/>
    <x v="222"/>
    <n v="45"/>
  </r>
  <r>
    <s v="SALE223"/>
    <x v="191"/>
    <s v="CUST1495"/>
    <s v="PROD61"/>
    <s v="STORE15"/>
    <n v="4"/>
    <n v="385.5"/>
    <x v="15"/>
    <x v="1"/>
    <x v="1"/>
    <x v="37"/>
    <x v="3"/>
    <x v="86"/>
    <x v="0"/>
    <n v="103.45"/>
    <x v="0"/>
    <x v="1"/>
    <x v="223"/>
    <n v="23"/>
  </r>
  <r>
    <s v="SALE224"/>
    <x v="192"/>
    <s v="CUST1096"/>
    <s v="PROD65"/>
    <s v="STORE6"/>
    <n v="3"/>
    <n v="548.19"/>
    <x v="27"/>
    <x v="0"/>
    <x v="1"/>
    <x v="38"/>
    <x v="1"/>
    <x v="15"/>
    <x v="0"/>
    <n v="240.63"/>
    <x v="3"/>
    <x v="2"/>
    <x v="224"/>
    <n v="30"/>
  </r>
  <r>
    <s v="SALE225"/>
    <x v="48"/>
    <s v="CUST1069"/>
    <s v="PROD73"/>
    <s v="STORE9"/>
    <n v="3"/>
    <n v="927.6"/>
    <x v="0"/>
    <x v="0"/>
    <x v="1"/>
    <x v="19"/>
    <x v="1"/>
    <x v="78"/>
    <x v="0"/>
    <n v="107.06"/>
    <x v="2"/>
    <x v="1"/>
    <x v="225"/>
    <n v="24"/>
  </r>
  <r>
    <s v="SALE226"/>
    <x v="193"/>
    <s v="CUST1266"/>
    <s v="PROD61"/>
    <s v="STORE3"/>
    <n v="4"/>
    <n v="585.04"/>
    <x v="14"/>
    <x v="1"/>
    <x v="1"/>
    <x v="27"/>
    <x v="3"/>
    <x v="86"/>
    <x v="0"/>
    <n v="103.45"/>
    <x v="0"/>
    <x v="0"/>
    <x v="226"/>
    <n v="32"/>
  </r>
  <r>
    <s v="SALE227"/>
    <x v="194"/>
    <s v="CUST1499"/>
    <s v="PROD39"/>
    <s v="STORE2"/>
    <n v="2"/>
    <n v="999.89"/>
    <x v="0"/>
    <x v="0"/>
    <x v="1"/>
    <x v="47"/>
    <x v="1"/>
    <x v="11"/>
    <x v="1"/>
    <n v="326.06"/>
    <x v="2"/>
    <x v="0"/>
    <x v="227"/>
    <n v="27"/>
  </r>
  <r>
    <s v="SALE228"/>
    <x v="195"/>
    <s v="CUST1107"/>
    <s v="PROD75"/>
    <s v="STORE3"/>
    <n v="2"/>
    <n v="848.98"/>
    <x v="13"/>
    <x v="1"/>
    <x v="1"/>
    <x v="16"/>
    <x v="1"/>
    <x v="28"/>
    <x v="4"/>
    <n v="158.14"/>
    <x v="0"/>
    <x v="0"/>
    <x v="228"/>
    <n v="62"/>
  </r>
  <r>
    <s v="SALE229"/>
    <x v="196"/>
    <s v="CUST1142"/>
    <s v="PROD60"/>
    <s v="STORE14"/>
    <n v="3"/>
    <n v="769.56"/>
    <x v="16"/>
    <x v="0"/>
    <x v="0"/>
    <x v="10"/>
    <x v="3"/>
    <x v="17"/>
    <x v="2"/>
    <n v="482.75"/>
    <x v="2"/>
    <x v="0"/>
    <x v="229"/>
    <n v="37"/>
  </r>
  <r>
    <s v="SALE230"/>
    <x v="197"/>
    <s v="CUST1049"/>
    <s v="PROD48"/>
    <s v="STORE13"/>
    <n v="3"/>
    <n v="449.88"/>
    <x v="30"/>
    <x v="1"/>
    <x v="1"/>
    <x v="31"/>
    <x v="0"/>
    <x v="70"/>
    <x v="1"/>
    <n v="177.98"/>
    <x v="3"/>
    <x v="1"/>
    <x v="230"/>
    <n v="45"/>
  </r>
  <r>
    <s v="SALE231"/>
    <x v="198"/>
    <s v="CUST1275"/>
    <s v="PROD69"/>
    <s v="STORE12"/>
    <n v="4"/>
    <n v="383.74"/>
    <x v="10"/>
    <x v="0"/>
    <x v="0"/>
    <x v="27"/>
    <x v="0"/>
    <x v="20"/>
    <x v="4"/>
    <n v="218.22"/>
    <x v="0"/>
    <x v="2"/>
    <x v="231"/>
    <n v="22"/>
  </r>
  <r>
    <s v="SALE232"/>
    <x v="199"/>
    <s v="CUST1148"/>
    <s v="PROD58"/>
    <s v="STORE10"/>
    <n v="4"/>
    <n v="794.97"/>
    <x v="24"/>
    <x v="1"/>
    <x v="1"/>
    <x v="18"/>
    <x v="3"/>
    <x v="87"/>
    <x v="4"/>
    <n v="113.83"/>
    <x v="3"/>
    <x v="2"/>
    <x v="232"/>
    <n v="42"/>
  </r>
  <r>
    <s v="SALE233"/>
    <x v="200"/>
    <s v="CUST1010"/>
    <s v="PROD79"/>
    <s v="STORE5"/>
    <n v="1"/>
    <n v="989.63"/>
    <x v="28"/>
    <x v="1"/>
    <x v="0"/>
    <x v="2"/>
    <x v="3"/>
    <x v="29"/>
    <x v="3"/>
    <n v="228.53"/>
    <x v="0"/>
    <x v="0"/>
    <x v="233"/>
    <n v="53"/>
  </r>
  <r>
    <s v="SALE234"/>
    <x v="201"/>
    <s v="CUST1335"/>
    <s v="PROD54"/>
    <s v="STORE0"/>
    <n v="1"/>
    <n v="447.16"/>
    <x v="14"/>
    <x v="2"/>
    <x v="0"/>
    <x v="29"/>
    <x v="1"/>
    <x v="59"/>
    <x v="0"/>
    <n v="434.84"/>
    <x v="3"/>
    <x v="1"/>
    <x v="234"/>
    <n v="37"/>
  </r>
  <r>
    <s v="SALE235"/>
    <x v="202"/>
    <s v="CUST1008"/>
    <s v="PROD94"/>
    <s v="STORE6"/>
    <n v="1"/>
    <n v="946.9"/>
    <x v="12"/>
    <x v="2"/>
    <x v="1"/>
    <x v="21"/>
    <x v="0"/>
    <x v="32"/>
    <x v="2"/>
    <n v="358.47"/>
    <x v="3"/>
    <x v="2"/>
    <x v="235"/>
    <n v="53"/>
  </r>
  <r>
    <s v="SALE236"/>
    <x v="203"/>
    <s v="CUST1169"/>
    <s v="PROD17"/>
    <s v="STORE0"/>
    <n v="4"/>
    <n v="469.68"/>
    <x v="5"/>
    <x v="0"/>
    <x v="0"/>
    <x v="21"/>
    <x v="3"/>
    <x v="53"/>
    <x v="0"/>
    <n v="144.53"/>
    <x v="3"/>
    <x v="1"/>
    <x v="236"/>
    <n v="64"/>
  </r>
  <r>
    <s v="SALE237"/>
    <x v="204"/>
    <s v="CUST1494"/>
    <s v="PROD28"/>
    <s v="STORE17"/>
    <n v="4"/>
    <n v="320.64"/>
    <x v="29"/>
    <x v="2"/>
    <x v="0"/>
    <x v="11"/>
    <x v="0"/>
    <x v="77"/>
    <x v="0"/>
    <n v="38.76"/>
    <x v="0"/>
    <x v="1"/>
    <x v="237"/>
    <n v="21"/>
  </r>
  <r>
    <s v="SALE238"/>
    <x v="205"/>
    <s v="CUST1135"/>
    <s v="PROD15"/>
    <s v="STORE5"/>
    <n v="1"/>
    <n v="594.44"/>
    <x v="34"/>
    <x v="0"/>
    <x v="1"/>
    <x v="20"/>
    <x v="1"/>
    <x v="5"/>
    <x v="1"/>
    <n v="465.34"/>
    <x v="0"/>
    <x v="0"/>
    <x v="238"/>
    <n v="33"/>
  </r>
  <r>
    <s v="SALE239"/>
    <x v="206"/>
    <s v="CUST1216"/>
    <s v="PROD86"/>
    <s v="STORE8"/>
    <n v="3"/>
    <n v="91.7"/>
    <x v="16"/>
    <x v="2"/>
    <x v="0"/>
    <x v="24"/>
    <x v="1"/>
    <x v="56"/>
    <x v="3"/>
    <n v="176.07"/>
    <x v="1"/>
    <x v="2"/>
    <x v="239"/>
    <n v="44"/>
  </r>
  <r>
    <s v="SALE240"/>
    <x v="207"/>
    <s v="CUST1031"/>
    <s v="PROD62"/>
    <s v="STORE12"/>
    <n v="3"/>
    <n v="741.33"/>
    <x v="15"/>
    <x v="0"/>
    <x v="0"/>
    <x v="47"/>
    <x v="2"/>
    <x v="85"/>
    <x v="1"/>
    <n v="86.42"/>
    <x v="0"/>
    <x v="2"/>
    <x v="240"/>
    <n v="41"/>
  </r>
  <r>
    <s v="SALE241"/>
    <x v="190"/>
    <s v="CUST1476"/>
    <s v="PROD16"/>
    <s v="STORE19"/>
    <n v="1"/>
    <n v="922.78"/>
    <x v="12"/>
    <x v="2"/>
    <x v="1"/>
    <x v="15"/>
    <x v="0"/>
    <x v="30"/>
    <x v="2"/>
    <n v="337.42"/>
    <x v="3"/>
    <x v="2"/>
    <x v="241"/>
    <n v="33"/>
  </r>
  <r>
    <s v="SALE242"/>
    <x v="86"/>
    <s v="CUST1325"/>
    <s v="PROD8"/>
    <s v="STORE16"/>
    <n v="1"/>
    <n v="394.35"/>
    <x v="0"/>
    <x v="1"/>
    <x v="0"/>
    <x v="18"/>
    <x v="3"/>
    <x v="67"/>
    <x v="1"/>
    <n v="439.07"/>
    <x v="1"/>
    <x v="1"/>
    <x v="242"/>
    <n v="60"/>
  </r>
  <r>
    <s v="SALE243"/>
    <x v="0"/>
    <s v="CUST1364"/>
    <s v="PROD65"/>
    <s v="STORE11"/>
    <n v="2"/>
    <n v="703.95"/>
    <x v="15"/>
    <x v="0"/>
    <x v="0"/>
    <x v="28"/>
    <x v="3"/>
    <x v="15"/>
    <x v="0"/>
    <n v="240.63"/>
    <x v="2"/>
    <x v="2"/>
    <x v="243"/>
    <n v="58"/>
  </r>
  <r>
    <s v="SALE244"/>
    <x v="208"/>
    <s v="CUST1200"/>
    <s v="PROD14"/>
    <s v="STORE0"/>
    <n v="4"/>
    <n v="452.67"/>
    <x v="23"/>
    <x v="1"/>
    <x v="0"/>
    <x v="17"/>
    <x v="1"/>
    <x v="66"/>
    <x v="3"/>
    <n v="48.01"/>
    <x v="3"/>
    <x v="1"/>
    <x v="244"/>
    <n v="30"/>
  </r>
  <r>
    <s v="SALE245"/>
    <x v="209"/>
    <s v="CUST1463"/>
    <s v="PROD8"/>
    <s v="STORE7"/>
    <n v="2"/>
    <n v="377.3"/>
    <x v="6"/>
    <x v="1"/>
    <x v="1"/>
    <x v="40"/>
    <x v="3"/>
    <x v="67"/>
    <x v="1"/>
    <n v="439.07"/>
    <x v="2"/>
    <x v="2"/>
    <x v="245"/>
    <n v="36"/>
  </r>
  <r>
    <s v="SALE246"/>
    <x v="210"/>
    <s v="CUST1344"/>
    <s v="PROD74"/>
    <s v="STORE7"/>
    <n v="2"/>
    <n v="130.48"/>
    <x v="7"/>
    <x v="1"/>
    <x v="0"/>
    <x v="23"/>
    <x v="0"/>
    <x v="1"/>
    <x v="1"/>
    <n v="403.71"/>
    <x v="2"/>
    <x v="2"/>
    <x v="246"/>
    <n v="39"/>
  </r>
  <r>
    <s v="SALE247"/>
    <x v="148"/>
    <s v="CUST1435"/>
    <s v="PROD94"/>
    <s v="STORE12"/>
    <n v="1"/>
    <n v="809.45"/>
    <x v="0"/>
    <x v="2"/>
    <x v="1"/>
    <x v="12"/>
    <x v="2"/>
    <x v="32"/>
    <x v="2"/>
    <n v="358.47"/>
    <x v="0"/>
    <x v="2"/>
    <x v="247"/>
    <n v="37"/>
  </r>
  <r>
    <s v="SALE248"/>
    <x v="211"/>
    <s v="CUST1083"/>
    <s v="PROD45"/>
    <s v="STORE9"/>
    <n v="3"/>
    <n v="499.12"/>
    <x v="28"/>
    <x v="1"/>
    <x v="1"/>
    <x v="36"/>
    <x v="3"/>
    <x v="49"/>
    <x v="0"/>
    <n v="318.91"/>
    <x v="2"/>
    <x v="1"/>
    <x v="248"/>
    <n v="48"/>
  </r>
  <r>
    <s v="SALE249"/>
    <x v="45"/>
    <s v="CUST1023"/>
    <s v="PROD68"/>
    <s v="STORE3"/>
    <n v="2"/>
    <n v="894.58"/>
    <x v="2"/>
    <x v="0"/>
    <x v="1"/>
    <x v="47"/>
    <x v="2"/>
    <x v="88"/>
    <x v="3"/>
    <n v="243.7"/>
    <x v="0"/>
    <x v="0"/>
    <x v="249"/>
    <n v="52"/>
  </r>
  <r>
    <s v="SALE250"/>
    <x v="212"/>
    <s v="CUST1131"/>
    <s v="PROD75"/>
    <s v="STORE9"/>
    <n v="4"/>
    <n v="578.39"/>
    <x v="10"/>
    <x v="0"/>
    <x v="1"/>
    <x v="4"/>
    <x v="3"/>
    <x v="28"/>
    <x v="4"/>
    <n v="158.14"/>
    <x v="2"/>
    <x v="1"/>
    <x v="250"/>
    <n v="34"/>
  </r>
  <r>
    <s v="SALE251"/>
    <x v="187"/>
    <s v="CUST1485"/>
    <s v="PROD41"/>
    <s v="STORE17"/>
    <n v="4"/>
    <n v="982.45"/>
    <x v="29"/>
    <x v="1"/>
    <x v="1"/>
    <x v="45"/>
    <x v="3"/>
    <x v="89"/>
    <x v="0"/>
    <n v="313.26"/>
    <x v="0"/>
    <x v="1"/>
    <x v="251"/>
    <n v="46"/>
  </r>
  <r>
    <s v="SALE252"/>
    <x v="108"/>
    <s v="CUST1449"/>
    <s v="PROD98"/>
    <s v="STORE19"/>
    <n v="1"/>
    <n v="549.52"/>
    <x v="30"/>
    <x v="1"/>
    <x v="0"/>
    <x v="31"/>
    <x v="3"/>
    <x v="24"/>
    <x v="1"/>
    <n v="431.67"/>
    <x v="3"/>
    <x v="2"/>
    <x v="252"/>
    <n v="29"/>
  </r>
  <r>
    <s v="SALE253"/>
    <x v="213"/>
    <s v="CUST1240"/>
    <s v="PROD92"/>
    <s v="STORE18"/>
    <n v="2"/>
    <n v="239.92"/>
    <x v="3"/>
    <x v="0"/>
    <x v="1"/>
    <x v="20"/>
    <x v="1"/>
    <x v="80"/>
    <x v="3"/>
    <n v="447.43"/>
    <x v="3"/>
    <x v="1"/>
    <x v="253"/>
    <n v="59"/>
  </r>
  <r>
    <s v="SALE254"/>
    <x v="214"/>
    <s v="CUST1082"/>
    <s v="PROD92"/>
    <s v="STORE6"/>
    <n v="2"/>
    <n v="878.05"/>
    <x v="32"/>
    <x v="1"/>
    <x v="0"/>
    <x v="26"/>
    <x v="3"/>
    <x v="80"/>
    <x v="3"/>
    <n v="447.43"/>
    <x v="3"/>
    <x v="2"/>
    <x v="254"/>
    <n v="53"/>
  </r>
  <r>
    <s v="SALE255"/>
    <x v="215"/>
    <s v="CUST1044"/>
    <s v="PROD1"/>
    <s v="STORE9"/>
    <n v="3"/>
    <n v="546.96"/>
    <x v="5"/>
    <x v="0"/>
    <x v="0"/>
    <x v="22"/>
    <x v="3"/>
    <x v="55"/>
    <x v="4"/>
    <n v="342.56"/>
    <x v="2"/>
    <x v="1"/>
    <x v="255"/>
    <n v="34"/>
  </r>
  <r>
    <s v="SALE256"/>
    <x v="52"/>
    <s v="CUST1471"/>
    <s v="PROD17"/>
    <s v="STORE10"/>
    <n v="2"/>
    <n v="71.77"/>
    <x v="14"/>
    <x v="0"/>
    <x v="0"/>
    <x v="10"/>
    <x v="1"/>
    <x v="53"/>
    <x v="0"/>
    <n v="144.53"/>
    <x v="3"/>
    <x v="2"/>
    <x v="256"/>
    <n v="42"/>
  </r>
  <r>
    <s v="SALE257"/>
    <x v="216"/>
    <s v="CUST1013"/>
    <s v="PROD24"/>
    <s v="STORE1"/>
    <n v="2"/>
    <n v="679.86"/>
    <x v="14"/>
    <x v="2"/>
    <x v="1"/>
    <x v="10"/>
    <x v="2"/>
    <x v="10"/>
    <x v="0"/>
    <n v="166.06"/>
    <x v="0"/>
    <x v="1"/>
    <x v="257"/>
    <n v="32"/>
  </r>
  <r>
    <s v="SALE258"/>
    <x v="217"/>
    <s v="CUST1136"/>
    <s v="PROD35"/>
    <s v="STORE17"/>
    <n v="1"/>
    <n v="222.94"/>
    <x v="5"/>
    <x v="0"/>
    <x v="0"/>
    <x v="48"/>
    <x v="2"/>
    <x v="68"/>
    <x v="3"/>
    <n v="382.22"/>
    <x v="0"/>
    <x v="1"/>
    <x v="258"/>
    <n v="29"/>
  </r>
  <r>
    <s v="SALE259"/>
    <x v="218"/>
    <s v="CUST1248"/>
    <s v="PROD35"/>
    <s v="STORE2"/>
    <n v="2"/>
    <n v="355.3"/>
    <x v="35"/>
    <x v="1"/>
    <x v="0"/>
    <x v="8"/>
    <x v="0"/>
    <x v="68"/>
    <x v="3"/>
    <n v="382.22"/>
    <x v="2"/>
    <x v="0"/>
    <x v="259"/>
    <n v="19"/>
  </r>
  <r>
    <s v="SALE260"/>
    <x v="184"/>
    <s v="CUST1103"/>
    <s v="PROD89"/>
    <s v="STORE19"/>
    <n v="4"/>
    <n v="611.3"/>
    <x v="32"/>
    <x v="1"/>
    <x v="0"/>
    <x v="40"/>
    <x v="3"/>
    <x v="41"/>
    <x v="2"/>
    <n v="183.04"/>
    <x v="3"/>
    <x v="2"/>
    <x v="260"/>
    <n v="21"/>
  </r>
  <r>
    <s v="SALE261"/>
    <x v="177"/>
    <s v="CUST1333"/>
    <s v="PROD0"/>
    <s v="STORE8"/>
    <n v="4"/>
    <n v="849.21"/>
    <x v="8"/>
    <x v="0"/>
    <x v="1"/>
    <x v="36"/>
    <x v="0"/>
    <x v="90"/>
    <x v="1"/>
    <n v="112.42"/>
    <x v="1"/>
    <x v="2"/>
    <x v="261"/>
    <n v="64"/>
  </r>
  <r>
    <s v="SALE262"/>
    <x v="219"/>
    <s v="CUST1209"/>
    <s v="PROD42"/>
    <s v="STORE7"/>
    <n v="3"/>
    <n v="553.12"/>
    <x v="23"/>
    <x v="2"/>
    <x v="1"/>
    <x v="17"/>
    <x v="1"/>
    <x v="63"/>
    <x v="1"/>
    <n v="450.71"/>
    <x v="2"/>
    <x v="2"/>
    <x v="262"/>
    <n v="50"/>
  </r>
  <r>
    <s v="SALE263"/>
    <x v="220"/>
    <s v="CUST1282"/>
    <s v="PROD91"/>
    <s v="STORE9"/>
    <n v="2"/>
    <n v="903.08"/>
    <x v="4"/>
    <x v="2"/>
    <x v="1"/>
    <x v="19"/>
    <x v="0"/>
    <x v="52"/>
    <x v="4"/>
    <n v="438.25"/>
    <x v="2"/>
    <x v="1"/>
    <x v="263"/>
    <n v="46"/>
  </r>
  <r>
    <s v="SALE264"/>
    <x v="221"/>
    <s v="CUST1478"/>
    <s v="PROD16"/>
    <s v="STORE11"/>
    <n v="4"/>
    <n v="640.23"/>
    <x v="22"/>
    <x v="2"/>
    <x v="0"/>
    <x v="34"/>
    <x v="0"/>
    <x v="30"/>
    <x v="2"/>
    <n v="337.42"/>
    <x v="2"/>
    <x v="2"/>
    <x v="264"/>
    <n v="59"/>
  </r>
  <r>
    <s v="SALE265"/>
    <x v="222"/>
    <s v="CUST1141"/>
    <s v="PROD21"/>
    <s v="STORE6"/>
    <n v="1"/>
    <n v="518"/>
    <x v="2"/>
    <x v="0"/>
    <x v="0"/>
    <x v="24"/>
    <x v="3"/>
    <x v="39"/>
    <x v="3"/>
    <n v="123.46"/>
    <x v="3"/>
    <x v="2"/>
    <x v="265"/>
    <n v="30"/>
  </r>
  <r>
    <s v="SALE266"/>
    <x v="223"/>
    <s v="CUST1433"/>
    <s v="PROD64"/>
    <s v="STORE4"/>
    <n v="4"/>
    <n v="779.25"/>
    <x v="2"/>
    <x v="0"/>
    <x v="1"/>
    <x v="14"/>
    <x v="2"/>
    <x v="91"/>
    <x v="2"/>
    <n v="299.11"/>
    <x v="2"/>
    <x v="2"/>
    <x v="266"/>
    <n v="51"/>
  </r>
  <r>
    <s v="SALE267"/>
    <x v="185"/>
    <s v="CUST1118"/>
    <s v="PROD83"/>
    <s v="STORE7"/>
    <n v="2"/>
    <n v="467.75"/>
    <x v="25"/>
    <x v="0"/>
    <x v="0"/>
    <x v="48"/>
    <x v="1"/>
    <x v="50"/>
    <x v="2"/>
    <n v="289.359375"/>
    <x v="2"/>
    <x v="2"/>
    <x v="267"/>
    <n v="36"/>
  </r>
  <r>
    <s v="SALE268"/>
    <x v="224"/>
    <s v="CUST1406"/>
    <s v="PROD90"/>
    <s v="STORE18"/>
    <n v="3"/>
    <n v="513.984772158237"/>
    <x v="22"/>
    <x v="0"/>
    <x v="1"/>
    <x v="18"/>
    <x v="0"/>
    <x v="64"/>
    <x v="1"/>
    <n v="340.14"/>
    <x v="3"/>
    <x v="1"/>
    <x v="268"/>
    <n v="23"/>
  </r>
  <r>
    <s v="SALE269"/>
    <x v="225"/>
    <s v="CUST1219"/>
    <s v="PROD37"/>
    <s v="STORE0"/>
    <n v="4"/>
    <n v="747.01"/>
    <x v="21"/>
    <x v="1"/>
    <x v="1"/>
    <x v="19"/>
    <x v="0"/>
    <x v="92"/>
    <x v="4"/>
    <n v="353.47"/>
    <x v="3"/>
    <x v="1"/>
    <x v="269"/>
    <n v="47"/>
  </r>
  <r>
    <s v="SALE270"/>
    <x v="226"/>
    <s v="CUST1101"/>
    <s v="PROD89"/>
    <s v="STORE12"/>
    <n v="4"/>
    <n v="461.83"/>
    <x v="23"/>
    <x v="1"/>
    <x v="0"/>
    <x v="39"/>
    <x v="0"/>
    <x v="41"/>
    <x v="2"/>
    <n v="183.04"/>
    <x v="0"/>
    <x v="2"/>
    <x v="270"/>
    <n v="29"/>
  </r>
  <r>
    <s v="SALE271"/>
    <x v="178"/>
    <s v="CUST1134"/>
    <s v="PROD70"/>
    <s v="STORE8"/>
    <n v="2"/>
    <n v="105.15"/>
    <x v="22"/>
    <x v="0"/>
    <x v="0"/>
    <x v="7"/>
    <x v="0"/>
    <x v="7"/>
    <x v="3"/>
    <n v="138.05"/>
    <x v="1"/>
    <x v="2"/>
    <x v="271"/>
    <n v="54"/>
  </r>
  <r>
    <s v="SALE272"/>
    <x v="227"/>
    <s v="CUST1033"/>
    <s v="PROD23"/>
    <s v="STORE3"/>
    <n v="3"/>
    <n v="610.24"/>
    <x v="9"/>
    <x v="2"/>
    <x v="0"/>
    <x v="15"/>
    <x v="1"/>
    <x v="34"/>
    <x v="4"/>
    <n v="248.821917808219"/>
    <x v="0"/>
    <x v="0"/>
    <x v="272"/>
    <n v="25"/>
  </r>
  <r>
    <s v="SALE273"/>
    <x v="228"/>
    <s v="CUST1312"/>
    <s v="PROD74"/>
    <s v="STORE8"/>
    <n v="1"/>
    <n v="872.12"/>
    <x v="8"/>
    <x v="1"/>
    <x v="1"/>
    <x v="37"/>
    <x v="2"/>
    <x v="1"/>
    <x v="1"/>
    <n v="403.71"/>
    <x v="1"/>
    <x v="2"/>
    <x v="273"/>
    <n v="47"/>
  </r>
  <r>
    <s v="SALE274"/>
    <x v="229"/>
    <s v="CUST1433"/>
    <s v="PROD10"/>
    <s v="STORE1"/>
    <n v="1"/>
    <n v="406.79"/>
    <x v="15"/>
    <x v="2"/>
    <x v="1"/>
    <x v="14"/>
    <x v="2"/>
    <x v="31"/>
    <x v="3"/>
    <n v="298.86"/>
    <x v="0"/>
    <x v="1"/>
    <x v="274"/>
    <n v="51"/>
  </r>
  <r>
    <s v="SALE275"/>
    <x v="230"/>
    <s v="CUST1372"/>
    <s v="PROD54"/>
    <s v="STORE14"/>
    <n v="1"/>
    <n v="606.01"/>
    <x v="13"/>
    <x v="1"/>
    <x v="0"/>
    <x v="31"/>
    <x v="3"/>
    <x v="59"/>
    <x v="0"/>
    <n v="434.84"/>
    <x v="2"/>
    <x v="0"/>
    <x v="275"/>
    <n v="28"/>
  </r>
  <r>
    <s v="SALE276"/>
    <x v="231"/>
    <s v="CUST1349"/>
    <s v="PROD17"/>
    <s v="STORE5"/>
    <n v="4"/>
    <n v="322.58"/>
    <x v="22"/>
    <x v="0"/>
    <x v="0"/>
    <x v="41"/>
    <x v="3"/>
    <x v="53"/>
    <x v="0"/>
    <n v="144.53"/>
    <x v="0"/>
    <x v="0"/>
    <x v="276"/>
    <n v="31"/>
  </r>
  <r>
    <s v="SALE277"/>
    <x v="232"/>
    <s v="CUST1484"/>
    <s v="PROD77"/>
    <s v="STORE18"/>
    <n v="4"/>
    <n v="463.17"/>
    <x v="22"/>
    <x v="1"/>
    <x v="0"/>
    <x v="43"/>
    <x v="3"/>
    <x v="25"/>
    <x v="1"/>
    <n v="480.9"/>
    <x v="3"/>
    <x v="1"/>
    <x v="277"/>
    <n v="32"/>
  </r>
  <r>
    <s v="SALE278"/>
    <x v="104"/>
    <s v="CUST1316"/>
    <s v="PROD25"/>
    <s v="STORE7"/>
    <n v="4"/>
    <n v="285.82"/>
    <x v="4"/>
    <x v="1"/>
    <x v="0"/>
    <x v="33"/>
    <x v="0"/>
    <x v="60"/>
    <x v="4"/>
    <n v="174.02"/>
    <x v="2"/>
    <x v="2"/>
    <x v="278"/>
    <n v="34"/>
  </r>
  <r>
    <s v="SALE279"/>
    <x v="233"/>
    <s v="CUST1326"/>
    <s v="PROD37"/>
    <s v="STORE11"/>
    <n v="3"/>
    <n v="995.38"/>
    <x v="30"/>
    <x v="1"/>
    <x v="1"/>
    <x v="5"/>
    <x v="0"/>
    <x v="92"/>
    <x v="4"/>
    <n v="353.47"/>
    <x v="2"/>
    <x v="2"/>
    <x v="279"/>
    <n v="58"/>
  </r>
  <r>
    <s v="SALE280"/>
    <x v="234"/>
    <s v="CUST1119"/>
    <s v="PROD62"/>
    <s v="STORE8"/>
    <n v="1"/>
    <n v="329.31"/>
    <x v="0"/>
    <x v="0"/>
    <x v="0"/>
    <x v="3"/>
    <x v="3"/>
    <x v="85"/>
    <x v="1"/>
    <n v="86.42"/>
    <x v="1"/>
    <x v="2"/>
    <x v="280"/>
    <n v="40"/>
  </r>
  <r>
    <s v="SALE281"/>
    <x v="235"/>
    <s v="CUST1490"/>
    <s v="PROD47"/>
    <s v="STORE16"/>
    <n v="3"/>
    <n v="64.2"/>
    <x v="16"/>
    <x v="2"/>
    <x v="0"/>
    <x v="33"/>
    <x v="1"/>
    <x v="44"/>
    <x v="2"/>
    <n v="255.049019607843"/>
    <x v="1"/>
    <x v="1"/>
    <x v="281"/>
    <n v="23"/>
  </r>
  <r>
    <s v="SALE282"/>
    <x v="14"/>
    <s v="CUST1262"/>
    <s v="PROD11"/>
    <s v="STORE13"/>
    <n v="3"/>
    <n v="697.13"/>
    <x v="2"/>
    <x v="2"/>
    <x v="1"/>
    <x v="10"/>
    <x v="2"/>
    <x v="75"/>
    <x v="1"/>
    <n v="449.4"/>
    <x v="3"/>
    <x v="1"/>
    <x v="282"/>
    <n v="60"/>
  </r>
  <r>
    <s v="SALE283"/>
    <x v="236"/>
    <s v="CUST1022"/>
    <s v="PROD9"/>
    <s v="STORE5"/>
    <n v="3"/>
    <n v="134.3"/>
    <x v="17"/>
    <x v="0"/>
    <x v="1"/>
    <x v="22"/>
    <x v="2"/>
    <x v="93"/>
    <x v="0"/>
    <n v="495.72"/>
    <x v="0"/>
    <x v="0"/>
    <x v="283"/>
    <n v="33"/>
  </r>
  <r>
    <s v="SALE284"/>
    <x v="79"/>
    <s v="CUST1260"/>
    <s v="PROD84"/>
    <s v="STORE13"/>
    <n v="1"/>
    <n v="520.93"/>
    <x v="6"/>
    <x v="0"/>
    <x v="1"/>
    <x v="28"/>
    <x v="1"/>
    <x v="94"/>
    <x v="3"/>
    <n v="388.46"/>
    <x v="3"/>
    <x v="1"/>
    <x v="284"/>
    <n v="63"/>
  </r>
  <r>
    <s v="SALE285"/>
    <x v="237"/>
    <s v="CUST1225"/>
    <s v="PROD19"/>
    <s v="STORE7"/>
    <n v="2"/>
    <n v="350.12"/>
    <x v="34"/>
    <x v="2"/>
    <x v="1"/>
    <x v="39"/>
    <x v="1"/>
    <x v="46"/>
    <x v="0"/>
    <n v="21.34"/>
    <x v="2"/>
    <x v="2"/>
    <x v="285"/>
    <n v="46"/>
  </r>
  <r>
    <s v="SALE286"/>
    <x v="238"/>
    <s v="CUST1466"/>
    <s v="PROD48"/>
    <s v="STORE19"/>
    <n v="3"/>
    <n v="807.95"/>
    <x v="30"/>
    <x v="1"/>
    <x v="0"/>
    <x v="46"/>
    <x v="2"/>
    <x v="70"/>
    <x v="1"/>
    <n v="177.98"/>
    <x v="3"/>
    <x v="2"/>
    <x v="286"/>
    <n v="18"/>
  </r>
  <r>
    <s v="SALE287"/>
    <x v="69"/>
    <s v="CUST1335"/>
    <s v="PROD38"/>
    <s v="STORE6"/>
    <n v="4"/>
    <n v="766.03"/>
    <x v="12"/>
    <x v="1"/>
    <x v="0"/>
    <x v="29"/>
    <x v="1"/>
    <x v="48"/>
    <x v="0"/>
    <n v="135.61"/>
    <x v="3"/>
    <x v="2"/>
    <x v="287"/>
    <n v="37"/>
  </r>
  <r>
    <s v="SALE288"/>
    <x v="239"/>
    <s v="CUST1182"/>
    <s v="PROD57"/>
    <s v="STORE8"/>
    <n v="3"/>
    <n v="545.1"/>
    <x v="16"/>
    <x v="2"/>
    <x v="1"/>
    <x v="15"/>
    <x v="2"/>
    <x v="71"/>
    <x v="0"/>
    <n v="30.62"/>
    <x v="1"/>
    <x v="2"/>
    <x v="288"/>
    <n v="23"/>
  </r>
  <r>
    <s v="SALE289"/>
    <x v="240"/>
    <s v="CUST1263"/>
    <s v="PROD65"/>
    <s v="STORE7"/>
    <n v="1"/>
    <n v="203.61"/>
    <x v="24"/>
    <x v="2"/>
    <x v="0"/>
    <x v="38"/>
    <x v="3"/>
    <x v="15"/>
    <x v="0"/>
    <n v="240.63"/>
    <x v="2"/>
    <x v="2"/>
    <x v="289"/>
    <n v="50"/>
  </r>
  <r>
    <s v="SALE290"/>
    <x v="241"/>
    <s v="CUST1417"/>
    <s v="PROD97"/>
    <s v="STORE15"/>
    <n v="4"/>
    <n v="493.8"/>
    <x v="24"/>
    <x v="2"/>
    <x v="1"/>
    <x v="29"/>
    <x v="3"/>
    <x v="0"/>
    <x v="0"/>
    <n v="245.98"/>
    <x v="0"/>
    <x v="1"/>
    <x v="290"/>
    <n v="64"/>
  </r>
  <r>
    <s v="SALE291"/>
    <x v="242"/>
    <s v="CUST1017"/>
    <s v="PROD41"/>
    <s v="STORE17"/>
    <n v="1"/>
    <n v="640.55"/>
    <x v="2"/>
    <x v="0"/>
    <x v="1"/>
    <x v="36"/>
    <x v="1"/>
    <x v="89"/>
    <x v="0"/>
    <n v="313.26"/>
    <x v="0"/>
    <x v="1"/>
    <x v="291"/>
    <n v="60"/>
  </r>
  <r>
    <s v="SALE292"/>
    <x v="81"/>
    <s v="CUST1119"/>
    <s v="PROD74"/>
    <s v="STORE4"/>
    <n v="1"/>
    <n v="702.53"/>
    <x v="11"/>
    <x v="0"/>
    <x v="0"/>
    <x v="3"/>
    <x v="3"/>
    <x v="1"/>
    <x v="1"/>
    <n v="403.71"/>
    <x v="2"/>
    <x v="2"/>
    <x v="292"/>
    <n v="40"/>
  </r>
  <r>
    <s v="SALE293"/>
    <x v="220"/>
    <s v="CUST1224"/>
    <s v="PROD39"/>
    <s v="STORE8"/>
    <n v="4"/>
    <n v="139.94"/>
    <x v="24"/>
    <x v="0"/>
    <x v="0"/>
    <x v="6"/>
    <x v="2"/>
    <x v="11"/>
    <x v="1"/>
    <n v="326.06"/>
    <x v="1"/>
    <x v="2"/>
    <x v="293"/>
    <n v="29"/>
  </r>
  <r>
    <s v="SALE294"/>
    <x v="243"/>
    <s v="CUST1277"/>
    <s v="PROD19"/>
    <s v="STORE8"/>
    <n v="2"/>
    <n v="230.85"/>
    <x v="4"/>
    <x v="0"/>
    <x v="1"/>
    <x v="44"/>
    <x v="1"/>
    <x v="46"/>
    <x v="0"/>
    <n v="21.34"/>
    <x v="1"/>
    <x v="2"/>
    <x v="294"/>
    <n v="22"/>
  </r>
  <r>
    <s v="SALE295"/>
    <x v="90"/>
    <s v="CUST1211"/>
    <s v="PROD85"/>
    <s v="STORE17"/>
    <n v="4"/>
    <n v="626.35"/>
    <x v="2"/>
    <x v="2"/>
    <x v="1"/>
    <x v="37"/>
    <x v="2"/>
    <x v="65"/>
    <x v="4"/>
    <n v="119.57"/>
    <x v="0"/>
    <x v="1"/>
    <x v="295"/>
    <n v="20"/>
  </r>
  <r>
    <s v="SALE296"/>
    <x v="244"/>
    <s v="CUST1082"/>
    <s v="PROD41"/>
    <s v="STORE14"/>
    <n v="4"/>
    <n v="108.55"/>
    <x v="4"/>
    <x v="1"/>
    <x v="0"/>
    <x v="26"/>
    <x v="3"/>
    <x v="89"/>
    <x v="0"/>
    <n v="313.26"/>
    <x v="2"/>
    <x v="0"/>
    <x v="296"/>
    <n v="53"/>
  </r>
  <r>
    <s v="SALE297"/>
    <x v="245"/>
    <s v="CUST1191"/>
    <s v="PROD17"/>
    <s v="STORE1"/>
    <n v="4"/>
    <n v="353.67"/>
    <x v="15"/>
    <x v="2"/>
    <x v="1"/>
    <x v="31"/>
    <x v="3"/>
    <x v="53"/>
    <x v="0"/>
    <n v="144.53"/>
    <x v="0"/>
    <x v="1"/>
    <x v="297"/>
    <n v="29"/>
  </r>
  <r>
    <s v="SALE298"/>
    <x v="246"/>
    <s v="CUST1065"/>
    <s v="PROD90"/>
    <s v="STORE1"/>
    <n v="4"/>
    <n v="61.98"/>
    <x v="3"/>
    <x v="0"/>
    <x v="1"/>
    <x v="8"/>
    <x v="2"/>
    <x v="64"/>
    <x v="1"/>
    <n v="340.14"/>
    <x v="0"/>
    <x v="1"/>
    <x v="298"/>
    <n v="21"/>
  </r>
  <r>
    <s v="SALE299"/>
    <x v="196"/>
    <s v="CUST1216"/>
    <s v="PROD22"/>
    <s v="STORE19"/>
    <n v="2"/>
    <n v="873.1"/>
    <x v="27"/>
    <x v="1"/>
    <x v="0"/>
    <x v="24"/>
    <x v="1"/>
    <x v="62"/>
    <x v="0"/>
    <n v="484.62"/>
    <x v="3"/>
    <x v="2"/>
    <x v="299"/>
    <n v="44"/>
  </r>
  <r>
    <s v="SALE300"/>
    <x v="76"/>
    <s v="CUST1198"/>
    <s v="PROD12"/>
    <s v="STORE15"/>
    <n v="4"/>
    <n v="889.47"/>
    <x v="24"/>
    <x v="0"/>
    <x v="0"/>
    <x v="1"/>
    <x v="3"/>
    <x v="21"/>
    <x v="2"/>
    <n v="115.82"/>
    <x v="0"/>
    <x v="1"/>
    <x v="300"/>
    <n v="54"/>
  </r>
  <r>
    <s v="SALE301"/>
    <x v="247"/>
    <s v="CUST1028"/>
    <s v="PROD74"/>
    <s v="STORE11"/>
    <n v="3"/>
    <n v="803.76"/>
    <x v="5"/>
    <x v="2"/>
    <x v="1"/>
    <x v="19"/>
    <x v="1"/>
    <x v="1"/>
    <x v="1"/>
    <n v="403.71"/>
    <x v="2"/>
    <x v="2"/>
    <x v="301"/>
    <n v="27"/>
  </r>
  <r>
    <s v="SALE302"/>
    <x v="248"/>
    <s v="CUST1468"/>
    <s v="PROD75"/>
    <s v="STORE5"/>
    <n v="2"/>
    <n v="865.14"/>
    <x v="29"/>
    <x v="1"/>
    <x v="0"/>
    <x v="1"/>
    <x v="3"/>
    <x v="28"/>
    <x v="4"/>
    <n v="158.14"/>
    <x v="0"/>
    <x v="0"/>
    <x v="302"/>
    <n v="45"/>
  </r>
  <r>
    <s v="SALE303"/>
    <x v="249"/>
    <s v="CUST1097"/>
    <s v="PROD31"/>
    <s v="STORE9"/>
    <n v="2"/>
    <n v="916.49"/>
    <x v="11"/>
    <x v="2"/>
    <x v="0"/>
    <x v="34"/>
    <x v="2"/>
    <x v="45"/>
    <x v="0"/>
    <n v="204.39"/>
    <x v="2"/>
    <x v="1"/>
    <x v="303"/>
    <n v="36"/>
  </r>
  <r>
    <s v="SALE304"/>
    <x v="250"/>
    <s v="CUST1042"/>
    <s v="PROD51"/>
    <s v="STORE12"/>
    <n v="3"/>
    <n v="781.39"/>
    <x v="27"/>
    <x v="0"/>
    <x v="0"/>
    <x v="40"/>
    <x v="1"/>
    <x v="69"/>
    <x v="1"/>
    <n v="88.49"/>
    <x v="0"/>
    <x v="2"/>
    <x v="304"/>
    <n v="19"/>
  </r>
  <r>
    <s v="SALE305"/>
    <x v="251"/>
    <s v="CUST1211"/>
    <s v="PROD38"/>
    <s v="STORE12"/>
    <n v="4"/>
    <n v="619.74"/>
    <x v="21"/>
    <x v="2"/>
    <x v="1"/>
    <x v="37"/>
    <x v="2"/>
    <x v="48"/>
    <x v="0"/>
    <n v="135.61"/>
    <x v="0"/>
    <x v="2"/>
    <x v="305"/>
    <n v="20"/>
  </r>
  <r>
    <s v="SALE306"/>
    <x v="252"/>
    <s v="CUST1481"/>
    <s v="PROD62"/>
    <s v="STORE14"/>
    <n v="2"/>
    <n v="837.76"/>
    <x v="15"/>
    <x v="2"/>
    <x v="0"/>
    <x v="36"/>
    <x v="0"/>
    <x v="85"/>
    <x v="1"/>
    <n v="86.42"/>
    <x v="2"/>
    <x v="0"/>
    <x v="306"/>
    <n v="21"/>
  </r>
  <r>
    <s v="SALE307"/>
    <x v="253"/>
    <s v="CUST1451"/>
    <s v="PROD90"/>
    <s v="STORE1"/>
    <n v="3"/>
    <n v="135.94"/>
    <x v="29"/>
    <x v="0"/>
    <x v="0"/>
    <x v="23"/>
    <x v="0"/>
    <x v="64"/>
    <x v="1"/>
    <n v="340.14"/>
    <x v="0"/>
    <x v="1"/>
    <x v="307"/>
    <n v="46"/>
  </r>
  <r>
    <s v="SALE308"/>
    <x v="254"/>
    <s v="CUST1479"/>
    <s v="PROD74"/>
    <s v="STORE1"/>
    <n v="4"/>
    <n v="396.53"/>
    <x v="8"/>
    <x v="1"/>
    <x v="0"/>
    <x v="35"/>
    <x v="3"/>
    <x v="1"/>
    <x v="1"/>
    <n v="403.71"/>
    <x v="0"/>
    <x v="1"/>
    <x v="308"/>
    <n v="40"/>
  </r>
  <r>
    <s v="SALE309"/>
    <x v="39"/>
    <s v="CUST1220"/>
    <s v="PROD29"/>
    <s v="STORE14"/>
    <n v="2"/>
    <n v="722.45"/>
    <x v="14"/>
    <x v="1"/>
    <x v="1"/>
    <x v="43"/>
    <x v="3"/>
    <x v="35"/>
    <x v="3"/>
    <n v="218.48"/>
    <x v="2"/>
    <x v="0"/>
    <x v="309"/>
    <n v="50"/>
  </r>
  <r>
    <s v="SALE310"/>
    <x v="255"/>
    <s v="CUST1047"/>
    <s v="PROD64"/>
    <s v="STORE2"/>
    <n v="2"/>
    <n v="138.41"/>
    <x v="31"/>
    <x v="0"/>
    <x v="1"/>
    <x v="8"/>
    <x v="2"/>
    <x v="91"/>
    <x v="2"/>
    <n v="299.11"/>
    <x v="2"/>
    <x v="0"/>
    <x v="310"/>
    <n v="54"/>
  </r>
  <r>
    <s v="SALE311"/>
    <x v="252"/>
    <s v="CUST1126"/>
    <s v="PROD80"/>
    <s v="STORE2"/>
    <n v="4"/>
    <n v="741.51"/>
    <x v="0"/>
    <x v="2"/>
    <x v="1"/>
    <x v="28"/>
    <x v="0"/>
    <x v="61"/>
    <x v="3"/>
    <n v="143.43"/>
    <x v="2"/>
    <x v="0"/>
    <x v="311"/>
    <n v="62"/>
  </r>
  <r>
    <s v="SALE312"/>
    <x v="256"/>
    <s v="CUST1023"/>
    <s v="PROD80"/>
    <s v="STORE17"/>
    <n v="2"/>
    <n v="588.9"/>
    <x v="5"/>
    <x v="1"/>
    <x v="1"/>
    <x v="47"/>
    <x v="2"/>
    <x v="61"/>
    <x v="3"/>
    <n v="143.43"/>
    <x v="0"/>
    <x v="1"/>
    <x v="312"/>
    <n v="52"/>
  </r>
  <r>
    <s v="SALE313"/>
    <x v="257"/>
    <s v="CUST1304"/>
    <s v="PROD50"/>
    <s v="STORE2"/>
    <n v="1"/>
    <n v="88.92"/>
    <x v="5"/>
    <x v="1"/>
    <x v="0"/>
    <x v="32"/>
    <x v="2"/>
    <x v="57"/>
    <x v="0"/>
    <n v="190.29"/>
    <x v="2"/>
    <x v="0"/>
    <x v="313"/>
    <n v="41"/>
  </r>
  <r>
    <s v="SALE314"/>
    <x v="258"/>
    <s v="CUST1118"/>
    <s v="PROD61"/>
    <s v="STORE16"/>
    <n v="1"/>
    <n v="299.13"/>
    <x v="30"/>
    <x v="2"/>
    <x v="0"/>
    <x v="48"/>
    <x v="1"/>
    <x v="86"/>
    <x v="0"/>
    <n v="103.45"/>
    <x v="1"/>
    <x v="1"/>
    <x v="314"/>
    <n v="36"/>
  </r>
  <r>
    <s v="SALE315"/>
    <x v="138"/>
    <s v="CUST1116"/>
    <s v="PROD77"/>
    <s v="STORE3"/>
    <n v="2"/>
    <n v="548.3"/>
    <x v="7"/>
    <x v="0"/>
    <x v="1"/>
    <x v="5"/>
    <x v="1"/>
    <x v="25"/>
    <x v="1"/>
    <n v="480.9"/>
    <x v="0"/>
    <x v="0"/>
    <x v="315"/>
    <n v="18"/>
  </r>
  <r>
    <s v="SALE316"/>
    <x v="259"/>
    <s v="CUST1262"/>
    <s v="PROD54"/>
    <s v="STORE10"/>
    <n v="3"/>
    <n v="977.55"/>
    <x v="31"/>
    <x v="1"/>
    <x v="1"/>
    <x v="10"/>
    <x v="2"/>
    <x v="59"/>
    <x v="0"/>
    <n v="434.84"/>
    <x v="3"/>
    <x v="2"/>
    <x v="316"/>
    <n v="60"/>
  </r>
  <r>
    <s v="SALE317"/>
    <x v="260"/>
    <s v="CUST1346"/>
    <s v="PROD44"/>
    <s v="STORE18"/>
    <n v="1"/>
    <n v="459.42"/>
    <x v="23"/>
    <x v="2"/>
    <x v="1"/>
    <x v="3"/>
    <x v="1"/>
    <x v="38"/>
    <x v="0"/>
    <n v="167.12"/>
    <x v="3"/>
    <x v="1"/>
    <x v="317"/>
    <n v="58"/>
  </r>
  <r>
    <s v="SALE318"/>
    <x v="261"/>
    <s v="CUST1088"/>
    <s v="PROD2"/>
    <s v="STORE4"/>
    <n v="2"/>
    <n v="123.19"/>
    <x v="5"/>
    <x v="0"/>
    <x v="0"/>
    <x v="13"/>
    <x v="2"/>
    <x v="95"/>
    <x v="4"/>
    <n v="254.620869565217"/>
    <x v="2"/>
    <x v="2"/>
    <x v="318"/>
    <n v="58"/>
  </r>
  <r>
    <s v="SALE319"/>
    <x v="262"/>
    <s v="CUST1358"/>
    <s v="PROD55"/>
    <s v="STORE19"/>
    <n v="1"/>
    <n v="222.95"/>
    <x v="31"/>
    <x v="1"/>
    <x v="1"/>
    <x v="25"/>
    <x v="0"/>
    <x v="76"/>
    <x v="3"/>
    <n v="81.75"/>
    <x v="3"/>
    <x v="2"/>
    <x v="319"/>
    <n v="60"/>
  </r>
  <r>
    <s v="SALE320"/>
    <x v="263"/>
    <s v="CUST1332"/>
    <s v="PROD32"/>
    <s v="STORE4"/>
    <n v="3"/>
    <n v="601.93"/>
    <x v="17"/>
    <x v="0"/>
    <x v="1"/>
    <x v="22"/>
    <x v="3"/>
    <x v="79"/>
    <x v="2"/>
    <n v="283.83"/>
    <x v="2"/>
    <x v="2"/>
    <x v="320"/>
    <n v="34"/>
  </r>
  <r>
    <s v="SALE321"/>
    <x v="264"/>
    <s v="CUST1297"/>
    <s v="PROD69"/>
    <s v="STORE2"/>
    <n v="1"/>
    <n v="564.1"/>
    <x v="15"/>
    <x v="0"/>
    <x v="1"/>
    <x v="6"/>
    <x v="2"/>
    <x v="20"/>
    <x v="4"/>
    <n v="218.22"/>
    <x v="2"/>
    <x v="0"/>
    <x v="321"/>
    <n v="47"/>
  </r>
  <r>
    <s v="SALE322"/>
    <x v="265"/>
    <s v="CUST1095"/>
    <s v="PROD80"/>
    <s v="STORE5"/>
    <n v="1"/>
    <n v="516.62"/>
    <x v="4"/>
    <x v="0"/>
    <x v="1"/>
    <x v="14"/>
    <x v="1"/>
    <x v="61"/>
    <x v="3"/>
    <n v="143.43"/>
    <x v="0"/>
    <x v="0"/>
    <x v="322"/>
    <n v="62"/>
  </r>
  <r>
    <s v="SALE323"/>
    <x v="184"/>
    <s v="CUST1438"/>
    <s v="PROD63"/>
    <s v="STORE12"/>
    <n v="1"/>
    <n v="934.75"/>
    <x v="32"/>
    <x v="1"/>
    <x v="1"/>
    <x v="3"/>
    <x v="1"/>
    <x v="81"/>
    <x v="2"/>
    <n v="266.86"/>
    <x v="0"/>
    <x v="2"/>
    <x v="323"/>
    <n v="59"/>
  </r>
  <r>
    <s v="SALE324"/>
    <x v="266"/>
    <s v="CUST1234"/>
    <s v="PROD98"/>
    <s v="STORE7"/>
    <n v="4"/>
    <n v="548.44"/>
    <x v="28"/>
    <x v="1"/>
    <x v="1"/>
    <x v="32"/>
    <x v="0"/>
    <x v="24"/>
    <x v="1"/>
    <n v="431.67"/>
    <x v="2"/>
    <x v="2"/>
    <x v="324"/>
    <n v="43"/>
  </r>
  <r>
    <s v="SALE325"/>
    <x v="267"/>
    <s v="CUST1013"/>
    <s v="PROD37"/>
    <s v="STORE3"/>
    <n v="3"/>
    <n v="361.11"/>
    <x v="22"/>
    <x v="0"/>
    <x v="1"/>
    <x v="10"/>
    <x v="2"/>
    <x v="92"/>
    <x v="4"/>
    <n v="353.47"/>
    <x v="0"/>
    <x v="0"/>
    <x v="325"/>
    <n v="32"/>
  </r>
  <r>
    <s v="SALE326"/>
    <x v="268"/>
    <s v="CUST1187"/>
    <s v="PROD13"/>
    <s v="STORE1"/>
    <n v="2"/>
    <n v="610.37"/>
    <x v="30"/>
    <x v="1"/>
    <x v="1"/>
    <x v="4"/>
    <x v="1"/>
    <x v="26"/>
    <x v="1"/>
    <n v="242.23"/>
    <x v="0"/>
    <x v="1"/>
    <x v="326"/>
    <n v="60"/>
  </r>
  <r>
    <s v="SALE327"/>
    <x v="269"/>
    <s v="CUST1334"/>
    <s v="PROD51"/>
    <s v="STORE16"/>
    <n v="1"/>
    <n v="272.2"/>
    <x v="11"/>
    <x v="0"/>
    <x v="1"/>
    <x v="40"/>
    <x v="2"/>
    <x v="69"/>
    <x v="1"/>
    <n v="88.49"/>
    <x v="1"/>
    <x v="1"/>
    <x v="327"/>
    <n v="50"/>
  </r>
  <r>
    <s v="SALE328"/>
    <x v="209"/>
    <s v="CUST1438"/>
    <s v="PROD77"/>
    <s v="STORE6"/>
    <n v="3"/>
    <n v="573.1"/>
    <x v="3"/>
    <x v="2"/>
    <x v="1"/>
    <x v="3"/>
    <x v="1"/>
    <x v="25"/>
    <x v="1"/>
    <n v="480.9"/>
    <x v="3"/>
    <x v="2"/>
    <x v="328"/>
    <n v="59"/>
  </r>
  <r>
    <s v="SALE329"/>
    <x v="131"/>
    <s v="CUST1322"/>
    <s v="PROD6"/>
    <s v="STORE0"/>
    <n v="4"/>
    <n v="24.72"/>
    <x v="23"/>
    <x v="0"/>
    <x v="0"/>
    <x v="0"/>
    <x v="3"/>
    <x v="96"/>
    <x v="2"/>
    <n v="312.8"/>
    <x v="3"/>
    <x v="1"/>
    <x v="329"/>
    <n v="54"/>
  </r>
  <r>
    <s v="SALE330"/>
    <x v="270"/>
    <s v="CUST1251"/>
    <s v="PROD9"/>
    <s v="STORE9"/>
    <n v="3"/>
    <n v="268.89"/>
    <x v="8"/>
    <x v="2"/>
    <x v="0"/>
    <x v="4"/>
    <x v="2"/>
    <x v="93"/>
    <x v="0"/>
    <n v="495.72"/>
    <x v="2"/>
    <x v="1"/>
    <x v="330"/>
    <n v="64"/>
  </r>
  <r>
    <s v="SALE331"/>
    <x v="271"/>
    <s v="CUST1257"/>
    <s v="PROD68"/>
    <s v="STORE9"/>
    <n v="1"/>
    <n v="78.5"/>
    <x v="9"/>
    <x v="2"/>
    <x v="0"/>
    <x v="43"/>
    <x v="2"/>
    <x v="88"/>
    <x v="3"/>
    <n v="243.7"/>
    <x v="2"/>
    <x v="1"/>
    <x v="331"/>
    <n v="42"/>
  </r>
  <r>
    <s v="SALE332"/>
    <x v="272"/>
    <s v="CUST1133"/>
    <s v="PROD36"/>
    <s v="STORE4"/>
    <n v="3"/>
    <n v="399.42"/>
    <x v="31"/>
    <x v="0"/>
    <x v="1"/>
    <x v="26"/>
    <x v="3"/>
    <x v="14"/>
    <x v="4"/>
    <n v="223.43"/>
    <x v="2"/>
    <x v="2"/>
    <x v="332"/>
    <n v="62"/>
  </r>
  <r>
    <s v="SALE333"/>
    <x v="99"/>
    <s v="CUST1085"/>
    <s v="PROD31"/>
    <s v="STORE19"/>
    <n v="3"/>
    <n v="455.82"/>
    <x v="10"/>
    <x v="1"/>
    <x v="0"/>
    <x v="2"/>
    <x v="2"/>
    <x v="45"/>
    <x v="0"/>
    <n v="204.39"/>
    <x v="3"/>
    <x v="2"/>
    <x v="333"/>
    <n v="36"/>
  </r>
  <r>
    <s v="SALE334"/>
    <x v="75"/>
    <s v="CUST1349"/>
    <s v="PROD50"/>
    <s v="STORE5"/>
    <n v="2"/>
    <n v="613.23"/>
    <x v="6"/>
    <x v="1"/>
    <x v="0"/>
    <x v="41"/>
    <x v="3"/>
    <x v="57"/>
    <x v="0"/>
    <n v="190.29"/>
    <x v="0"/>
    <x v="0"/>
    <x v="334"/>
    <n v="31"/>
  </r>
  <r>
    <s v="SALE335"/>
    <x v="273"/>
    <s v="CUST1458"/>
    <s v="PROD2"/>
    <s v="STORE14"/>
    <n v="4"/>
    <n v="971.9"/>
    <x v="23"/>
    <x v="1"/>
    <x v="1"/>
    <x v="2"/>
    <x v="2"/>
    <x v="95"/>
    <x v="4"/>
    <n v="254.620869565217"/>
    <x v="2"/>
    <x v="0"/>
    <x v="335"/>
    <n v="62"/>
  </r>
  <r>
    <s v="SALE336"/>
    <x v="274"/>
    <s v="CUST1034"/>
    <s v="PROD28"/>
    <s v="STORE7"/>
    <n v="3"/>
    <n v="884.92"/>
    <x v="22"/>
    <x v="1"/>
    <x v="1"/>
    <x v="33"/>
    <x v="1"/>
    <x v="77"/>
    <x v="0"/>
    <n v="38.76"/>
    <x v="2"/>
    <x v="2"/>
    <x v="336"/>
    <n v="27"/>
  </r>
  <r>
    <s v="SALE337"/>
    <x v="275"/>
    <s v="CUST1087"/>
    <s v="PROD8"/>
    <s v="STORE9"/>
    <n v="1"/>
    <n v="125"/>
    <x v="7"/>
    <x v="0"/>
    <x v="1"/>
    <x v="42"/>
    <x v="3"/>
    <x v="67"/>
    <x v="1"/>
    <n v="439.07"/>
    <x v="2"/>
    <x v="1"/>
    <x v="337"/>
    <n v="58"/>
  </r>
  <r>
    <s v="SALE338"/>
    <x v="180"/>
    <s v="CUST1128"/>
    <s v="PROD10"/>
    <s v="STORE15"/>
    <n v="2"/>
    <n v="188.25"/>
    <x v="16"/>
    <x v="1"/>
    <x v="0"/>
    <x v="13"/>
    <x v="2"/>
    <x v="31"/>
    <x v="3"/>
    <n v="298.86"/>
    <x v="0"/>
    <x v="1"/>
    <x v="338"/>
    <n v="45"/>
  </r>
  <r>
    <s v="SALE339"/>
    <x v="276"/>
    <s v="CUST1222"/>
    <s v="PROD46"/>
    <s v="STORE6"/>
    <n v="4"/>
    <n v="344.12"/>
    <x v="2"/>
    <x v="1"/>
    <x v="0"/>
    <x v="23"/>
    <x v="1"/>
    <x v="54"/>
    <x v="4"/>
    <n v="167.34"/>
    <x v="3"/>
    <x v="2"/>
    <x v="339"/>
    <n v="35"/>
  </r>
  <r>
    <s v="SALE340"/>
    <x v="47"/>
    <s v="CUST1047"/>
    <s v="PROD17"/>
    <s v="STORE19"/>
    <n v="3"/>
    <n v="997.95"/>
    <x v="0"/>
    <x v="2"/>
    <x v="1"/>
    <x v="8"/>
    <x v="2"/>
    <x v="53"/>
    <x v="0"/>
    <n v="144.53"/>
    <x v="3"/>
    <x v="2"/>
    <x v="340"/>
    <n v="54"/>
  </r>
  <r>
    <s v="SALE341"/>
    <x v="277"/>
    <s v="CUST1150"/>
    <s v="PROD11"/>
    <s v="STORE15"/>
    <n v="3"/>
    <n v="121.64"/>
    <x v="8"/>
    <x v="1"/>
    <x v="0"/>
    <x v="25"/>
    <x v="0"/>
    <x v="75"/>
    <x v="1"/>
    <n v="449.4"/>
    <x v="0"/>
    <x v="1"/>
    <x v="341"/>
    <n v="24"/>
  </r>
  <r>
    <s v="SALE342"/>
    <x v="278"/>
    <s v="CUST1221"/>
    <s v="PROD68"/>
    <s v="STORE10"/>
    <n v="2"/>
    <n v="692.72"/>
    <x v="21"/>
    <x v="1"/>
    <x v="0"/>
    <x v="36"/>
    <x v="1"/>
    <x v="88"/>
    <x v="3"/>
    <n v="243.7"/>
    <x v="3"/>
    <x v="2"/>
    <x v="342"/>
    <n v="38"/>
  </r>
  <r>
    <s v="SALE343"/>
    <x v="279"/>
    <s v="CUST1027"/>
    <s v="PROD24"/>
    <s v="STORE19"/>
    <n v="3"/>
    <n v="794.59"/>
    <x v="15"/>
    <x v="1"/>
    <x v="0"/>
    <x v="39"/>
    <x v="4"/>
    <x v="10"/>
    <x v="0"/>
    <n v="166.06"/>
    <x v="3"/>
    <x v="2"/>
    <x v="343"/>
    <n v="31"/>
  </r>
  <r>
    <s v="SALE344"/>
    <x v="183"/>
    <s v="CUST1014"/>
    <s v="PROD26"/>
    <s v="STORE9"/>
    <n v="1"/>
    <n v="907.95"/>
    <x v="30"/>
    <x v="1"/>
    <x v="1"/>
    <x v="48"/>
    <x v="2"/>
    <x v="33"/>
    <x v="1"/>
    <n v="322.41"/>
    <x v="2"/>
    <x v="1"/>
    <x v="344"/>
    <n v="53"/>
  </r>
  <r>
    <s v="SALE345"/>
    <x v="280"/>
    <s v="CUST1287"/>
    <s v="PROD50"/>
    <s v="STORE0"/>
    <n v="2"/>
    <n v="660.81"/>
    <x v="4"/>
    <x v="0"/>
    <x v="1"/>
    <x v="1"/>
    <x v="0"/>
    <x v="57"/>
    <x v="0"/>
    <n v="190.29"/>
    <x v="3"/>
    <x v="1"/>
    <x v="345"/>
    <n v="22"/>
  </r>
  <r>
    <s v="SALE346"/>
    <x v="192"/>
    <s v="CUST1061"/>
    <s v="PROD51"/>
    <s v="STORE8"/>
    <n v="3"/>
    <n v="564.94"/>
    <x v="14"/>
    <x v="2"/>
    <x v="0"/>
    <x v="6"/>
    <x v="2"/>
    <x v="69"/>
    <x v="1"/>
    <n v="88.49"/>
    <x v="1"/>
    <x v="2"/>
    <x v="346"/>
    <n v="23"/>
  </r>
  <r>
    <s v="SALE347"/>
    <x v="281"/>
    <s v="CUST1054"/>
    <s v="PROD15"/>
    <s v="STORE15"/>
    <n v="2"/>
    <n v="280.37"/>
    <x v="14"/>
    <x v="2"/>
    <x v="0"/>
    <x v="15"/>
    <x v="1"/>
    <x v="5"/>
    <x v="1"/>
    <n v="465.34"/>
    <x v="0"/>
    <x v="1"/>
    <x v="347"/>
    <n v="24"/>
  </r>
  <r>
    <s v="SALE348"/>
    <x v="282"/>
    <s v="CUST1372"/>
    <s v="PROD50"/>
    <s v="STORE3"/>
    <n v="2"/>
    <n v="85.23"/>
    <x v="21"/>
    <x v="0"/>
    <x v="0"/>
    <x v="31"/>
    <x v="3"/>
    <x v="57"/>
    <x v="0"/>
    <n v="190.29"/>
    <x v="0"/>
    <x v="0"/>
    <x v="348"/>
    <n v="28"/>
  </r>
  <r>
    <s v="SALE349"/>
    <x v="283"/>
    <s v="CUST1312"/>
    <s v="PROD27"/>
    <s v="STORE13"/>
    <n v="2"/>
    <n v="563.3"/>
    <x v="25"/>
    <x v="0"/>
    <x v="1"/>
    <x v="37"/>
    <x v="2"/>
    <x v="16"/>
    <x v="3"/>
    <n v="250.021571428571"/>
    <x v="3"/>
    <x v="1"/>
    <x v="349"/>
    <n v="47"/>
  </r>
  <r>
    <s v="SALE350"/>
    <x v="273"/>
    <s v="CUST1033"/>
    <s v="PROD80"/>
    <s v="STORE18"/>
    <n v="2"/>
    <n v="827.81"/>
    <x v="13"/>
    <x v="1"/>
    <x v="0"/>
    <x v="15"/>
    <x v="1"/>
    <x v="61"/>
    <x v="3"/>
    <n v="143.43"/>
    <x v="3"/>
    <x v="1"/>
    <x v="350"/>
    <n v="25"/>
  </r>
  <r>
    <s v="SALE351"/>
    <x v="284"/>
    <s v="CUST1214"/>
    <s v="PROD12"/>
    <s v="STORE18"/>
    <n v="3"/>
    <n v="877.71"/>
    <x v="27"/>
    <x v="1"/>
    <x v="0"/>
    <x v="10"/>
    <x v="0"/>
    <x v="21"/>
    <x v="2"/>
    <n v="115.82"/>
    <x v="3"/>
    <x v="1"/>
    <x v="351"/>
    <n v="61"/>
  </r>
  <r>
    <s v="SALE352"/>
    <x v="285"/>
    <s v="CUST1257"/>
    <s v="PROD57"/>
    <s v="STORE9"/>
    <n v="4"/>
    <n v="488.56"/>
    <x v="25"/>
    <x v="2"/>
    <x v="0"/>
    <x v="43"/>
    <x v="2"/>
    <x v="71"/>
    <x v="0"/>
    <n v="30.62"/>
    <x v="2"/>
    <x v="1"/>
    <x v="352"/>
    <n v="42"/>
  </r>
  <r>
    <s v="SALE353"/>
    <x v="286"/>
    <s v="CUST1104"/>
    <s v="PROD25"/>
    <s v="STORE12"/>
    <n v="4"/>
    <n v="175.91"/>
    <x v="21"/>
    <x v="1"/>
    <x v="0"/>
    <x v="36"/>
    <x v="2"/>
    <x v="60"/>
    <x v="4"/>
    <n v="174.02"/>
    <x v="0"/>
    <x v="2"/>
    <x v="353"/>
    <n v="64"/>
  </r>
  <r>
    <s v="SALE354"/>
    <x v="287"/>
    <s v="CUST1248"/>
    <s v="PROD87"/>
    <s v="STORE8"/>
    <n v="4"/>
    <n v="289.66"/>
    <x v="2"/>
    <x v="2"/>
    <x v="0"/>
    <x v="8"/>
    <x v="0"/>
    <x v="72"/>
    <x v="3"/>
    <n v="371.38"/>
    <x v="1"/>
    <x v="2"/>
    <x v="354"/>
    <n v="19"/>
  </r>
  <r>
    <s v="SALE355"/>
    <x v="288"/>
    <s v="CUST1241"/>
    <s v="PROD15"/>
    <s v="STORE15"/>
    <n v="2"/>
    <n v="899.27"/>
    <x v="9"/>
    <x v="0"/>
    <x v="0"/>
    <x v="45"/>
    <x v="1"/>
    <x v="5"/>
    <x v="1"/>
    <n v="465.34"/>
    <x v="0"/>
    <x v="1"/>
    <x v="355"/>
    <n v="31"/>
  </r>
  <r>
    <s v="SALE356"/>
    <x v="289"/>
    <s v="CUST1065"/>
    <s v="PROD18"/>
    <s v="STORE1"/>
    <n v="1"/>
    <n v="691.38"/>
    <x v="32"/>
    <x v="2"/>
    <x v="1"/>
    <x v="8"/>
    <x v="2"/>
    <x v="97"/>
    <x v="4"/>
    <n v="245.778311688312"/>
    <x v="0"/>
    <x v="1"/>
    <x v="356"/>
    <n v="21"/>
  </r>
  <r>
    <s v="SALE357"/>
    <x v="290"/>
    <s v="CUST1165"/>
    <s v="PROD27"/>
    <s v="STORE0"/>
    <n v="3"/>
    <n v="158.72"/>
    <x v="21"/>
    <x v="0"/>
    <x v="1"/>
    <x v="49"/>
    <x v="1"/>
    <x v="16"/>
    <x v="3"/>
    <n v="250.021571428571"/>
    <x v="3"/>
    <x v="1"/>
    <x v="357"/>
    <n v="47"/>
  </r>
  <r>
    <s v="SALE358"/>
    <x v="106"/>
    <s v="CUST1210"/>
    <s v="PROD60"/>
    <s v="STORE16"/>
    <n v="4"/>
    <n v="537.15"/>
    <x v="22"/>
    <x v="2"/>
    <x v="0"/>
    <x v="36"/>
    <x v="2"/>
    <x v="17"/>
    <x v="2"/>
    <n v="482.75"/>
    <x v="1"/>
    <x v="1"/>
    <x v="358"/>
    <n v="48"/>
  </r>
  <r>
    <s v="SALE359"/>
    <x v="0"/>
    <s v="CUST1417"/>
    <s v="PROD41"/>
    <s v="STORE9"/>
    <n v="3"/>
    <n v="771.7"/>
    <x v="28"/>
    <x v="2"/>
    <x v="1"/>
    <x v="29"/>
    <x v="3"/>
    <x v="89"/>
    <x v="0"/>
    <n v="313.26"/>
    <x v="2"/>
    <x v="1"/>
    <x v="359"/>
    <n v="64"/>
  </r>
  <r>
    <s v="SALE360"/>
    <x v="291"/>
    <s v="CUST1108"/>
    <s v="PROD88"/>
    <s v="STORE1"/>
    <n v="4"/>
    <n v="677.25"/>
    <x v="17"/>
    <x v="1"/>
    <x v="0"/>
    <x v="21"/>
    <x v="3"/>
    <x v="12"/>
    <x v="0"/>
    <n v="131.24"/>
    <x v="0"/>
    <x v="1"/>
    <x v="360"/>
    <n v="38"/>
  </r>
  <r>
    <s v="SALE361"/>
    <x v="171"/>
    <s v="CUST1102"/>
    <s v="PROD98"/>
    <s v="STORE11"/>
    <n v="1"/>
    <n v="645.48"/>
    <x v="25"/>
    <x v="2"/>
    <x v="1"/>
    <x v="2"/>
    <x v="3"/>
    <x v="24"/>
    <x v="1"/>
    <n v="431.67"/>
    <x v="2"/>
    <x v="2"/>
    <x v="361"/>
    <n v="34"/>
  </r>
  <r>
    <s v="SALE362"/>
    <x v="241"/>
    <s v="CUST1360"/>
    <s v="PROD73"/>
    <s v="STORE2"/>
    <n v="2"/>
    <n v="934"/>
    <x v="11"/>
    <x v="2"/>
    <x v="0"/>
    <x v="13"/>
    <x v="1"/>
    <x v="78"/>
    <x v="0"/>
    <n v="107.06"/>
    <x v="2"/>
    <x v="0"/>
    <x v="362"/>
    <n v="34"/>
  </r>
  <r>
    <s v="SALE363"/>
    <x v="292"/>
    <s v="CUST1334"/>
    <s v="PROD46"/>
    <s v="STORE2"/>
    <n v="1"/>
    <n v="669.53"/>
    <x v="29"/>
    <x v="0"/>
    <x v="1"/>
    <x v="40"/>
    <x v="2"/>
    <x v="54"/>
    <x v="4"/>
    <n v="167.34"/>
    <x v="2"/>
    <x v="0"/>
    <x v="363"/>
    <n v="50"/>
  </r>
  <r>
    <s v="SALE364"/>
    <x v="122"/>
    <s v="CUST1216"/>
    <s v="PROD35"/>
    <s v="STORE18"/>
    <n v="1"/>
    <n v="213.69"/>
    <x v="23"/>
    <x v="2"/>
    <x v="0"/>
    <x v="24"/>
    <x v="1"/>
    <x v="68"/>
    <x v="3"/>
    <n v="382.22"/>
    <x v="3"/>
    <x v="1"/>
    <x v="364"/>
    <n v="44"/>
  </r>
  <r>
    <s v="SALE365"/>
    <x v="52"/>
    <s v="CUST1077"/>
    <s v="PROD21"/>
    <s v="STORE19"/>
    <n v="2"/>
    <n v="99.1"/>
    <x v="29"/>
    <x v="1"/>
    <x v="0"/>
    <x v="1"/>
    <x v="0"/>
    <x v="39"/>
    <x v="3"/>
    <n v="123.46"/>
    <x v="3"/>
    <x v="2"/>
    <x v="365"/>
    <n v="29"/>
  </r>
  <r>
    <s v="SALE366"/>
    <x v="293"/>
    <s v="CUST1370"/>
    <s v="PROD37"/>
    <s v="STORE16"/>
    <n v="1"/>
    <n v="628.98"/>
    <x v="15"/>
    <x v="2"/>
    <x v="0"/>
    <x v="30"/>
    <x v="2"/>
    <x v="92"/>
    <x v="4"/>
    <n v="353.47"/>
    <x v="1"/>
    <x v="1"/>
    <x v="366"/>
    <n v="45"/>
  </r>
  <r>
    <s v="SALE367"/>
    <x v="294"/>
    <s v="CUST1085"/>
    <s v="PROD84"/>
    <s v="STORE4"/>
    <n v="3"/>
    <n v="944.64"/>
    <x v="25"/>
    <x v="0"/>
    <x v="0"/>
    <x v="2"/>
    <x v="2"/>
    <x v="94"/>
    <x v="3"/>
    <n v="388.46"/>
    <x v="2"/>
    <x v="2"/>
    <x v="367"/>
    <n v="36"/>
  </r>
  <r>
    <s v="SALE368"/>
    <x v="260"/>
    <s v="CUST1471"/>
    <s v="PROD93"/>
    <s v="STORE12"/>
    <n v="2"/>
    <n v="121.7"/>
    <x v="22"/>
    <x v="2"/>
    <x v="0"/>
    <x v="10"/>
    <x v="1"/>
    <x v="47"/>
    <x v="1"/>
    <n v="377.52"/>
    <x v="0"/>
    <x v="2"/>
    <x v="368"/>
    <n v="42"/>
  </r>
  <r>
    <s v="SALE369"/>
    <x v="30"/>
    <s v="CUST1448"/>
    <s v="PROD65"/>
    <s v="STORE3"/>
    <n v="4"/>
    <n v="269.49"/>
    <x v="8"/>
    <x v="1"/>
    <x v="1"/>
    <x v="0"/>
    <x v="3"/>
    <x v="15"/>
    <x v="0"/>
    <n v="240.63"/>
    <x v="0"/>
    <x v="0"/>
    <x v="369"/>
    <n v="64"/>
  </r>
  <r>
    <s v="SALE370"/>
    <x v="295"/>
    <s v="CUST1099"/>
    <s v="PROD22"/>
    <s v="STORE18"/>
    <n v="1"/>
    <n v="678.2"/>
    <x v="17"/>
    <x v="0"/>
    <x v="0"/>
    <x v="3"/>
    <x v="2"/>
    <x v="62"/>
    <x v="0"/>
    <n v="484.62"/>
    <x v="3"/>
    <x v="1"/>
    <x v="370"/>
    <n v="35"/>
  </r>
  <r>
    <s v="SALE371"/>
    <x v="296"/>
    <s v="CUST1231"/>
    <s v="PROD90"/>
    <s v="STORE13"/>
    <n v="1"/>
    <n v="752.45"/>
    <x v="34"/>
    <x v="2"/>
    <x v="1"/>
    <x v="42"/>
    <x v="3"/>
    <x v="64"/>
    <x v="1"/>
    <n v="340.14"/>
    <x v="3"/>
    <x v="1"/>
    <x v="371"/>
    <n v="22"/>
  </r>
  <r>
    <s v="SALE372"/>
    <x v="297"/>
    <s v="CUST1037"/>
    <s v="PROD94"/>
    <s v="STORE13"/>
    <n v="2"/>
    <n v="209.66"/>
    <x v="34"/>
    <x v="0"/>
    <x v="1"/>
    <x v="34"/>
    <x v="4"/>
    <x v="32"/>
    <x v="2"/>
    <n v="358.47"/>
    <x v="3"/>
    <x v="1"/>
    <x v="372"/>
    <n v="27"/>
  </r>
  <r>
    <s v="SALE373"/>
    <x v="298"/>
    <s v="CUST1161"/>
    <s v="PROD97"/>
    <s v="STORE19"/>
    <n v="2"/>
    <n v="739.95"/>
    <x v="30"/>
    <x v="2"/>
    <x v="1"/>
    <x v="28"/>
    <x v="2"/>
    <x v="0"/>
    <x v="0"/>
    <n v="245.98"/>
    <x v="3"/>
    <x v="2"/>
    <x v="373"/>
    <n v="18"/>
  </r>
  <r>
    <s v="SALE374"/>
    <x v="149"/>
    <s v="CUST1469"/>
    <s v="PROD45"/>
    <s v="STORE15"/>
    <n v="1"/>
    <n v="496.19"/>
    <x v="16"/>
    <x v="2"/>
    <x v="0"/>
    <x v="39"/>
    <x v="0"/>
    <x v="49"/>
    <x v="0"/>
    <n v="318.91"/>
    <x v="0"/>
    <x v="1"/>
    <x v="374"/>
    <n v="19"/>
  </r>
  <r>
    <s v="SALE375"/>
    <x v="131"/>
    <s v="CUST1044"/>
    <s v="PROD9"/>
    <s v="STORE12"/>
    <n v="1"/>
    <n v="306.36"/>
    <x v="10"/>
    <x v="1"/>
    <x v="0"/>
    <x v="22"/>
    <x v="3"/>
    <x v="93"/>
    <x v="0"/>
    <n v="495.72"/>
    <x v="0"/>
    <x v="2"/>
    <x v="375"/>
    <n v="34"/>
  </r>
  <r>
    <s v="SALE376"/>
    <x v="273"/>
    <s v="CUST1120"/>
    <s v="PROD73"/>
    <s v="STORE4"/>
    <n v="4"/>
    <n v="693.16"/>
    <x v="28"/>
    <x v="1"/>
    <x v="1"/>
    <x v="2"/>
    <x v="1"/>
    <x v="78"/>
    <x v="0"/>
    <n v="107.06"/>
    <x v="2"/>
    <x v="2"/>
    <x v="376"/>
    <n v="44"/>
  </r>
  <r>
    <s v="SALE377"/>
    <x v="299"/>
    <s v="CUST1455"/>
    <s v="PROD83"/>
    <s v="STORE10"/>
    <n v="1"/>
    <n v="995.52"/>
    <x v="14"/>
    <x v="1"/>
    <x v="0"/>
    <x v="49"/>
    <x v="0"/>
    <x v="50"/>
    <x v="2"/>
    <n v="289.359375"/>
    <x v="3"/>
    <x v="2"/>
    <x v="377"/>
    <n v="54"/>
  </r>
  <r>
    <s v="SALE378"/>
    <x v="300"/>
    <s v="CUST1125"/>
    <s v="PROD7"/>
    <s v="STORE18"/>
    <n v="4"/>
    <n v="241.32"/>
    <x v="12"/>
    <x v="2"/>
    <x v="1"/>
    <x v="17"/>
    <x v="1"/>
    <x v="84"/>
    <x v="3"/>
    <n v="218.86"/>
    <x v="3"/>
    <x v="1"/>
    <x v="378"/>
    <n v="64"/>
  </r>
  <r>
    <s v="SALE379"/>
    <x v="269"/>
    <s v="CUST1239"/>
    <s v="PROD78"/>
    <s v="STORE1"/>
    <n v="3"/>
    <n v="636.03"/>
    <x v="22"/>
    <x v="2"/>
    <x v="1"/>
    <x v="8"/>
    <x v="1"/>
    <x v="36"/>
    <x v="3"/>
    <n v="325.26"/>
    <x v="0"/>
    <x v="1"/>
    <x v="379"/>
    <n v="58"/>
  </r>
  <r>
    <s v="SALE380"/>
    <x v="301"/>
    <s v="CUST1096"/>
    <s v="PROD4"/>
    <s v="STORE19"/>
    <n v="4"/>
    <n v="603.31"/>
    <x v="6"/>
    <x v="0"/>
    <x v="1"/>
    <x v="38"/>
    <x v="1"/>
    <x v="83"/>
    <x v="4"/>
    <n v="306.46"/>
    <x v="3"/>
    <x v="2"/>
    <x v="380"/>
    <n v="30"/>
  </r>
  <r>
    <s v="SALE381"/>
    <x v="80"/>
    <s v="CUST1075"/>
    <s v="PROD89"/>
    <s v="STORE10"/>
    <n v="3"/>
    <n v="437.96"/>
    <x v="1"/>
    <x v="2"/>
    <x v="1"/>
    <x v="24"/>
    <x v="0"/>
    <x v="41"/>
    <x v="2"/>
    <n v="183.04"/>
    <x v="3"/>
    <x v="2"/>
    <x v="381"/>
    <n v="61"/>
  </r>
  <r>
    <s v="SALE382"/>
    <x v="302"/>
    <s v="CUST1208"/>
    <s v="PROD34"/>
    <s v="STORE4"/>
    <n v="2"/>
    <n v="56.91"/>
    <x v="16"/>
    <x v="2"/>
    <x v="0"/>
    <x v="38"/>
    <x v="1"/>
    <x v="13"/>
    <x v="1"/>
    <n v="419.28"/>
    <x v="2"/>
    <x v="2"/>
    <x v="382"/>
    <n v="54"/>
  </r>
  <r>
    <s v="SALE383"/>
    <x v="303"/>
    <s v="CUST1334"/>
    <s v="PROD76"/>
    <s v="STORE6"/>
    <n v="1"/>
    <n v="141.79"/>
    <x v="30"/>
    <x v="0"/>
    <x v="1"/>
    <x v="40"/>
    <x v="2"/>
    <x v="3"/>
    <x v="1"/>
    <n v="392.89"/>
    <x v="3"/>
    <x v="2"/>
    <x v="383"/>
    <n v="50"/>
  </r>
  <r>
    <s v="SALE384"/>
    <x v="29"/>
    <s v="CUST1483"/>
    <s v="PROD9"/>
    <s v="STORE15"/>
    <n v="4"/>
    <n v="355.14"/>
    <x v="3"/>
    <x v="2"/>
    <x v="0"/>
    <x v="8"/>
    <x v="0"/>
    <x v="93"/>
    <x v="0"/>
    <n v="495.72"/>
    <x v="0"/>
    <x v="1"/>
    <x v="384"/>
    <n v="48"/>
  </r>
  <r>
    <s v="SALE385"/>
    <x v="96"/>
    <s v="CUST1211"/>
    <s v="PROD38"/>
    <s v="STORE6"/>
    <n v="4"/>
    <n v="960.38"/>
    <x v="6"/>
    <x v="2"/>
    <x v="1"/>
    <x v="37"/>
    <x v="2"/>
    <x v="48"/>
    <x v="0"/>
    <n v="135.61"/>
    <x v="3"/>
    <x v="2"/>
    <x v="385"/>
    <n v="20"/>
  </r>
  <r>
    <s v="SALE386"/>
    <x v="138"/>
    <s v="CUST1420"/>
    <s v="PROD69"/>
    <s v="STORE16"/>
    <n v="3"/>
    <n v="847.21"/>
    <x v="22"/>
    <x v="1"/>
    <x v="0"/>
    <x v="29"/>
    <x v="3"/>
    <x v="20"/>
    <x v="4"/>
    <n v="218.22"/>
    <x v="1"/>
    <x v="1"/>
    <x v="386"/>
    <n v="60"/>
  </r>
  <r>
    <s v="SALE387"/>
    <x v="304"/>
    <s v="CUST1066"/>
    <s v="PROD80"/>
    <s v="STORE10"/>
    <n v="4"/>
    <n v="773.81"/>
    <x v="16"/>
    <x v="2"/>
    <x v="1"/>
    <x v="21"/>
    <x v="2"/>
    <x v="61"/>
    <x v="3"/>
    <n v="143.43"/>
    <x v="3"/>
    <x v="2"/>
    <x v="387"/>
    <n v="27"/>
  </r>
  <r>
    <s v="SALE388"/>
    <x v="208"/>
    <s v="CUST1000"/>
    <s v="PROD63"/>
    <s v="STORE16"/>
    <n v="1"/>
    <n v="664.71"/>
    <x v="30"/>
    <x v="1"/>
    <x v="0"/>
    <x v="29"/>
    <x v="4"/>
    <x v="81"/>
    <x v="2"/>
    <n v="266.86"/>
    <x v="1"/>
    <x v="1"/>
    <x v="388"/>
    <n v="55"/>
  </r>
  <r>
    <s v="SALE389"/>
    <x v="305"/>
    <s v="CUST1347"/>
    <s v="PROD37"/>
    <s v="STORE7"/>
    <n v="4"/>
    <n v="482.06"/>
    <x v="8"/>
    <x v="1"/>
    <x v="1"/>
    <x v="40"/>
    <x v="0"/>
    <x v="92"/>
    <x v="4"/>
    <n v="353.47"/>
    <x v="2"/>
    <x v="2"/>
    <x v="389"/>
    <n v="39"/>
  </r>
  <r>
    <s v="SALE390"/>
    <x v="177"/>
    <s v="CUST1089"/>
    <s v="PROD57"/>
    <s v="STORE3"/>
    <n v="4"/>
    <n v="995.55"/>
    <x v="5"/>
    <x v="1"/>
    <x v="0"/>
    <x v="18"/>
    <x v="1"/>
    <x v="71"/>
    <x v="0"/>
    <n v="30.62"/>
    <x v="0"/>
    <x v="0"/>
    <x v="390"/>
    <n v="43"/>
  </r>
  <r>
    <s v="SALE391"/>
    <x v="270"/>
    <s v="CUST1141"/>
    <s v="PROD93"/>
    <s v="STORE13"/>
    <n v="2"/>
    <n v="153.84"/>
    <x v="1"/>
    <x v="1"/>
    <x v="0"/>
    <x v="24"/>
    <x v="3"/>
    <x v="47"/>
    <x v="1"/>
    <n v="377.52"/>
    <x v="3"/>
    <x v="1"/>
    <x v="391"/>
    <n v="30"/>
  </r>
  <r>
    <s v="SALE392"/>
    <x v="306"/>
    <s v="CUST1153"/>
    <s v="PROD78"/>
    <s v="STORE6"/>
    <n v="3"/>
    <n v="362.11"/>
    <x v="7"/>
    <x v="2"/>
    <x v="0"/>
    <x v="16"/>
    <x v="3"/>
    <x v="36"/>
    <x v="3"/>
    <n v="325.26"/>
    <x v="3"/>
    <x v="2"/>
    <x v="392"/>
    <n v="31"/>
  </r>
  <r>
    <s v="SALE393"/>
    <x v="307"/>
    <s v="CUST1472"/>
    <s v="PROD43"/>
    <s v="STORE8"/>
    <n v="3"/>
    <n v="112.26"/>
    <x v="32"/>
    <x v="0"/>
    <x v="0"/>
    <x v="43"/>
    <x v="2"/>
    <x v="19"/>
    <x v="1"/>
    <n v="253.33"/>
    <x v="1"/>
    <x v="2"/>
    <x v="393"/>
    <n v="42"/>
  </r>
  <r>
    <s v="SALE394"/>
    <x v="38"/>
    <s v="CUST1203"/>
    <s v="PROD94"/>
    <s v="STORE19"/>
    <n v="2"/>
    <n v="962.81"/>
    <x v="22"/>
    <x v="2"/>
    <x v="0"/>
    <x v="9"/>
    <x v="1"/>
    <x v="32"/>
    <x v="2"/>
    <n v="358.47"/>
    <x v="3"/>
    <x v="2"/>
    <x v="394"/>
    <n v="47"/>
  </r>
  <r>
    <s v="SALE395"/>
    <x v="238"/>
    <s v="CUST1213"/>
    <s v="PROD21"/>
    <s v="STORE0"/>
    <n v="4"/>
    <n v="276.23"/>
    <x v="27"/>
    <x v="0"/>
    <x v="1"/>
    <x v="16"/>
    <x v="1"/>
    <x v="39"/>
    <x v="3"/>
    <n v="123.46"/>
    <x v="3"/>
    <x v="1"/>
    <x v="395"/>
    <n v="42"/>
  </r>
  <r>
    <s v="SALE396"/>
    <x v="266"/>
    <s v="CUST1015"/>
    <s v="PROD18"/>
    <s v="STORE14"/>
    <n v="3"/>
    <n v="991.37"/>
    <x v="30"/>
    <x v="1"/>
    <x v="1"/>
    <x v="7"/>
    <x v="1"/>
    <x v="97"/>
    <x v="4"/>
    <n v="245.778311688312"/>
    <x v="2"/>
    <x v="0"/>
    <x v="396"/>
    <n v="49"/>
  </r>
  <r>
    <s v="SALE397"/>
    <x v="308"/>
    <s v="CUST1168"/>
    <s v="PROD21"/>
    <s v="STORE13"/>
    <n v="3"/>
    <n v="977.47"/>
    <x v="28"/>
    <x v="0"/>
    <x v="1"/>
    <x v="26"/>
    <x v="1"/>
    <x v="39"/>
    <x v="3"/>
    <n v="123.46"/>
    <x v="3"/>
    <x v="1"/>
    <x v="397"/>
    <n v="36"/>
  </r>
  <r>
    <s v="SALE398"/>
    <x v="309"/>
    <s v="CUST1206"/>
    <s v="PROD94"/>
    <s v="STORE12"/>
    <n v="2"/>
    <n v="308.7"/>
    <x v="29"/>
    <x v="1"/>
    <x v="1"/>
    <x v="3"/>
    <x v="2"/>
    <x v="32"/>
    <x v="2"/>
    <n v="358.47"/>
    <x v="0"/>
    <x v="2"/>
    <x v="398"/>
    <n v="26"/>
  </r>
  <r>
    <s v="SALE399"/>
    <x v="140"/>
    <s v="CUST1037"/>
    <s v="PROD6"/>
    <s v="STORE16"/>
    <n v="2"/>
    <n v="733.87"/>
    <x v="30"/>
    <x v="1"/>
    <x v="1"/>
    <x v="34"/>
    <x v="4"/>
    <x v="96"/>
    <x v="2"/>
    <n v="312.8"/>
    <x v="1"/>
    <x v="1"/>
    <x v="399"/>
    <n v="27"/>
  </r>
  <r>
    <s v="SALE400"/>
    <x v="174"/>
    <s v="CUST1095"/>
    <s v="PROD19"/>
    <s v="STORE16"/>
    <n v="2"/>
    <n v="22.47"/>
    <x v="14"/>
    <x v="1"/>
    <x v="1"/>
    <x v="14"/>
    <x v="1"/>
    <x v="46"/>
    <x v="0"/>
    <n v="21.34"/>
    <x v="1"/>
    <x v="1"/>
    <x v="400"/>
    <n v="62"/>
  </r>
  <r>
    <s v="SALE401"/>
    <x v="264"/>
    <s v="CUST1348"/>
    <s v="PROD57"/>
    <s v="STORE13"/>
    <n v="4"/>
    <n v="651.36"/>
    <x v="21"/>
    <x v="0"/>
    <x v="0"/>
    <x v="2"/>
    <x v="2"/>
    <x v="71"/>
    <x v="0"/>
    <n v="30.62"/>
    <x v="3"/>
    <x v="1"/>
    <x v="401"/>
    <n v="55"/>
  </r>
  <r>
    <s v="SALE402"/>
    <x v="310"/>
    <s v="CUST1296"/>
    <s v="PROD14"/>
    <s v="STORE10"/>
    <n v="1"/>
    <n v="753.39"/>
    <x v="13"/>
    <x v="2"/>
    <x v="1"/>
    <x v="35"/>
    <x v="3"/>
    <x v="66"/>
    <x v="3"/>
    <n v="48.01"/>
    <x v="3"/>
    <x v="2"/>
    <x v="402"/>
    <n v="28"/>
  </r>
  <r>
    <s v="SALE403"/>
    <x v="311"/>
    <s v="CUST1201"/>
    <s v="PROD71"/>
    <s v="STORE12"/>
    <n v="4"/>
    <n v="849.17"/>
    <x v="27"/>
    <x v="2"/>
    <x v="1"/>
    <x v="20"/>
    <x v="3"/>
    <x v="51"/>
    <x v="2"/>
    <n v="214.32"/>
    <x v="0"/>
    <x v="2"/>
    <x v="403"/>
    <n v="25"/>
  </r>
  <r>
    <s v="SALE404"/>
    <x v="123"/>
    <s v="CUST1379"/>
    <s v="PROD20"/>
    <s v="STORE0"/>
    <n v="4"/>
    <n v="585.45"/>
    <x v="2"/>
    <x v="2"/>
    <x v="1"/>
    <x v="9"/>
    <x v="0"/>
    <x v="42"/>
    <x v="0"/>
    <n v="131.51"/>
    <x v="3"/>
    <x v="1"/>
    <x v="404"/>
    <n v="34"/>
  </r>
  <r>
    <s v="SALE405"/>
    <x v="312"/>
    <s v="CUST1476"/>
    <s v="PROD75"/>
    <s v="STORE16"/>
    <n v="1"/>
    <n v="745.15"/>
    <x v="2"/>
    <x v="2"/>
    <x v="1"/>
    <x v="15"/>
    <x v="0"/>
    <x v="28"/>
    <x v="4"/>
    <n v="158.14"/>
    <x v="1"/>
    <x v="1"/>
    <x v="405"/>
    <n v="33"/>
  </r>
  <r>
    <s v="SALE406"/>
    <x v="313"/>
    <s v="CUST1050"/>
    <s v="PROD99"/>
    <s v="STORE2"/>
    <n v="1"/>
    <n v="848.69"/>
    <x v="13"/>
    <x v="2"/>
    <x v="1"/>
    <x v="49"/>
    <x v="0"/>
    <x v="8"/>
    <x v="3"/>
    <n v="201.41"/>
    <x v="2"/>
    <x v="0"/>
    <x v="406"/>
    <n v="61"/>
  </r>
  <r>
    <s v="SALE407"/>
    <x v="314"/>
    <s v="CUST1413"/>
    <s v="PROD70"/>
    <s v="STORE14"/>
    <n v="2"/>
    <n v="247.67"/>
    <x v="30"/>
    <x v="1"/>
    <x v="1"/>
    <x v="12"/>
    <x v="3"/>
    <x v="7"/>
    <x v="3"/>
    <n v="138.05"/>
    <x v="2"/>
    <x v="0"/>
    <x v="407"/>
    <n v="59"/>
  </r>
  <r>
    <s v="SALE408"/>
    <x v="180"/>
    <s v="CUST1039"/>
    <s v="PROD74"/>
    <s v="STORE3"/>
    <n v="3"/>
    <n v="220.51"/>
    <x v="31"/>
    <x v="1"/>
    <x v="1"/>
    <x v="20"/>
    <x v="0"/>
    <x v="1"/>
    <x v="1"/>
    <n v="403.71"/>
    <x v="0"/>
    <x v="0"/>
    <x v="408"/>
    <n v="55"/>
  </r>
  <r>
    <s v="SALE409"/>
    <x v="315"/>
    <s v="CUST1327"/>
    <s v="PROD15"/>
    <s v="STORE16"/>
    <n v="4"/>
    <n v="370.63"/>
    <x v="16"/>
    <x v="0"/>
    <x v="1"/>
    <x v="14"/>
    <x v="3"/>
    <x v="5"/>
    <x v="1"/>
    <n v="465.34"/>
    <x v="1"/>
    <x v="1"/>
    <x v="409"/>
    <n v="62"/>
  </r>
  <r>
    <s v="SALE410"/>
    <x v="52"/>
    <s v="CUST1391"/>
    <s v="PROD29"/>
    <s v="STORE19"/>
    <n v="4"/>
    <n v="349.84"/>
    <x v="32"/>
    <x v="0"/>
    <x v="1"/>
    <x v="47"/>
    <x v="3"/>
    <x v="35"/>
    <x v="3"/>
    <n v="218.48"/>
    <x v="3"/>
    <x v="2"/>
    <x v="410"/>
    <n v="40"/>
  </r>
  <r>
    <s v="SALE411"/>
    <x v="260"/>
    <s v="CUST1043"/>
    <s v="PROD39"/>
    <s v="STORE12"/>
    <n v="1"/>
    <n v="770.87"/>
    <x v="30"/>
    <x v="2"/>
    <x v="0"/>
    <x v="1"/>
    <x v="0"/>
    <x v="11"/>
    <x v="1"/>
    <n v="326.06"/>
    <x v="0"/>
    <x v="2"/>
    <x v="411"/>
    <n v="45"/>
  </r>
  <r>
    <s v="SALE412"/>
    <x v="79"/>
    <s v="CUST1479"/>
    <s v="PROD99"/>
    <s v="STORE17"/>
    <n v="3"/>
    <n v="507.33"/>
    <x v="22"/>
    <x v="1"/>
    <x v="0"/>
    <x v="35"/>
    <x v="3"/>
    <x v="8"/>
    <x v="3"/>
    <n v="201.41"/>
    <x v="0"/>
    <x v="1"/>
    <x v="412"/>
    <n v="40"/>
  </r>
  <r>
    <s v="SALE413"/>
    <x v="198"/>
    <s v="CUST1185"/>
    <s v="PROD66"/>
    <s v="STORE9"/>
    <n v="1"/>
    <n v="87.78"/>
    <x v="22"/>
    <x v="0"/>
    <x v="1"/>
    <x v="19"/>
    <x v="1"/>
    <x v="73"/>
    <x v="2"/>
    <n v="340.39"/>
    <x v="2"/>
    <x v="1"/>
    <x v="413"/>
    <n v="54"/>
  </r>
  <r>
    <s v="SALE414"/>
    <x v="193"/>
    <s v="CUST1006"/>
    <s v="PROD93"/>
    <s v="STORE4"/>
    <n v="2"/>
    <n v="772.24"/>
    <x v="14"/>
    <x v="0"/>
    <x v="1"/>
    <x v="34"/>
    <x v="1"/>
    <x v="47"/>
    <x v="1"/>
    <n v="377.52"/>
    <x v="2"/>
    <x v="2"/>
    <x v="414"/>
    <n v="29"/>
  </r>
  <r>
    <s v="SALE415"/>
    <x v="249"/>
    <s v="CUST1047"/>
    <s v="PROD70"/>
    <s v="STORE14"/>
    <n v="1"/>
    <n v="108.27"/>
    <x v="30"/>
    <x v="2"/>
    <x v="1"/>
    <x v="8"/>
    <x v="2"/>
    <x v="7"/>
    <x v="3"/>
    <n v="138.05"/>
    <x v="2"/>
    <x v="0"/>
    <x v="415"/>
    <n v="54"/>
  </r>
  <r>
    <s v="SALE416"/>
    <x v="56"/>
    <s v="CUST1347"/>
    <s v="PROD38"/>
    <s v="STORE17"/>
    <n v="2"/>
    <n v="839.24"/>
    <x v="34"/>
    <x v="1"/>
    <x v="1"/>
    <x v="40"/>
    <x v="0"/>
    <x v="48"/>
    <x v="0"/>
    <n v="135.61"/>
    <x v="0"/>
    <x v="1"/>
    <x v="416"/>
    <n v="39"/>
  </r>
  <r>
    <s v="SALE417"/>
    <x v="316"/>
    <s v="CUST1383"/>
    <s v="PROD58"/>
    <s v="STORE10"/>
    <n v="2"/>
    <n v="466.27"/>
    <x v="32"/>
    <x v="1"/>
    <x v="1"/>
    <x v="42"/>
    <x v="2"/>
    <x v="87"/>
    <x v="4"/>
    <n v="113.83"/>
    <x v="3"/>
    <x v="2"/>
    <x v="417"/>
    <n v="27"/>
  </r>
  <r>
    <s v="SALE418"/>
    <x v="72"/>
    <s v="CUST1398"/>
    <s v="PROD62"/>
    <s v="STORE14"/>
    <n v="3"/>
    <n v="969.83"/>
    <x v="31"/>
    <x v="0"/>
    <x v="0"/>
    <x v="21"/>
    <x v="3"/>
    <x v="85"/>
    <x v="1"/>
    <n v="86.42"/>
    <x v="2"/>
    <x v="0"/>
    <x v="418"/>
    <n v="54"/>
  </r>
  <r>
    <s v="SALE419"/>
    <x v="317"/>
    <s v="CUST1417"/>
    <s v="PROD91"/>
    <s v="STORE19"/>
    <n v="2"/>
    <n v="782.11"/>
    <x v="9"/>
    <x v="1"/>
    <x v="1"/>
    <x v="29"/>
    <x v="3"/>
    <x v="52"/>
    <x v="4"/>
    <n v="438.25"/>
    <x v="3"/>
    <x v="2"/>
    <x v="419"/>
    <n v="64"/>
  </r>
  <r>
    <s v="SALE420"/>
    <x v="275"/>
    <s v="CUST1451"/>
    <s v="PROD40"/>
    <s v="STORE11"/>
    <n v="2"/>
    <n v="74.63"/>
    <x v="10"/>
    <x v="1"/>
    <x v="0"/>
    <x v="23"/>
    <x v="0"/>
    <x v="43"/>
    <x v="1"/>
    <n v="38.52"/>
    <x v="2"/>
    <x v="2"/>
    <x v="420"/>
    <n v="46"/>
  </r>
  <r>
    <s v="SALE421"/>
    <x v="318"/>
    <s v="CUST1041"/>
    <s v="PROD85"/>
    <s v="STORE6"/>
    <n v="3"/>
    <n v="522.78"/>
    <x v="2"/>
    <x v="1"/>
    <x v="0"/>
    <x v="41"/>
    <x v="1"/>
    <x v="65"/>
    <x v="4"/>
    <n v="119.57"/>
    <x v="3"/>
    <x v="2"/>
    <x v="421"/>
    <n v="21"/>
  </r>
  <r>
    <s v="SALE422"/>
    <x v="319"/>
    <s v="CUST1338"/>
    <s v="PROD13"/>
    <s v="STORE15"/>
    <n v="1"/>
    <n v="206.45"/>
    <x v="6"/>
    <x v="1"/>
    <x v="1"/>
    <x v="40"/>
    <x v="2"/>
    <x v="26"/>
    <x v="1"/>
    <n v="242.23"/>
    <x v="0"/>
    <x v="1"/>
    <x v="422"/>
    <n v="46"/>
  </r>
  <r>
    <s v="SALE423"/>
    <x v="93"/>
    <s v="CUST1145"/>
    <s v="PROD69"/>
    <s v="STORE5"/>
    <n v="1"/>
    <n v="815.53"/>
    <x v="11"/>
    <x v="1"/>
    <x v="0"/>
    <x v="30"/>
    <x v="1"/>
    <x v="20"/>
    <x v="4"/>
    <n v="218.22"/>
    <x v="0"/>
    <x v="0"/>
    <x v="423"/>
    <n v="46"/>
  </r>
  <r>
    <s v="SALE424"/>
    <x v="320"/>
    <s v="CUST1037"/>
    <s v="PROD79"/>
    <s v="STORE13"/>
    <n v="1"/>
    <n v="823.61"/>
    <x v="23"/>
    <x v="2"/>
    <x v="1"/>
    <x v="34"/>
    <x v="4"/>
    <x v="29"/>
    <x v="3"/>
    <n v="228.53"/>
    <x v="3"/>
    <x v="1"/>
    <x v="424"/>
    <n v="27"/>
  </r>
  <r>
    <s v="SALE425"/>
    <x v="185"/>
    <s v="CUST1478"/>
    <s v="PROD87"/>
    <s v="STORE9"/>
    <n v="2"/>
    <n v="209.96"/>
    <x v="33"/>
    <x v="0"/>
    <x v="0"/>
    <x v="34"/>
    <x v="0"/>
    <x v="72"/>
    <x v="3"/>
    <n v="371.38"/>
    <x v="2"/>
    <x v="1"/>
    <x v="425"/>
    <n v="59"/>
  </r>
  <r>
    <s v="SALE426"/>
    <x v="55"/>
    <s v="CUST1175"/>
    <s v="PROD0"/>
    <s v="STORE16"/>
    <n v="4"/>
    <n v="897.93"/>
    <x v="28"/>
    <x v="2"/>
    <x v="0"/>
    <x v="22"/>
    <x v="1"/>
    <x v="90"/>
    <x v="1"/>
    <n v="112.42"/>
    <x v="1"/>
    <x v="1"/>
    <x v="426"/>
    <n v="56"/>
  </r>
  <r>
    <s v="SALE427"/>
    <x v="175"/>
    <s v="CUST1181"/>
    <s v="PROD63"/>
    <s v="STORE0"/>
    <n v="4"/>
    <n v="925.95"/>
    <x v="3"/>
    <x v="2"/>
    <x v="0"/>
    <x v="14"/>
    <x v="3"/>
    <x v="81"/>
    <x v="2"/>
    <n v="266.86"/>
    <x v="3"/>
    <x v="1"/>
    <x v="427"/>
    <n v="60"/>
  </r>
  <r>
    <s v="SALE428"/>
    <x v="296"/>
    <s v="CUST1084"/>
    <s v="PROD51"/>
    <s v="STORE6"/>
    <n v="2"/>
    <n v="573.09"/>
    <x v="15"/>
    <x v="2"/>
    <x v="1"/>
    <x v="30"/>
    <x v="1"/>
    <x v="69"/>
    <x v="1"/>
    <n v="88.49"/>
    <x v="3"/>
    <x v="2"/>
    <x v="428"/>
    <n v="26"/>
  </r>
  <r>
    <s v="SALE429"/>
    <x v="201"/>
    <s v="CUST1183"/>
    <s v="PROD7"/>
    <s v="STORE4"/>
    <n v="4"/>
    <n v="149.83"/>
    <x v="31"/>
    <x v="0"/>
    <x v="0"/>
    <x v="14"/>
    <x v="1"/>
    <x v="84"/>
    <x v="3"/>
    <n v="218.86"/>
    <x v="2"/>
    <x v="2"/>
    <x v="429"/>
    <n v="18"/>
  </r>
  <r>
    <s v="SALE430"/>
    <x v="181"/>
    <s v="CUST1001"/>
    <s v="PROD51"/>
    <s v="STORE14"/>
    <n v="3"/>
    <n v="287.71"/>
    <x v="15"/>
    <x v="2"/>
    <x v="1"/>
    <x v="16"/>
    <x v="1"/>
    <x v="69"/>
    <x v="1"/>
    <n v="88.49"/>
    <x v="2"/>
    <x v="0"/>
    <x v="430"/>
    <n v="26"/>
  </r>
  <r>
    <s v="SALE431"/>
    <x v="321"/>
    <s v="CUST1094"/>
    <s v="PROD67"/>
    <s v="STORE6"/>
    <n v="2"/>
    <n v="849.8"/>
    <x v="22"/>
    <x v="2"/>
    <x v="1"/>
    <x v="8"/>
    <x v="0"/>
    <x v="22"/>
    <x v="1"/>
    <n v="349.17"/>
    <x v="3"/>
    <x v="2"/>
    <x v="431"/>
    <n v="43"/>
  </r>
  <r>
    <s v="SALE432"/>
    <x v="176"/>
    <s v="CUST1016"/>
    <s v="PROD41"/>
    <s v="STORE3"/>
    <n v="3"/>
    <n v="482.58"/>
    <x v="23"/>
    <x v="1"/>
    <x v="1"/>
    <x v="2"/>
    <x v="3"/>
    <x v="89"/>
    <x v="0"/>
    <n v="313.26"/>
    <x v="0"/>
    <x v="0"/>
    <x v="432"/>
    <n v="24"/>
  </r>
  <r>
    <s v="SALE433"/>
    <x v="322"/>
    <s v="CUST1114"/>
    <s v="PROD59"/>
    <s v="STORE2"/>
    <n v="2"/>
    <n v="64.7"/>
    <x v="33"/>
    <x v="0"/>
    <x v="0"/>
    <x v="8"/>
    <x v="3"/>
    <x v="4"/>
    <x v="2"/>
    <n v="17.31"/>
    <x v="2"/>
    <x v="0"/>
    <x v="433"/>
    <n v="30"/>
  </r>
  <r>
    <s v="SALE434"/>
    <x v="303"/>
    <s v="CUST1148"/>
    <s v="PROD5"/>
    <s v="STORE5"/>
    <n v="3"/>
    <n v="589.83"/>
    <x v="25"/>
    <x v="0"/>
    <x v="1"/>
    <x v="18"/>
    <x v="3"/>
    <x v="23"/>
    <x v="4"/>
    <n v="261"/>
    <x v="0"/>
    <x v="0"/>
    <x v="434"/>
    <n v="42"/>
  </r>
  <r>
    <s v="SALE435"/>
    <x v="69"/>
    <s v="CUST1288"/>
    <s v="PROD3"/>
    <s v="STORE9"/>
    <n v="4"/>
    <n v="758.49"/>
    <x v="3"/>
    <x v="2"/>
    <x v="0"/>
    <x v="40"/>
    <x v="0"/>
    <x v="58"/>
    <x v="4"/>
    <n v="364.67"/>
    <x v="2"/>
    <x v="1"/>
    <x v="435"/>
    <n v="58"/>
  </r>
  <r>
    <s v="SALE436"/>
    <x v="224"/>
    <s v="CUST1053"/>
    <s v="PROD37"/>
    <s v="STORE12"/>
    <n v="4"/>
    <n v="747.56"/>
    <x v="0"/>
    <x v="2"/>
    <x v="1"/>
    <x v="20"/>
    <x v="0"/>
    <x v="92"/>
    <x v="4"/>
    <n v="353.47"/>
    <x v="0"/>
    <x v="2"/>
    <x v="436"/>
    <n v="37"/>
  </r>
  <r>
    <s v="SALE437"/>
    <x v="249"/>
    <s v="CUST1253"/>
    <s v="PROD40"/>
    <s v="STORE17"/>
    <n v="3"/>
    <n v="551.22"/>
    <x v="27"/>
    <x v="1"/>
    <x v="0"/>
    <x v="18"/>
    <x v="3"/>
    <x v="43"/>
    <x v="1"/>
    <n v="38.52"/>
    <x v="0"/>
    <x v="1"/>
    <x v="437"/>
    <n v="32"/>
  </r>
  <r>
    <s v="SALE438"/>
    <x v="323"/>
    <s v="CUST1159"/>
    <s v="PROD69"/>
    <s v="STORE14"/>
    <n v="2"/>
    <n v="527.06"/>
    <x v="9"/>
    <x v="1"/>
    <x v="1"/>
    <x v="19"/>
    <x v="0"/>
    <x v="20"/>
    <x v="4"/>
    <n v="218.22"/>
    <x v="2"/>
    <x v="0"/>
    <x v="438"/>
    <n v="46"/>
  </r>
  <r>
    <s v="SALE439"/>
    <x v="161"/>
    <s v="CUST1098"/>
    <s v="PROD62"/>
    <s v="STORE5"/>
    <n v="4"/>
    <n v="875.41"/>
    <x v="1"/>
    <x v="0"/>
    <x v="0"/>
    <x v="41"/>
    <x v="0"/>
    <x v="85"/>
    <x v="1"/>
    <n v="86.42"/>
    <x v="0"/>
    <x v="0"/>
    <x v="439"/>
    <n v="24"/>
  </r>
  <r>
    <s v="SALE440"/>
    <x v="324"/>
    <s v="CUST1007"/>
    <s v="PROD85"/>
    <s v="STORE0"/>
    <n v="2"/>
    <n v="226.43"/>
    <x v="15"/>
    <x v="0"/>
    <x v="1"/>
    <x v="35"/>
    <x v="3"/>
    <x v="65"/>
    <x v="4"/>
    <n v="119.57"/>
    <x v="3"/>
    <x v="1"/>
    <x v="440"/>
    <n v="29"/>
  </r>
  <r>
    <s v="SALE441"/>
    <x v="0"/>
    <s v="CUST1035"/>
    <s v="PROD79"/>
    <s v="STORE5"/>
    <n v="2"/>
    <n v="285.39"/>
    <x v="30"/>
    <x v="0"/>
    <x v="0"/>
    <x v="16"/>
    <x v="2"/>
    <x v="29"/>
    <x v="3"/>
    <n v="228.53"/>
    <x v="0"/>
    <x v="0"/>
    <x v="441"/>
    <n v="52"/>
  </r>
  <r>
    <s v="SALE442"/>
    <x v="308"/>
    <s v="CUST1334"/>
    <s v="PROD11"/>
    <s v="STORE15"/>
    <n v="2"/>
    <n v="298.01"/>
    <x v="28"/>
    <x v="0"/>
    <x v="1"/>
    <x v="40"/>
    <x v="2"/>
    <x v="75"/>
    <x v="1"/>
    <n v="449.4"/>
    <x v="0"/>
    <x v="1"/>
    <x v="442"/>
    <n v="50"/>
  </r>
  <r>
    <s v="SALE443"/>
    <x v="71"/>
    <s v="CUST1159"/>
    <s v="PROD40"/>
    <s v="STORE4"/>
    <n v="4"/>
    <n v="753.49"/>
    <x v="25"/>
    <x v="2"/>
    <x v="1"/>
    <x v="19"/>
    <x v="0"/>
    <x v="43"/>
    <x v="1"/>
    <n v="38.52"/>
    <x v="2"/>
    <x v="2"/>
    <x v="443"/>
    <n v="46"/>
  </r>
  <r>
    <s v="SALE444"/>
    <x v="325"/>
    <s v="CUST1488"/>
    <s v="PROD78"/>
    <s v="STORE12"/>
    <n v="2"/>
    <n v="130.39"/>
    <x v="9"/>
    <x v="1"/>
    <x v="1"/>
    <x v="24"/>
    <x v="1"/>
    <x v="36"/>
    <x v="3"/>
    <n v="325.26"/>
    <x v="0"/>
    <x v="2"/>
    <x v="444"/>
    <n v="23"/>
  </r>
  <r>
    <s v="SALE445"/>
    <x v="326"/>
    <s v="CUST1345"/>
    <s v="PROD22"/>
    <s v="STORE9"/>
    <n v="4"/>
    <n v="164.02"/>
    <x v="10"/>
    <x v="1"/>
    <x v="0"/>
    <x v="15"/>
    <x v="3"/>
    <x v="62"/>
    <x v="0"/>
    <n v="484.62"/>
    <x v="2"/>
    <x v="1"/>
    <x v="445"/>
    <n v="33"/>
  </r>
  <r>
    <s v="SALE446"/>
    <x v="327"/>
    <s v="CUST1164"/>
    <s v="PROD29"/>
    <s v="STORE4"/>
    <n v="2"/>
    <n v="527.51"/>
    <x v="4"/>
    <x v="1"/>
    <x v="1"/>
    <x v="36"/>
    <x v="2"/>
    <x v="35"/>
    <x v="3"/>
    <n v="218.48"/>
    <x v="2"/>
    <x v="2"/>
    <x v="446"/>
    <n v="39"/>
  </r>
  <r>
    <s v="SALE447"/>
    <x v="328"/>
    <s v="CUST1253"/>
    <s v="PROD57"/>
    <s v="STORE13"/>
    <n v="3"/>
    <n v="628.18"/>
    <x v="25"/>
    <x v="0"/>
    <x v="0"/>
    <x v="18"/>
    <x v="3"/>
    <x v="71"/>
    <x v="0"/>
    <n v="30.62"/>
    <x v="3"/>
    <x v="1"/>
    <x v="447"/>
    <n v="32"/>
  </r>
  <r>
    <s v="SALE448"/>
    <x v="329"/>
    <s v="CUST1269"/>
    <s v="PROD56"/>
    <s v="STORE3"/>
    <n v="1"/>
    <n v="862.31"/>
    <x v="22"/>
    <x v="0"/>
    <x v="1"/>
    <x v="24"/>
    <x v="2"/>
    <x v="6"/>
    <x v="3"/>
    <n v="461.47"/>
    <x v="0"/>
    <x v="0"/>
    <x v="448"/>
    <n v="45"/>
  </r>
  <r>
    <s v="SALE449"/>
    <x v="330"/>
    <s v="CUST1071"/>
    <s v="PROD83"/>
    <s v="STORE14"/>
    <n v="2"/>
    <n v="541.39"/>
    <x v="15"/>
    <x v="2"/>
    <x v="1"/>
    <x v="23"/>
    <x v="0"/>
    <x v="50"/>
    <x v="2"/>
    <n v="289.359375"/>
    <x v="2"/>
    <x v="0"/>
    <x v="449"/>
    <n v="61"/>
  </r>
  <r>
    <s v="SALE450"/>
    <x v="323"/>
    <s v="CUST1477"/>
    <s v="PROD76"/>
    <s v="STORE16"/>
    <n v="3"/>
    <n v="761.8"/>
    <x v="22"/>
    <x v="2"/>
    <x v="1"/>
    <x v="32"/>
    <x v="1"/>
    <x v="3"/>
    <x v="1"/>
    <n v="392.89"/>
    <x v="1"/>
    <x v="1"/>
    <x v="450"/>
    <n v="41"/>
  </r>
  <r>
    <s v="SALE451"/>
    <x v="151"/>
    <s v="CUST1422"/>
    <s v="PROD49"/>
    <s v="STORE2"/>
    <n v="4"/>
    <n v="829.36"/>
    <x v="32"/>
    <x v="1"/>
    <x v="1"/>
    <x v="32"/>
    <x v="1"/>
    <x v="2"/>
    <x v="2"/>
    <n v="43.29"/>
    <x v="2"/>
    <x v="0"/>
    <x v="451"/>
    <n v="42"/>
  </r>
  <r>
    <s v="SALE452"/>
    <x v="325"/>
    <s v="CUST1404"/>
    <s v="PROD23"/>
    <s v="STORE16"/>
    <n v="2"/>
    <n v="425.06"/>
    <x v="0"/>
    <x v="1"/>
    <x v="1"/>
    <x v="13"/>
    <x v="2"/>
    <x v="34"/>
    <x v="4"/>
    <n v="248.821917808219"/>
    <x v="1"/>
    <x v="1"/>
    <x v="452"/>
    <n v="22"/>
  </r>
  <r>
    <s v="SALE453"/>
    <x v="331"/>
    <s v="CUST1127"/>
    <s v="PROD55"/>
    <s v="STORE0"/>
    <n v="2"/>
    <n v="911.14"/>
    <x v="30"/>
    <x v="0"/>
    <x v="0"/>
    <x v="1"/>
    <x v="1"/>
    <x v="76"/>
    <x v="3"/>
    <n v="81.75"/>
    <x v="3"/>
    <x v="1"/>
    <x v="453"/>
    <n v="39"/>
  </r>
  <r>
    <s v="SALE454"/>
    <x v="332"/>
    <s v="CUST1084"/>
    <s v="PROD68"/>
    <s v="STORE8"/>
    <n v="3"/>
    <n v="811.96"/>
    <x v="12"/>
    <x v="0"/>
    <x v="1"/>
    <x v="30"/>
    <x v="1"/>
    <x v="88"/>
    <x v="3"/>
    <n v="243.7"/>
    <x v="1"/>
    <x v="2"/>
    <x v="454"/>
    <n v="26"/>
  </r>
  <r>
    <s v="SALE455"/>
    <x v="264"/>
    <s v="CUST1273"/>
    <s v="PROD31"/>
    <s v="STORE10"/>
    <n v="2"/>
    <n v="780.05"/>
    <x v="27"/>
    <x v="2"/>
    <x v="0"/>
    <x v="25"/>
    <x v="3"/>
    <x v="45"/>
    <x v="0"/>
    <n v="204.39"/>
    <x v="3"/>
    <x v="2"/>
    <x v="455"/>
    <n v="23"/>
  </r>
  <r>
    <s v="SALE456"/>
    <x v="333"/>
    <s v="CUST1215"/>
    <s v="PROD32"/>
    <s v="STORE9"/>
    <n v="4"/>
    <n v="315.95"/>
    <x v="5"/>
    <x v="2"/>
    <x v="1"/>
    <x v="47"/>
    <x v="0"/>
    <x v="79"/>
    <x v="2"/>
    <n v="283.83"/>
    <x v="2"/>
    <x v="1"/>
    <x v="456"/>
    <n v="50"/>
  </r>
  <r>
    <s v="SALE457"/>
    <x v="254"/>
    <s v="CUST1229"/>
    <s v="PROD52"/>
    <s v="STORE9"/>
    <n v="2"/>
    <n v="810.17"/>
    <x v="1"/>
    <x v="0"/>
    <x v="1"/>
    <x v="33"/>
    <x v="3"/>
    <x v="40"/>
    <x v="0"/>
    <n v="212.26"/>
    <x v="2"/>
    <x v="1"/>
    <x v="457"/>
    <n v="32"/>
  </r>
  <r>
    <s v="SALE458"/>
    <x v="257"/>
    <s v="CUST1205"/>
    <s v="PROD84"/>
    <s v="STORE4"/>
    <n v="3"/>
    <n v="505.01"/>
    <x v="31"/>
    <x v="1"/>
    <x v="1"/>
    <x v="19"/>
    <x v="0"/>
    <x v="94"/>
    <x v="3"/>
    <n v="388.46"/>
    <x v="2"/>
    <x v="2"/>
    <x v="458"/>
    <n v="44"/>
  </r>
  <r>
    <s v="SALE459"/>
    <x v="334"/>
    <s v="CUST1467"/>
    <s v="PROD72"/>
    <s v="STORE17"/>
    <n v="2"/>
    <n v="736.75"/>
    <x v="4"/>
    <x v="0"/>
    <x v="1"/>
    <x v="1"/>
    <x v="0"/>
    <x v="18"/>
    <x v="0"/>
    <n v="477.61"/>
    <x v="0"/>
    <x v="1"/>
    <x v="459"/>
    <n v="63"/>
  </r>
  <r>
    <s v="SALE460"/>
    <x v="331"/>
    <s v="CUST1027"/>
    <s v="PROD77"/>
    <s v="STORE9"/>
    <n v="4"/>
    <n v="700.31"/>
    <x v="29"/>
    <x v="1"/>
    <x v="0"/>
    <x v="39"/>
    <x v="4"/>
    <x v="25"/>
    <x v="1"/>
    <n v="480.9"/>
    <x v="2"/>
    <x v="1"/>
    <x v="460"/>
    <n v="31"/>
  </r>
  <r>
    <s v="SALE461"/>
    <x v="66"/>
    <s v="CUST1129"/>
    <s v="PROD91"/>
    <s v="STORE11"/>
    <n v="4"/>
    <n v="202.46"/>
    <x v="24"/>
    <x v="0"/>
    <x v="1"/>
    <x v="34"/>
    <x v="2"/>
    <x v="52"/>
    <x v="4"/>
    <n v="438.25"/>
    <x v="2"/>
    <x v="2"/>
    <x v="461"/>
    <n v="43"/>
  </r>
  <r>
    <s v="SALE462"/>
    <x v="335"/>
    <s v="CUST1265"/>
    <s v="PROD87"/>
    <s v="STORE1"/>
    <n v="2"/>
    <n v="291.84"/>
    <x v="2"/>
    <x v="1"/>
    <x v="0"/>
    <x v="3"/>
    <x v="2"/>
    <x v="72"/>
    <x v="3"/>
    <n v="371.38"/>
    <x v="0"/>
    <x v="1"/>
    <x v="462"/>
    <n v="38"/>
  </r>
  <r>
    <s v="SALE463"/>
    <x v="336"/>
    <s v="CUST1163"/>
    <s v="PROD97"/>
    <s v="STORE5"/>
    <n v="2"/>
    <n v="261.48"/>
    <x v="9"/>
    <x v="0"/>
    <x v="0"/>
    <x v="49"/>
    <x v="3"/>
    <x v="0"/>
    <x v="0"/>
    <n v="245.98"/>
    <x v="0"/>
    <x v="0"/>
    <x v="463"/>
    <n v="21"/>
  </r>
  <r>
    <s v="SALE464"/>
    <x v="337"/>
    <s v="CUST1300"/>
    <s v="PROD36"/>
    <s v="STORE14"/>
    <n v="1"/>
    <n v="850.83"/>
    <x v="23"/>
    <x v="1"/>
    <x v="0"/>
    <x v="47"/>
    <x v="2"/>
    <x v="14"/>
    <x v="4"/>
    <n v="223.43"/>
    <x v="2"/>
    <x v="0"/>
    <x v="464"/>
    <n v="29"/>
  </r>
  <r>
    <s v="SALE465"/>
    <x v="294"/>
    <s v="CUST1405"/>
    <s v="PROD46"/>
    <s v="STORE9"/>
    <n v="1"/>
    <n v="83.83"/>
    <x v="28"/>
    <x v="0"/>
    <x v="1"/>
    <x v="38"/>
    <x v="0"/>
    <x v="54"/>
    <x v="4"/>
    <n v="167.34"/>
    <x v="2"/>
    <x v="1"/>
    <x v="465"/>
    <n v="18"/>
  </r>
  <r>
    <s v="SALE466"/>
    <x v="219"/>
    <s v="CUST1006"/>
    <s v="PROD88"/>
    <s v="STORE16"/>
    <n v="3"/>
    <n v="649.95"/>
    <x v="23"/>
    <x v="2"/>
    <x v="1"/>
    <x v="34"/>
    <x v="1"/>
    <x v="12"/>
    <x v="0"/>
    <n v="131.24"/>
    <x v="1"/>
    <x v="1"/>
    <x v="466"/>
    <n v="29"/>
  </r>
  <r>
    <s v="SALE467"/>
    <x v="338"/>
    <s v="CUST1366"/>
    <s v="PROD73"/>
    <s v="STORE6"/>
    <n v="4"/>
    <n v="934.96"/>
    <x v="4"/>
    <x v="1"/>
    <x v="1"/>
    <x v="4"/>
    <x v="1"/>
    <x v="78"/>
    <x v="0"/>
    <n v="107.06"/>
    <x v="3"/>
    <x v="2"/>
    <x v="467"/>
    <n v="40"/>
  </r>
  <r>
    <s v="SALE468"/>
    <x v="335"/>
    <s v="CUST1206"/>
    <s v="PROD17"/>
    <s v="STORE14"/>
    <n v="1"/>
    <n v="880.89"/>
    <x v="21"/>
    <x v="2"/>
    <x v="1"/>
    <x v="3"/>
    <x v="2"/>
    <x v="53"/>
    <x v="0"/>
    <n v="144.53"/>
    <x v="2"/>
    <x v="0"/>
    <x v="468"/>
    <n v="26"/>
  </r>
  <r>
    <s v="SALE469"/>
    <x v="339"/>
    <s v="CUST1477"/>
    <s v="PROD98"/>
    <s v="STORE8"/>
    <n v="4"/>
    <n v="610.6"/>
    <x v="30"/>
    <x v="1"/>
    <x v="1"/>
    <x v="32"/>
    <x v="1"/>
    <x v="24"/>
    <x v="1"/>
    <n v="431.67"/>
    <x v="1"/>
    <x v="2"/>
    <x v="469"/>
    <n v="41"/>
  </r>
  <r>
    <s v="SALE470"/>
    <x v="340"/>
    <s v="CUST1075"/>
    <s v="PROD28"/>
    <s v="STORE18"/>
    <n v="1"/>
    <n v="514.19"/>
    <x v="29"/>
    <x v="0"/>
    <x v="1"/>
    <x v="24"/>
    <x v="0"/>
    <x v="77"/>
    <x v="0"/>
    <n v="38.76"/>
    <x v="3"/>
    <x v="1"/>
    <x v="470"/>
    <n v="61"/>
  </r>
  <r>
    <s v="SALE471"/>
    <x v="298"/>
    <s v="CUST1399"/>
    <s v="PROD37"/>
    <s v="STORE13"/>
    <n v="1"/>
    <n v="546.2"/>
    <x v="14"/>
    <x v="1"/>
    <x v="0"/>
    <x v="17"/>
    <x v="3"/>
    <x v="92"/>
    <x v="4"/>
    <n v="353.47"/>
    <x v="3"/>
    <x v="1"/>
    <x v="471"/>
    <n v="27"/>
  </r>
  <r>
    <s v="SALE472"/>
    <x v="341"/>
    <s v="CUST1197"/>
    <s v="PROD37"/>
    <s v="STORE0"/>
    <n v="3"/>
    <n v="416.01"/>
    <x v="31"/>
    <x v="0"/>
    <x v="1"/>
    <x v="46"/>
    <x v="1"/>
    <x v="92"/>
    <x v="4"/>
    <n v="353.47"/>
    <x v="3"/>
    <x v="1"/>
    <x v="472"/>
    <n v="45"/>
  </r>
  <r>
    <s v="SALE473"/>
    <x v="342"/>
    <s v="CUST1384"/>
    <s v="PROD74"/>
    <s v="STORE10"/>
    <n v="1"/>
    <n v="30.94"/>
    <x v="34"/>
    <x v="2"/>
    <x v="1"/>
    <x v="9"/>
    <x v="3"/>
    <x v="1"/>
    <x v="1"/>
    <n v="403.71"/>
    <x v="3"/>
    <x v="2"/>
    <x v="473"/>
    <n v="52"/>
  </r>
  <r>
    <s v="SALE474"/>
    <x v="13"/>
    <s v="CUST1200"/>
    <s v="PROD58"/>
    <s v="STORE16"/>
    <n v="3"/>
    <n v="666.39"/>
    <x v="34"/>
    <x v="2"/>
    <x v="0"/>
    <x v="17"/>
    <x v="1"/>
    <x v="87"/>
    <x v="4"/>
    <n v="113.83"/>
    <x v="1"/>
    <x v="1"/>
    <x v="474"/>
    <n v="30"/>
  </r>
  <r>
    <s v="SALE475"/>
    <x v="343"/>
    <s v="CUST1166"/>
    <s v="PROD81"/>
    <s v="STORE10"/>
    <n v="2"/>
    <n v="145.26"/>
    <x v="5"/>
    <x v="1"/>
    <x v="1"/>
    <x v="20"/>
    <x v="2"/>
    <x v="82"/>
    <x v="0"/>
    <n v="285.54"/>
    <x v="3"/>
    <x v="2"/>
    <x v="475"/>
    <n v="25"/>
  </r>
  <r>
    <s v="SALE476"/>
    <x v="344"/>
    <s v="CUST1118"/>
    <s v="PROD91"/>
    <s v="STORE5"/>
    <n v="4"/>
    <n v="940.77"/>
    <x v="24"/>
    <x v="2"/>
    <x v="0"/>
    <x v="48"/>
    <x v="1"/>
    <x v="52"/>
    <x v="4"/>
    <n v="438.25"/>
    <x v="0"/>
    <x v="0"/>
    <x v="476"/>
    <n v="36"/>
  </r>
  <r>
    <s v="SALE477"/>
    <x v="345"/>
    <s v="CUST1469"/>
    <s v="PROD46"/>
    <s v="STORE17"/>
    <n v="1"/>
    <n v="708.88"/>
    <x v="0"/>
    <x v="0"/>
    <x v="0"/>
    <x v="39"/>
    <x v="0"/>
    <x v="54"/>
    <x v="4"/>
    <n v="167.34"/>
    <x v="0"/>
    <x v="1"/>
    <x v="477"/>
    <n v="19"/>
  </r>
  <r>
    <s v="SALE478"/>
    <x v="268"/>
    <s v="CUST1307"/>
    <s v="PROD30"/>
    <s v="STORE2"/>
    <n v="1"/>
    <n v="790.73"/>
    <x v="24"/>
    <x v="1"/>
    <x v="1"/>
    <x v="4"/>
    <x v="3"/>
    <x v="37"/>
    <x v="3"/>
    <n v="19.52"/>
    <x v="2"/>
    <x v="0"/>
    <x v="478"/>
    <n v="56"/>
  </r>
  <r>
    <s v="SALE479"/>
    <x v="346"/>
    <s v="CUST1449"/>
    <s v="PROD15"/>
    <s v="STORE9"/>
    <n v="3"/>
    <n v="635.13"/>
    <x v="0"/>
    <x v="1"/>
    <x v="0"/>
    <x v="31"/>
    <x v="3"/>
    <x v="5"/>
    <x v="1"/>
    <n v="465.34"/>
    <x v="2"/>
    <x v="1"/>
    <x v="479"/>
    <n v="29"/>
  </r>
  <r>
    <s v="SALE480"/>
    <x v="305"/>
    <s v="CUST1266"/>
    <s v="PROD93"/>
    <s v="STORE14"/>
    <n v="1"/>
    <n v="744.88"/>
    <x v="6"/>
    <x v="2"/>
    <x v="1"/>
    <x v="27"/>
    <x v="3"/>
    <x v="47"/>
    <x v="1"/>
    <n v="377.52"/>
    <x v="2"/>
    <x v="0"/>
    <x v="480"/>
    <n v="32"/>
  </r>
  <r>
    <s v="SALE481"/>
    <x v="142"/>
    <s v="CUST1183"/>
    <s v="PROD28"/>
    <s v="STORE1"/>
    <n v="3"/>
    <n v="205.34"/>
    <x v="2"/>
    <x v="0"/>
    <x v="0"/>
    <x v="14"/>
    <x v="1"/>
    <x v="77"/>
    <x v="0"/>
    <n v="38.76"/>
    <x v="0"/>
    <x v="1"/>
    <x v="481"/>
    <n v="18"/>
  </r>
  <r>
    <s v="SALE482"/>
    <x v="103"/>
    <s v="CUST1419"/>
    <s v="PROD29"/>
    <s v="STORE8"/>
    <n v="2"/>
    <n v="756.8"/>
    <x v="6"/>
    <x v="0"/>
    <x v="0"/>
    <x v="25"/>
    <x v="0"/>
    <x v="35"/>
    <x v="3"/>
    <n v="218.48"/>
    <x v="1"/>
    <x v="2"/>
    <x v="482"/>
    <n v="33"/>
  </r>
  <r>
    <s v="SALE483"/>
    <x v="238"/>
    <s v="CUST1044"/>
    <s v="PROD21"/>
    <s v="STORE10"/>
    <n v="1"/>
    <n v="771.73"/>
    <x v="29"/>
    <x v="0"/>
    <x v="0"/>
    <x v="22"/>
    <x v="3"/>
    <x v="39"/>
    <x v="3"/>
    <n v="123.46"/>
    <x v="3"/>
    <x v="2"/>
    <x v="483"/>
    <n v="34"/>
  </r>
  <r>
    <s v="SALE484"/>
    <x v="236"/>
    <s v="CUST1479"/>
    <s v="PROD66"/>
    <s v="STORE17"/>
    <n v="1"/>
    <n v="440.19"/>
    <x v="15"/>
    <x v="1"/>
    <x v="0"/>
    <x v="35"/>
    <x v="3"/>
    <x v="73"/>
    <x v="2"/>
    <n v="340.39"/>
    <x v="0"/>
    <x v="1"/>
    <x v="484"/>
    <n v="40"/>
  </r>
  <r>
    <s v="SALE485"/>
    <x v="347"/>
    <s v="CUST1047"/>
    <s v="PROD4"/>
    <s v="STORE2"/>
    <n v="2"/>
    <n v="409"/>
    <x v="9"/>
    <x v="0"/>
    <x v="1"/>
    <x v="8"/>
    <x v="2"/>
    <x v="83"/>
    <x v="4"/>
    <n v="306.46"/>
    <x v="2"/>
    <x v="0"/>
    <x v="485"/>
    <n v="54"/>
  </r>
  <r>
    <s v="SALE486"/>
    <x v="348"/>
    <s v="CUST1343"/>
    <s v="PROD38"/>
    <s v="STORE19"/>
    <n v="3"/>
    <n v="134.58"/>
    <x v="13"/>
    <x v="2"/>
    <x v="0"/>
    <x v="45"/>
    <x v="3"/>
    <x v="48"/>
    <x v="0"/>
    <n v="135.61"/>
    <x v="3"/>
    <x v="2"/>
    <x v="486"/>
    <n v="38"/>
  </r>
  <r>
    <s v="SALE487"/>
    <x v="323"/>
    <s v="CUST1348"/>
    <s v="PROD39"/>
    <s v="STORE7"/>
    <n v="4"/>
    <n v="284.44"/>
    <x v="31"/>
    <x v="0"/>
    <x v="0"/>
    <x v="2"/>
    <x v="2"/>
    <x v="11"/>
    <x v="1"/>
    <n v="326.06"/>
    <x v="2"/>
    <x v="2"/>
    <x v="487"/>
    <n v="55"/>
  </r>
  <r>
    <s v="SALE488"/>
    <x v="349"/>
    <s v="CUST1405"/>
    <s v="PROD73"/>
    <s v="STORE13"/>
    <n v="4"/>
    <n v="922.69"/>
    <x v="3"/>
    <x v="0"/>
    <x v="1"/>
    <x v="38"/>
    <x v="0"/>
    <x v="78"/>
    <x v="0"/>
    <n v="107.06"/>
    <x v="3"/>
    <x v="1"/>
    <x v="488"/>
    <n v="18"/>
  </r>
  <r>
    <s v="SALE489"/>
    <x v="350"/>
    <s v="CUST1275"/>
    <s v="PROD36"/>
    <s v="STORE6"/>
    <n v="2"/>
    <n v="992.55"/>
    <x v="23"/>
    <x v="0"/>
    <x v="0"/>
    <x v="27"/>
    <x v="0"/>
    <x v="14"/>
    <x v="4"/>
    <n v="223.43"/>
    <x v="3"/>
    <x v="2"/>
    <x v="489"/>
    <n v="22"/>
  </r>
  <r>
    <s v="SALE490"/>
    <x v="160"/>
    <s v="CUST1418"/>
    <s v="PROD89"/>
    <s v="STORE18"/>
    <n v="1"/>
    <n v="170.43"/>
    <x v="15"/>
    <x v="0"/>
    <x v="1"/>
    <x v="21"/>
    <x v="2"/>
    <x v="41"/>
    <x v="2"/>
    <n v="183.04"/>
    <x v="3"/>
    <x v="1"/>
    <x v="490"/>
    <n v="60"/>
  </r>
  <r>
    <s v="SALE491"/>
    <x v="55"/>
    <s v="CUST1223"/>
    <s v="PROD72"/>
    <s v="STORE2"/>
    <n v="3"/>
    <n v="480.51"/>
    <x v="15"/>
    <x v="0"/>
    <x v="0"/>
    <x v="9"/>
    <x v="1"/>
    <x v="18"/>
    <x v="0"/>
    <n v="477.61"/>
    <x v="2"/>
    <x v="0"/>
    <x v="491"/>
    <n v="50"/>
  </r>
  <r>
    <s v="SALE492"/>
    <x v="351"/>
    <s v="CUST1156"/>
    <s v="PROD49"/>
    <s v="STORE7"/>
    <n v="2"/>
    <n v="955.66"/>
    <x v="12"/>
    <x v="2"/>
    <x v="0"/>
    <x v="16"/>
    <x v="3"/>
    <x v="2"/>
    <x v="2"/>
    <n v="43.29"/>
    <x v="2"/>
    <x v="2"/>
    <x v="492"/>
    <n v="46"/>
  </r>
  <r>
    <s v="SALE493"/>
    <x v="198"/>
    <s v="CUST1451"/>
    <s v="PROD72"/>
    <s v="STORE0"/>
    <n v="2"/>
    <n v="488.02"/>
    <x v="1"/>
    <x v="1"/>
    <x v="0"/>
    <x v="23"/>
    <x v="0"/>
    <x v="18"/>
    <x v="0"/>
    <n v="477.61"/>
    <x v="3"/>
    <x v="1"/>
    <x v="493"/>
    <n v="46"/>
  </r>
  <r>
    <s v="SALE494"/>
    <x v="286"/>
    <s v="CUST1240"/>
    <s v="PROD18"/>
    <s v="STORE0"/>
    <n v="1"/>
    <n v="917.17"/>
    <x v="21"/>
    <x v="2"/>
    <x v="1"/>
    <x v="20"/>
    <x v="1"/>
    <x v="97"/>
    <x v="4"/>
    <n v="245.778311688312"/>
    <x v="3"/>
    <x v="1"/>
    <x v="494"/>
    <n v="59"/>
  </r>
  <r>
    <s v="SALE495"/>
    <x v="352"/>
    <s v="CUST1324"/>
    <s v="PROD8"/>
    <s v="STORE5"/>
    <n v="2"/>
    <n v="406.46"/>
    <x v="11"/>
    <x v="1"/>
    <x v="0"/>
    <x v="15"/>
    <x v="3"/>
    <x v="67"/>
    <x v="1"/>
    <n v="439.07"/>
    <x v="0"/>
    <x v="0"/>
    <x v="495"/>
    <n v="58"/>
  </r>
  <r>
    <s v="SALE496"/>
    <x v="353"/>
    <s v="CUST1232"/>
    <s v="PROD95"/>
    <s v="STORE0"/>
    <n v="2"/>
    <n v="264.39"/>
    <x v="32"/>
    <x v="2"/>
    <x v="1"/>
    <x v="19"/>
    <x v="1"/>
    <x v="98"/>
    <x v="0"/>
    <n v="60.65"/>
    <x v="3"/>
    <x v="1"/>
    <x v="496"/>
    <n v="27"/>
  </r>
  <r>
    <s v="SALE497"/>
    <x v="190"/>
    <s v="CUST1191"/>
    <s v="PROD68"/>
    <s v="STORE16"/>
    <n v="1"/>
    <n v="414.97"/>
    <x v="14"/>
    <x v="1"/>
    <x v="1"/>
    <x v="31"/>
    <x v="3"/>
    <x v="88"/>
    <x v="3"/>
    <n v="243.7"/>
    <x v="1"/>
    <x v="1"/>
    <x v="497"/>
    <n v="29"/>
  </r>
  <r>
    <s v="SALE498"/>
    <x v="354"/>
    <s v="CUST1146"/>
    <s v="PROD25"/>
    <s v="STORE12"/>
    <n v="2"/>
    <n v="583.51"/>
    <x v="29"/>
    <x v="2"/>
    <x v="1"/>
    <x v="42"/>
    <x v="0"/>
    <x v="60"/>
    <x v="4"/>
    <n v="174.02"/>
    <x v="0"/>
    <x v="2"/>
    <x v="498"/>
    <n v="32"/>
  </r>
  <r>
    <s v="SALE499"/>
    <x v="355"/>
    <s v="CUST1011"/>
    <s v="PROD31"/>
    <s v="STORE17"/>
    <n v="1"/>
    <n v="659.27"/>
    <x v="6"/>
    <x v="1"/>
    <x v="1"/>
    <x v="14"/>
    <x v="0"/>
    <x v="45"/>
    <x v="0"/>
    <n v="204.39"/>
    <x v="0"/>
    <x v="1"/>
    <x v="499"/>
    <n v="28"/>
  </r>
  <r>
    <s v="SALE500"/>
    <x v="356"/>
    <s v="CUST1445"/>
    <s v="PROD2"/>
    <s v="STORE4"/>
    <n v="4"/>
    <n v="106.66"/>
    <x v="29"/>
    <x v="2"/>
    <x v="1"/>
    <x v="45"/>
    <x v="1"/>
    <x v="95"/>
    <x v="4"/>
    <n v="254.620869565217"/>
    <x v="2"/>
    <x v="2"/>
    <x v="500"/>
    <n v="41"/>
  </r>
  <r>
    <s v="SALE501"/>
    <x v="136"/>
    <s v="CUST1163"/>
    <s v="PROD10"/>
    <s v="STORE5"/>
    <n v="4"/>
    <n v="168.55"/>
    <x v="6"/>
    <x v="1"/>
    <x v="0"/>
    <x v="49"/>
    <x v="3"/>
    <x v="31"/>
    <x v="3"/>
    <n v="298.86"/>
    <x v="0"/>
    <x v="0"/>
    <x v="501"/>
    <n v="21"/>
  </r>
  <r>
    <s v="SALE502"/>
    <x v="357"/>
    <s v="CUST1488"/>
    <s v="PROD44"/>
    <s v="STORE2"/>
    <n v="1"/>
    <n v="230.53"/>
    <x v="22"/>
    <x v="2"/>
    <x v="1"/>
    <x v="24"/>
    <x v="1"/>
    <x v="38"/>
    <x v="0"/>
    <n v="167.12"/>
    <x v="2"/>
    <x v="0"/>
    <x v="502"/>
    <n v="23"/>
  </r>
  <r>
    <s v="SALE503"/>
    <x v="69"/>
    <s v="CUST1007"/>
    <s v="PROD54"/>
    <s v="STORE1"/>
    <n v="2"/>
    <n v="355.41"/>
    <x v="21"/>
    <x v="2"/>
    <x v="1"/>
    <x v="35"/>
    <x v="3"/>
    <x v="59"/>
    <x v="0"/>
    <n v="434.84"/>
    <x v="0"/>
    <x v="1"/>
    <x v="503"/>
    <n v="29"/>
  </r>
  <r>
    <s v="SALE504"/>
    <x v="186"/>
    <s v="CUST1167"/>
    <s v="PROD47"/>
    <s v="STORE2"/>
    <n v="3"/>
    <n v="843.44"/>
    <x v="14"/>
    <x v="0"/>
    <x v="1"/>
    <x v="3"/>
    <x v="0"/>
    <x v="44"/>
    <x v="2"/>
    <n v="255.049019607843"/>
    <x v="2"/>
    <x v="0"/>
    <x v="504"/>
    <n v="36"/>
  </r>
  <r>
    <s v="SALE505"/>
    <x v="358"/>
    <s v="CUST1163"/>
    <s v="PROD95"/>
    <s v="STORE1"/>
    <n v="1"/>
    <n v="301.6"/>
    <x v="1"/>
    <x v="0"/>
    <x v="0"/>
    <x v="49"/>
    <x v="3"/>
    <x v="98"/>
    <x v="0"/>
    <n v="60.65"/>
    <x v="0"/>
    <x v="1"/>
    <x v="505"/>
    <n v="21"/>
  </r>
  <r>
    <s v="SALE506"/>
    <x v="359"/>
    <s v="CUST1042"/>
    <s v="PROD89"/>
    <s v="STORE2"/>
    <n v="3"/>
    <n v="21.59"/>
    <x v="3"/>
    <x v="2"/>
    <x v="0"/>
    <x v="40"/>
    <x v="1"/>
    <x v="41"/>
    <x v="2"/>
    <n v="183.04"/>
    <x v="2"/>
    <x v="0"/>
    <x v="506"/>
    <n v="19"/>
  </r>
  <r>
    <s v="SALE507"/>
    <x v="360"/>
    <s v="CUST1212"/>
    <s v="PROD13"/>
    <s v="STORE2"/>
    <n v="4"/>
    <n v="284.24"/>
    <x v="0"/>
    <x v="0"/>
    <x v="1"/>
    <x v="7"/>
    <x v="1"/>
    <x v="26"/>
    <x v="1"/>
    <n v="242.23"/>
    <x v="2"/>
    <x v="0"/>
    <x v="507"/>
    <n v="63"/>
  </r>
  <r>
    <s v="SALE508"/>
    <x v="361"/>
    <s v="CUST1368"/>
    <s v="PROD5"/>
    <s v="STORE9"/>
    <n v="1"/>
    <n v="191.6"/>
    <x v="1"/>
    <x v="1"/>
    <x v="1"/>
    <x v="14"/>
    <x v="1"/>
    <x v="23"/>
    <x v="4"/>
    <n v="261"/>
    <x v="2"/>
    <x v="1"/>
    <x v="508"/>
    <n v="34"/>
  </r>
  <r>
    <s v="SALE509"/>
    <x v="362"/>
    <s v="CUST1311"/>
    <s v="PROD78"/>
    <s v="STORE12"/>
    <n v="2"/>
    <n v="616.97"/>
    <x v="14"/>
    <x v="0"/>
    <x v="0"/>
    <x v="47"/>
    <x v="1"/>
    <x v="36"/>
    <x v="3"/>
    <n v="325.26"/>
    <x v="0"/>
    <x v="2"/>
    <x v="509"/>
    <n v="35"/>
  </r>
  <r>
    <s v="SALE510"/>
    <x v="93"/>
    <s v="CUST1168"/>
    <s v="PROD28"/>
    <s v="STORE10"/>
    <n v="3"/>
    <n v="125.68"/>
    <x v="25"/>
    <x v="2"/>
    <x v="1"/>
    <x v="26"/>
    <x v="1"/>
    <x v="77"/>
    <x v="0"/>
    <n v="38.76"/>
    <x v="3"/>
    <x v="2"/>
    <x v="510"/>
    <n v="36"/>
  </r>
  <r>
    <s v="SALE511"/>
    <x v="197"/>
    <s v="CUST1352"/>
    <s v="PROD43"/>
    <s v="STORE4"/>
    <n v="3"/>
    <n v="307.48"/>
    <x v="24"/>
    <x v="0"/>
    <x v="1"/>
    <x v="18"/>
    <x v="2"/>
    <x v="19"/>
    <x v="1"/>
    <n v="253.33"/>
    <x v="2"/>
    <x v="2"/>
    <x v="511"/>
    <n v="52"/>
  </r>
  <r>
    <s v="SALE512"/>
    <x v="123"/>
    <s v="CUST1298"/>
    <s v="PROD2"/>
    <s v="STORE19"/>
    <n v="1"/>
    <n v="505.23"/>
    <x v="32"/>
    <x v="0"/>
    <x v="0"/>
    <x v="17"/>
    <x v="1"/>
    <x v="95"/>
    <x v="4"/>
    <n v="254.620869565217"/>
    <x v="3"/>
    <x v="2"/>
    <x v="512"/>
    <n v="64"/>
  </r>
  <r>
    <s v="SALE513"/>
    <x v="226"/>
    <s v="CUST1365"/>
    <s v="PROD45"/>
    <s v="STORE16"/>
    <n v="1"/>
    <n v="853.12"/>
    <x v="5"/>
    <x v="2"/>
    <x v="1"/>
    <x v="41"/>
    <x v="1"/>
    <x v="49"/>
    <x v="0"/>
    <n v="318.91"/>
    <x v="1"/>
    <x v="1"/>
    <x v="513"/>
    <n v="63"/>
  </r>
  <r>
    <s v="SALE514"/>
    <x v="86"/>
    <s v="CUST1129"/>
    <s v="PROD0"/>
    <s v="STORE7"/>
    <n v="4"/>
    <n v="191.65"/>
    <x v="5"/>
    <x v="1"/>
    <x v="1"/>
    <x v="34"/>
    <x v="2"/>
    <x v="90"/>
    <x v="1"/>
    <n v="112.42"/>
    <x v="2"/>
    <x v="2"/>
    <x v="514"/>
    <n v="43"/>
  </r>
  <r>
    <s v="SALE515"/>
    <x v="363"/>
    <s v="CUST1160"/>
    <s v="PROD47"/>
    <s v="STORE3"/>
    <n v="1"/>
    <n v="169.69"/>
    <x v="14"/>
    <x v="0"/>
    <x v="1"/>
    <x v="29"/>
    <x v="1"/>
    <x v="44"/>
    <x v="2"/>
    <n v="255.049019607843"/>
    <x v="0"/>
    <x v="0"/>
    <x v="515"/>
    <n v="41"/>
  </r>
  <r>
    <s v="SALE516"/>
    <x v="364"/>
    <s v="CUST1175"/>
    <s v="PROD62"/>
    <s v="STORE14"/>
    <n v="1"/>
    <n v="145.43"/>
    <x v="16"/>
    <x v="0"/>
    <x v="0"/>
    <x v="22"/>
    <x v="1"/>
    <x v="85"/>
    <x v="1"/>
    <n v="86.42"/>
    <x v="2"/>
    <x v="0"/>
    <x v="516"/>
    <n v="56"/>
  </r>
  <r>
    <s v="SALE517"/>
    <x v="56"/>
    <s v="CUST1084"/>
    <s v="PROD93"/>
    <s v="STORE12"/>
    <n v="4"/>
    <n v="828.35"/>
    <x v="9"/>
    <x v="0"/>
    <x v="1"/>
    <x v="30"/>
    <x v="1"/>
    <x v="47"/>
    <x v="1"/>
    <n v="377.52"/>
    <x v="0"/>
    <x v="2"/>
    <x v="517"/>
    <n v="26"/>
  </r>
  <r>
    <s v="SALE518"/>
    <x v="118"/>
    <s v="CUST1362"/>
    <s v="PROD95"/>
    <s v="STORE7"/>
    <n v="3"/>
    <n v="268.76"/>
    <x v="10"/>
    <x v="1"/>
    <x v="0"/>
    <x v="41"/>
    <x v="0"/>
    <x v="98"/>
    <x v="0"/>
    <n v="60.65"/>
    <x v="2"/>
    <x v="2"/>
    <x v="518"/>
    <n v="60"/>
  </r>
  <r>
    <s v="SALE519"/>
    <x v="123"/>
    <s v="CUST1233"/>
    <s v="PROD88"/>
    <s v="STORE0"/>
    <n v="4"/>
    <n v="370.09"/>
    <x v="14"/>
    <x v="2"/>
    <x v="0"/>
    <x v="35"/>
    <x v="2"/>
    <x v="12"/>
    <x v="0"/>
    <n v="131.24"/>
    <x v="3"/>
    <x v="1"/>
    <x v="519"/>
    <n v="59"/>
  </r>
  <r>
    <s v="SALE520"/>
    <x v="365"/>
    <s v="CUST1253"/>
    <s v="PROD78"/>
    <s v="STORE6"/>
    <n v="3"/>
    <n v="679.22"/>
    <x v="32"/>
    <x v="1"/>
    <x v="0"/>
    <x v="18"/>
    <x v="3"/>
    <x v="36"/>
    <x v="3"/>
    <n v="325.26"/>
    <x v="3"/>
    <x v="2"/>
    <x v="520"/>
    <n v="32"/>
  </r>
  <r>
    <s v="SALE521"/>
    <x v="138"/>
    <s v="CUST1373"/>
    <s v="PROD73"/>
    <s v="STORE0"/>
    <n v="3"/>
    <n v="780.69"/>
    <x v="30"/>
    <x v="2"/>
    <x v="1"/>
    <x v="17"/>
    <x v="0"/>
    <x v="78"/>
    <x v="0"/>
    <n v="107.06"/>
    <x v="3"/>
    <x v="1"/>
    <x v="521"/>
    <n v="37"/>
  </r>
  <r>
    <s v="SALE522"/>
    <x v="366"/>
    <s v="CUST1261"/>
    <s v="PROD42"/>
    <s v="STORE2"/>
    <n v="2"/>
    <n v="42.97"/>
    <x v="4"/>
    <x v="1"/>
    <x v="1"/>
    <x v="47"/>
    <x v="2"/>
    <x v="63"/>
    <x v="1"/>
    <n v="450.71"/>
    <x v="2"/>
    <x v="0"/>
    <x v="522"/>
    <n v="27"/>
  </r>
  <r>
    <s v="SALE523"/>
    <x v="236"/>
    <s v="CUST1286"/>
    <s v="PROD82"/>
    <s v="STORE0"/>
    <n v="4"/>
    <n v="854.37"/>
    <x v="8"/>
    <x v="1"/>
    <x v="0"/>
    <x v="34"/>
    <x v="2"/>
    <x v="74"/>
    <x v="0"/>
    <n v="152.92"/>
    <x v="3"/>
    <x v="1"/>
    <x v="523"/>
    <n v="22"/>
  </r>
  <r>
    <s v="SALE524"/>
    <x v="367"/>
    <s v="CUST1100"/>
    <s v="PROD24"/>
    <s v="STORE16"/>
    <n v="2"/>
    <n v="409.52"/>
    <x v="22"/>
    <x v="2"/>
    <x v="1"/>
    <x v="11"/>
    <x v="1"/>
    <x v="10"/>
    <x v="0"/>
    <n v="166.06"/>
    <x v="1"/>
    <x v="1"/>
    <x v="524"/>
    <n v="53"/>
  </r>
  <r>
    <s v="SALE525"/>
    <x v="368"/>
    <s v="CUST1164"/>
    <s v="PROD74"/>
    <s v="STORE10"/>
    <n v="2"/>
    <n v="407.46"/>
    <x v="34"/>
    <x v="0"/>
    <x v="1"/>
    <x v="36"/>
    <x v="2"/>
    <x v="1"/>
    <x v="1"/>
    <n v="403.71"/>
    <x v="3"/>
    <x v="2"/>
    <x v="525"/>
    <n v="39"/>
  </r>
  <r>
    <s v="SALE526"/>
    <x v="241"/>
    <s v="CUST1228"/>
    <s v="PROD4"/>
    <s v="STORE8"/>
    <n v="1"/>
    <n v="728.84"/>
    <x v="23"/>
    <x v="1"/>
    <x v="1"/>
    <x v="39"/>
    <x v="0"/>
    <x v="83"/>
    <x v="4"/>
    <n v="306.46"/>
    <x v="1"/>
    <x v="2"/>
    <x v="526"/>
    <n v="52"/>
  </r>
  <r>
    <s v="SALE527"/>
    <x v="369"/>
    <s v="CUST1453"/>
    <s v="PROD78"/>
    <s v="STORE6"/>
    <n v="4"/>
    <n v="467.24"/>
    <x v="16"/>
    <x v="1"/>
    <x v="1"/>
    <x v="22"/>
    <x v="1"/>
    <x v="36"/>
    <x v="3"/>
    <n v="325.26"/>
    <x v="3"/>
    <x v="2"/>
    <x v="527"/>
    <n v="62"/>
  </r>
  <r>
    <s v="SALE528"/>
    <x v="370"/>
    <s v="CUST1092"/>
    <s v="PROD10"/>
    <s v="STORE11"/>
    <n v="1"/>
    <n v="57.94"/>
    <x v="21"/>
    <x v="1"/>
    <x v="1"/>
    <x v="3"/>
    <x v="1"/>
    <x v="31"/>
    <x v="3"/>
    <n v="298.86"/>
    <x v="2"/>
    <x v="2"/>
    <x v="528"/>
    <n v="44"/>
  </r>
  <r>
    <s v="SALE529"/>
    <x v="214"/>
    <s v="CUST1344"/>
    <s v="PROD49"/>
    <s v="STORE17"/>
    <n v="1"/>
    <n v="540.1"/>
    <x v="14"/>
    <x v="0"/>
    <x v="0"/>
    <x v="23"/>
    <x v="0"/>
    <x v="2"/>
    <x v="2"/>
    <n v="43.29"/>
    <x v="0"/>
    <x v="1"/>
    <x v="529"/>
    <n v="39"/>
  </r>
  <r>
    <s v="SALE530"/>
    <x v="25"/>
    <s v="CUST1077"/>
    <s v="PROD8"/>
    <s v="STORE19"/>
    <n v="4"/>
    <n v="816.28"/>
    <x v="6"/>
    <x v="2"/>
    <x v="0"/>
    <x v="1"/>
    <x v="0"/>
    <x v="67"/>
    <x v="1"/>
    <n v="439.07"/>
    <x v="3"/>
    <x v="2"/>
    <x v="530"/>
    <n v="29"/>
  </r>
  <r>
    <s v="SALE531"/>
    <x v="371"/>
    <s v="CUST1178"/>
    <s v="PROD42"/>
    <s v="STORE8"/>
    <n v="4"/>
    <n v="727.49"/>
    <x v="32"/>
    <x v="0"/>
    <x v="1"/>
    <x v="42"/>
    <x v="3"/>
    <x v="63"/>
    <x v="1"/>
    <n v="450.71"/>
    <x v="1"/>
    <x v="2"/>
    <x v="531"/>
    <n v="33"/>
  </r>
  <r>
    <s v="SALE532"/>
    <x v="21"/>
    <s v="CUST1171"/>
    <s v="PROD86"/>
    <s v="STORE13"/>
    <n v="4"/>
    <n v="817.92"/>
    <x v="34"/>
    <x v="0"/>
    <x v="1"/>
    <x v="30"/>
    <x v="1"/>
    <x v="56"/>
    <x v="3"/>
    <n v="176.07"/>
    <x v="3"/>
    <x v="1"/>
    <x v="532"/>
    <n v="44"/>
  </r>
  <r>
    <s v="SALE533"/>
    <x v="372"/>
    <s v="CUST1325"/>
    <s v="PROD38"/>
    <s v="STORE7"/>
    <n v="2"/>
    <n v="358.45"/>
    <x v="8"/>
    <x v="2"/>
    <x v="0"/>
    <x v="18"/>
    <x v="3"/>
    <x v="48"/>
    <x v="0"/>
    <n v="135.61"/>
    <x v="2"/>
    <x v="2"/>
    <x v="533"/>
    <n v="60"/>
  </r>
  <r>
    <s v="SALE534"/>
    <x v="373"/>
    <s v="CUST1201"/>
    <s v="PROD87"/>
    <s v="STORE9"/>
    <n v="1"/>
    <n v="972.06"/>
    <x v="11"/>
    <x v="2"/>
    <x v="1"/>
    <x v="20"/>
    <x v="3"/>
    <x v="72"/>
    <x v="3"/>
    <n v="371.38"/>
    <x v="2"/>
    <x v="1"/>
    <x v="534"/>
    <n v="25"/>
  </r>
  <r>
    <s v="SALE535"/>
    <x v="374"/>
    <s v="CUST1032"/>
    <s v="PROD16"/>
    <s v="STORE0"/>
    <n v="1"/>
    <n v="791.36"/>
    <x v="22"/>
    <x v="1"/>
    <x v="1"/>
    <x v="28"/>
    <x v="0"/>
    <x v="30"/>
    <x v="2"/>
    <n v="337.42"/>
    <x v="3"/>
    <x v="1"/>
    <x v="535"/>
    <n v="48"/>
  </r>
  <r>
    <s v="SALE536"/>
    <x v="375"/>
    <s v="CUST1314"/>
    <s v="PROD64"/>
    <s v="STORE5"/>
    <n v="4"/>
    <n v="839.65"/>
    <x v="25"/>
    <x v="2"/>
    <x v="1"/>
    <x v="7"/>
    <x v="2"/>
    <x v="91"/>
    <x v="2"/>
    <n v="299.11"/>
    <x v="0"/>
    <x v="0"/>
    <x v="536"/>
    <n v="53"/>
  </r>
  <r>
    <s v="SALE537"/>
    <x v="376"/>
    <s v="CUST1255"/>
    <s v="PROD72"/>
    <s v="STORE2"/>
    <n v="2"/>
    <n v="245.52"/>
    <x v="32"/>
    <x v="2"/>
    <x v="0"/>
    <x v="31"/>
    <x v="0"/>
    <x v="18"/>
    <x v="0"/>
    <n v="477.61"/>
    <x v="2"/>
    <x v="0"/>
    <x v="537"/>
    <n v="21"/>
  </r>
  <r>
    <s v="SALE538"/>
    <x v="377"/>
    <s v="CUST1388"/>
    <s v="PROD82"/>
    <s v="STORE8"/>
    <n v="3"/>
    <n v="787.91"/>
    <x v="22"/>
    <x v="1"/>
    <x v="0"/>
    <x v="6"/>
    <x v="1"/>
    <x v="74"/>
    <x v="0"/>
    <n v="152.92"/>
    <x v="1"/>
    <x v="2"/>
    <x v="538"/>
    <n v="53"/>
  </r>
  <r>
    <s v="SALE539"/>
    <x v="271"/>
    <s v="CUST1053"/>
    <s v="PROD75"/>
    <s v="STORE4"/>
    <n v="2"/>
    <n v="709.17"/>
    <x v="14"/>
    <x v="0"/>
    <x v="1"/>
    <x v="20"/>
    <x v="0"/>
    <x v="28"/>
    <x v="4"/>
    <n v="158.14"/>
    <x v="2"/>
    <x v="2"/>
    <x v="539"/>
    <n v="37"/>
  </r>
  <r>
    <s v="SALE540"/>
    <x v="378"/>
    <s v="CUST1235"/>
    <s v="PROD91"/>
    <s v="STORE7"/>
    <n v="2"/>
    <n v="533.92"/>
    <x v="21"/>
    <x v="0"/>
    <x v="1"/>
    <x v="37"/>
    <x v="3"/>
    <x v="52"/>
    <x v="4"/>
    <n v="438.25"/>
    <x v="2"/>
    <x v="2"/>
    <x v="540"/>
    <n v="28"/>
  </r>
  <r>
    <s v="SALE541"/>
    <x v="379"/>
    <s v="CUST1492"/>
    <s v="PROD42"/>
    <s v="STORE0"/>
    <n v="1"/>
    <n v="878.84"/>
    <x v="23"/>
    <x v="2"/>
    <x v="1"/>
    <x v="26"/>
    <x v="1"/>
    <x v="63"/>
    <x v="1"/>
    <n v="450.71"/>
    <x v="3"/>
    <x v="1"/>
    <x v="541"/>
    <n v="59"/>
  </r>
  <r>
    <s v="SALE542"/>
    <x v="380"/>
    <s v="CUST1204"/>
    <s v="PROD44"/>
    <s v="STORE16"/>
    <n v="1"/>
    <n v="442.36"/>
    <x v="17"/>
    <x v="0"/>
    <x v="0"/>
    <x v="45"/>
    <x v="1"/>
    <x v="38"/>
    <x v="0"/>
    <n v="167.12"/>
    <x v="1"/>
    <x v="1"/>
    <x v="542"/>
    <n v="52"/>
  </r>
  <r>
    <s v="SALE543"/>
    <x v="294"/>
    <s v="CUST1333"/>
    <s v="PROD35"/>
    <s v="STORE6"/>
    <n v="1"/>
    <n v="763.34"/>
    <x v="32"/>
    <x v="2"/>
    <x v="1"/>
    <x v="36"/>
    <x v="0"/>
    <x v="68"/>
    <x v="3"/>
    <n v="382.22"/>
    <x v="3"/>
    <x v="2"/>
    <x v="543"/>
    <n v="64"/>
  </r>
  <r>
    <s v="SALE544"/>
    <x v="253"/>
    <s v="CUST1166"/>
    <s v="PROD59"/>
    <s v="STORE18"/>
    <n v="3"/>
    <n v="178.22"/>
    <x v="6"/>
    <x v="2"/>
    <x v="1"/>
    <x v="20"/>
    <x v="2"/>
    <x v="4"/>
    <x v="2"/>
    <n v="17.31"/>
    <x v="3"/>
    <x v="1"/>
    <x v="544"/>
    <n v="25"/>
  </r>
  <r>
    <s v="SALE545"/>
    <x v="65"/>
    <s v="CUST1103"/>
    <s v="PROD26"/>
    <s v="STORE1"/>
    <n v="4"/>
    <n v="90.32"/>
    <x v="16"/>
    <x v="1"/>
    <x v="0"/>
    <x v="40"/>
    <x v="3"/>
    <x v="33"/>
    <x v="1"/>
    <n v="322.41"/>
    <x v="0"/>
    <x v="1"/>
    <x v="545"/>
    <n v="21"/>
  </r>
  <r>
    <s v="SALE546"/>
    <x v="379"/>
    <s v="CUST1378"/>
    <s v="PROD10"/>
    <s v="STORE6"/>
    <n v="3"/>
    <n v="370.93"/>
    <x v="33"/>
    <x v="0"/>
    <x v="1"/>
    <x v="37"/>
    <x v="3"/>
    <x v="31"/>
    <x v="3"/>
    <n v="298.86"/>
    <x v="3"/>
    <x v="2"/>
    <x v="546"/>
    <n v="44"/>
  </r>
  <r>
    <s v="SALE547"/>
    <x v="374"/>
    <s v="CUST1046"/>
    <s v="PROD23"/>
    <s v="STORE15"/>
    <n v="1"/>
    <n v="352.43"/>
    <x v="17"/>
    <x v="1"/>
    <x v="1"/>
    <x v="31"/>
    <x v="1"/>
    <x v="34"/>
    <x v="4"/>
    <n v="248.821917808219"/>
    <x v="0"/>
    <x v="1"/>
    <x v="547"/>
    <n v="55"/>
  </r>
  <r>
    <s v="SALE548"/>
    <x v="381"/>
    <s v="CUST1123"/>
    <s v="PROD12"/>
    <s v="STORE15"/>
    <n v="2"/>
    <n v="562.97"/>
    <x v="29"/>
    <x v="0"/>
    <x v="0"/>
    <x v="9"/>
    <x v="2"/>
    <x v="21"/>
    <x v="2"/>
    <n v="115.82"/>
    <x v="0"/>
    <x v="1"/>
    <x v="548"/>
    <n v="40"/>
  </r>
  <r>
    <s v="SALE549"/>
    <x v="382"/>
    <s v="CUST1157"/>
    <s v="PROD55"/>
    <s v="STORE7"/>
    <n v="1"/>
    <n v="522.85"/>
    <x v="27"/>
    <x v="1"/>
    <x v="0"/>
    <x v="16"/>
    <x v="1"/>
    <x v="76"/>
    <x v="3"/>
    <n v="81.75"/>
    <x v="2"/>
    <x v="2"/>
    <x v="549"/>
    <n v="59"/>
  </r>
  <r>
    <s v="SALE550"/>
    <x v="103"/>
    <s v="CUST1349"/>
    <s v="PROD21"/>
    <s v="STORE16"/>
    <n v="4"/>
    <n v="714.89"/>
    <x v="6"/>
    <x v="0"/>
    <x v="0"/>
    <x v="41"/>
    <x v="3"/>
    <x v="39"/>
    <x v="3"/>
    <n v="123.46"/>
    <x v="1"/>
    <x v="1"/>
    <x v="550"/>
    <n v="31"/>
  </r>
  <r>
    <s v="SALE551"/>
    <x v="383"/>
    <s v="CUST1187"/>
    <s v="PROD43"/>
    <s v="STORE2"/>
    <n v="3"/>
    <n v="137.77"/>
    <x v="25"/>
    <x v="1"/>
    <x v="1"/>
    <x v="4"/>
    <x v="1"/>
    <x v="19"/>
    <x v="1"/>
    <n v="253.33"/>
    <x v="2"/>
    <x v="0"/>
    <x v="551"/>
    <n v="60"/>
  </r>
  <r>
    <s v="SALE552"/>
    <x v="280"/>
    <s v="CUST1027"/>
    <s v="PROD92"/>
    <s v="STORE11"/>
    <n v="3"/>
    <n v="862.18"/>
    <x v="14"/>
    <x v="1"/>
    <x v="0"/>
    <x v="39"/>
    <x v="4"/>
    <x v="80"/>
    <x v="3"/>
    <n v="447.43"/>
    <x v="2"/>
    <x v="2"/>
    <x v="552"/>
    <n v="31"/>
  </r>
  <r>
    <s v="SALE553"/>
    <x v="384"/>
    <s v="CUST1057"/>
    <s v="PROD38"/>
    <s v="STORE14"/>
    <n v="2"/>
    <n v="833.64"/>
    <x v="24"/>
    <x v="1"/>
    <x v="1"/>
    <x v="5"/>
    <x v="1"/>
    <x v="48"/>
    <x v="0"/>
    <n v="135.61"/>
    <x v="2"/>
    <x v="0"/>
    <x v="553"/>
    <n v="43"/>
  </r>
  <r>
    <s v="SALE554"/>
    <x v="385"/>
    <s v="CUST1270"/>
    <s v="PROD19"/>
    <s v="STORE15"/>
    <n v="3"/>
    <n v="543.22"/>
    <x v="28"/>
    <x v="2"/>
    <x v="1"/>
    <x v="38"/>
    <x v="0"/>
    <x v="46"/>
    <x v="0"/>
    <n v="21.34"/>
    <x v="0"/>
    <x v="1"/>
    <x v="554"/>
    <n v="31"/>
  </r>
  <r>
    <s v="SALE555"/>
    <x v="43"/>
    <s v="CUST1278"/>
    <s v="PROD88"/>
    <s v="STORE2"/>
    <n v="3"/>
    <n v="691.02"/>
    <x v="27"/>
    <x v="2"/>
    <x v="1"/>
    <x v="5"/>
    <x v="1"/>
    <x v="12"/>
    <x v="0"/>
    <n v="131.24"/>
    <x v="2"/>
    <x v="0"/>
    <x v="555"/>
    <n v="42"/>
  </r>
  <r>
    <s v="SALE556"/>
    <x v="205"/>
    <s v="CUST1087"/>
    <s v="PROD86"/>
    <s v="STORE17"/>
    <n v="4"/>
    <n v="338.73"/>
    <x v="4"/>
    <x v="0"/>
    <x v="1"/>
    <x v="42"/>
    <x v="3"/>
    <x v="56"/>
    <x v="3"/>
    <n v="176.07"/>
    <x v="0"/>
    <x v="1"/>
    <x v="556"/>
    <n v="58"/>
  </r>
  <r>
    <s v="SALE557"/>
    <x v="257"/>
    <s v="CUST1062"/>
    <s v="PROD84"/>
    <s v="STORE16"/>
    <n v="3"/>
    <n v="366.08"/>
    <x v="28"/>
    <x v="0"/>
    <x v="0"/>
    <x v="23"/>
    <x v="3"/>
    <x v="94"/>
    <x v="3"/>
    <n v="388.46"/>
    <x v="1"/>
    <x v="1"/>
    <x v="557"/>
    <n v="50"/>
  </r>
  <r>
    <s v="SALE558"/>
    <x v="263"/>
    <s v="CUST1105"/>
    <s v="PROD13"/>
    <s v="STORE13"/>
    <n v="4"/>
    <n v="539.48"/>
    <x v="23"/>
    <x v="2"/>
    <x v="1"/>
    <x v="26"/>
    <x v="0"/>
    <x v="26"/>
    <x v="1"/>
    <n v="242.23"/>
    <x v="3"/>
    <x v="1"/>
    <x v="558"/>
    <n v="50"/>
  </r>
  <r>
    <s v="SALE559"/>
    <x v="386"/>
    <s v="CUST1389"/>
    <s v="PROD91"/>
    <s v="STORE16"/>
    <n v="1"/>
    <n v="499.59"/>
    <x v="15"/>
    <x v="2"/>
    <x v="0"/>
    <x v="48"/>
    <x v="1"/>
    <x v="52"/>
    <x v="4"/>
    <n v="438.25"/>
    <x v="1"/>
    <x v="1"/>
    <x v="559"/>
    <n v="50"/>
  </r>
  <r>
    <s v="SALE560"/>
    <x v="387"/>
    <s v="CUST1188"/>
    <s v="PROD30"/>
    <s v="STORE8"/>
    <n v="3"/>
    <n v="330.04"/>
    <x v="29"/>
    <x v="0"/>
    <x v="0"/>
    <x v="23"/>
    <x v="2"/>
    <x v="37"/>
    <x v="3"/>
    <n v="19.52"/>
    <x v="1"/>
    <x v="2"/>
    <x v="560"/>
    <n v="42"/>
  </r>
  <r>
    <s v="SALE561"/>
    <x v="170"/>
    <s v="CUST1182"/>
    <s v="PROD11"/>
    <s v="STORE17"/>
    <n v="2"/>
    <n v="813.01"/>
    <x v="22"/>
    <x v="1"/>
    <x v="1"/>
    <x v="15"/>
    <x v="2"/>
    <x v="75"/>
    <x v="1"/>
    <n v="449.4"/>
    <x v="0"/>
    <x v="1"/>
    <x v="561"/>
    <n v="23"/>
  </r>
  <r>
    <s v="SALE562"/>
    <x v="388"/>
    <s v="CUST1026"/>
    <s v="PROD1"/>
    <s v="STORE2"/>
    <n v="4"/>
    <n v="204.8"/>
    <x v="15"/>
    <x v="1"/>
    <x v="1"/>
    <x v="6"/>
    <x v="0"/>
    <x v="55"/>
    <x v="4"/>
    <n v="342.56"/>
    <x v="2"/>
    <x v="0"/>
    <x v="562"/>
    <n v="18"/>
  </r>
  <r>
    <s v="SALE563"/>
    <x v="389"/>
    <s v="CUST1011"/>
    <s v="PROD3"/>
    <s v="STORE3"/>
    <n v="3"/>
    <n v="728.32"/>
    <x v="10"/>
    <x v="0"/>
    <x v="1"/>
    <x v="14"/>
    <x v="0"/>
    <x v="58"/>
    <x v="4"/>
    <n v="364.67"/>
    <x v="0"/>
    <x v="0"/>
    <x v="563"/>
    <n v="28"/>
  </r>
  <r>
    <s v="SALE564"/>
    <x v="390"/>
    <s v="CUST1452"/>
    <s v="PROD59"/>
    <s v="STORE7"/>
    <n v="3"/>
    <n v="836.4"/>
    <x v="33"/>
    <x v="0"/>
    <x v="1"/>
    <x v="25"/>
    <x v="3"/>
    <x v="4"/>
    <x v="2"/>
    <n v="17.31"/>
    <x v="2"/>
    <x v="2"/>
    <x v="564"/>
    <n v="60"/>
  </r>
  <r>
    <s v="SALE565"/>
    <x v="20"/>
    <s v="CUST1149"/>
    <s v="PROD90"/>
    <s v="STORE12"/>
    <n v="1"/>
    <n v="780.16"/>
    <x v="31"/>
    <x v="2"/>
    <x v="0"/>
    <x v="26"/>
    <x v="1"/>
    <x v="64"/>
    <x v="1"/>
    <n v="340.14"/>
    <x v="0"/>
    <x v="2"/>
    <x v="565"/>
    <n v="33"/>
  </r>
  <r>
    <s v="SALE566"/>
    <x v="391"/>
    <s v="CUST1470"/>
    <s v="PROD46"/>
    <s v="STORE13"/>
    <n v="4"/>
    <n v="354.12"/>
    <x v="22"/>
    <x v="1"/>
    <x v="1"/>
    <x v="21"/>
    <x v="0"/>
    <x v="54"/>
    <x v="4"/>
    <n v="167.34"/>
    <x v="3"/>
    <x v="1"/>
    <x v="566"/>
    <n v="21"/>
  </r>
  <r>
    <s v="SALE567"/>
    <x v="392"/>
    <s v="CUST1452"/>
    <s v="PROD63"/>
    <s v="STORE2"/>
    <n v="4"/>
    <n v="282.48"/>
    <x v="32"/>
    <x v="1"/>
    <x v="1"/>
    <x v="25"/>
    <x v="3"/>
    <x v="81"/>
    <x v="2"/>
    <n v="266.86"/>
    <x v="2"/>
    <x v="0"/>
    <x v="567"/>
    <n v="60"/>
  </r>
  <r>
    <s v="SALE568"/>
    <x v="2"/>
    <s v="CUST1328"/>
    <s v="PROD20"/>
    <s v="STORE6"/>
    <n v="2"/>
    <n v="740.68"/>
    <x v="31"/>
    <x v="1"/>
    <x v="0"/>
    <x v="46"/>
    <x v="1"/>
    <x v="42"/>
    <x v="0"/>
    <n v="131.51"/>
    <x v="3"/>
    <x v="2"/>
    <x v="568"/>
    <n v="46"/>
  </r>
  <r>
    <s v="SALE569"/>
    <x v="393"/>
    <s v="CUST1105"/>
    <s v="PROD56"/>
    <s v="STORE9"/>
    <n v="3"/>
    <n v="600.58"/>
    <x v="12"/>
    <x v="2"/>
    <x v="1"/>
    <x v="26"/>
    <x v="0"/>
    <x v="6"/>
    <x v="3"/>
    <n v="461.47"/>
    <x v="2"/>
    <x v="1"/>
    <x v="569"/>
    <n v="50"/>
  </r>
  <r>
    <s v="SALE570"/>
    <x v="196"/>
    <s v="CUST1461"/>
    <s v="PROD65"/>
    <s v="STORE3"/>
    <n v="3"/>
    <n v="345.58"/>
    <x v="14"/>
    <x v="0"/>
    <x v="1"/>
    <x v="32"/>
    <x v="2"/>
    <x v="15"/>
    <x v="0"/>
    <n v="240.63"/>
    <x v="0"/>
    <x v="0"/>
    <x v="570"/>
    <n v="60"/>
  </r>
  <r>
    <s v="SALE571"/>
    <x v="298"/>
    <s v="CUST1284"/>
    <s v="PROD18"/>
    <s v="STORE11"/>
    <n v="1"/>
    <n v="974.52"/>
    <x v="10"/>
    <x v="1"/>
    <x v="0"/>
    <x v="40"/>
    <x v="0"/>
    <x v="97"/>
    <x v="4"/>
    <n v="245.778311688312"/>
    <x v="2"/>
    <x v="2"/>
    <x v="571"/>
    <n v="54"/>
  </r>
  <r>
    <s v="SALE572"/>
    <x v="394"/>
    <s v="CUST1040"/>
    <s v="PROD17"/>
    <s v="STORE1"/>
    <n v="3"/>
    <n v="282.33"/>
    <x v="8"/>
    <x v="0"/>
    <x v="0"/>
    <x v="32"/>
    <x v="0"/>
    <x v="53"/>
    <x v="0"/>
    <n v="144.53"/>
    <x v="0"/>
    <x v="1"/>
    <x v="572"/>
    <n v="50"/>
  </r>
  <r>
    <s v="SALE573"/>
    <x v="349"/>
    <s v="CUST1382"/>
    <s v="PROD76"/>
    <s v="STORE19"/>
    <n v="4"/>
    <n v="158.46"/>
    <x v="0"/>
    <x v="1"/>
    <x v="1"/>
    <x v="24"/>
    <x v="0"/>
    <x v="3"/>
    <x v="1"/>
    <n v="392.89"/>
    <x v="3"/>
    <x v="2"/>
    <x v="573"/>
    <n v="20"/>
  </r>
  <r>
    <s v="SALE574"/>
    <x v="395"/>
    <s v="CUST1343"/>
    <s v="PROD55"/>
    <s v="STORE7"/>
    <n v="2"/>
    <n v="778.56"/>
    <x v="32"/>
    <x v="2"/>
    <x v="0"/>
    <x v="45"/>
    <x v="3"/>
    <x v="76"/>
    <x v="3"/>
    <n v="81.75"/>
    <x v="2"/>
    <x v="2"/>
    <x v="574"/>
    <n v="38"/>
  </r>
  <r>
    <s v="SALE575"/>
    <x v="396"/>
    <s v="CUST1237"/>
    <s v="PROD50"/>
    <s v="STORE19"/>
    <n v="4"/>
    <n v="280.16"/>
    <x v="4"/>
    <x v="2"/>
    <x v="1"/>
    <x v="10"/>
    <x v="0"/>
    <x v="57"/>
    <x v="0"/>
    <n v="190.29"/>
    <x v="3"/>
    <x v="2"/>
    <x v="575"/>
    <n v="41"/>
  </r>
  <r>
    <s v="SALE576"/>
    <x v="397"/>
    <s v="CUST1287"/>
    <s v="PROD71"/>
    <s v="STORE13"/>
    <n v="2"/>
    <n v="649.55"/>
    <x v="12"/>
    <x v="1"/>
    <x v="1"/>
    <x v="1"/>
    <x v="0"/>
    <x v="51"/>
    <x v="2"/>
    <n v="214.32"/>
    <x v="3"/>
    <x v="1"/>
    <x v="576"/>
    <n v="22"/>
  </r>
  <r>
    <s v="SALE577"/>
    <x v="398"/>
    <s v="CUST1007"/>
    <s v="PROD88"/>
    <s v="STORE2"/>
    <n v="2"/>
    <n v="994.32"/>
    <x v="1"/>
    <x v="1"/>
    <x v="1"/>
    <x v="35"/>
    <x v="3"/>
    <x v="12"/>
    <x v="0"/>
    <n v="131.24"/>
    <x v="2"/>
    <x v="0"/>
    <x v="577"/>
    <n v="29"/>
  </r>
  <r>
    <s v="SALE578"/>
    <x v="42"/>
    <s v="CUST1223"/>
    <s v="PROD81"/>
    <s v="STORE12"/>
    <n v="1"/>
    <n v="64.94"/>
    <x v="34"/>
    <x v="1"/>
    <x v="0"/>
    <x v="9"/>
    <x v="1"/>
    <x v="82"/>
    <x v="0"/>
    <n v="285.54"/>
    <x v="0"/>
    <x v="2"/>
    <x v="578"/>
    <n v="50"/>
  </r>
  <r>
    <s v="SALE579"/>
    <x v="326"/>
    <s v="CUST1136"/>
    <s v="PROD39"/>
    <s v="STORE7"/>
    <n v="2"/>
    <n v="507.66"/>
    <x v="33"/>
    <x v="2"/>
    <x v="0"/>
    <x v="48"/>
    <x v="2"/>
    <x v="11"/>
    <x v="1"/>
    <n v="326.06"/>
    <x v="2"/>
    <x v="2"/>
    <x v="579"/>
    <n v="29"/>
  </r>
  <r>
    <s v="SALE580"/>
    <x v="399"/>
    <s v="CUST1242"/>
    <s v="PROD81"/>
    <s v="STORE4"/>
    <n v="4"/>
    <n v="968.27"/>
    <x v="15"/>
    <x v="1"/>
    <x v="1"/>
    <x v="40"/>
    <x v="2"/>
    <x v="82"/>
    <x v="0"/>
    <n v="285.54"/>
    <x v="2"/>
    <x v="2"/>
    <x v="580"/>
    <n v="58"/>
  </r>
  <r>
    <s v="SALE581"/>
    <x v="400"/>
    <s v="CUST1017"/>
    <s v="PROD88"/>
    <s v="STORE5"/>
    <n v="4"/>
    <n v="510.33"/>
    <x v="29"/>
    <x v="1"/>
    <x v="1"/>
    <x v="36"/>
    <x v="1"/>
    <x v="12"/>
    <x v="0"/>
    <n v="131.24"/>
    <x v="0"/>
    <x v="0"/>
    <x v="581"/>
    <n v="60"/>
  </r>
  <r>
    <s v="SALE582"/>
    <x v="401"/>
    <s v="CUST1011"/>
    <s v="PROD44"/>
    <s v="STORE19"/>
    <n v="2"/>
    <n v="156.73"/>
    <x v="4"/>
    <x v="2"/>
    <x v="1"/>
    <x v="14"/>
    <x v="0"/>
    <x v="38"/>
    <x v="0"/>
    <n v="167.12"/>
    <x v="3"/>
    <x v="2"/>
    <x v="582"/>
    <n v="28"/>
  </r>
  <r>
    <s v="SALE583"/>
    <x v="402"/>
    <s v="CUST1142"/>
    <s v="PROD99"/>
    <s v="STORE10"/>
    <n v="3"/>
    <n v="53.83"/>
    <x v="24"/>
    <x v="0"/>
    <x v="0"/>
    <x v="10"/>
    <x v="3"/>
    <x v="8"/>
    <x v="3"/>
    <n v="201.41"/>
    <x v="3"/>
    <x v="2"/>
    <x v="583"/>
    <n v="37"/>
  </r>
  <r>
    <s v="SALE584"/>
    <x v="87"/>
    <s v="CUST1377"/>
    <s v="PROD78"/>
    <s v="STORE4"/>
    <n v="1"/>
    <n v="34.71"/>
    <x v="30"/>
    <x v="2"/>
    <x v="1"/>
    <x v="17"/>
    <x v="0"/>
    <x v="36"/>
    <x v="3"/>
    <n v="325.26"/>
    <x v="2"/>
    <x v="2"/>
    <x v="584"/>
    <n v="39"/>
  </r>
  <r>
    <s v="SALE585"/>
    <x v="56"/>
    <s v="CUST1229"/>
    <s v="PROD77"/>
    <s v="STORE1"/>
    <n v="2"/>
    <n v="829.15"/>
    <x v="32"/>
    <x v="1"/>
    <x v="1"/>
    <x v="33"/>
    <x v="3"/>
    <x v="25"/>
    <x v="1"/>
    <n v="480.9"/>
    <x v="0"/>
    <x v="1"/>
    <x v="585"/>
    <n v="32"/>
  </r>
  <r>
    <s v="SALE586"/>
    <x v="104"/>
    <s v="CUST1264"/>
    <s v="PROD98"/>
    <s v="STORE3"/>
    <n v="2"/>
    <n v="481.86"/>
    <x v="30"/>
    <x v="2"/>
    <x v="0"/>
    <x v="0"/>
    <x v="0"/>
    <x v="24"/>
    <x v="1"/>
    <n v="431.67"/>
    <x v="0"/>
    <x v="0"/>
    <x v="586"/>
    <n v="25"/>
  </r>
  <r>
    <s v="SALE587"/>
    <x v="166"/>
    <s v="CUST1147"/>
    <s v="PROD52"/>
    <s v="STORE7"/>
    <n v="4"/>
    <n v="915.17"/>
    <x v="5"/>
    <x v="2"/>
    <x v="1"/>
    <x v="41"/>
    <x v="1"/>
    <x v="40"/>
    <x v="0"/>
    <n v="212.26"/>
    <x v="2"/>
    <x v="2"/>
    <x v="587"/>
    <n v="49"/>
  </r>
  <r>
    <s v="SALE588"/>
    <x v="403"/>
    <s v="CUST1214"/>
    <s v="PROD71"/>
    <s v="STORE18"/>
    <n v="1"/>
    <n v="250.95"/>
    <x v="15"/>
    <x v="1"/>
    <x v="0"/>
    <x v="10"/>
    <x v="0"/>
    <x v="51"/>
    <x v="2"/>
    <n v="214.32"/>
    <x v="3"/>
    <x v="1"/>
    <x v="588"/>
    <n v="61"/>
  </r>
  <r>
    <s v="SALE589"/>
    <x v="57"/>
    <s v="CUST1325"/>
    <s v="PROD96"/>
    <s v="STORE5"/>
    <n v="3"/>
    <n v="882.84"/>
    <x v="30"/>
    <x v="0"/>
    <x v="0"/>
    <x v="18"/>
    <x v="3"/>
    <x v="99"/>
    <x v="4"/>
    <n v="358.47"/>
    <x v="0"/>
    <x v="0"/>
    <x v="589"/>
    <n v="60"/>
  </r>
  <r>
    <s v="SALE590"/>
    <x v="404"/>
    <s v="CUST1138"/>
    <s v="PROD19"/>
    <s v="STORE18"/>
    <n v="4"/>
    <n v="573.37"/>
    <x v="13"/>
    <x v="2"/>
    <x v="0"/>
    <x v="45"/>
    <x v="0"/>
    <x v="46"/>
    <x v="0"/>
    <n v="21.34"/>
    <x v="3"/>
    <x v="1"/>
    <x v="590"/>
    <n v="43"/>
  </r>
  <r>
    <s v="SALE591"/>
    <x v="405"/>
    <s v="CUST1058"/>
    <s v="PROD32"/>
    <s v="STORE12"/>
    <n v="3"/>
    <n v="622.72"/>
    <x v="13"/>
    <x v="0"/>
    <x v="0"/>
    <x v="33"/>
    <x v="1"/>
    <x v="79"/>
    <x v="2"/>
    <n v="283.83"/>
    <x v="0"/>
    <x v="2"/>
    <x v="591"/>
    <n v="51"/>
  </r>
  <r>
    <s v="SALE592"/>
    <x v="186"/>
    <s v="CUST1388"/>
    <s v="PROD92"/>
    <s v="STORE17"/>
    <n v="3"/>
    <n v="259.74"/>
    <x v="24"/>
    <x v="0"/>
    <x v="0"/>
    <x v="6"/>
    <x v="1"/>
    <x v="80"/>
    <x v="3"/>
    <n v="447.43"/>
    <x v="0"/>
    <x v="1"/>
    <x v="592"/>
    <n v="53"/>
  </r>
  <r>
    <s v="SALE593"/>
    <x v="406"/>
    <s v="CUST1054"/>
    <s v="PROD28"/>
    <s v="STORE13"/>
    <n v="4"/>
    <n v="951.09"/>
    <x v="17"/>
    <x v="2"/>
    <x v="0"/>
    <x v="15"/>
    <x v="1"/>
    <x v="77"/>
    <x v="0"/>
    <n v="38.76"/>
    <x v="3"/>
    <x v="1"/>
    <x v="593"/>
    <n v="24"/>
  </r>
  <r>
    <s v="SALE594"/>
    <x v="407"/>
    <s v="CUST1199"/>
    <s v="PROD99"/>
    <s v="STORE2"/>
    <n v="1"/>
    <n v="71.71"/>
    <x v="7"/>
    <x v="2"/>
    <x v="0"/>
    <x v="3"/>
    <x v="3"/>
    <x v="8"/>
    <x v="3"/>
    <n v="201.41"/>
    <x v="2"/>
    <x v="0"/>
    <x v="594"/>
    <n v="46"/>
  </r>
  <r>
    <s v="SALE595"/>
    <x v="99"/>
    <s v="CUST1173"/>
    <s v="PROD20"/>
    <s v="STORE7"/>
    <n v="4"/>
    <n v="894.93"/>
    <x v="28"/>
    <x v="2"/>
    <x v="1"/>
    <x v="9"/>
    <x v="1"/>
    <x v="42"/>
    <x v="0"/>
    <n v="131.51"/>
    <x v="2"/>
    <x v="2"/>
    <x v="595"/>
    <n v="41"/>
  </r>
  <r>
    <s v="SALE596"/>
    <x v="253"/>
    <s v="CUST1202"/>
    <s v="PROD78"/>
    <s v="STORE8"/>
    <n v="4"/>
    <n v="870.18"/>
    <x v="21"/>
    <x v="2"/>
    <x v="1"/>
    <x v="32"/>
    <x v="1"/>
    <x v="36"/>
    <x v="3"/>
    <n v="325.26"/>
    <x v="1"/>
    <x v="2"/>
    <x v="596"/>
    <n v="37"/>
  </r>
  <r>
    <s v="SALE597"/>
    <x v="408"/>
    <s v="CUST1278"/>
    <s v="PROD64"/>
    <s v="STORE2"/>
    <n v="2"/>
    <n v="552.72"/>
    <x v="22"/>
    <x v="1"/>
    <x v="1"/>
    <x v="5"/>
    <x v="1"/>
    <x v="91"/>
    <x v="2"/>
    <n v="299.11"/>
    <x v="2"/>
    <x v="0"/>
    <x v="597"/>
    <n v="42"/>
  </r>
  <r>
    <s v="SALE598"/>
    <x v="409"/>
    <s v="CUST1246"/>
    <s v="PROD39"/>
    <s v="STORE8"/>
    <n v="3"/>
    <n v="700.43"/>
    <x v="10"/>
    <x v="2"/>
    <x v="0"/>
    <x v="13"/>
    <x v="3"/>
    <x v="11"/>
    <x v="1"/>
    <n v="326.06"/>
    <x v="1"/>
    <x v="2"/>
    <x v="598"/>
    <n v="58"/>
  </r>
  <r>
    <s v="SALE599"/>
    <x v="330"/>
    <s v="CUST1339"/>
    <s v="PROD9"/>
    <s v="STORE2"/>
    <n v="2"/>
    <n v="823.03"/>
    <x v="4"/>
    <x v="1"/>
    <x v="1"/>
    <x v="28"/>
    <x v="1"/>
    <x v="93"/>
    <x v="0"/>
    <n v="495.72"/>
    <x v="2"/>
    <x v="0"/>
    <x v="599"/>
    <n v="52"/>
  </r>
  <r>
    <s v="SALE600"/>
    <x v="410"/>
    <s v="CUST1255"/>
    <s v="PROD92"/>
    <s v="STORE6"/>
    <n v="1"/>
    <n v="117.37"/>
    <x v="34"/>
    <x v="0"/>
    <x v="0"/>
    <x v="31"/>
    <x v="0"/>
    <x v="80"/>
    <x v="3"/>
    <n v="447.43"/>
    <x v="3"/>
    <x v="2"/>
    <x v="600"/>
    <n v="21"/>
  </r>
  <r>
    <s v="SALE601"/>
    <x v="59"/>
    <s v="CUST1104"/>
    <s v="PROD56"/>
    <s v="STORE1"/>
    <n v="4"/>
    <n v="165.37"/>
    <x v="12"/>
    <x v="0"/>
    <x v="0"/>
    <x v="36"/>
    <x v="2"/>
    <x v="6"/>
    <x v="3"/>
    <n v="461.47"/>
    <x v="0"/>
    <x v="1"/>
    <x v="601"/>
    <n v="64"/>
  </r>
  <r>
    <s v="SALE602"/>
    <x v="132"/>
    <s v="CUST1378"/>
    <s v="PROD6"/>
    <s v="STORE10"/>
    <n v="3"/>
    <n v="483.06"/>
    <x v="28"/>
    <x v="0"/>
    <x v="1"/>
    <x v="37"/>
    <x v="3"/>
    <x v="96"/>
    <x v="2"/>
    <n v="312.8"/>
    <x v="3"/>
    <x v="2"/>
    <x v="602"/>
    <n v="44"/>
  </r>
  <r>
    <s v="SALE603"/>
    <x v="411"/>
    <s v="CUST1293"/>
    <s v="PROD81"/>
    <s v="STORE7"/>
    <n v="4"/>
    <n v="262.05"/>
    <x v="24"/>
    <x v="1"/>
    <x v="1"/>
    <x v="38"/>
    <x v="1"/>
    <x v="82"/>
    <x v="0"/>
    <n v="285.54"/>
    <x v="2"/>
    <x v="2"/>
    <x v="603"/>
    <n v="56"/>
  </r>
  <r>
    <s v="SALE604"/>
    <x v="36"/>
    <s v="CUST1463"/>
    <s v="PROD14"/>
    <s v="STORE14"/>
    <n v="3"/>
    <n v="970.89"/>
    <x v="32"/>
    <x v="2"/>
    <x v="1"/>
    <x v="40"/>
    <x v="3"/>
    <x v="66"/>
    <x v="3"/>
    <n v="48.01"/>
    <x v="2"/>
    <x v="0"/>
    <x v="604"/>
    <n v="36"/>
  </r>
  <r>
    <s v="SALE605"/>
    <x v="383"/>
    <s v="CUST1216"/>
    <s v="PROD72"/>
    <s v="STORE0"/>
    <n v="1"/>
    <n v="61.11"/>
    <x v="30"/>
    <x v="1"/>
    <x v="0"/>
    <x v="24"/>
    <x v="1"/>
    <x v="18"/>
    <x v="0"/>
    <n v="477.61"/>
    <x v="3"/>
    <x v="1"/>
    <x v="605"/>
    <n v="44"/>
  </r>
  <r>
    <s v="SALE606"/>
    <x v="224"/>
    <s v="CUST1029"/>
    <s v="PROD27"/>
    <s v="STORE8"/>
    <n v="3"/>
    <n v="827.88"/>
    <x v="5"/>
    <x v="1"/>
    <x v="1"/>
    <x v="24"/>
    <x v="2"/>
    <x v="16"/>
    <x v="3"/>
    <n v="250.021571428571"/>
    <x v="1"/>
    <x v="2"/>
    <x v="606"/>
    <n v="54"/>
  </r>
  <r>
    <s v="SALE607"/>
    <x v="246"/>
    <s v="CUST1430"/>
    <s v="PROD87"/>
    <s v="STORE13"/>
    <n v="3"/>
    <n v="926.85"/>
    <x v="4"/>
    <x v="2"/>
    <x v="1"/>
    <x v="19"/>
    <x v="0"/>
    <x v="72"/>
    <x v="3"/>
    <n v="371.38"/>
    <x v="3"/>
    <x v="1"/>
    <x v="607"/>
    <n v="36"/>
  </r>
  <r>
    <s v="SALE608"/>
    <x v="125"/>
    <s v="CUST1317"/>
    <s v="PROD10"/>
    <s v="STORE14"/>
    <n v="1"/>
    <n v="874.59"/>
    <x v="12"/>
    <x v="1"/>
    <x v="1"/>
    <x v="21"/>
    <x v="0"/>
    <x v="31"/>
    <x v="3"/>
    <n v="298.86"/>
    <x v="2"/>
    <x v="0"/>
    <x v="608"/>
    <n v="64"/>
  </r>
  <r>
    <s v="SALE609"/>
    <x v="275"/>
    <s v="CUST1470"/>
    <s v="PROD15"/>
    <s v="STORE1"/>
    <n v="4"/>
    <n v="479.11"/>
    <x v="24"/>
    <x v="1"/>
    <x v="1"/>
    <x v="21"/>
    <x v="0"/>
    <x v="5"/>
    <x v="1"/>
    <n v="465.34"/>
    <x v="0"/>
    <x v="1"/>
    <x v="609"/>
    <n v="21"/>
  </r>
  <r>
    <s v="SALE610"/>
    <x v="412"/>
    <s v="CUST1213"/>
    <s v="PROD32"/>
    <s v="STORE17"/>
    <n v="3"/>
    <n v="182.91"/>
    <x v="12"/>
    <x v="0"/>
    <x v="1"/>
    <x v="16"/>
    <x v="1"/>
    <x v="79"/>
    <x v="2"/>
    <n v="283.83"/>
    <x v="0"/>
    <x v="1"/>
    <x v="610"/>
    <n v="42"/>
  </r>
  <r>
    <s v="SALE611"/>
    <x v="413"/>
    <s v="CUST1272"/>
    <s v="PROD34"/>
    <s v="STORE5"/>
    <n v="4"/>
    <n v="745.51"/>
    <x v="28"/>
    <x v="0"/>
    <x v="1"/>
    <x v="24"/>
    <x v="0"/>
    <x v="13"/>
    <x v="1"/>
    <n v="419.28"/>
    <x v="0"/>
    <x v="0"/>
    <x v="611"/>
    <n v="48"/>
  </r>
  <r>
    <s v="SALE612"/>
    <x v="118"/>
    <s v="CUST1481"/>
    <s v="PROD88"/>
    <s v="STORE15"/>
    <n v="3"/>
    <n v="920.61"/>
    <x v="13"/>
    <x v="0"/>
    <x v="0"/>
    <x v="36"/>
    <x v="0"/>
    <x v="12"/>
    <x v="0"/>
    <n v="131.24"/>
    <x v="0"/>
    <x v="1"/>
    <x v="612"/>
    <n v="21"/>
  </r>
  <r>
    <s v="SALE613"/>
    <x v="359"/>
    <s v="CUST1425"/>
    <s v="PROD75"/>
    <s v="STORE10"/>
    <n v="4"/>
    <n v="659.03"/>
    <x v="6"/>
    <x v="0"/>
    <x v="0"/>
    <x v="39"/>
    <x v="3"/>
    <x v="28"/>
    <x v="4"/>
    <n v="158.14"/>
    <x v="3"/>
    <x v="2"/>
    <x v="613"/>
    <n v="40"/>
  </r>
  <r>
    <s v="SALE614"/>
    <x v="214"/>
    <s v="CUST1491"/>
    <s v="PROD9"/>
    <s v="STORE2"/>
    <n v="1"/>
    <n v="312.91"/>
    <x v="27"/>
    <x v="1"/>
    <x v="1"/>
    <x v="34"/>
    <x v="0"/>
    <x v="93"/>
    <x v="0"/>
    <n v="495.72"/>
    <x v="2"/>
    <x v="0"/>
    <x v="614"/>
    <n v="52"/>
  </r>
  <r>
    <s v="SALE615"/>
    <x v="414"/>
    <s v="CUST1228"/>
    <s v="PROD12"/>
    <s v="STORE18"/>
    <n v="4"/>
    <n v="705.64"/>
    <x v="32"/>
    <x v="1"/>
    <x v="1"/>
    <x v="39"/>
    <x v="0"/>
    <x v="21"/>
    <x v="2"/>
    <n v="115.82"/>
    <x v="3"/>
    <x v="1"/>
    <x v="615"/>
    <n v="52"/>
  </r>
  <r>
    <s v="SALE616"/>
    <x v="184"/>
    <s v="CUST1144"/>
    <s v="PROD9"/>
    <s v="STORE10"/>
    <n v="4"/>
    <n v="386.41"/>
    <x v="21"/>
    <x v="2"/>
    <x v="1"/>
    <x v="8"/>
    <x v="3"/>
    <x v="93"/>
    <x v="0"/>
    <n v="495.72"/>
    <x v="3"/>
    <x v="2"/>
    <x v="616"/>
    <n v="62"/>
  </r>
  <r>
    <s v="SALE617"/>
    <x v="415"/>
    <s v="CUST1029"/>
    <s v="PROD94"/>
    <s v="STORE11"/>
    <n v="3"/>
    <n v="265.89"/>
    <x v="16"/>
    <x v="2"/>
    <x v="1"/>
    <x v="24"/>
    <x v="2"/>
    <x v="32"/>
    <x v="2"/>
    <n v="358.47"/>
    <x v="2"/>
    <x v="2"/>
    <x v="617"/>
    <n v="54"/>
  </r>
  <r>
    <s v="SALE618"/>
    <x v="108"/>
    <s v="CUST1075"/>
    <s v="PROD30"/>
    <s v="STORE16"/>
    <n v="1"/>
    <n v="703.16"/>
    <x v="12"/>
    <x v="0"/>
    <x v="1"/>
    <x v="24"/>
    <x v="0"/>
    <x v="37"/>
    <x v="3"/>
    <n v="19.52"/>
    <x v="1"/>
    <x v="1"/>
    <x v="618"/>
    <n v="61"/>
  </r>
  <r>
    <s v="SALE619"/>
    <x v="407"/>
    <s v="CUST1471"/>
    <s v="PROD97"/>
    <s v="STORE13"/>
    <n v="2"/>
    <n v="394.5"/>
    <x v="12"/>
    <x v="2"/>
    <x v="0"/>
    <x v="10"/>
    <x v="1"/>
    <x v="0"/>
    <x v="0"/>
    <n v="245.98"/>
    <x v="3"/>
    <x v="1"/>
    <x v="619"/>
    <n v="42"/>
  </r>
  <r>
    <s v="SALE620"/>
    <x v="416"/>
    <s v="CUST1117"/>
    <s v="PROD97"/>
    <s v="STORE7"/>
    <n v="3"/>
    <n v="411.25"/>
    <x v="28"/>
    <x v="0"/>
    <x v="1"/>
    <x v="7"/>
    <x v="1"/>
    <x v="0"/>
    <x v="0"/>
    <n v="245.98"/>
    <x v="2"/>
    <x v="2"/>
    <x v="620"/>
    <n v="21"/>
  </r>
  <r>
    <s v="SALE621"/>
    <x v="28"/>
    <s v="CUST1353"/>
    <s v="PROD48"/>
    <s v="STORE2"/>
    <n v="4"/>
    <n v="395.45"/>
    <x v="10"/>
    <x v="0"/>
    <x v="1"/>
    <x v="47"/>
    <x v="1"/>
    <x v="70"/>
    <x v="1"/>
    <n v="177.98"/>
    <x v="2"/>
    <x v="0"/>
    <x v="621"/>
    <n v="56"/>
  </r>
  <r>
    <s v="SALE622"/>
    <x v="417"/>
    <s v="CUST1036"/>
    <s v="PROD90"/>
    <s v="STORE5"/>
    <n v="2"/>
    <n v="678.98"/>
    <x v="7"/>
    <x v="0"/>
    <x v="1"/>
    <x v="36"/>
    <x v="0"/>
    <x v="64"/>
    <x v="1"/>
    <n v="340.14"/>
    <x v="0"/>
    <x v="0"/>
    <x v="622"/>
    <n v="20"/>
  </r>
  <r>
    <s v="SALE623"/>
    <x v="418"/>
    <s v="CUST1072"/>
    <s v="PROD27"/>
    <s v="STORE14"/>
    <n v="4"/>
    <n v="757.71"/>
    <x v="25"/>
    <x v="2"/>
    <x v="1"/>
    <x v="9"/>
    <x v="0"/>
    <x v="16"/>
    <x v="3"/>
    <n v="250.021571428571"/>
    <x v="2"/>
    <x v="0"/>
    <x v="623"/>
    <n v="39"/>
  </r>
  <r>
    <s v="SALE624"/>
    <x v="350"/>
    <s v="CUST1059"/>
    <s v="PROD94"/>
    <s v="STORE4"/>
    <n v="1"/>
    <n v="647.86"/>
    <x v="28"/>
    <x v="2"/>
    <x v="0"/>
    <x v="10"/>
    <x v="1"/>
    <x v="32"/>
    <x v="2"/>
    <n v="358.47"/>
    <x v="2"/>
    <x v="2"/>
    <x v="624"/>
    <n v="53"/>
  </r>
  <r>
    <s v="SALE625"/>
    <x v="18"/>
    <s v="CUST1135"/>
    <s v="PROD12"/>
    <s v="STORE6"/>
    <n v="2"/>
    <n v="179.64"/>
    <x v="30"/>
    <x v="1"/>
    <x v="1"/>
    <x v="20"/>
    <x v="1"/>
    <x v="21"/>
    <x v="2"/>
    <n v="115.82"/>
    <x v="3"/>
    <x v="2"/>
    <x v="625"/>
    <n v="33"/>
  </r>
  <r>
    <s v="SALE626"/>
    <x v="81"/>
    <s v="CUST1396"/>
    <s v="PROD62"/>
    <s v="STORE4"/>
    <n v="3"/>
    <n v="392.65"/>
    <x v="9"/>
    <x v="1"/>
    <x v="1"/>
    <x v="14"/>
    <x v="2"/>
    <x v="85"/>
    <x v="1"/>
    <n v="86.42"/>
    <x v="2"/>
    <x v="2"/>
    <x v="626"/>
    <n v="25"/>
  </r>
  <r>
    <s v="SALE627"/>
    <x v="419"/>
    <s v="CUST1176"/>
    <s v="PROD91"/>
    <s v="STORE16"/>
    <n v="4"/>
    <n v="969.55"/>
    <x v="0"/>
    <x v="2"/>
    <x v="0"/>
    <x v="1"/>
    <x v="2"/>
    <x v="52"/>
    <x v="4"/>
    <n v="438.25"/>
    <x v="1"/>
    <x v="1"/>
    <x v="627"/>
    <n v="48"/>
  </r>
  <r>
    <s v="SALE628"/>
    <x v="138"/>
    <s v="CUST1462"/>
    <s v="PROD74"/>
    <s v="STORE12"/>
    <n v="3"/>
    <n v="322.94"/>
    <x v="10"/>
    <x v="0"/>
    <x v="1"/>
    <x v="35"/>
    <x v="2"/>
    <x v="1"/>
    <x v="1"/>
    <n v="403.71"/>
    <x v="0"/>
    <x v="2"/>
    <x v="628"/>
    <n v="34"/>
  </r>
  <r>
    <s v="SALE629"/>
    <x v="420"/>
    <s v="CUST1362"/>
    <s v="PROD83"/>
    <s v="STORE0"/>
    <n v="1"/>
    <n v="92.83"/>
    <x v="25"/>
    <x v="1"/>
    <x v="0"/>
    <x v="41"/>
    <x v="0"/>
    <x v="50"/>
    <x v="2"/>
    <n v="289.359375"/>
    <x v="3"/>
    <x v="1"/>
    <x v="629"/>
    <n v="60"/>
  </r>
  <r>
    <s v="SALE630"/>
    <x v="391"/>
    <s v="CUST1420"/>
    <s v="PROD8"/>
    <s v="STORE3"/>
    <n v="4"/>
    <n v="432.29"/>
    <x v="3"/>
    <x v="2"/>
    <x v="0"/>
    <x v="29"/>
    <x v="3"/>
    <x v="67"/>
    <x v="1"/>
    <n v="439.07"/>
    <x v="0"/>
    <x v="0"/>
    <x v="630"/>
    <n v="60"/>
  </r>
  <r>
    <s v="SALE631"/>
    <x v="331"/>
    <s v="CUST1080"/>
    <s v="PROD39"/>
    <s v="STORE13"/>
    <n v="2"/>
    <n v="925.78"/>
    <x v="17"/>
    <x v="2"/>
    <x v="1"/>
    <x v="23"/>
    <x v="3"/>
    <x v="11"/>
    <x v="1"/>
    <n v="326.06"/>
    <x v="3"/>
    <x v="1"/>
    <x v="631"/>
    <n v="61"/>
  </r>
  <r>
    <s v="SALE632"/>
    <x v="421"/>
    <s v="CUST1477"/>
    <s v="PROD25"/>
    <s v="STORE11"/>
    <n v="2"/>
    <n v="151.47"/>
    <x v="34"/>
    <x v="1"/>
    <x v="1"/>
    <x v="32"/>
    <x v="1"/>
    <x v="60"/>
    <x v="4"/>
    <n v="174.02"/>
    <x v="2"/>
    <x v="2"/>
    <x v="632"/>
    <n v="41"/>
  </r>
  <r>
    <s v="SALE633"/>
    <x v="214"/>
    <s v="CUST1449"/>
    <s v="PROD83"/>
    <s v="STORE10"/>
    <n v="1"/>
    <n v="343.05"/>
    <x v="23"/>
    <x v="1"/>
    <x v="0"/>
    <x v="31"/>
    <x v="3"/>
    <x v="50"/>
    <x v="2"/>
    <n v="289.359375"/>
    <x v="3"/>
    <x v="2"/>
    <x v="633"/>
    <n v="29"/>
  </r>
  <r>
    <s v="SALE634"/>
    <x v="422"/>
    <s v="CUST1066"/>
    <s v="PROD17"/>
    <s v="STORE4"/>
    <n v="1"/>
    <n v="373.06"/>
    <x v="32"/>
    <x v="1"/>
    <x v="1"/>
    <x v="21"/>
    <x v="2"/>
    <x v="53"/>
    <x v="0"/>
    <n v="144.53"/>
    <x v="2"/>
    <x v="2"/>
    <x v="634"/>
    <n v="27"/>
  </r>
  <r>
    <s v="SALE635"/>
    <x v="227"/>
    <s v="CUST1411"/>
    <s v="PROD18"/>
    <s v="STORE15"/>
    <n v="1"/>
    <n v="124.98"/>
    <x v="8"/>
    <x v="2"/>
    <x v="0"/>
    <x v="31"/>
    <x v="2"/>
    <x v="97"/>
    <x v="4"/>
    <n v="245.778311688312"/>
    <x v="0"/>
    <x v="1"/>
    <x v="635"/>
    <n v="63"/>
  </r>
  <r>
    <s v="SALE636"/>
    <x v="171"/>
    <s v="CUST1272"/>
    <s v="PROD73"/>
    <s v="STORE19"/>
    <n v="4"/>
    <n v="221.49"/>
    <x v="25"/>
    <x v="1"/>
    <x v="1"/>
    <x v="24"/>
    <x v="0"/>
    <x v="78"/>
    <x v="0"/>
    <n v="107.06"/>
    <x v="3"/>
    <x v="2"/>
    <x v="636"/>
    <n v="48"/>
  </r>
  <r>
    <s v="SALE637"/>
    <x v="423"/>
    <s v="CUST1170"/>
    <s v="PROD23"/>
    <s v="STORE15"/>
    <n v="1"/>
    <n v="563.32"/>
    <x v="10"/>
    <x v="1"/>
    <x v="0"/>
    <x v="6"/>
    <x v="0"/>
    <x v="34"/>
    <x v="4"/>
    <n v="248.821917808219"/>
    <x v="0"/>
    <x v="1"/>
    <x v="637"/>
    <n v="18"/>
  </r>
  <r>
    <s v="SALE638"/>
    <x v="214"/>
    <s v="CUST1390"/>
    <s v="PROD11"/>
    <s v="STORE0"/>
    <n v="1"/>
    <n v="362.93"/>
    <x v="1"/>
    <x v="0"/>
    <x v="0"/>
    <x v="13"/>
    <x v="2"/>
    <x v="75"/>
    <x v="1"/>
    <n v="449.4"/>
    <x v="3"/>
    <x v="1"/>
    <x v="638"/>
    <n v="56"/>
  </r>
  <r>
    <s v="SALE639"/>
    <x v="297"/>
    <s v="CUST1336"/>
    <s v="PROD11"/>
    <s v="STORE15"/>
    <n v="4"/>
    <n v="369.22"/>
    <x v="4"/>
    <x v="2"/>
    <x v="1"/>
    <x v="47"/>
    <x v="2"/>
    <x v="75"/>
    <x v="1"/>
    <n v="449.4"/>
    <x v="0"/>
    <x v="1"/>
    <x v="639"/>
    <n v="58"/>
  </r>
  <r>
    <s v="SALE640"/>
    <x v="424"/>
    <s v="CUST1410"/>
    <s v="PROD96"/>
    <s v="STORE14"/>
    <n v="3"/>
    <n v="950.83"/>
    <x v="22"/>
    <x v="1"/>
    <x v="1"/>
    <x v="19"/>
    <x v="3"/>
    <x v="99"/>
    <x v="4"/>
    <n v="358.47"/>
    <x v="2"/>
    <x v="0"/>
    <x v="640"/>
    <n v="48"/>
  </r>
  <r>
    <s v="SALE641"/>
    <x v="425"/>
    <s v="CUST1143"/>
    <s v="PROD37"/>
    <s v="STORE13"/>
    <n v="3"/>
    <n v="338.79"/>
    <x v="10"/>
    <x v="0"/>
    <x v="0"/>
    <x v="4"/>
    <x v="3"/>
    <x v="92"/>
    <x v="4"/>
    <n v="353.47"/>
    <x v="3"/>
    <x v="1"/>
    <x v="641"/>
    <n v="46"/>
  </r>
  <r>
    <s v="SALE642"/>
    <x v="294"/>
    <s v="CUST1146"/>
    <s v="PROD90"/>
    <s v="STORE1"/>
    <n v="3"/>
    <n v="853.32"/>
    <x v="8"/>
    <x v="2"/>
    <x v="1"/>
    <x v="42"/>
    <x v="0"/>
    <x v="64"/>
    <x v="1"/>
    <n v="340.14"/>
    <x v="0"/>
    <x v="1"/>
    <x v="642"/>
    <n v="32"/>
  </r>
  <r>
    <s v="SALE643"/>
    <x v="426"/>
    <s v="CUST1149"/>
    <s v="PROD76"/>
    <s v="STORE6"/>
    <n v="3"/>
    <n v="89.78"/>
    <x v="29"/>
    <x v="2"/>
    <x v="0"/>
    <x v="26"/>
    <x v="1"/>
    <x v="3"/>
    <x v="1"/>
    <n v="392.89"/>
    <x v="3"/>
    <x v="2"/>
    <x v="643"/>
    <n v="33"/>
  </r>
  <r>
    <s v="SALE644"/>
    <x v="427"/>
    <s v="CUST1191"/>
    <s v="PROD55"/>
    <s v="STORE1"/>
    <n v="1"/>
    <n v="172.04"/>
    <x v="13"/>
    <x v="1"/>
    <x v="1"/>
    <x v="31"/>
    <x v="3"/>
    <x v="76"/>
    <x v="3"/>
    <n v="81.75"/>
    <x v="0"/>
    <x v="1"/>
    <x v="644"/>
    <n v="29"/>
  </r>
  <r>
    <s v="SALE645"/>
    <x v="348"/>
    <s v="CUST1467"/>
    <s v="PROD54"/>
    <s v="STORE1"/>
    <n v="1"/>
    <n v="389.2"/>
    <x v="28"/>
    <x v="0"/>
    <x v="1"/>
    <x v="1"/>
    <x v="0"/>
    <x v="59"/>
    <x v="0"/>
    <n v="434.84"/>
    <x v="0"/>
    <x v="1"/>
    <x v="645"/>
    <n v="63"/>
  </r>
  <r>
    <s v="SALE646"/>
    <x v="428"/>
    <s v="CUST1461"/>
    <s v="PROD77"/>
    <s v="STORE13"/>
    <n v="3"/>
    <n v="865.96"/>
    <x v="27"/>
    <x v="1"/>
    <x v="1"/>
    <x v="32"/>
    <x v="2"/>
    <x v="25"/>
    <x v="1"/>
    <n v="480.9"/>
    <x v="3"/>
    <x v="1"/>
    <x v="646"/>
    <n v="60"/>
  </r>
  <r>
    <s v="SALE647"/>
    <x v="397"/>
    <s v="CUST1169"/>
    <s v="PROD19"/>
    <s v="STORE1"/>
    <n v="3"/>
    <n v="79.95"/>
    <x v="29"/>
    <x v="2"/>
    <x v="0"/>
    <x v="21"/>
    <x v="3"/>
    <x v="46"/>
    <x v="0"/>
    <n v="21.34"/>
    <x v="0"/>
    <x v="1"/>
    <x v="647"/>
    <n v="64"/>
  </r>
  <r>
    <s v="SALE648"/>
    <x v="3"/>
    <s v="CUST1381"/>
    <s v="PROD26"/>
    <s v="STORE7"/>
    <n v="1"/>
    <n v="566.5"/>
    <x v="2"/>
    <x v="2"/>
    <x v="0"/>
    <x v="4"/>
    <x v="2"/>
    <x v="33"/>
    <x v="1"/>
    <n v="322.41"/>
    <x v="2"/>
    <x v="2"/>
    <x v="648"/>
    <n v="50"/>
  </r>
  <r>
    <s v="SALE649"/>
    <x v="11"/>
    <s v="CUST1402"/>
    <s v="PROD21"/>
    <s v="STORE0"/>
    <n v="2"/>
    <n v="347.95"/>
    <x v="21"/>
    <x v="2"/>
    <x v="0"/>
    <x v="25"/>
    <x v="3"/>
    <x v="39"/>
    <x v="3"/>
    <n v="123.46"/>
    <x v="3"/>
    <x v="1"/>
    <x v="649"/>
    <n v="31"/>
  </r>
  <r>
    <s v="SALE650"/>
    <x v="121"/>
    <s v="CUST1209"/>
    <s v="PROD58"/>
    <s v="STORE3"/>
    <n v="2"/>
    <n v="250.83"/>
    <x v="6"/>
    <x v="1"/>
    <x v="1"/>
    <x v="17"/>
    <x v="1"/>
    <x v="87"/>
    <x v="4"/>
    <n v="113.83"/>
    <x v="0"/>
    <x v="0"/>
    <x v="650"/>
    <n v="50"/>
  </r>
  <r>
    <s v="SALE651"/>
    <x v="237"/>
    <s v="CUST1149"/>
    <s v="PROD71"/>
    <s v="STORE1"/>
    <n v="1"/>
    <n v="888.05"/>
    <x v="29"/>
    <x v="1"/>
    <x v="0"/>
    <x v="26"/>
    <x v="1"/>
    <x v="51"/>
    <x v="2"/>
    <n v="214.32"/>
    <x v="0"/>
    <x v="1"/>
    <x v="651"/>
    <n v="33"/>
  </r>
  <r>
    <s v="SALE652"/>
    <x v="429"/>
    <s v="CUST1006"/>
    <s v="PROD39"/>
    <s v="STORE18"/>
    <n v="2"/>
    <n v="673.02"/>
    <x v="32"/>
    <x v="1"/>
    <x v="1"/>
    <x v="34"/>
    <x v="1"/>
    <x v="11"/>
    <x v="1"/>
    <n v="326.06"/>
    <x v="3"/>
    <x v="1"/>
    <x v="652"/>
    <n v="29"/>
  </r>
  <r>
    <s v="SALE653"/>
    <x v="430"/>
    <s v="CUST1440"/>
    <s v="PROD64"/>
    <s v="STORE3"/>
    <n v="2"/>
    <n v="492.62"/>
    <x v="25"/>
    <x v="2"/>
    <x v="0"/>
    <x v="16"/>
    <x v="2"/>
    <x v="91"/>
    <x v="2"/>
    <n v="299.11"/>
    <x v="0"/>
    <x v="0"/>
    <x v="653"/>
    <n v="60"/>
  </r>
  <r>
    <s v="SALE654"/>
    <x v="431"/>
    <s v="CUST1376"/>
    <s v="PROD85"/>
    <s v="STORE3"/>
    <n v="4"/>
    <n v="986.93"/>
    <x v="10"/>
    <x v="0"/>
    <x v="0"/>
    <x v="40"/>
    <x v="3"/>
    <x v="65"/>
    <x v="4"/>
    <n v="119.57"/>
    <x v="0"/>
    <x v="0"/>
    <x v="654"/>
    <n v="30"/>
  </r>
  <r>
    <s v="SALE655"/>
    <x v="432"/>
    <s v="CUST1479"/>
    <s v="PROD22"/>
    <s v="STORE12"/>
    <n v="4"/>
    <n v="411.68"/>
    <x v="22"/>
    <x v="1"/>
    <x v="0"/>
    <x v="35"/>
    <x v="3"/>
    <x v="62"/>
    <x v="0"/>
    <n v="484.62"/>
    <x v="0"/>
    <x v="2"/>
    <x v="655"/>
    <n v="40"/>
  </r>
  <r>
    <s v="SALE656"/>
    <x v="433"/>
    <s v="CUST1219"/>
    <s v="PROD36"/>
    <s v="STORE17"/>
    <n v="2"/>
    <n v="637.56"/>
    <x v="28"/>
    <x v="2"/>
    <x v="1"/>
    <x v="19"/>
    <x v="0"/>
    <x v="14"/>
    <x v="4"/>
    <n v="223.43"/>
    <x v="0"/>
    <x v="1"/>
    <x v="656"/>
    <n v="47"/>
  </r>
  <r>
    <s v="SALE657"/>
    <x v="56"/>
    <s v="CUST1014"/>
    <s v="PROD13"/>
    <s v="STORE3"/>
    <n v="3"/>
    <n v="706.87"/>
    <x v="1"/>
    <x v="0"/>
    <x v="1"/>
    <x v="48"/>
    <x v="2"/>
    <x v="26"/>
    <x v="1"/>
    <n v="242.23"/>
    <x v="0"/>
    <x v="0"/>
    <x v="657"/>
    <n v="53"/>
  </r>
  <r>
    <s v="SALE658"/>
    <x v="434"/>
    <s v="CUST1055"/>
    <s v="PROD15"/>
    <s v="STORE6"/>
    <n v="2"/>
    <n v="884.48"/>
    <x v="33"/>
    <x v="2"/>
    <x v="1"/>
    <x v="46"/>
    <x v="3"/>
    <x v="5"/>
    <x v="1"/>
    <n v="465.34"/>
    <x v="3"/>
    <x v="2"/>
    <x v="658"/>
    <n v="56"/>
  </r>
  <r>
    <s v="SALE659"/>
    <x v="49"/>
    <s v="CUST1047"/>
    <s v="PROD92"/>
    <s v="STORE4"/>
    <n v="3"/>
    <n v="718.23"/>
    <x v="5"/>
    <x v="1"/>
    <x v="1"/>
    <x v="8"/>
    <x v="2"/>
    <x v="80"/>
    <x v="3"/>
    <n v="447.43"/>
    <x v="2"/>
    <x v="2"/>
    <x v="659"/>
    <n v="54"/>
  </r>
  <r>
    <s v="SALE660"/>
    <x v="62"/>
    <s v="CUST1180"/>
    <s v="PROD90"/>
    <s v="STORE18"/>
    <n v="3"/>
    <n v="107.44"/>
    <x v="1"/>
    <x v="1"/>
    <x v="0"/>
    <x v="17"/>
    <x v="3"/>
    <x v="64"/>
    <x v="1"/>
    <n v="340.14"/>
    <x v="3"/>
    <x v="1"/>
    <x v="660"/>
    <n v="38"/>
  </r>
  <r>
    <s v="SALE661"/>
    <x v="435"/>
    <s v="CUST1056"/>
    <s v="PROD46"/>
    <s v="STORE3"/>
    <n v="4"/>
    <n v="608.97"/>
    <x v="17"/>
    <x v="2"/>
    <x v="1"/>
    <x v="2"/>
    <x v="0"/>
    <x v="54"/>
    <x v="4"/>
    <n v="167.34"/>
    <x v="0"/>
    <x v="0"/>
    <x v="661"/>
    <n v="49"/>
  </r>
  <r>
    <s v="SALE662"/>
    <x v="50"/>
    <s v="CUST1354"/>
    <s v="PROD61"/>
    <s v="STORE6"/>
    <n v="3"/>
    <n v="260.46"/>
    <x v="0"/>
    <x v="0"/>
    <x v="0"/>
    <x v="40"/>
    <x v="2"/>
    <x v="86"/>
    <x v="0"/>
    <n v="103.45"/>
    <x v="3"/>
    <x v="2"/>
    <x v="662"/>
    <n v="38"/>
  </r>
  <r>
    <s v="SALE663"/>
    <x v="175"/>
    <s v="CUST1123"/>
    <s v="PROD22"/>
    <s v="STORE6"/>
    <n v="1"/>
    <n v="747.03"/>
    <x v="10"/>
    <x v="0"/>
    <x v="0"/>
    <x v="9"/>
    <x v="2"/>
    <x v="62"/>
    <x v="0"/>
    <n v="484.62"/>
    <x v="3"/>
    <x v="2"/>
    <x v="663"/>
    <n v="40"/>
  </r>
  <r>
    <s v="SALE664"/>
    <x v="235"/>
    <s v="CUST1404"/>
    <s v="PROD16"/>
    <s v="STORE8"/>
    <n v="4"/>
    <n v="700.88"/>
    <x v="7"/>
    <x v="1"/>
    <x v="1"/>
    <x v="13"/>
    <x v="2"/>
    <x v="30"/>
    <x v="2"/>
    <n v="337.42"/>
    <x v="1"/>
    <x v="2"/>
    <x v="664"/>
    <n v="22"/>
  </r>
  <r>
    <s v="SALE665"/>
    <x v="8"/>
    <s v="CUST1048"/>
    <s v="PROD95"/>
    <s v="STORE14"/>
    <n v="4"/>
    <n v="20.09"/>
    <x v="3"/>
    <x v="1"/>
    <x v="0"/>
    <x v="29"/>
    <x v="1"/>
    <x v="98"/>
    <x v="0"/>
    <n v="60.65"/>
    <x v="2"/>
    <x v="0"/>
    <x v="665"/>
    <n v="54"/>
  </r>
  <r>
    <s v="SALE666"/>
    <x v="243"/>
    <s v="CUST1062"/>
    <s v="PROD37"/>
    <s v="STORE11"/>
    <n v="3"/>
    <n v="917.64"/>
    <x v="24"/>
    <x v="1"/>
    <x v="0"/>
    <x v="23"/>
    <x v="3"/>
    <x v="92"/>
    <x v="4"/>
    <n v="353.47"/>
    <x v="2"/>
    <x v="2"/>
    <x v="666"/>
    <n v="50"/>
  </r>
  <r>
    <s v="SALE667"/>
    <x v="139"/>
    <s v="CUST1051"/>
    <s v="PROD21"/>
    <s v="STORE0"/>
    <n v="1"/>
    <n v="242.08"/>
    <x v="4"/>
    <x v="1"/>
    <x v="1"/>
    <x v="35"/>
    <x v="0"/>
    <x v="39"/>
    <x v="3"/>
    <n v="123.46"/>
    <x v="3"/>
    <x v="1"/>
    <x v="667"/>
    <n v="23"/>
  </r>
  <r>
    <s v="SALE668"/>
    <x v="436"/>
    <s v="CUST1057"/>
    <s v="PROD63"/>
    <s v="STORE7"/>
    <n v="1"/>
    <n v="536.68"/>
    <x v="1"/>
    <x v="0"/>
    <x v="1"/>
    <x v="5"/>
    <x v="1"/>
    <x v="81"/>
    <x v="2"/>
    <n v="266.86"/>
    <x v="2"/>
    <x v="2"/>
    <x v="668"/>
    <n v="43"/>
  </r>
  <r>
    <s v="SALE669"/>
    <x v="283"/>
    <s v="CUST1094"/>
    <s v="PROD29"/>
    <s v="STORE4"/>
    <n v="2"/>
    <n v="145.18"/>
    <x v="25"/>
    <x v="1"/>
    <x v="1"/>
    <x v="8"/>
    <x v="0"/>
    <x v="35"/>
    <x v="3"/>
    <n v="218.48"/>
    <x v="2"/>
    <x v="2"/>
    <x v="669"/>
    <n v="43"/>
  </r>
  <r>
    <s v="SALE670"/>
    <x v="19"/>
    <s v="CUST1221"/>
    <s v="PROD67"/>
    <s v="STORE4"/>
    <n v="2"/>
    <n v="132.77"/>
    <x v="21"/>
    <x v="2"/>
    <x v="0"/>
    <x v="36"/>
    <x v="1"/>
    <x v="22"/>
    <x v="1"/>
    <n v="349.17"/>
    <x v="2"/>
    <x v="2"/>
    <x v="670"/>
    <n v="38"/>
  </r>
  <r>
    <s v="SALE671"/>
    <x v="437"/>
    <s v="CUST1013"/>
    <s v="PROD41"/>
    <s v="STORE9"/>
    <n v="4"/>
    <n v="682.11"/>
    <x v="17"/>
    <x v="0"/>
    <x v="1"/>
    <x v="10"/>
    <x v="2"/>
    <x v="89"/>
    <x v="0"/>
    <n v="313.26"/>
    <x v="2"/>
    <x v="1"/>
    <x v="671"/>
    <n v="32"/>
  </r>
  <r>
    <s v="SALE672"/>
    <x v="438"/>
    <s v="CUST1486"/>
    <s v="PROD40"/>
    <s v="STORE17"/>
    <n v="4"/>
    <n v="502.95"/>
    <x v="17"/>
    <x v="2"/>
    <x v="1"/>
    <x v="1"/>
    <x v="3"/>
    <x v="43"/>
    <x v="1"/>
    <n v="38.52"/>
    <x v="0"/>
    <x v="1"/>
    <x v="672"/>
    <n v="22"/>
  </r>
  <r>
    <s v="SALE673"/>
    <x v="44"/>
    <s v="CUST1234"/>
    <s v="PROD37"/>
    <s v="STORE16"/>
    <n v="2"/>
    <n v="472.08"/>
    <x v="8"/>
    <x v="0"/>
    <x v="1"/>
    <x v="32"/>
    <x v="0"/>
    <x v="92"/>
    <x v="4"/>
    <n v="353.47"/>
    <x v="1"/>
    <x v="1"/>
    <x v="673"/>
    <n v="43"/>
  </r>
  <r>
    <s v="SALE674"/>
    <x v="439"/>
    <s v="CUST1473"/>
    <s v="PROD57"/>
    <s v="STORE17"/>
    <n v="2"/>
    <n v="218.11"/>
    <x v="31"/>
    <x v="2"/>
    <x v="0"/>
    <x v="18"/>
    <x v="3"/>
    <x v="71"/>
    <x v="0"/>
    <n v="30.62"/>
    <x v="0"/>
    <x v="1"/>
    <x v="674"/>
    <n v="53"/>
  </r>
  <r>
    <s v="SALE675"/>
    <x v="440"/>
    <s v="CUST1057"/>
    <s v="PROD1"/>
    <s v="STORE6"/>
    <n v="4"/>
    <n v="845.58"/>
    <x v="22"/>
    <x v="1"/>
    <x v="1"/>
    <x v="5"/>
    <x v="1"/>
    <x v="55"/>
    <x v="4"/>
    <n v="342.56"/>
    <x v="3"/>
    <x v="2"/>
    <x v="675"/>
    <n v="43"/>
  </r>
  <r>
    <s v="SALE676"/>
    <x v="65"/>
    <s v="CUST1128"/>
    <s v="PROD80"/>
    <s v="STORE2"/>
    <n v="2"/>
    <n v="111.28"/>
    <x v="17"/>
    <x v="0"/>
    <x v="0"/>
    <x v="13"/>
    <x v="2"/>
    <x v="61"/>
    <x v="3"/>
    <n v="143.43"/>
    <x v="2"/>
    <x v="0"/>
    <x v="676"/>
    <n v="45"/>
  </r>
  <r>
    <s v="SALE677"/>
    <x v="253"/>
    <s v="CUST1177"/>
    <s v="PROD59"/>
    <s v="STORE14"/>
    <n v="2"/>
    <n v="37.21"/>
    <x v="5"/>
    <x v="0"/>
    <x v="0"/>
    <x v="27"/>
    <x v="1"/>
    <x v="4"/>
    <x v="2"/>
    <n v="17.31"/>
    <x v="2"/>
    <x v="0"/>
    <x v="677"/>
    <n v="55"/>
  </r>
  <r>
    <s v="SALE678"/>
    <x v="320"/>
    <s v="CUST1417"/>
    <s v="PROD62"/>
    <s v="STORE13"/>
    <n v="1"/>
    <n v="331.73"/>
    <x v="13"/>
    <x v="0"/>
    <x v="1"/>
    <x v="29"/>
    <x v="3"/>
    <x v="85"/>
    <x v="1"/>
    <n v="86.42"/>
    <x v="3"/>
    <x v="1"/>
    <x v="678"/>
    <n v="64"/>
  </r>
  <r>
    <s v="SALE679"/>
    <x v="399"/>
    <s v="CUST1364"/>
    <s v="PROD70"/>
    <s v="STORE12"/>
    <n v="3"/>
    <n v="306.71"/>
    <x v="0"/>
    <x v="1"/>
    <x v="0"/>
    <x v="28"/>
    <x v="3"/>
    <x v="7"/>
    <x v="3"/>
    <n v="138.05"/>
    <x v="0"/>
    <x v="2"/>
    <x v="679"/>
    <n v="58"/>
  </r>
  <r>
    <s v="SALE680"/>
    <x v="441"/>
    <s v="CUST1270"/>
    <s v="PROD25"/>
    <s v="STORE6"/>
    <n v="4"/>
    <n v="484.92"/>
    <x v="23"/>
    <x v="1"/>
    <x v="1"/>
    <x v="38"/>
    <x v="0"/>
    <x v="60"/>
    <x v="4"/>
    <n v="174.02"/>
    <x v="3"/>
    <x v="2"/>
    <x v="680"/>
    <n v="31"/>
  </r>
  <r>
    <s v="SALE681"/>
    <x v="442"/>
    <s v="CUST1043"/>
    <s v="PROD50"/>
    <s v="STORE5"/>
    <n v="2"/>
    <n v="42.04"/>
    <x v="8"/>
    <x v="0"/>
    <x v="0"/>
    <x v="1"/>
    <x v="0"/>
    <x v="57"/>
    <x v="0"/>
    <n v="190.29"/>
    <x v="0"/>
    <x v="0"/>
    <x v="681"/>
    <n v="45"/>
  </r>
  <r>
    <s v="SALE682"/>
    <x v="443"/>
    <s v="CUST1281"/>
    <s v="PROD55"/>
    <s v="STORE6"/>
    <n v="3"/>
    <n v="599.48"/>
    <x v="14"/>
    <x v="1"/>
    <x v="0"/>
    <x v="40"/>
    <x v="1"/>
    <x v="76"/>
    <x v="3"/>
    <n v="81.75"/>
    <x v="3"/>
    <x v="2"/>
    <x v="682"/>
    <n v="59"/>
  </r>
  <r>
    <s v="SALE683"/>
    <x v="444"/>
    <s v="CUST1357"/>
    <s v="PROD17"/>
    <s v="STORE1"/>
    <n v="3"/>
    <n v="401.42"/>
    <x v="10"/>
    <x v="2"/>
    <x v="0"/>
    <x v="3"/>
    <x v="0"/>
    <x v="53"/>
    <x v="0"/>
    <n v="144.53"/>
    <x v="0"/>
    <x v="1"/>
    <x v="683"/>
    <n v="41"/>
  </r>
  <r>
    <s v="SALE684"/>
    <x v="96"/>
    <s v="CUST1192"/>
    <s v="PROD46"/>
    <s v="STORE8"/>
    <n v="4"/>
    <n v="442.54"/>
    <x v="22"/>
    <x v="0"/>
    <x v="0"/>
    <x v="12"/>
    <x v="0"/>
    <x v="54"/>
    <x v="4"/>
    <n v="167.34"/>
    <x v="1"/>
    <x v="2"/>
    <x v="684"/>
    <n v="26"/>
  </r>
  <r>
    <s v="SALE685"/>
    <x v="66"/>
    <s v="CUST1456"/>
    <s v="PROD88"/>
    <s v="STORE13"/>
    <n v="4"/>
    <n v="451.41"/>
    <x v="22"/>
    <x v="1"/>
    <x v="1"/>
    <x v="13"/>
    <x v="0"/>
    <x v="12"/>
    <x v="0"/>
    <n v="131.24"/>
    <x v="3"/>
    <x v="1"/>
    <x v="685"/>
    <n v="59"/>
  </r>
  <r>
    <s v="SALE686"/>
    <x v="72"/>
    <s v="CUST1265"/>
    <s v="PROD91"/>
    <s v="STORE9"/>
    <n v="4"/>
    <n v="547.21"/>
    <x v="2"/>
    <x v="0"/>
    <x v="0"/>
    <x v="3"/>
    <x v="2"/>
    <x v="52"/>
    <x v="4"/>
    <n v="438.25"/>
    <x v="2"/>
    <x v="1"/>
    <x v="686"/>
    <n v="38"/>
  </r>
  <r>
    <s v="SALE687"/>
    <x v="178"/>
    <s v="CUST1203"/>
    <s v="PROD87"/>
    <s v="STORE4"/>
    <n v="1"/>
    <n v="979.28"/>
    <x v="29"/>
    <x v="1"/>
    <x v="0"/>
    <x v="9"/>
    <x v="1"/>
    <x v="72"/>
    <x v="3"/>
    <n v="371.38"/>
    <x v="2"/>
    <x v="2"/>
    <x v="687"/>
    <n v="47"/>
  </r>
  <r>
    <s v="SALE688"/>
    <x v="217"/>
    <s v="CUST1464"/>
    <s v="PROD56"/>
    <s v="STORE7"/>
    <n v="4"/>
    <n v="263.59"/>
    <x v="13"/>
    <x v="0"/>
    <x v="1"/>
    <x v="7"/>
    <x v="1"/>
    <x v="6"/>
    <x v="3"/>
    <n v="461.47"/>
    <x v="2"/>
    <x v="2"/>
    <x v="688"/>
    <n v="45"/>
  </r>
  <r>
    <s v="SALE689"/>
    <x v="213"/>
    <s v="CUST1002"/>
    <s v="PROD54"/>
    <s v="STORE5"/>
    <n v="1"/>
    <n v="692.75"/>
    <x v="32"/>
    <x v="2"/>
    <x v="1"/>
    <x v="4"/>
    <x v="1"/>
    <x v="59"/>
    <x v="0"/>
    <n v="434.84"/>
    <x v="0"/>
    <x v="0"/>
    <x v="689"/>
    <n v="29"/>
  </r>
  <r>
    <s v="SALE690"/>
    <x v="445"/>
    <s v="CUST1163"/>
    <s v="PROD63"/>
    <s v="STORE3"/>
    <n v="3"/>
    <n v="142.83"/>
    <x v="10"/>
    <x v="0"/>
    <x v="0"/>
    <x v="49"/>
    <x v="3"/>
    <x v="81"/>
    <x v="2"/>
    <n v="266.86"/>
    <x v="0"/>
    <x v="0"/>
    <x v="690"/>
    <n v="21"/>
  </r>
  <r>
    <s v="SALE691"/>
    <x v="446"/>
    <s v="CUST1124"/>
    <s v="PROD22"/>
    <s v="STORE2"/>
    <n v="2"/>
    <n v="419.25"/>
    <x v="9"/>
    <x v="1"/>
    <x v="0"/>
    <x v="49"/>
    <x v="3"/>
    <x v="62"/>
    <x v="0"/>
    <n v="484.62"/>
    <x v="2"/>
    <x v="0"/>
    <x v="691"/>
    <n v="26"/>
  </r>
  <r>
    <s v="SALE692"/>
    <x v="447"/>
    <s v="CUST1240"/>
    <s v="PROD26"/>
    <s v="STORE19"/>
    <n v="2"/>
    <n v="800.84"/>
    <x v="1"/>
    <x v="2"/>
    <x v="1"/>
    <x v="20"/>
    <x v="1"/>
    <x v="33"/>
    <x v="1"/>
    <n v="322.41"/>
    <x v="3"/>
    <x v="2"/>
    <x v="692"/>
    <n v="59"/>
  </r>
  <r>
    <s v="SALE693"/>
    <x v="296"/>
    <s v="CUST1001"/>
    <s v="PROD48"/>
    <s v="STORE2"/>
    <n v="1"/>
    <n v="301.24"/>
    <x v="32"/>
    <x v="1"/>
    <x v="1"/>
    <x v="16"/>
    <x v="1"/>
    <x v="70"/>
    <x v="1"/>
    <n v="177.98"/>
    <x v="2"/>
    <x v="0"/>
    <x v="693"/>
    <n v="26"/>
  </r>
  <r>
    <s v="SALE694"/>
    <x v="184"/>
    <s v="CUST1288"/>
    <s v="PROD85"/>
    <s v="STORE5"/>
    <n v="2"/>
    <n v="701.49"/>
    <x v="0"/>
    <x v="1"/>
    <x v="0"/>
    <x v="40"/>
    <x v="0"/>
    <x v="65"/>
    <x v="4"/>
    <n v="119.57"/>
    <x v="0"/>
    <x v="0"/>
    <x v="694"/>
    <n v="58"/>
  </r>
  <r>
    <s v="SALE695"/>
    <x v="250"/>
    <s v="CUST1351"/>
    <s v="PROD26"/>
    <s v="STORE10"/>
    <n v="4"/>
    <n v="413.48"/>
    <x v="31"/>
    <x v="1"/>
    <x v="1"/>
    <x v="48"/>
    <x v="3"/>
    <x v="33"/>
    <x v="1"/>
    <n v="322.41"/>
    <x v="3"/>
    <x v="2"/>
    <x v="695"/>
    <n v="25"/>
  </r>
  <r>
    <s v="SALE696"/>
    <x v="425"/>
    <s v="CUST1197"/>
    <s v="PROD8"/>
    <s v="STORE1"/>
    <n v="4"/>
    <n v="167.83"/>
    <x v="6"/>
    <x v="0"/>
    <x v="1"/>
    <x v="46"/>
    <x v="1"/>
    <x v="67"/>
    <x v="1"/>
    <n v="439.07"/>
    <x v="0"/>
    <x v="1"/>
    <x v="696"/>
    <n v="45"/>
  </r>
  <r>
    <s v="SALE697"/>
    <x v="448"/>
    <s v="CUST1139"/>
    <s v="PROD15"/>
    <s v="STORE18"/>
    <n v="2"/>
    <n v="669.12"/>
    <x v="14"/>
    <x v="0"/>
    <x v="0"/>
    <x v="39"/>
    <x v="3"/>
    <x v="5"/>
    <x v="1"/>
    <n v="465.34"/>
    <x v="3"/>
    <x v="1"/>
    <x v="697"/>
    <n v="32"/>
  </r>
  <r>
    <s v="SALE698"/>
    <x v="89"/>
    <s v="CUST1039"/>
    <s v="PROD37"/>
    <s v="STORE7"/>
    <n v="3"/>
    <n v="346.77"/>
    <x v="4"/>
    <x v="1"/>
    <x v="1"/>
    <x v="20"/>
    <x v="0"/>
    <x v="92"/>
    <x v="4"/>
    <n v="353.47"/>
    <x v="2"/>
    <x v="2"/>
    <x v="698"/>
    <n v="55"/>
  </r>
  <r>
    <s v="SALE699"/>
    <x v="328"/>
    <s v="CUST1059"/>
    <s v="PROD23"/>
    <s v="STORE19"/>
    <n v="3"/>
    <n v="648.33"/>
    <x v="29"/>
    <x v="2"/>
    <x v="0"/>
    <x v="10"/>
    <x v="1"/>
    <x v="34"/>
    <x v="4"/>
    <n v="248.821917808219"/>
    <x v="3"/>
    <x v="2"/>
    <x v="699"/>
    <n v="53"/>
  </r>
  <r>
    <s v="SALE700"/>
    <x v="410"/>
    <s v="CUST1285"/>
    <s v="PROD6"/>
    <s v="STORE2"/>
    <n v="4"/>
    <n v="254.94"/>
    <x v="22"/>
    <x v="1"/>
    <x v="1"/>
    <x v="43"/>
    <x v="2"/>
    <x v="96"/>
    <x v="2"/>
    <n v="312.8"/>
    <x v="2"/>
    <x v="0"/>
    <x v="700"/>
    <n v="46"/>
  </r>
  <r>
    <s v="SALE701"/>
    <x v="109"/>
    <s v="CUST1338"/>
    <s v="PROD81"/>
    <s v="STORE4"/>
    <n v="1"/>
    <n v="445.5"/>
    <x v="23"/>
    <x v="0"/>
    <x v="1"/>
    <x v="40"/>
    <x v="2"/>
    <x v="82"/>
    <x v="0"/>
    <n v="285.54"/>
    <x v="2"/>
    <x v="2"/>
    <x v="701"/>
    <n v="46"/>
  </r>
  <r>
    <s v="SALE702"/>
    <x v="170"/>
    <s v="CUST1221"/>
    <s v="PROD90"/>
    <s v="STORE4"/>
    <n v="1"/>
    <n v="900.94"/>
    <x v="30"/>
    <x v="0"/>
    <x v="0"/>
    <x v="36"/>
    <x v="1"/>
    <x v="64"/>
    <x v="1"/>
    <n v="340.14"/>
    <x v="2"/>
    <x v="2"/>
    <x v="702"/>
    <n v="38"/>
  </r>
  <r>
    <s v="SALE703"/>
    <x v="449"/>
    <s v="CUST1196"/>
    <s v="PROD15"/>
    <s v="STORE16"/>
    <n v="3"/>
    <n v="262.69"/>
    <x v="13"/>
    <x v="1"/>
    <x v="1"/>
    <x v="41"/>
    <x v="1"/>
    <x v="5"/>
    <x v="1"/>
    <n v="465.34"/>
    <x v="1"/>
    <x v="1"/>
    <x v="703"/>
    <n v="18"/>
  </r>
  <r>
    <s v="SALE704"/>
    <x v="239"/>
    <s v="CUST1482"/>
    <s v="PROD68"/>
    <s v="STORE2"/>
    <n v="3"/>
    <n v="212.72"/>
    <x v="14"/>
    <x v="1"/>
    <x v="0"/>
    <x v="27"/>
    <x v="1"/>
    <x v="88"/>
    <x v="3"/>
    <n v="243.7"/>
    <x v="2"/>
    <x v="0"/>
    <x v="704"/>
    <n v="26"/>
  </r>
  <r>
    <s v="SALE705"/>
    <x v="225"/>
    <s v="CUST1151"/>
    <s v="PROD24"/>
    <s v="STORE18"/>
    <n v="4"/>
    <n v="757.9"/>
    <x v="14"/>
    <x v="1"/>
    <x v="1"/>
    <x v="47"/>
    <x v="0"/>
    <x v="10"/>
    <x v="0"/>
    <n v="166.06"/>
    <x v="3"/>
    <x v="1"/>
    <x v="705"/>
    <n v="25"/>
  </r>
  <r>
    <s v="SALE706"/>
    <x v="360"/>
    <s v="CUST1017"/>
    <s v="PROD80"/>
    <s v="STORE17"/>
    <n v="1"/>
    <n v="846.04"/>
    <x v="16"/>
    <x v="1"/>
    <x v="1"/>
    <x v="36"/>
    <x v="1"/>
    <x v="61"/>
    <x v="3"/>
    <n v="143.43"/>
    <x v="0"/>
    <x v="1"/>
    <x v="706"/>
    <n v="60"/>
  </r>
  <r>
    <s v="SALE707"/>
    <x v="157"/>
    <s v="CUST1159"/>
    <s v="PROD38"/>
    <s v="STORE7"/>
    <n v="3"/>
    <n v="179.7"/>
    <x v="9"/>
    <x v="2"/>
    <x v="1"/>
    <x v="19"/>
    <x v="0"/>
    <x v="48"/>
    <x v="0"/>
    <n v="135.61"/>
    <x v="2"/>
    <x v="2"/>
    <x v="707"/>
    <n v="46"/>
  </r>
  <r>
    <s v="SALE708"/>
    <x v="423"/>
    <s v="CUST1446"/>
    <s v="PROD31"/>
    <s v="STORE4"/>
    <n v="4"/>
    <n v="681.08"/>
    <x v="33"/>
    <x v="1"/>
    <x v="0"/>
    <x v="15"/>
    <x v="2"/>
    <x v="45"/>
    <x v="0"/>
    <n v="204.39"/>
    <x v="2"/>
    <x v="2"/>
    <x v="708"/>
    <n v="35"/>
  </r>
  <r>
    <s v="SALE709"/>
    <x v="336"/>
    <s v="CUST1403"/>
    <s v="PROD4"/>
    <s v="STORE7"/>
    <n v="4"/>
    <n v="723.44"/>
    <x v="17"/>
    <x v="1"/>
    <x v="0"/>
    <x v="38"/>
    <x v="3"/>
    <x v="83"/>
    <x v="4"/>
    <n v="306.46"/>
    <x v="2"/>
    <x v="2"/>
    <x v="709"/>
    <n v="34"/>
  </r>
  <r>
    <s v="SALE710"/>
    <x v="328"/>
    <s v="CUST1126"/>
    <s v="PROD31"/>
    <s v="STORE14"/>
    <n v="4"/>
    <n v="471.89"/>
    <x v="27"/>
    <x v="2"/>
    <x v="1"/>
    <x v="28"/>
    <x v="0"/>
    <x v="45"/>
    <x v="0"/>
    <n v="204.39"/>
    <x v="2"/>
    <x v="0"/>
    <x v="710"/>
    <n v="62"/>
  </r>
  <r>
    <s v="SALE711"/>
    <x v="204"/>
    <s v="CUST1366"/>
    <s v="PROD71"/>
    <s v="STORE17"/>
    <n v="1"/>
    <n v="613.18"/>
    <x v="17"/>
    <x v="2"/>
    <x v="1"/>
    <x v="4"/>
    <x v="1"/>
    <x v="51"/>
    <x v="2"/>
    <n v="214.32"/>
    <x v="0"/>
    <x v="1"/>
    <x v="711"/>
    <n v="40"/>
  </r>
  <r>
    <s v="SALE712"/>
    <x v="365"/>
    <s v="CUST1051"/>
    <s v="PROD43"/>
    <s v="STORE4"/>
    <n v="1"/>
    <n v="651.31"/>
    <x v="24"/>
    <x v="1"/>
    <x v="1"/>
    <x v="35"/>
    <x v="0"/>
    <x v="19"/>
    <x v="1"/>
    <n v="253.33"/>
    <x v="2"/>
    <x v="2"/>
    <x v="712"/>
    <n v="23"/>
  </r>
  <r>
    <s v="SALE713"/>
    <x v="348"/>
    <s v="CUST1024"/>
    <s v="PROD3"/>
    <s v="STORE6"/>
    <n v="2"/>
    <n v="635.14"/>
    <x v="30"/>
    <x v="2"/>
    <x v="0"/>
    <x v="12"/>
    <x v="1"/>
    <x v="58"/>
    <x v="4"/>
    <n v="364.67"/>
    <x v="3"/>
    <x v="2"/>
    <x v="713"/>
    <n v="40"/>
  </r>
  <r>
    <s v="SALE714"/>
    <x v="385"/>
    <s v="CUST1380"/>
    <s v="PROD98"/>
    <s v="STORE14"/>
    <n v="4"/>
    <n v="912.61"/>
    <x v="17"/>
    <x v="0"/>
    <x v="0"/>
    <x v="5"/>
    <x v="0"/>
    <x v="24"/>
    <x v="1"/>
    <n v="431.67"/>
    <x v="2"/>
    <x v="0"/>
    <x v="714"/>
    <n v="23"/>
  </r>
  <r>
    <s v="SALE715"/>
    <x v="156"/>
    <s v="CUST1274"/>
    <s v="PROD47"/>
    <s v="STORE7"/>
    <n v="3"/>
    <n v="79.77"/>
    <x v="0"/>
    <x v="0"/>
    <x v="0"/>
    <x v="1"/>
    <x v="2"/>
    <x v="44"/>
    <x v="2"/>
    <n v="255.049019607843"/>
    <x v="2"/>
    <x v="2"/>
    <x v="715"/>
    <n v="38"/>
  </r>
  <r>
    <s v="SALE716"/>
    <x v="82"/>
    <s v="CUST1277"/>
    <s v="PROD94"/>
    <s v="STORE15"/>
    <n v="4"/>
    <n v="603.52"/>
    <x v="2"/>
    <x v="0"/>
    <x v="1"/>
    <x v="44"/>
    <x v="1"/>
    <x v="32"/>
    <x v="2"/>
    <n v="358.47"/>
    <x v="0"/>
    <x v="1"/>
    <x v="716"/>
    <n v="22"/>
  </r>
  <r>
    <s v="SALE717"/>
    <x v="450"/>
    <s v="CUST1077"/>
    <s v="PROD77"/>
    <s v="STORE12"/>
    <n v="4"/>
    <n v="453.12"/>
    <x v="7"/>
    <x v="2"/>
    <x v="0"/>
    <x v="1"/>
    <x v="0"/>
    <x v="25"/>
    <x v="1"/>
    <n v="480.9"/>
    <x v="0"/>
    <x v="2"/>
    <x v="717"/>
    <n v="29"/>
  </r>
  <r>
    <s v="SALE718"/>
    <x v="361"/>
    <s v="CUST1497"/>
    <s v="PROD33"/>
    <s v="STORE9"/>
    <n v="2"/>
    <n v="974.35"/>
    <x v="6"/>
    <x v="0"/>
    <x v="1"/>
    <x v="14"/>
    <x v="0"/>
    <x v="9"/>
    <x v="3"/>
    <n v="179.77"/>
    <x v="2"/>
    <x v="1"/>
    <x v="718"/>
    <n v="47"/>
  </r>
  <r>
    <s v="SALE719"/>
    <x v="317"/>
    <s v="CUST1476"/>
    <s v="PROD95"/>
    <s v="STORE17"/>
    <n v="4"/>
    <n v="52.35"/>
    <x v="7"/>
    <x v="2"/>
    <x v="1"/>
    <x v="15"/>
    <x v="0"/>
    <x v="98"/>
    <x v="0"/>
    <n v="60.65"/>
    <x v="0"/>
    <x v="1"/>
    <x v="719"/>
    <n v="33"/>
  </r>
  <r>
    <s v="SALE720"/>
    <x v="317"/>
    <s v="CUST1370"/>
    <s v="PROD65"/>
    <s v="STORE17"/>
    <n v="3"/>
    <n v="681.58"/>
    <x v="7"/>
    <x v="0"/>
    <x v="0"/>
    <x v="30"/>
    <x v="2"/>
    <x v="15"/>
    <x v="0"/>
    <n v="240.63"/>
    <x v="0"/>
    <x v="1"/>
    <x v="720"/>
    <n v="45"/>
  </r>
  <r>
    <s v="SALE721"/>
    <x v="393"/>
    <s v="CUST1177"/>
    <s v="PROD83"/>
    <s v="STORE15"/>
    <n v="3"/>
    <n v="71.23"/>
    <x v="15"/>
    <x v="0"/>
    <x v="0"/>
    <x v="27"/>
    <x v="1"/>
    <x v="50"/>
    <x v="2"/>
    <n v="289.359375"/>
    <x v="0"/>
    <x v="1"/>
    <x v="721"/>
    <n v="55"/>
  </r>
  <r>
    <s v="SALE722"/>
    <x v="411"/>
    <s v="CUST1241"/>
    <s v="PROD15"/>
    <s v="STORE14"/>
    <n v="1"/>
    <n v="31.36"/>
    <x v="34"/>
    <x v="2"/>
    <x v="0"/>
    <x v="45"/>
    <x v="1"/>
    <x v="5"/>
    <x v="1"/>
    <n v="465.34"/>
    <x v="2"/>
    <x v="0"/>
    <x v="722"/>
    <n v="31"/>
  </r>
  <r>
    <s v="SALE723"/>
    <x v="116"/>
    <s v="CUST1341"/>
    <s v="PROD41"/>
    <s v="STORE13"/>
    <n v="2"/>
    <n v="555.55"/>
    <x v="17"/>
    <x v="0"/>
    <x v="1"/>
    <x v="49"/>
    <x v="3"/>
    <x v="89"/>
    <x v="0"/>
    <n v="313.26"/>
    <x v="3"/>
    <x v="1"/>
    <x v="723"/>
    <n v="56"/>
  </r>
  <r>
    <s v="SALE724"/>
    <x v="451"/>
    <s v="CUST1251"/>
    <s v="PROD66"/>
    <s v="STORE16"/>
    <n v="4"/>
    <n v="805.99"/>
    <x v="22"/>
    <x v="0"/>
    <x v="0"/>
    <x v="4"/>
    <x v="2"/>
    <x v="73"/>
    <x v="2"/>
    <n v="340.39"/>
    <x v="1"/>
    <x v="1"/>
    <x v="724"/>
    <n v="64"/>
  </r>
  <r>
    <s v="SALE725"/>
    <x v="452"/>
    <s v="CUST1388"/>
    <s v="PROD71"/>
    <s v="STORE1"/>
    <n v="1"/>
    <n v="506.55"/>
    <x v="23"/>
    <x v="0"/>
    <x v="0"/>
    <x v="6"/>
    <x v="1"/>
    <x v="51"/>
    <x v="2"/>
    <n v="214.32"/>
    <x v="0"/>
    <x v="1"/>
    <x v="725"/>
    <n v="53"/>
  </r>
  <r>
    <s v="SALE726"/>
    <x v="182"/>
    <s v="CUST1130"/>
    <s v="PROD41"/>
    <s v="STORE11"/>
    <n v="3"/>
    <n v="28.69"/>
    <x v="31"/>
    <x v="0"/>
    <x v="0"/>
    <x v="40"/>
    <x v="1"/>
    <x v="89"/>
    <x v="0"/>
    <n v="313.26"/>
    <x v="2"/>
    <x v="2"/>
    <x v="726"/>
    <n v="29"/>
  </r>
  <r>
    <s v="SALE727"/>
    <x v="205"/>
    <s v="CUST1387"/>
    <s v="PROD76"/>
    <s v="STORE4"/>
    <n v="1"/>
    <n v="106.07"/>
    <x v="7"/>
    <x v="2"/>
    <x v="1"/>
    <x v="19"/>
    <x v="2"/>
    <x v="3"/>
    <x v="1"/>
    <n v="392.89"/>
    <x v="2"/>
    <x v="2"/>
    <x v="727"/>
    <n v="28"/>
  </r>
  <r>
    <s v="SALE728"/>
    <x v="189"/>
    <s v="CUST1260"/>
    <s v="PROD91"/>
    <s v="STORE0"/>
    <n v="4"/>
    <n v="289.77"/>
    <x v="22"/>
    <x v="1"/>
    <x v="1"/>
    <x v="28"/>
    <x v="1"/>
    <x v="52"/>
    <x v="4"/>
    <n v="438.25"/>
    <x v="3"/>
    <x v="1"/>
    <x v="728"/>
    <n v="63"/>
  </r>
  <r>
    <s v="SALE729"/>
    <x v="453"/>
    <s v="CUST1156"/>
    <s v="PROD83"/>
    <s v="STORE18"/>
    <n v="2"/>
    <n v="354.26"/>
    <x v="10"/>
    <x v="2"/>
    <x v="0"/>
    <x v="16"/>
    <x v="3"/>
    <x v="50"/>
    <x v="2"/>
    <n v="289.359375"/>
    <x v="3"/>
    <x v="1"/>
    <x v="729"/>
    <n v="46"/>
  </r>
  <r>
    <s v="SALE730"/>
    <x v="110"/>
    <s v="CUST1385"/>
    <s v="PROD68"/>
    <s v="STORE14"/>
    <n v="1"/>
    <n v="522.72"/>
    <x v="2"/>
    <x v="1"/>
    <x v="0"/>
    <x v="42"/>
    <x v="0"/>
    <x v="88"/>
    <x v="3"/>
    <n v="243.7"/>
    <x v="2"/>
    <x v="0"/>
    <x v="730"/>
    <n v="60"/>
  </r>
  <r>
    <s v="SALE731"/>
    <x v="368"/>
    <s v="CUST1057"/>
    <s v="PROD5"/>
    <s v="STORE9"/>
    <n v="3"/>
    <n v="966.02"/>
    <x v="15"/>
    <x v="2"/>
    <x v="1"/>
    <x v="5"/>
    <x v="1"/>
    <x v="23"/>
    <x v="4"/>
    <n v="261"/>
    <x v="2"/>
    <x v="1"/>
    <x v="731"/>
    <n v="43"/>
  </r>
  <r>
    <s v="SALE732"/>
    <x v="30"/>
    <s v="CUST1224"/>
    <s v="PROD50"/>
    <s v="STORE17"/>
    <n v="1"/>
    <n v="498.61"/>
    <x v="13"/>
    <x v="1"/>
    <x v="0"/>
    <x v="6"/>
    <x v="2"/>
    <x v="57"/>
    <x v="0"/>
    <n v="190.29"/>
    <x v="0"/>
    <x v="1"/>
    <x v="732"/>
    <n v="29"/>
  </r>
  <r>
    <s v="SALE733"/>
    <x v="454"/>
    <s v="CUST1330"/>
    <s v="PROD42"/>
    <s v="STORE6"/>
    <n v="4"/>
    <n v="758.27"/>
    <x v="28"/>
    <x v="1"/>
    <x v="0"/>
    <x v="49"/>
    <x v="1"/>
    <x v="63"/>
    <x v="1"/>
    <n v="450.71"/>
    <x v="3"/>
    <x v="2"/>
    <x v="733"/>
    <n v="54"/>
  </r>
  <r>
    <s v="SALE734"/>
    <x v="160"/>
    <s v="CUST1198"/>
    <s v="PROD3"/>
    <s v="STORE2"/>
    <n v="2"/>
    <n v="371.03"/>
    <x v="7"/>
    <x v="1"/>
    <x v="0"/>
    <x v="1"/>
    <x v="3"/>
    <x v="58"/>
    <x v="4"/>
    <n v="364.67"/>
    <x v="2"/>
    <x v="0"/>
    <x v="734"/>
    <n v="54"/>
  </r>
  <r>
    <s v="SALE735"/>
    <x v="95"/>
    <s v="CUST1355"/>
    <s v="PROD91"/>
    <s v="STORE17"/>
    <n v="1"/>
    <n v="230.32"/>
    <x v="28"/>
    <x v="2"/>
    <x v="0"/>
    <x v="7"/>
    <x v="0"/>
    <x v="52"/>
    <x v="4"/>
    <n v="438.25"/>
    <x v="0"/>
    <x v="1"/>
    <x v="735"/>
    <n v="20"/>
  </r>
  <r>
    <s v="SALE736"/>
    <x v="455"/>
    <s v="CUST1342"/>
    <s v="PROD61"/>
    <s v="STORE6"/>
    <n v="2"/>
    <n v="985.43"/>
    <x v="23"/>
    <x v="2"/>
    <x v="1"/>
    <x v="40"/>
    <x v="3"/>
    <x v="86"/>
    <x v="0"/>
    <n v="103.45"/>
    <x v="3"/>
    <x v="2"/>
    <x v="736"/>
    <n v="30"/>
  </r>
  <r>
    <s v="SALE737"/>
    <x v="131"/>
    <s v="CUST1422"/>
    <s v="PROD9"/>
    <s v="STORE4"/>
    <n v="2"/>
    <n v="492.5"/>
    <x v="11"/>
    <x v="1"/>
    <x v="1"/>
    <x v="32"/>
    <x v="1"/>
    <x v="93"/>
    <x v="0"/>
    <n v="495.72"/>
    <x v="2"/>
    <x v="2"/>
    <x v="737"/>
    <n v="42"/>
  </r>
  <r>
    <s v="SALE738"/>
    <x v="88"/>
    <s v="CUST1364"/>
    <s v="PROD46"/>
    <s v="STORE11"/>
    <n v="2"/>
    <n v="213.69"/>
    <x v="23"/>
    <x v="1"/>
    <x v="0"/>
    <x v="28"/>
    <x v="3"/>
    <x v="54"/>
    <x v="4"/>
    <n v="167.34"/>
    <x v="2"/>
    <x v="2"/>
    <x v="738"/>
    <n v="58"/>
  </r>
  <r>
    <s v="SALE739"/>
    <x v="59"/>
    <s v="CUST1065"/>
    <s v="PROD20"/>
    <s v="STORE8"/>
    <n v="4"/>
    <n v="618.83"/>
    <x v="16"/>
    <x v="1"/>
    <x v="1"/>
    <x v="8"/>
    <x v="2"/>
    <x v="42"/>
    <x v="0"/>
    <n v="131.51"/>
    <x v="1"/>
    <x v="2"/>
    <x v="739"/>
    <n v="21"/>
  </r>
  <r>
    <s v="SALE740"/>
    <x v="154"/>
    <s v="CUST1093"/>
    <s v="PROD59"/>
    <s v="STORE11"/>
    <n v="2"/>
    <n v="81.16"/>
    <x v="3"/>
    <x v="1"/>
    <x v="1"/>
    <x v="42"/>
    <x v="0"/>
    <x v="4"/>
    <x v="2"/>
    <n v="17.31"/>
    <x v="2"/>
    <x v="2"/>
    <x v="740"/>
    <n v="28"/>
  </r>
  <r>
    <s v="SALE741"/>
    <x v="364"/>
    <s v="CUST1002"/>
    <s v="PROD86"/>
    <s v="STORE9"/>
    <n v="1"/>
    <n v="431.69"/>
    <x v="0"/>
    <x v="0"/>
    <x v="1"/>
    <x v="4"/>
    <x v="1"/>
    <x v="56"/>
    <x v="3"/>
    <n v="176.07"/>
    <x v="2"/>
    <x v="1"/>
    <x v="741"/>
    <n v="29"/>
  </r>
  <r>
    <s v="SALE742"/>
    <x v="221"/>
    <s v="CUST1405"/>
    <s v="PROD18"/>
    <s v="STORE5"/>
    <n v="3"/>
    <n v="438.65"/>
    <x v="12"/>
    <x v="1"/>
    <x v="1"/>
    <x v="38"/>
    <x v="0"/>
    <x v="97"/>
    <x v="4"/>
    <n v="245.778311688312"/>
    <x v="0"/>
    <x v="0"/>
    <x v="742"/>
    <n v="18"/>
  </r>
  <r>
    <s v="SALE743"/>
    <x v="393"/>
    <s v="CUST1172"/>
    <s v="PROD79"/>
    <s v="STORE3"/>
    <n v="3"/>
    <n v="339.41"/>
    <x v="25"/>
    <x v="0"/>
    <x v="1"/>
    <x v="35"/>
    <x v="3"/>
    <x v="29"/>
    <x v="3"/>
    <n v="228.53"/>
    <x v="0"/>
    <x v="0"/>
    <x v="743"/>
    <n v="41"/>
  </r>
  <r>
    <s v="SALE744"/>
    <x v="456"/>
    <s v="CUST1470"/>
    <s v="PROD79"/>
    <s v="STORE9"/>
    <n v="4"/>
    <n v="848.47"/>
    <x v="34"/>
    <x v="2"/>
    <x v="1"/>
    <x v="21"/>
    <x v="0"/>
    <x v="29"/>
    <x v="3"/>
    <n v="228.53"/>
    <x v="2"/>
    <x v="1"/>
    <x v="744"/>
    <n v="21"/>
  </r>
  <r>
    <s v="SALE745"/>
    <x v="457"/>
    <s v="CUST1192"/>
    <s v="PROD67"/>
    <s v="STORE8"/>
    <n v="1"/>
    <n v="664.87"/>
    <x v="16"/>
    <x v="1"/>
    <x v="0"/>
    <x v="12"/>
    <x v="0"/>
    <x v="22"/>
    <x v="1"/>
    <n v="349.17"/>
    <x v="1"/>
    <x v="2"/>
    <x v="745"/>
    <n v="26"/>
  </r>
  <r>
    <s v="SALE746"/>
    <x v="456"/>
    <s v="CUST1099"/>
    <s v="PROD24"/>
    <s v="STORE7"/>
    <n v="1"/>
    <n v="412.11"/>
    <x v="7"/>
    <x v="1"/>
    <x v="0"/>
    <x v="3"/>
    <x v="2"/>
    <x v="10"/>
    <x v="0"/>
    <n v="166.06"/>
    <x v="2"/>
    <x v="2"/>
    <x v="746"/>
    <n v="35"/>
  </r>
  <r>
    <s v="SALE747"/>
    <x v="120"/>
    <s v="CUST1122"/>
    <s v="PROD94"/>
    <s v="STORE1"/>
    <n v="1"/>
    <n v="126.09"/>
    <x v="28"/>
    <x v="2"/>
    <x v="0"/>
    <x v="29"/>
    <x v="1"/>
    <x v="32"/>
    <x v="2"/>
    <n v="358.47"/>
    <x v="0"/>
    <x v="1"/>
    <x v="747"/>
    <n v="50"/>
  </r>
  <r>
    <s v="SALE748"/>
    <x v="207"/>
    <s v="CUST1198"/>
    <s v="PROD67"/>
    <s v="STORE10"/>
    <n v="4"/>
    <n v="602.39"/>
    <x v="5"/>
    <x v="2"/>
    <x v="0"/>
    <x v="1"/>
    <x v="3"/>
    <x v="22"/>
    <x v="1"/>
    <n v="349.17"/>
    <x v="3"/>
    <x v="2"/>
    <x v="748"/>
    <n v="54"/>
  </r>
  <r>
    <s v="SALE749"/>
    <x v="458"/>
    <s v="CUST1325"/>
    <s v="PROD82"/>
    <s v="STORE3"/>
    <n v="3"/>
    <n v="447.69"/>
    <x v="31"/>
    <x v="2"/>
    <x v="0"/>
    <x v="18"/>
    <x v="3"/>
    <x v="74"/>
    <x v="0"/>
    <n v="152.92"/>
    <x v="0"/>
    <x v="0"/>
    <x v="749"/>
    <n v="60"/>
  </r>
  <r>
    <s v="SALE750"/>
    <x v="428"/>
    <s v="CUST1248"/>
    <s v="PROD34"/>
    <s v="STORE3"/>
    <n v="3"/>
    <n v="35.16"/>
    <x v="13"/>
    <x v="2"/>
    <x v="0"/>
    <x v="8"/>
    <x v="0"/>
    <x v="13"/>
    <x v="1"/>
    <n v="419.28"/>
    <x v="0"/>
    <x v="0"/>
    <x v="750"/>
    <n v="19"/>
  </r>
  <r>
    <s v="SALE751"/>
    <x v="459"/>
    <s v="CUST1330"/>
    <s v="PROD72"/>
    <s v="STORE11"/>
    <n v="2"/>
    <n v="838.59"/>
    <x v="4"/>
    <x v="2"/>
    <x v="0"/>
    <x v="49"/>
    <x v="1"/>
    <x v="18"/>
    <x v="0"/>
    <n v="477.61"/>
    <x v="2"/>
    <x v="2"/>
    <x v="751"/>
    <n v="54"/>
  </r>
  <r>
    <s v="SALE752"/>
    <x v="118"/>
    <s v="CUST1089"/>
    <s v="PROD59"/>
    <s v="STORE6"/>
    <n v="4"/>
    <n v="867.94"/>
    <x v="25"/>
    <x v="1"/>
    <x v="0"/>
    <x v="18"/>
    <x v="1"/>
    <x v="4"/>
    <x v="2"/>
    <n v="17.31"/>
    <x v="3"/>
    <x v="2"/>
    <x v="752"/>
    <n v="43"/>
  </r>
  <r>
    <s v="SALE753"/>
    <x v="341"/>
    <s v="CUST1196"/>
    <s v="PROD39"/>
    <s v="STORE17"/>
    <n v="1"/>
    <n v="623.88"/>
    <x v="2"/>
    <x v="0"/>
    <x v="1"/>
    <x v="41"/>
    <x v="1"/>
    <x v="11"/>
    <x v="1"/>
    <n v="326.06"/>
    <x v="0"/>
    <x v="1"/>
    <x v="753"/>
    <n v="18"/>
  </r>
  <r>
    <s v="SALE754"/>
    <x v="460"/>
    <s v="CUST1177"/>
    <s v="PROD42"/>
    <s v="STORE14"/>
    <n v="2"/>
    <n v="567.95"/>
    <x v="27"/>
    <x v="1"/>
    <x v="0"/>
    <x v="27"/>
    <x v="1"/>
    <x v="63"/>
    <x v="1"/>
    <n v="450.71"/>
    <x v="2"/>
    <x v="0"/>
    <x v="754"/>
    <n v="55"/>
  </r>
  <r>
    <s v="SALE755"/>
    <x v="231"/>
    <s v="CUST1323"/>
    <s v="PROD31"/>
    <s v="STORE18"/>
    <n v="2"/>
    <n v="671.69"/>
    <x v="5"/>
    <x v="0"/>
    <x v="1"/>
    <x v="29"/>
    <x v="1"/>
    <x v="45"/>
    <x v="0"/>
    <n v="204.39"/>
    <x v="3"/>
    <x v="1"/>
    <x v="755"/>
    <n v="64"/>
  </r>
  <r>
    <s v="SALE756"/>
    <x v="461"/>
    <s v="CUST1206"/>
    <s v="PROD6"/>
    <s v="STORE7"/>
    <n v="2"/>
    <n v="257.96"/>
    <x v="34"/>
    <x v="1"/>
    <x v="1"/>
    <x v="3"/>
    <x v="2"/>
    <x v="96"/>
    <x v="2"/>
    <n v="312.8"/>
    <x v="2"/>
    <x v="2"/>
    <x v="756"/>
    <n v="26"/>
  </r>
  <r>
    <s v="SALE757"/>
    <x v="235"/>
    <s v="CUST1204"/>
    <s v="PROD98"/>
    <s v="STORE19"/>
    <n v="4"/>
    <n v="281.48"/>
    <x v="1"/>
    <x v="1"/>
    <x v="0"/>
    <x v="45"/>
    <x v="1"/>
    <x v="24"/>
    <x v="1"/>
    <n v="431.67"/>
    <x v="3"/>
    <x v="2"/>
    <x v="757"/>
    <n v="52"/>
  </r>
  <r>
    <s v="SALE758"/>
    <x v="462"/>
    <s v="CUST1316"/>
    <s v="PROD20"/>
    <s v="STORE11"/>
    <n v="1"/>
    <n v="202.13"/>
    <x v="21"/>
    <x v="2"/>
    <x v="0"/>
    <x v="33"/>
    <x v="0"/>
    <x v="42"/>
    <x v="0"/>
    <n v="131.51"/>
    <x v="2"/>
    <x v="2"/>
    <x v="758"/>
    <n v="34"/>
  </r>
  <r>
    <s v="SALE759"/>
    <x v="463"/>
    <s v="CUST1271"/>
    <s v="PROD74"/>
    <s v="STORE5"/>
    <n v="1"/>
    <n v="370.66"/>
    <x v="10"/>
    <x v="1"/>
    <x v="0"/>
    <x v="48"/>
    <x v="1"/>
    <x v="1"/>
    <x v="1"/>
    <n v="403.71"/>
    <x v="0"/>
    <x v="0"/>
    <x v="759"/>
    <n v="64"/>
  </r>
  <r>
    <s v="SALE760"/>
    <x v="464"/>
    <s v="CUST1005"/>
    <s v="PROD61"/>
    <s v="STORE12"/>
    <n v="4"/>
    <n v="731.53"/>
    <x v="27"/>
    <x v="0"/>
    <x v="0"/>
    <x v="47"/>
    <x v="3"/>
    <x v="86"/>
    <x v="0"/>
    <n v="103.45"/>
    <x v="0"/>
    <x v="2"/>
    <x v="760"/>
    <n v="24"/>
  </r>
  <r>
    <s v="SALE761"/>
    <x v="160"/>
    <s v="CUST1165"/>
    <s v="PROD78"/>
    <s v="STORE1"/>
    <n v="3"/>
    <n v="468.25"/>
    <x v="8"/>
    <x v="1"/>
    <x v="1"/>
    <x v="49"/>
    <x v="1"/>
    <x v="36"/>
    <x v="3"/>
    <n v="325.26"/>
    <x v="0"/>
    <x v="1"/>
    <x v="761"/>
    <n v="47"/>
  </r>
  <r>
    <s v="SALE762"/>
    <x v="398"/>
    <s v="CUST1001"/>
    <s v="PROD67"/>
    <s v="STORE0"/>
    <n v="1"/>
    <n v="928.72"/>
    <x v="30"/>
    <x v="2"/>
    <x v="1"/>
    <x v="16"/>
    <x v="1"/>
    <x v="22"/>
    <x v="1"/>
    <n v="349.17"/>
    <x v="3"/>
    <x v="1"/>
    <x v="762"/>
    <n v="26"/>
  </r>
  <r>
    <s v="SALE763"/>
    <x v="5"/>
    <s v="CUST1101"/>
    <s v="PROD4"/>
    <s v="STORE18"/>
    <n v="3"/>
    <n v="217.22"/>
    <x v="22"/>
    <x v="1"/>
    <x v="0"/>
    <x v="39"/>
    <x v="0"/>
    <x v="83"/>
    <x v="4"/>
    <n v="306.46"/>
    <x v="3"/>
    <x v="1"/>
    <x v="763"/>
    <n v="29"/>
  </r>
  <r>
    <s v="SALE764"/>
    <x v="142"/>
    <s v="CUST1405"/>
    <s v="PROD24"/>
    <s v="STORE3"/>
    <n v="1"/>
    <n v="387.99"/>
    <x v="11"/>
    <x v="0"/>
    <x v="1"/>
    <x v="38"/>
    <x v="0"/>
    <x v="10"/>
    <x v="0"/>
    <n v="166.06"/>
    <x v="0"/>
    <x v="0"/>
    <x v="764"/>
    <n v="18"/>
  </r>
  <r>
    <s v="SALE765"/>
    <x v="132"/>
    <s v="CUST1476"/>
    <s v="PROD18"/>
    <s v="STORE6"/>
    <n v="4"/>
    <n v="186.24"/>
    <x v="7"/>
    <x v="0"/>
    <x v="1"/>
    <x v="15"/>
    <x v="0"/>
    <x v="97"/>
    <x v="4"/>
    <n v="245.778311688312"/>
    <x v="3"/>
    <x v="2"/>
    <x v="765"/>
    <n v="33"/>
  </r>
  <r>
    <s v="SALE766"/>
    <x v="146"/>
    <s v="CUST1296"/>
    <s v="PROD40"/>
    <s v="STORE8"/>
    <n v="4"/>
    <n v="609.06"/>
    <x v="14"/>
    <x v="2"/>
    <x v="1"/>
    <x v="35"/>
    <x v="3"/>
    <x v="43"/>
    <x v="1"/>
    <n v="38.52"/>
    <x v="1"/>
    <x v="2"/>
    <x v="766"/>
    <n v="28"/>
  </r>
  <r>
    <s v="SALE767"/>
    <x v="244"/>
    <s v="CUST1437"/>
    <s v="PROD33"/>
    <s v="STORE11"/>
    <n v="1"/>
    <n v="827.91"/>
    <x v="34"/>
    <x v="1"/>
    <x v="1"/>
    <x v="21"/>
    <x v="1"/>
    <x v="9"/>
    <x v="3"/>
    <n v="179.77"/>
    <x v="2"/>
    <x v="2"/>
    <x v="767"/>
    <n v="47"/>
  </r>
  <r>
    <s v="SALE768"/>
    <x v="40"/>
    <s v="CUST1176"/>
    <s v="PROD83"/>
    <s v="STORE0"/>
    <n v="1"/>
    <n v="303.79"/>
    <x v="24"/>
    <x v="1"/>
    <x v="0"/>
    <x v="1"/>
    <x v="2"/>
    <x v="50"/>
    <x v="2"/>
    <n v="289.359375"/>
    <x v="3"/>
    <x v="1"/>
    <x v="768"/>
    <n v="48"/>
  </r>
  <r>
    <s v="SALE769"/>
    <x v="465"/>
    <s v="CUST1104"/>
    <s v="PROD37"/>
    <s v="STORE6"/>
    <n v="2"/>
    <n v="365.91"/>
    <x v="17"/>
    <x v="2"/>
    <x v="0"/>
    <x v="36"/>
    <x v="2"/>
    <x v="92"/>
    <x v="4"/>
    <n v="353.47"/>
    <x v="3"/>
    <x v="2"/>
    <x v="769"/>
    <n v="64"/>
  </r>
  <r>
    <s v="SALE770"/>
    <x v="362"/>
    <s v="CUST1069"/>
    <s v="PROD25"/>
    <s v="STORE17"/>
    <n v="3"/>
    <n v="852.72"/>
    <x v="3"/>
    <x v="0"/>
    <x v="1"/>
    <x v="19"/>
    <x v="1"/>
    <x v="60"/>
    <x v="4"/>
    <n v="174.02"/>
    <x v="0"/>
    <x v="1"/>
    <x v="770"/>
    <n v="24"/>
  </r>
  <r>
    <s v="SALE771"/>
    <x v="385"/>
    <s v="CUST1247"/>
    <s v="PROD10"/>
    <s v="STORE4"/>
    <n v="1"/>
    <n v="768.25"/>
    <x v="4"/>
    <x v="0"/>
    <x v="0"/>
    <x v="21"/>
    <x v="1"/>
    <x v="31"/>
    <x v="3"/>
    <n v="298.86"/>
    <x v="2"/>
    <x v="2"/>
    <x v="771"/>
    <n v="32"/>
  </r>
  <r>
    <s v="SALE772"/>
    <x v="466"/>
    <s v="CUST1350"/>
    <s v="PROD92"/>
    <s v="STORE19"/>
    <n v="2"/>
    <n v="318.62"/>
    <x v="31"/>
    <x v="2"/>
    <x v="0"/>
    <x v="9"/>
    <x v="2"/>
    <x v="80"/>
    <x v="3"/>
    <n v="447.43"/>
    <x v="3"/>
    <x v="2"/>
    <x v="772"/>
    <n v="26"/>
  </r>
  <r>
    <s v="SALE773"/>
    <x v="467"/>
    <s v="CUST1049"/>
    <s v="PROD76"/>
    <s v="STORE2"/>
    <n v="4"/>
    <n v="402.11"/>
    <x v="17"/>
    <x v="1"/>
    <x v="1"/>
    <x v="31"/>
    <x v="0"/>
    <x v="3"/>
    <x v="1"/>
    <n v="392.89"/>
    <x v="2"/>
    <x v="0"/>
    <x v="773"/>
    <n v="45"/>
  </r>
  <r>
    <s v="SALE774"/>
    <x v="391"/>
    <s v="CUST1408"/>
    <s v="PROD84"/>
    <s v="STORE17"/>
    <n v="3"/>
    <n v="846.31"/>
    <x v="4"/>
    <x v="2"/>
    <x v="0"/>
    <x v="19"/>
    <x v="0"/>
    <x v="94"/>
    <x v="3"/>
    <n v="388.46"/>
    <x v="0"/>
    <x v="1"/>
    <x v="774"/>
    <n v="36"/>
  </r>
  <r>
    <s v="SALE775"/>
    <x v="468"/>
    <s v="CUST1168"/>
    <s v="PROD94"/>
    <s v="STORE14"/>
    <n v="1"/>
    <n v="269.94"/>
    <x v="8"/>
    <x v="2"/>
    <x v="1"/>
    <x v="26"/>
    <x v="1"/>
    <x v="32"/>
    <x v="2"/>
    <n v="358.47"/>
    <x v="2"/>
    <x v="0"/>
    <x v="775"/>
    <n v="36"/>
  </r>
  <r>
    <s v="SALE776"/>
    <x v="469"/>
    <s v="CUST1241"/>
    <s v="PROD20"/>
    <s v="STORE4"/>
    <n v="3"/>
    <n v="909.25"/>
    <x v="12"/>
    <x v="2"/>
    <x v="0"/>
    <x v="45"/>
    <x v="1"/>
    <x v="42"/>
    <x v="0"/>
    <n v="131.51"/>
    <x v="2"/>
    <x v="2"/>
    <x v="776"/>
    <n v="31"/>
  </r>
  <r>
    <s v="SALE777"/>
    <x v="316"/>
    <s v="CUST1363"/>
    <s v="PROD91"/>
    <s v="STORE12"/>
    <n v="2"/>
    <n v="229.81"/>
    <x v="34"/>
    <x v="2"/>
    <x v="0"/>
    <x v="31"/>
    <x v="3"/>
    <x v="52"/>
    <x v="4"/>
    <n v="438.25"/>
    <x v="0"/>
    <x v="2"/>
    <x v="777"/>
    <n v="23"/>
  </r>
  <r>
    <s v="SALE778"/>
    <x v="470"/>
    <s v="CUST1037"/>
    <s v="PROD78"/>
    <s v="STORE15"/>
    <n v="3"/>
    <n v="442.36"/>
    <x v="22"/>
    <x v="1"/>
    <x v="1"/>
    <x v="34"/>
    <x v="4"/>
    <x v="36"/>
    <x v="3"/>
    <n v="325.26"/>
    <x v="0"/>
    <x v="1"/>
    <x v="778"/>
    <n v="27"/>
  </r>
  <r>
    <s v="SALE779"/>
    <x v="239"/>
    <s v="CUST1239"/>
    <s v="PROD86"/>
    <s v="STORE3"/>
    <n v="3"/>
    <n v="413.74"/>
    <x v="10"/>
    <x v="0"/>
    <x v="1"/>
    <x v="8"/>
    <x v="1"/>
    <x v="56"/>
    <x v="3"/>
    <n v="176.07"/>
    <x v="0"/>
    <x v="0"/>
    <x v="779"/>
    <n v="58"/>
  </r>
  <r>
    <s v="SALE780"/>
    <x v="471"/>
    <s v="CUST1496"/>
    <s v="PROD89"/>
    <s v="STORE14"/>
    <n v="4"/>
    <n v="79.75"/>
    <x v="4"/>
    <x v="1"/>
    <x v="0"/>
    <x v="31"/>
    <x v="3"/>
    <x v="41"/>
    <x v="2"/>
    <n v="183.04"/>
    <x v="2"/>
    <x v="0"/>
    <x v="780"/>
    <n v="56"/>
  </r>
  <r>
    <s v="SALE781"/>
    <x v="138"/>
    <s v="CUST1495"/>
    <s v="PROD40"/>
    <s v="STORE12"/>
    <n v="4"/>
    <n v="95.06"/>
    <x v="15"/>
    <x v="0"/>
    <x v="1"/>
    <x v="37"/>
    <x v="3"/>
    <x v="43"/>
    <x v="1"/>
    <n v="38.52"/>
    <x v="0"/>
    <x v="2"/>
    <x v="781"/>
    <n v="23"/>
  </r>
  <r>
    <s v="SALE782"/>
    <x v="472"/>
    <s v="CUST1416"/>
    <s v="PROD98"/>
    <s v="STORE7"/>
    <n v="4"/>
    <n v="107.08"/>
    <x v="1"/>
    <x v="2"/>
    <x v="0"/>
    <x v="18"/>
    <x v="1"/>
    <x v="24"/>
    <x v="1"/>
    <n v="431.67"/>
    <x v="2"/>
    <x v="2"/>
    <x v="782"/>
    <n v="46"/>
  </r>
  <r>
    <s v="SALE783"/>
    <x v="473"/>
    <s v="CUST1474"/>
    <s v="PROD99"/>
    <s v="STORE18"/>
    <n v="1"/>
    <n v="873.18"/>
    <x v="15"/>
    <x v="2"/>
    <x v="1"/>
    <x v="34"/>
    <x v="1"/>
    <x v="8"/>
    <x v="3"/>
    <n v="201.41"/>
    <x v="3"/>
    <x v="1"/>
    <x v="783"/>
    <n v="32"/>
  </r>
  <r>
    <s v="SALE784"/>
    <x v="267"/>
    <s v="CUST1377"/>
    <s v="PROD70"/>
    <s v="STORE18"/>
    <n v="1"/>
    <n v="914.75"/>
    <x v="30"/>
    <x v="2"/>
    <x v="1"/>
    <x v="17"/>
    <x v="0"/>
    <x v="7"/>
    <x v="3"/>
    <n v="138.05"/>
    <x v="3"/>
    <x v="1"/>
    <x v="784"/>
    <n v="39"/>
  </r>
  <r>
    <s v="SALE785"/>
    <x v="335"/>
    <s v="CUST1049"/>
    <s v="PROD73"/>
    <s v="STORE13"/>
    <n v="4"/>
    <n v="457.33"/>
    <x v="30"/>
    <x v="0"/>
    <x v="1"/>
    <x v="31"/>
    <x v="0"/>
    <x v="78"/>
    <x v="0"/>
    <n v="107.06"/>
    <x v="3"/>
    <x v="1"/>
    <x v="785"/>
    <n v="45"/>
  </r>
  <r>
    <s v="SALE786"/>
    <x v="392"/>
    <s v="CUST1292"/>
    <s v="PROD99"/>
    <s v="STORE3"/>
    <n v="3"/>
    <n v="761.88"/>
    <x v="7"/>
    <x v="1"/>
    <x v="0"/>
    <x v="46"/>
    <x v="2"/>
    <x v="8"/>
    <x v="3"/>
    <n v="201.41"/>
    <x v="0"/>
    <x v="0"/>
    <x v="786"/>
    <n v="30"/>
  </r>
  <r>
    <s v="SALE787"/>
    <x v="376"/>
    <s v="CUST1177"/>
    <s v="PROD37"/>
    <s v="STORE19"/>
    <n v="4"/>
    <n v="122.87"/>
    <x v="21"/>
    <x v="0"/>
    <x v="0"/>
    <x v="27"/>
    <x v="1"/>
    <x v="92"/>
    <x v="4"/>
    <n v="353.47"/>
    <x v="3"/>
    <x v="2"/>
    <x v="787"/>
    <n v="55"/>
  </r>
  <r>
    <s v="SALE788"/>
    <x v="428"/>
    <s v="CUST1475"/>
    <s v="PROD73"/>
    <s v="STORE4"/>
    <n v="4"/>
    <n v="753"/>
    <x v="23"/>
    <x v="2"/>
    <x v="1"/>
    <x v="1"/>
    <x v="1"/>
    <x v="78"/>
    <x v="0"/>
    <n v="107.06"/>
    <x v="2"/>
    <x v="2"/>
    <x v="788"/>
    <n v="18"/>
  </r>
  <r>
    <s v="SALE789"/>
    <x v="474"/>
    <s v="CUST1370"/>
    <s v="PROD5"/>
    <s v="STORE5"/>
    <n v="2"/>
    <n v="788.05"/>
    <x v="34"/>
    <x v="0"/>
    <x v="0"/>
    <x v="30"/>
    <x v="2"/>
    <x v="23"/>
    <x v="4"/>
    <n v="261"/>
    <x v="0"/>
    <x v="0"/>
    <x v="789"/>
    <n v="45"/>
  </r>
  <r>
    <s v="SALE790"/>
    <x v="13"/>
    <s v="CUST1462"/>
    <s v="PROD82"/>
    <s v="STORE10"/>
    <n v="2"/>
    <n v="807.1"/>
    <x v="12"/>
    <x v="0"/>
    <x v="1"/>
    <x v="35"/>
    <x v="2"/>
    <x v="74"/>
    <x v="0"/>
    <n v="152.92"/>
    <x v="3"/>
    <x v="2"/>
    <x v="790"/>
    <n v="34"/>
  </r>
  <r>
    <s v="SALE791"/>
    <x v="475"/>
    <s v="CUST1134"/>
    <s v="PROD8"/>
    <s v="STORE1"/>
    <n v="2"/>
    <n v="443.09"/>
    <x v="31"/>
    <x v="1"/>
    <x v="0"/>
    <x v="7"/>
    <x v="0"/>
    <x v="67"/>
    <x v="1"/>
    <n v="439.07"/>
    <x v="0"/>
    <x v="1"/>
    <x v="791"/>
    <n v="54"/>
  </r>
  <r>
    <s v="SALE792"/>
    <x v="476"/>
    <s v="CUST1468"/>
    <s v="PROD19"/>
    <s v="STORE15"/>
    <n v="1"/>
    <n v="512.16"/>
    <x v="31"/>
    <x v="2"/>
    <x v="0"/>
    <x v="1"/>
    <x v="3"/>
    <x v="46"/>
    <x v="0"/>
    <n v="21.34"/>
    <x v="0"/>
    <x v="1"/>
    <x v="792"/>
    <n v="45"/>
  </r>
  <r>
    <s v="SALE793"/>
    <x v="85"/>
    <s v="CUST1208"/>
    <s v="PROD41"/>
    <s v="STORE18"/>
    <n v="2"/>
    <n v="602.55"/>
    <x v="7"/>
    <x v="2"/>
    <x v="0"/>
    <x v="38"/>
    <x v="1"/>
    <x v="89"/>
    <x v="0"/>
    <n v="313.26"/>
    <x v="3"/>
    <x v="1"/>
    <x v="793"/>
    <n v="54"/>
  </r>
  <r>
    <s v="SALE794"/>
    <x v="142"/>
    <s v="CUST1164"/>
    <s v="PROD42"/>
    <s v="STORE0"/>
    <n v="3"/>
    <n v="846.19"/>
    <x v="0"/>
    <x v="2"/>
    <x v="1"/>
    <x v="36"/>
    <x v="2"/>
    <x v="63"/>
    <x v="1"/>
    <n v="450.71"/>
    <x v="3"/>
    <x v="1"/>
    <x v="794"/>
    <n v="39"/>
  </r>
  <r>
    <s v="SALE795"/>
    <x v="359"/>
    <s v="CUST1326"/>
    <s v="PROD69"/>
    <s v="STORE8"/>
    <n v="1"/>
    <n v="506.73"/>
    <x v="12"/>
    <x v="0"/>
    <x v="1"/>
    <x v="5"/>
    <x v="0"/>
    <x v="20"/>
    <x v="4"/>
    <n v="218.22"/>
    <x v="1"/>
    <x v="2"/>
    <x v="795"/>
    <n v="58"/>
  </r>
  <r>
    <s v="SALE796"/>
    <x v="289"/>
    <s v="CUST1052"/>
    <s v="PROD51"/>
    <s v="STORE16"/>
    <n v="1"/>
    <n v="408.66"/>
    <x v="21"/>
    <x v="2"/>
    <x v="0"/>
    <x v="46"/>
    <x v="3"/>
    <x v="69"/>
    <x v="1"/>
    <n v="88.49"/>
    <x v="1"/>
    <x v="1"/>
    <x v="796"/>
    <n v="55"/>
  </r>
  <r>
    <s v="SALE797"/>
    <x v="21"/>
    <s v="CUST1110"/>
    <s v="PROD8"/>
    <s v="STORE17"/>
    <n v="3"/>
    <n v="170.48"/>
    <x v="22"/>
    <x v="2"/>
    <x v="1"/>
    <x v="33"/>
    <x v="0"/>
    <x v="67"/>
    <x v="1"/>
    <n v="439.07"/>
    <x v="0"/>
    <x v="1"/>
    <x v="797"/>
    <n v="40"/>
  </r>
  <r>
    <s v="SALE798"/>
    <x v="216"/>
    <s v="CUST1097"/>
    <s v="PROD18"/>
    <s v="STORE9"/>
    <n v="1"/>
    <n v="423.48"/>
    <x v="4"/>
    <x v="1"/>
    <x v="0"/>
    <x v="34"/>
    <x v="2"/>
    <x v="97"/>
    <x v="4"/>
    <n v="245.778311688312"/>
    <x v="2"/>
    <x v="1"/>
    <x v="798"/>
    <n v="36"/>
  </r>
  <r>
    <s v="SALE799"/>
    <x v="64"/>
    <s v="CUST1235"/>
    <s v="PROD92"/>
    <s v="STORE11"/>
    <n v="4"/>
    <n v="23.57"/>
    <x v="30"/>
    <x v="0"/>
    <x v="1"/>
    <x v="37"/>
    <x v="3"/>
    <x v="80"/>
    <x v="3"/>
    <n v="447.43"/>
    <x v="2"/>
    <x v="2"/>
    <x v="799"/>
    <n v="28"/>
  </r>
  <r>
    <s v="SALE800"/>
    <x v="315"/>
    <s v="CUST1381"/>
    <s v="PROD42"/>
    <s v="STORE18"/>
    <n v="2"/>
    <n v="953.26"/>
    <x v="30"/>
    <x v="2"/>
    <x v="0"/>
    <x v="4"/>
    <x v="2"/>
    <x v="63"/>
    <x v="1"/>
    <n v="450.71"/>
    <x v="3"/>
    <x v="1"/>
    <x v="800"/>
    <n v="50"/>
  </r>
  <r>
    <s v="SALE801"/>
    <x v="477"/>
    <s v="CUST1347"/>
    <s v="PROD73"/>
    <s v="STORE7"/>
    <n v="3"/>
    <n v="405.13"/>
    <x v="17"/>
    <x v="2"/>
    <x v="1"/>
    <x v="40"/>
    <x v="0"/>
    <x v="78"/>
    <x v="0"/>
    <n v="107.06"/>
    <x v="2"/>
    <x v="2"/>
    <x v="801"/>
    <n v="39"/>
  </r>
  <r>
    <s v="SALE802"/>
    <x v="7"/>
    <s v="CUST1339"/>
    <s v="PROD2"/>
    <s v="STORE4"/>
    <n v="2"/>
    <n v="333.83"/>
    <x v="25"/>
    <x v="1"/>
    <x v="1"/>
    <x v="28"/>
    <x v="1"/>
    <x v="95"/>
    <x v="4"/>
    <n v="254.620869565217"/>
    <x v="2"/>
    <x v="2"/>
    <x v="802"/>
    <n v="52"/>
  </r>
  <r>
    <s v="SALE803"/>
    <x v="478"/>
    <s v="CUST1333"/>
    <s v="PROD91"/>
    <s v="STORE3"/>
    <n v="2"/>
    <n v="727.18"/>
    <x v="14"/>
    <x v="1"/>
    <x v="1"/>
    <x v="36"/>
    <x v="0"/>
    <x v="52"/>
    <x v="4"/>
    <n v="438.25"/>
    <x v="0"/>
    <x v="0"/>
    <x v="803"/>
    <n v="64"/>
  </r>
  <r>
    <s v="SALE804"/>
    <x v="428"/>
    <s v="CUST1306"/>
    <s v="PROD5"/>
    <s v="STORE10"/>
    <n v="2"/>
    <n v="516.02"/>
    <x v="5"/>
    <x v="2"/>
    <x v="0"/>
    <x v="3"/>
    <x v="1"/>
    <x v="23"/>
    <x v="4"/>
    <n v="261"/>
    <x v="3"/>
    <x v="2"/>
    <x v="804"/>
    <n v="44"/>
  </r>
  <r>
    <s v="SALE805"/>
    <x v="191"/>
    <s v="CUST1294"/>
    <s v="PROD42"/>
    <s v="STORE11"/>
    <n v="2"/>
    <n v="705.61"/>
    <x v="23"/>
    <x v="0"/>
    <x v="0"/>
    <x v="10"/>
    <x v="1"/>
    <x v="63"/>
    <x v="1"/>
    <n v="450.71"/>
    <x v="2"/>
    <x v="2"/>
    <x v="805"/>
    <n v="29"/>
  </r>
  <r>
    <s v="SALE806"/>
    <x v="479"/>
    <s v="CUST1275"/>
    <s v="PROD84"/>
    <s v="STORE8"/>
    <n v="3"/>
    <n v="654.47"/>
    <x v="4"/>
    <x v="2"/>
    <x v="0"/>
    <x v="27"/>
    <x v="0"/>
    <x v="94"/>
    <x v="3"/>
    <n v="388.46"/>
    <x v="1"/>
    <x v="2"/>
    <x v="806"/>
    <n v="22"/>
  </r>
  <r>
    <s v="SALE807"/>
    <x v="480"/>
    <s v="CUST1171"/>
    <s v="PROD88"/>
    <s v="STORE15"/>
    <n v="2"/>
    <n v="315.27"/>
    <x v="7"/>
    <x v="0"/>
    <x v="1"/>
    <x v="30"/>
    <x v="1"/>
    <x v="12"/>
    <x v="0"/>
    <n v="131.24"/>
    <x v="0"/>
    <x v="1"/>
    <x v="807"/>
    <n v="44"/>
  </r>
  <r>
    <s v="SALE808"/>
    <x v="279"/>
    <s v="CUST1222"/>
    <s v="PROD28"/>
    <s v="STORE2"/>
    <n v="1"/>
    <n v="974.47"/>
    <x v="28"/>
    <x v="0"/>
    <x v="0"/>
    <x v="23"/>
    <x v="1"/>
    <x v="77"/>
    <x v="0"/>
    <n v="38.76"/>
    <x v="2"/>
    <x v="0"/>
    <x v="808"/>
    <n v="35"/>
  </r>
  <r>
    <s v="SALE809"/>
    <x v="481"/>
    <s v="CUST1067"/>
    <s v="PROD2"/>
    <s v="STORE4"/>
    <n v="2"/>
    <n v="803.3"/>
    <x v="9"/>
    <x v="0"/>
    <x v="0"/>
    <x v="26"/>
    <x v="2"/>
    <x v="95"/>
    <x v="4"/>
    <n v="254.620869565217"/>
    <x v="2"/>
    <x v="2"/>
    <x v="809"/>
    <n v="58"/>
  </r>
  <r>
    <s v="SALE810"/>
    <x v="21"/>
    <s v="CUST1013"/>
    <s v="PROD2"/>
    <s v="STORE10"/>
    <n v="4"/>
    <n v="863.87"/>
    <x v="34"/>
    <x v="2"/>
    <x v="1"/>
    <x v="10"/>
    <x v="2"/>
    <x v="95"/>
    <x v="4"/>
    <n v="254.620869565217"/>
    <x v="3"/>
    <x v="2"/>
    <x v="810"/>
    <n v="32"/>
  </r>
  <r>
    <s v="SALE811"/>
    <x v="212"/>
    <s v="CUST1469"/>
    <s v="PROD80"/>
    <s v="STORE18"/>
    <n v="1"/>
    <n v="450.11"/>
    <x v="9"/>
    <x v="0"/>
    <x v="0"/>
    <x v="39"/>
    <x v="0"/>
    <x v="61"/>
    <x v="3"/>
    <n v="143.43"/>
    <x v="3"/>
    <x v="1"/>
    <x v="811"/>
    <n v="19"/>
  </r>
  <r>
    <s v="SALE812"/>
    <x v="40"/>
    <s v="CUST1230"/>
    <s v="PROD68"/>
    <s v="STORE13"/>
    <n v="1"/>
    <n v="289.82"/>
    <x v="4"/>
    <x v="2"/>
    <x v="0"/>
    <x v="26"/>
    <x v="3"/>
    <x v="88"/>
    <x v="3"/>
    <n v="243.7"/>
    <x v="3"/>
    <x v="1"/>
    <x v="812"/>
    <n v="29"/>
  </r>
  <r>
    <s v="SALE813"/>
    <x v="271"/>
    <s v="CUST1334"/>
    <s v="PROD54"/>
    <s v="STORE10"/>
    <n v="4"/>
    <n v="250.64"/>
    <x v="30"/>
    <x v="1"/>
    <x v="1"/>
    <x v="40"/>
    <x v="2"/>
    <x v="59"/>
    <x v="0"/>
    <n v="434.84"/>
    <x v="3"/>
    <x v="2"/>
    <x v="813"/>
    <n v="50"/>
  </r>
  <r>
    <s v="SALE814"/>
    <x v="213"/>
    <s v="CUST1287"/>
    <s v="PROD69"/>
    <s v="STORE19"/>
    <n v="4"/>
    <n v="373.49"/>
    <x v="3"/>
    <x v="2"/>
    <x v="1"/>
    <x v="1"/>
    <x v="0"/>
    <x v="20"/>
    <x v="4"/>
    <n v="218.22"/>
    <x v="3"/>
    <x v="2"/>
    <x v="814"/>
    <n v="22"/>
  </r>
  <r>
    <s v="SALE815"/>
    <x v="287"/>
    <s v="CUST1066"/>
    <s v="PROD3"/>
    <s v="STORE9"/>
    <n v="4"/>
    <n v="348.91"/>
    <x v="4"/>
    <x v="1"/>
    <x v="1"/>
    <x v="21"/>
    <x v="2"/>
    <x v="58"/>
    <x v="4"/>
    <n v="364.67"/>
    <x v="2"/>
    <x v="1"/>
    <x v="815"/>
    <n v="27"/>
  </r>
  <r>
    <s v="SALE816"/>
    <x v="155"/>
    <s v="CUST1110"/>
    <s v="PROD94"/>
    <s v="STORE17"/>
    <n v="4"/>
    <n v="212.96"/>
    <x v="9"/>
    <x v="0"/>
    <x v="1"/>
    <x v="33"/>
    <x v="0"/>
    <x v="32"/>
    <x v="2"/>
    <n v="358.47"/>
    <x v="0"/>
    <x v="1"/>
    <x v="816"/>
    <n v="40"/>
  </r>
  <r>
    <s v="SALE817"/>
    <x v="194"/>
    <s v="CUST1190"/>
    <s v="PROD27"/>
    <s v="STORE19"/>
    <n v="3"/>
    <n v="871.34"/>
    <x v="32"/>
    <x v="2"/>
    <x v="0"/>
    <x v="14"/>
    <x v="3"/>
    <x v="16"/>
    <x v="3"/>
    <n v="250.021571428571"/>
    <x v="3"/>
    <x v="2"/>
    <x v="817"/>
    <n v="21"/>
  </r>
  <r>
    <s v="SALE818"/>
    <x v="309"/>
    <s v="CUST1100"/>
    <s v="PROD94"/>
    <s v="STORE0"/>
    <n v="2"/>
    <n v="698.94"/>
    <x v="22"/>
    <x v="0"/>
    <x v="1"/>
    <x v="11"/>
    <x v="1"/>
    <x v="32"/>
    <x v="2"/>
    <n v="358.47"/>
    <x v="3"/>
    <x v="1"/>
    <x v="818"/>
    <n v="53"/>
  </r>
  <r>
    <s v="SALE819"/>
    <x v="373"/>
    <s v="CUST1316"/>
    <s v="PROD74"/>
    <s v="STORE0"/>
    <n v="1"/>
    <n v="719.94"/>
    <x v="7"/>
    <x v="2"/>
    <x v="0"/>
    <x v="33"/>
    <x v="0"/>
    <x v="1"/>
    <x v="1"/>
    <n v="403.71"/>
    <x v="3"/>
    <x v="1"/>
    <x v="819"/>
    <n v="34"/>
  </r>
  <r>
    <s v="SALE820"/>
    <x v="48"/>
    <s v="CUST1006"/>
    <s v="PROD28"/>
    <s v="STORE4"/>
    <n v="2"/>
    <n v="278.16"/>
    <x v="14"/>
    <x v="1"/>
    <x v="1"/>
    <x v="34"/>
    <x v="1"/>
    <x v="77"/>
    <x v="0"/>
    <n v="38.76"/>
    <x v="2"/>
    <x v="2"/>
    <x v="820"/>
    <n v="29"/>
  </r>
  <r>
    <s v="SALE821"/>
    <x v="482"/>
    <s v="CUST1053"/>
    <s v="PROD49"/>
    <s v="STORE5"/>
    <n v="1"/>
    <n v="678.9"/>
    <x v="9"/>
    <x v="0"/>
    <x v="1"/>
    <x v="20"/>
    <x v="0"/>
    <x v="2"/>
    <x v="2"/>
    <n v="43.29"/>
    <x v="0"/>
    <x v="0"/>
    <x v="821"/>
    <n v="37"/>
  </r>
  <r>
    <s v="SALE822"/>
    <x v="296"/>
    <s v="CUST1015"/>
    <s v="PROD25"/>
    <s v="STORE15"/>
    <n v="4"/>
    <n v="94.13"/>
    <x v="6"/>
    <x v="0"/>
    <x v="1"/>
    <x v="7"/>
    <x v="1"/>
    <x v="60"/>
    <x v="4"/>
    <n v="174.02"/>
    <x v="0"/>
    <x v="1"/>
    <x v="822"/>
    <n v="49"/>
  </r>
  <r>
    <s v="SALE823"/>
    <x v="483"/>
    <s v="CUST1441"/>
    <s v="PROD44"/>
    <s v="STORE1"/>
    <n v="4"/>
    <n v="415.02"/>
    <x v="10"/>
    <x v="1"/>
    <x v="0"/>
    <x v="18"/>
    <x v="2"/>
    <x v="38"/>
    <x v="0"/>
    <n v="167.12"/>
    <x v="0"/>
    <x v="1"/>
    <x v="823"/>
    <n v="31"/>
  </r>
  <r>
    <s v="SALE824"/>
    <x v="484"/>
    <s v="CUST1051"/>
    <s v="PROD11"/>
    <s v="STORE4"/>
    <n v="4"/>
    <n v="780.07"/>
    <x v="15"/>
    <x v="0"/>
    <x v="1"/>
    <x v="35"/>
    <x v="0"/>
    <x v="75"/>
    <x v="1"/>
    <n v="449.4"/>
    <x v="2"/>
    <x v="2"/>
    <x v="824"/>
    <n v="23"/>
  </r>
  <r>
    <s v="SALE825"/>
    <x v="485"/>
    <s v="CUST1428"/>
    <s v="PROD37"/>
    <s v="STORE15"/>
    <n v="4"/>
    <n v="184.57"/>
    <x v="23"/>
    <x v="0"/>
    <x v="1"/>
    <x v="38"/>
    <x v="3"/>
    <x v="92"/>
    <x v="4"/>
    <n v="353.47"/>
    <x v="0"/>
    <x v="1"/>
    <x v="825"/>
    <n v="27"/>
  </r>
  <r>
    <s v="SALE826"/>
    <x v="486"/>
    <s v="CUST1287"/>
    <s v="PROD65"/>
    <s v="STORE4"/>
    <n v="4"/>
    <n v="277.58"/>
    <x v="14"/>
    <x v="1"/>
    <x v="1"/>
    <x v="1"/>
    <x v="0"/>
    <x v="15"/>
    <x v="0"/>
    <n v="240.63"/>
    <x v="2"/>
    <x v="2"/>
    <x v="826"/>
    <n v="22"/>
  </r>
  <r>
    <s v="SALE827"/>
    <x v="480"/>
    <s v="CUST1104"/>
    <s v="PROD31"/>
    <s v="STORE3"/>
    <n v="1"/>
    <n v="36.8"/>
    <x v="4"/>
    <x v="0"/>
    <x v="0"/>
    <x v="36"/>
    <x v="2"/>
    <x v="45"/>
    <x v="0"/>
    <n v="204.39"/>
    <x v="0"/>
    <x v="0"/>
    <x v="827"/>
    <n v="64"/>
  </r>
  <r>
    <s v="SALE828"/>
    <x v="203"/>
    <s v="CUST1356"/>
    <s v="PROD88"/>
    <s v="STORE6"/>
    <n v="1"/>
    <n v="539.37"/>
    <x v="17"/>
    <x v="0"/>
    <x v="0"/>
    <x v="45"/>
    <x v="3"/>
    <x v="12"/>
    <x v="0"/>
    <n v="131.24"/>
    <x v="3"/>
    <x v="2"/>
    <x v="828"/>
    <n v="54"/>
  </r>
  <r>
    <s v="SALE829"/>
    <x v="451"/>
    <s v="CUST1089"/>
    <s v="PROD20"/>
    <s v="STORE18"/>
    <n v="1"/>
    <n v="27.83"/>
    <x v="11"/>
    <x v="1"/>
    <x v="0"/>
    <x v="18"/>
    <x v="1"/>
    <x v="42"/>
    <x v="0"/>
    <n v="131.51"/>
    <x v="3"/>
    <x v="1"/>
    <x v="829"/>
    <n v="43"/>
  </r>
  <r>
    <s v="SALE830"/>
    <x v="441"/>
    <s v="CUST1283"/>
    <s v="PROD70"/>
    <s v="STORE4"/>
    <n v="3"/>
    <n v="698.72"/>
    <x v="23"/>
    <x v="2"/>
    <x v="1"/>
    <x v="0"/>
    <x v="2"/>
    <x v="7"/>
    <x v="3"/>
    <n v="138.05"/>
    <x v="2"/>
    <x v="2"/>
    <x v="830"/>
    <n v="54"/>
  </r>
  <r>
    <s v="SALE831"/>
    <x v="487"/>
    <s v="CUST1012"/>
    <s v="PROD76"/>
    <s v="STORE13"/>
    <n v="4"/>
    <n v="528.23"/>
    <x v="6"/>
    <x v="2"/>
    <x v="1"/>
    <x v="32"/>
    <x v="1"/>
    <x v="3"/>
    <x v="1"/>
    <n v="392.89"/>
    <x v="3"/>
    <x v="1"/>
    <x v="831"/>
    <n v="55"/>
  </r>
  <r>
    <s v="SALE832"/>
    <x v="488"/>
    <s v="CUST1492"/>
    <s v="PROD46"/>
    <s v="STORE16"/>
    <n v="2"/>
    <n v="780.9"/>
    <x v="24"/>
    <x v="1"/>
    <x v="1"/>
    <x v="26"/>
    <x v="1"/>
    <x v="54"/>
    <x v="4"/>
    <n v="167.34"/>
    <x v="1"/>
    <x v="1"/>
    <x v="832"/>
    <n v="59"/>
  </r>
  <r>
    <s v="SALE833"/>
    <x v="409"/>
    <s v="CUST1180"/>
    <s v="PROD21"/>
    <s v="STORE14"/>
    <n v="1"/>
    <n v="977.97"/>
    <x v="22"/>
    <x v="2"/>
    <x v="0"/>
    <x v="17"/>
    <x v="3"/>
    <x v="39"/>
    <x v="3"/>
    <n v="123.46"/>
    <x v="2"/>
    <x v="0"/>
    <x v="833"/>
    <n v="38"/>
  </r>
  <r>
    <s v="SALE834"/>
    <x v="489"/>
    <s v="CUST1369"/>
    <s v="PROD83"/>
    <s v="STORE12"/>
    <n v="4"/>
    <n v="354.65"/>
    <x v="5"/>
    <x v="0"/>
    <x v="1"/>
    <x v="1"/>
    <x v="1"/>
    <x v="50"/>
    <x v="2"/>
    <n v="289.359375"/>
    <x v="0"/>
    <x v="2"/>
    <x v="834"/>
    <n v="20"/>
  </r>
  <r>
    <s v="SALE835"/>
    <x v="490"/>
    <s v="CUST1283"/>
    <s v="PROD68"/>
    <s v="STORE19"/>
    <n v="1"/>
    <n v="671.62"/>
    <x v="0"/>
    <x v="2"/>
    <x v="1"/>
    <x v="0"/>
    <x v="2"/>
    <x v="88"/>
    <x v="3"/>
    <n v="243.7"/>
    <x v="3"/>
    <x v="2"/>
    <x v="835"/>
    <n v="54"/>
  </r>
  <r>
    <s v="SALE836"/>
    <x v="62"/>
    <s v="CUST1317"/>
    <s v="PROD82"/>
    <s v="STORE3"/>
    <n v="1"/>
    <n v="867.32"/>
    <x v="12"/>
    <x v="1"/>
    <x v="1"/>
    <x v="21"/>
    <x v="0"/>
    <x v="74"/>
    <x v="0"/>
    <n v="152.92"/>
    <x v="0"/>
    <x v="0"/>
    <x v="836"/>
    <n v="64"/>
  </r>
  <r>
    <s v="SALE837"/>
    <x v="314"/>
    <s v="CUST1081"/>
    <s v="PROD10"/>
    <s v="STORE12"/>
    <n v="3"/>
    <n v="240.27"/>
    <x v="6"/>
    <x v="1"/>
    <x v="1"/>
    <x v="28"/>
    <x v="1"/>
    <x v="31"/>
    <x v="3"/>
    <n v="298.86"/>
    <x v="0"/>
    <x v="2"/>
    <x v="837"/>
    <n v="34"/>
  </r>
  <r>
    <s v="SALE838"/>
    <x v="491"/>
    <s v="CUST1075"/>
    <s v="PROD28"/>
    <s v="STORE16"/>
    <n v="2"/>
    <n v="619.12"/>
    <x v="23"/>
    <x v="2"/>
    <x v="1"/>
    <x v="24"/>
    <x v="0"/>
    <x v="77"/>
    <x v="0"/>
    <n v="38.76"/>
    <x v="1"/>
    <x v="1"/>
    <x v="838"/>
    <n v="61"/>
  </r>
  <r>
    <s v="SALE839"/>
    <x v="82"/>
    <s v="CUST1213"/>
    <s v="PROD87"/>
    <s v="STORE0"/>
    <n v="3"/>
    <n v="693.42"/>
    <x v="16"/>
    <x v="1"/>
    <x v="1"/>
    <x v="16"/>
    <x v="1"/>
    <x v="72"/>
    <x v="3"/>
    <n v="371.38"/>
    <x v="3"/>
    <x v="1"/>
    <x v="839"/>
    <n v="42"/>
  </r>
  <r>
    <s v="SALE840"/>
    <x v="379"/>
    <s v="CUST1108"/>
    <s v="PROD48"/>
    <s v="STORE10"/>
    <n v="4"/>
    <n v="751.63"/>
    <x v="23"/>
    <x v="2"/>
    <x v="0"/>
    <x v="21"/>
    <x v="3"/>
    <x v="70"/>
    <x v="1"/>
    <n v="177.98"/>
    <x v="3"/>
    <x v="2"/>
    <x v="840"/>
    <n v="38"/>
  </r>
  <r>
    <s v="SALE841"/>
    <x v="264"/>
    <s v="CUST1110"/>
    <s v="PROD31"/>
    <s v="STORE15"/>
    <n v="3"/>
    <n v="108.14"/>
    <x v="5"/>
    <x v="2"/>
    <x v="1"/>
    <x v="33"/>
    <x v="0"/>
    <x v="45"/>
    <x v="0"/>
    <n v="204.39"/>
    <x v="0"/>
    <x v="1"/>
    <x v="841"/>
    <n v="40"/>
  </r>
  <r>
    <s v="SALE842"/>
    <x v="2"/>
    <s v="CUST1256"/>
    <s v="PROD27"/>
    <s v="STORE4"/>
    <n v="1"/>
    <n v="964.11"/>
    <x v="9"/>
    <x v="2"/>
    <x v="0"/>
    <x v="13"/>
    <x v="1"/>
    <x v="16"/>
    <x v="3"/>
    <n v="250.021571428571"/>
    <x v="2"/>
    <x v="2"/>
    <x v="842"/>
    <n v="57"/>
  </r>
  <r>
    <s v="SALE843"/>
    <x v="492"/>
    <s v="CUST1131"/>
    <s v="PROD19"/>
    <s v="STORE0"/>
    <n v="1"/>
    <n v="346.2"/>
    <x v="12"/>
    <x v="0"/>
    <x v="1"/>
    <x v="4"/>
    <x v="3"/>
    <x v="46"/>
    <x v="0"/>
    <n v="21.34"/>
    <x v="3"/>
    <x v="1"/>
    <x v="843"/>
    <n v="34"/>
  </r>
  <r>
    <s v="SALE844"/>
    <x v="333"/>
    <s v="CUST1457"/>
    <s v="PROD43"/>
    <s v="STORE15"/>
    <n v="3"/>
    <n v="791.75"/>
    <x v="12"/>
    <x v="0"/>
    <x v="0"/>
    <x v="27"/>
    <x v="1"/>
    <x v="19"/>
    <x v="1"/>
    <n v="253.33"/>
    <x v="0"/>
    <x v="1"/>
    <x v="844"/>
    <n v="59"/>
  </r>
  <r>
    <s v="SALE845"/>
    <x v="493"/>
    <s v="CUST1319"/>
    <s v="PROD39"/>
    <s v="STORE13"/>
    <n v="1"/>
    <n v="529.84"/>
    <x v="21"/>
    <x v="1"/>
    <x v="0"/>
    <x v="25"/>
    <x v="1"/>
    <x v="11"/>
    <x v="1"/>
    <n v="326.06"/>
    <x v="3"/>
    <x v="1"/>
    <x v="845"/>
    <n v="54"/>
  </r>
  <r>
    <s v="SALE846"/>
    <x v="494"/>
    <s v="CUST1471"/>
    <s v="PROD54"/>
    <s v="STORE3"/>
    <n v="3"/>
    <n v="582.57"/>
    <x v="32"/>
    <x v="1"/>
    <x v="0"/>
    <x v="10"/>
    <x v="1"/>
    <x v="59"/>
    <x v="0"/>
    <n v="434.84"/>
    <x v="0"/>
    <x v="0"/>
    <x v="846"/>
    <n v="42"/>
  </r>
  <r>
    <s v="SALE847"/>
    <x v="495"/>
    <s v="CUST1211"/>
    <s v="PROD95"/>
    <s v="STORE17"/>
    <n v="1"/>
    <n v="219.81"/>
    <x v="14"/>
    <x v="2"/>
    <x v="1"/>
    <x v="37"/>
    <x v="2"/>
    <x v="98"/>
    <x v="0"/>
    <n v="60.65"/>
    <x v="0"/>
    <x v="1"/>
    <x v="847"/>
    <n v="20"/>
  </r>
  <r>
    <s v="SALE848"/>
    <x v="223"/>
    <s v="CUST1497"/>
    <s v="PROD70"/>
    <s v="STORE18"/>
    <n v="4"/>
    <n v="883.31"/>
    <x v="1"/>
    <x v="0"/>
    <x v="1"/>
    <x v="14"/>
    <x v="0"/>
    <x v="7"/>
    <x v="3"/>
    <n v="138.05"/>
    <x v="3"/>
    <x v="1"/>
    <x v="848"/>
    <n v="47"/>
  </r>
  <r>
    <s v="SALE849"/>
    <x v="356"/>
    <s v="CUST1234"/>
    <s v="PROD17"/>
    <s v="STORE14"/>
    <n v="4"/>
    <n v="329.06"/>
    <x v="13"/>
    <x v="2"/>
    <x v="1"/>
    <x v="32"/>
    <x v="0"/>
    <x v="53"/>
    <x v="0"/>
    <n v="144.53"/>
    <x v="2"/>
    <x v="0"/>
    <x v="849"/>
    <n v="43"/>
  </r>
  <r>
    <s v="SALE850"/>
    <x v="496"/>
    <s v="CUST1105"/>
    <s v="PROD68"/>
    <s v="STORE11"/>
    <n v="1"/>
    <n v="935.78"/>
    <x v="15"/>
    <x v="1"/>
    <x v="1"/>
    <x v="26"/>
    <x v="0"/>
    <x v="88"/>
    <x v="3"/>
    <n v="243.7"/>
    <x v="2"/>
    <x v="2"/>
    <x v="850"/>
    <n v="50"/>
  </r>
  <r>
    <s v="SALE851"/>
    <x v="497"/>
    <s v="CUST1320"/>
    <s v="PROD60"/>
    <s v="STORE10"/>
    <n v="4"/>
    <n v="597.8"/>
    <x v="29"/>
    <x v="0"/>
    <x v="1"/>
    <x v="9"/>
    <x v="3"/>
    <x v="17"/>
    <x v="2"/>
    <n v="482.75"/>
    <x v="3"/>
    <x v="2"/>
    <x v="851"/>
    <n v="34"/>
  </r>
  <r>
    <s v="SALE852"/>
    <x v="345"/>
    <s v="CUST1259"/>
    <s v="PROD13"/>
    <s v="STORE18"/>
    <n v="4"/>
    <n v="266.98"/>
    <x v="3"/>
    <x v="0"/>
    <x v="1"/>
    <x v="15"/>
    <x v="2"/>
    <x v="26"/>
    <x v="1"/>
    <n v="242.23"/>
    <x v="3"/>
    <x v="1"/>
    <x v="852"/>
    <n v="32"/>
  </r>
  <r>
    <s v="SALE853"/>
    <x v="498"/>
    <s v="CUST1407"/>
    <s v="PROD70"/>
    <s v="STORE15"/>
    <n v="3"/>
    <n v="360.18"/>
    <x v="15"/>
    <x v="0"/>
    <x v="0"/>
    <x v="33"/>
    <x v="0"/>
    <x v="7"/>
    <x v="3"/>
    <n v="138.05"/>
    <x v="0"/>
    <x v="1"/>
    <x v="853"/>
    <n v="33"/>
  </r>
  <r>
    <s v="SALE854"/>
    <x v="321"/>
    <s v="CUST1363"/>
    <s v="PROD56"/>
    <s v="STORE0"/>
    <n v="3"/>
    <n v="247.41"/>
    <x v="28"/>
    <x v="2"/>
    <x v="0"/>
    <x v="31"/>
    <x v="3"/>
    <x v="6"/>
    <x v="3"/>
    <n v="461.47"/>
    <x v="3"/>
    <x v="1"/>
    <x v="854"/>
    <n v="23"/>
  </r>
  <r>
    <s v="SALE855"/>
    <x v="163"/>
    <s v="CUST1078"/>
    <s v="PROD45"/>
    <s v="STORE15"/>
    <n v="3"/>
    <n v="674.66"/>
    <x v="7"/>
    <x v="0"/>
    <x v="0"/>
    <x v="45"/>
    <x v="0"/>
    <x v="49"/>
    <x v="0"/>
    <n v="318.91"/>
    <x v="0"/>
    <x v="1"/>
    <x v="855"/>
    <n v="21"/>
  </r>
  <r>
    <s v="SALE856"/>
    <x v="499"/>
    <s v="CUST1415"/>
    <s v="PROD42"/>
    <s v="STORE4"/>
    <n v="1"/>
    <n v="913.98"/>
    <x v="1"/>
    <x v="1"/>
    <x v="1"/>
    <x v="41"/>
    <x v="2"/>
    <x v="63"/>
    <x v="1"/>
    <n v="450.71"/>
    <x v="2"/>
    <x v="2"/>
    <x v="856"/>
    <n v="26"/>
  </r>
  <r>
    <s v="SALE857"/>
    <x v="406"/>
    <s v="CUST1314"/>
    <s v="PROD93"/>
    <s v="STORE10"/>
    <n v="4"/>
    <n v="370.5"/>
    <x v="21"/>
    <x v="1"/>
    <x v="1"/>
    <x v="7"/>
    <x v="2"/>
    <x v="47"/>
    <x v="1"/>
    <n v="377.52"/>
    <x v="3"/>
    <x v="2"/>
    <x v="857"/>
    <n v="53"/>
  </r>
  <r>
    <s v="SALE858"/>
    <x v="500"/>
    <s v="CUST1358"/>
    <s v="PROD72"/>
    <s v="STORE13"/>
    <n v="1"/>
    <n v="735.1"/>
    <x v="30"/>
    <x v="1"/>
    <x v="1"/>
    <x v="25"/>
    <x v="0"/>
    <x v="18"/>
    <x v="0"/>
    <n v="477.61"/>
    <x v="3"/>
    <x v="1"/>
    <x v="858"/>
    <n v="60"/>
  </r>
  <r>
    <s v="SALE859"/>
    <x v="339"/>
    <s v="CUST1135"/>
    <s v="PROD79"/>
    <s v="STORE2"/>
    <n v="3"/>
    <n v="448.55"/>
    <x v="28"/>
    <x v="0"/>
    <x v="1"/>
    <x v="20"/>
    <x v="1"/>
    <x v="29"/>
    <x v="3"/>
    <n v="228.53"/>
    <x v="2"/>
    <x v="0"/>
    <x v="859"/>
    <n v="33"/>
  </r>
  <r>
    <s v="SALE860"/>
    <x v="501"/>
    <s v="CUST1059"/>
    <s v="PROD84"/>
    <s v="STORE13"/>
    <n v="3"/>
    <n v="904.96"/>
    <x v="8"/>
    <x v="2"/>
    <x v="0"/>
    <x v="10"/>
    <x v="1"/>
    <x v="94"/>
    <x v="3"/>
    <n v="388.46"/>
    <x v="3"/>
    <x v="1"/>
    <x v="860"/>
    <n v="53"/>
  </r>
  <r>
    <s v="SALE861"/>
    <x v="418"/>
    <s v="CUST1380"/>
    <s v="PROD68"/>
    <s v="STORE13"/>
    <n v="4"/>
    <n v="408.72"/>
    <x v="3"/>
    <x v="2"/>
    <x v="0"/>
    <x v="5"/>
    <x v="0"/>
    <x v="88"/>
    <x v="3"/>
    <n v="243.7"/>
    <x v="3"/>
    <x v="1"/>
    <x v="861"/>
    <n v="23"/>
  </r>
  <r>
    <s v="SALE862"/>
    <x v="502"/>
    <s v="CUST1282"/>
    <s v="PROD71"/>
    <s v="STORE3"/>
    <n v="4"/>
    <n v="770.65"/>
    <x v="1"/>
    <x v="0"/>
    <x v="1"/>
    <x v="19"/>
    <x v="0"/>
    <x v="51"/>
    <x v="2"/>
    <n v="214.32"/>
    <x v="0"/>
    <x v="0"/>
    <x v="862"/>
    <n v="46"/>
  </r>
  <r>
    <s v="SALE863"/>
    <x v="503"/>
    <s v="CUST1203"/>
    <s v="PROD30"/>
    <s v="STORE6"/>
    <n v="1"/>
    <n v="649.22"/>
    <x v="15"/>
    <x v="2"/>
    <x v="0"/>
    <x v="9"/>
    <x v="1"/>
    <x v="37"/>
    <x v="3"/>
    <n v="19.52"/>
    <x v="3"/>
    <x v="2"/>
    <x v="863"/>
    <n v="47"/>
  </r>
  <r>
    <s v="SALE864"/>
    <x v="504"/>
    <s v="CUST1348"/>
    <s v="PROD33"/>
    <s v="STORE10"/>
    <n v="2"/>
    <n v="379.78"/>
    <x v="29"/>
    <x v="0"/>
    <x v="0"/>
    <x v="2"/>
    <x v="2"/>
    <x v="9"/>
    <x v="3"/>
    <n v="179.77"/>
    <x v="3"/>
    <x v="2"/>
    <x v="864"/>
    <n v="55"/>
  </r>
  <r>
    <s v="SALE865"/>
    <x v="505"/>
    <s v="CUST1248"/>
    <s v="PROD43"/>
    <s v="STORE8"/>
    <n v="3"/>
    <n v="924.15"/>
    <x v="30"/>
    <x v="1"/>
    <x v="0"/>
    <x v="8"/>
    <x v="0"/>
    <x v="19"/>
    <x v="1"/>
    <n v="253.33"/>
    <x v="1"/>
    <x v="2"/>
    <x v="865"/>
    <n v="19"/>
  </r>
  <r>
    <s v="SALE866"/>
    <x v="506"/>
    <s v="CUST1469"/>
    <s v="PROD45"/>
    <s v="STORE17"/>
    <n v="3"/>
    <n v="144.67"/>
    <x v="12"/>
    <x v="2"/>
    <x v="0"/>
    <x v="39"/>
    <x v="0"/>
    <x v="49"/>
    <x v="0"/>
    <n v="318.91"/>
    <x v="0"/>
    <x v="1"/>
    <x v="866"/>
    <n v="19"/>
  </r>
  <r>
    <s v="SALE867"/>
    <x v="345"/>
    <s v="CUST1121"/>
    <s v="PROD33"/>
    <s v="STORE15"/>
    <n v="2"/>
    <n v="667.17"/>
    <x v="30"/>
    <x v="1"/>
    <x v="0"/>
    <x v="22"/>
    <x v="1"/>
    <x v="9"/>
    <x v="3"/>
    <n v="179.77"/>
    <x v="0"/>
    <x v="1"/>
    <x v="867"/>
    <n v="62"/>
  </r>
  <r>
    <s v="SALE868"/>
    <x v="408"/>
    <s v="CUST1402"/>
    <s v="PROD66"/>
    <s v="STORE3"/>
    <n v="1"/>
    <n v="984.6"/>
    <x v="14"/>
    <x v="0"/>
    <x v="0"/>
    <x v="25"/>
    <x v="3"/>
    <x v="73"/>
    <x v="2"/>
    <n v="340.39"/>
    <x v="0"/>
    <x v="0"/>
    <x v="868"/>
    <n v="31"/>
  </r>
  <r>
    <s v="SALE869"/>
    <x v="382"/>
    <s v="CUST1279"/>
    <s v="PROD13"/>
    <s v="STORE8"/>
    <n v="1"/>
    <n v="139.29"/>
    <x v="33"/>
    <x v="0"/>
    <x v="1"/>
    <x v="31"/>
    <x v="3"/>
    <x v="26"/>
    <x v="1"/>
    <n v="242.23"/>
    <x v="1"/>
    <x v="2"/>
    <x v="869"/>
    <n v="21"/>
  </r>
  <r>
    <s v="SALE870"/>
    <x v="404"/>
    <s v="CUST1033"/>
    <s v="PROD16"/>
    <s v="STORE8"/>
    <n v="3"/>
    <n v="459.57"/>
    <x v="30"/>
    <x v="2"/>
    <x v="0"/>
    <x v="15"/>
    <x v="1"/>
    <x v="30"/>
    <x v="2"/>
    <n v="337.42"/>
    <x v="1"/>
    <x v="2"/>
    <x v="870"/>
    <n v="25"/>
  </r>
  <r>
    <s v="SALE871"/>
    <x v="29"/>
    <s v="CUST1066"/>
    <s v="PROD40"/>
    <s v="STORE15"/>
    <n v="1"/>
    <n v="517.82"/>
    <x v="12"/>
    <x v="0"/>
    <x v="1"/>
    <x v="21"/>
    <x v="2"/>
    <x v="43"/>
    <x v="1"/>
    <n v="38.52"/>
    <x v="0"/>
    <x v="1"/>
    <x v="871"/>
    <n v="27"/>
  </r>
  <r>
    <s v="SALE872"/>
    <x v="507"/>
    <s v="CUST1379"/>
    <s v="PROD76"/>
    <s v="STORE6"/>
    <n v="4"/>
    <n v="282.45"/>
    <x v="12"/>
    <x v="2"/>
    <x v="1"/>
    <x v="9"/>
    <x v="0"/>
    <x v="3"/>
    <x v="1"/>
    <n v="392.89"/>
    <x v="3"/>
    <x v="2"/>
    <x v="872"/>
    <n v="34"/>
  </r>
  <r>
    <s v="SALE873"/>
    <x v="400"/>
    <s v="CUST1455"/>
    <s v="PROD87"/>
    <s v="STORE7"/>
    <n v="2"/>
    <n v="386.46"/>
    <x v="7"/>
    <x v="2"/>
    <x v="0"/>
    <x v="49"/>
    <x v="0"/>
    <x v="72"/>
    <x v="3"/>
    <n v="371.38"/>
    <x v="2"/>
    <x v="2"/>
    <x v="873"/>
    <n v="54"/>
  </r>
  <r>
    <s v="SALE874"/>
    <x v="232"/>
    <s v="CUST1195"/>
    <s v="PROD19"/>
    <s v="STORE3"/>
    <n v="1"/>
    <n v="270.45"/>
    <x v="6"/>
    <x v="2"/>
    <x v="0"/>
    <x v="28"/>
    <x v="2"/>
    <x v="46"/>
    <x v="0"/>
    <n v="21.34"/>
    <x v="0"/>
    <x v="0"/>
    <x v="874"/>
    <n v="60"/>
  </r>
  <r>
    <s v="SALE875"/>
    <x v="508"/>
    <s v="CUST1041"/>
    <s v="PROD76"/>
    <s v="STORE10"/>
    <n v="4"/>
    <n v="762.94"/>
    <x v="0"/>
    <x v="2"/>
    <x v="0"/>
    <x v="41"/>
    <x v="1"/>
    <x v="3"/>
    <x v="1"/>
    <n v="392.89"/>
    <x v="3"/>
    <x v="2"/>
    <x v="875"/>
    <n v="21"/>
  </r>
  <r>
    <s v="SALE876"/>
    <x v="495"/>
    <s v="CUST1494"/>
    <s v="PROD41"/>
    <s v="STORE13"/>
    <n v="1"/>
    <n v="409.03"/>
    <x v="2"/>
    <x v="2"/>
    <x v="0"/>
    <x v="11"/>
    <x v="0"/>
    <x v="89"/>
    <x v="0"/>
    <n v="313.26"/>
    <x v="3"/>
    <x v="1"/>
    <x v="876"/>
    <n v="21"/>
  </r>
  <r>
    <s v="SALE877"/>
    <x v="168"/>
    <s v="CUST1219"/>
    <s v="PROD96"/>
    <s v="STORE18"/>
    <n v="2"/>
    <n v="891.13"/>
    <x v="21"/>
    <x v="0"/>
    <x v="1"/>
    <x v="19"/>
    <x v="0"/>
    <x v="99"/>
    <x v="4"/>
    <n v="358.47"/>
    <x v="3"/>
    <x v="1"/>
    <x v="877"/>
    <n v="47"/>
  </r>
  <r>
    <s v="SALE878"/>
    <x v="31"/>
    <s v="CUST1032"/>
    <s v="PROD92"/>
    <s v="STORE16"/>
    <n v="1"/>
    <n v="553.38"/>
    <x v="34"/>
    <x v="1"/>
    <x v="1"/>
    <x v="28"/>
    <x v="0"/>
    <x v="80"/>
    <x v="3"/>
    <n v="447.43"/>
    <x v="1"/>
    <x v="1"/>
    <x v="878"/>
    <n v="48"/>
  </r>
  <r>
    <s v="SALE879"/>
    <x v="374"/>
    <s v="CUST1160"/>
    <s v="PROD85"/>
    <s v="STORE13"/>
    <n v="2"/>
    <n v="652.3"/>
    <x v="3"/>
    <x v="2"/>
    <x v="1"/>
    <x v="29"/>
    <x v="1"/>
    <x v="65"/>
    <x v="4"/>
    <n v="119.57"/>
    <x v="3"/>
    <x v="1"/>
    <x v="879"/>
    <n v="41"/>
  </r>
  <r>
    <s v="SALE880"/>
    <x v="509"/>
    <s v="CUST1122"/>
    <s v="PROD42"/>
    <s v="STORE9"/>
    <n v="4"/>
    <n v="194.36"/>
    <x v="4"/>
    <x v="2"/>
    <x v="0"/>
    <x v="29"/>
    <x v="1"/>
    <x v="63"/>
    <x v="1"/>
    <n v="450.71"/>
    <x v="2"/>
    <x v="1"/>
    <x v="880"/>
    <n v="50"/>
  </r>
  <r>
    <s v="SALE881"/>
    <x v="510"/>
    <s v="CUST1153"/>
    <s v="PROD92"/>
    <s v="STORE1"/>
    <n v="3"/>
    <n v="476.37"/>
    <x v="34"/>
    <x v="2"/>
    <x v="0"/>
    <x v="16"/>
    <x v="3"/>
    <x v="80"/>
    <x v="3"/>
    <n v="447.43"/>
    <x v="0"/>
    <x v="1"/>
    <x v="881"/>
    <n v="31"/>
  </r>
  <r>
    <s v="SALE882"/>
    <x v="398"/>
    <s v="CUST1365"/>
    <s v="PROD40"/>
    <s v="STORE5"/>
    <n v="3"/>
    <n v="174.57"/>
    <x v="33"/>
    <x v="1"/>
    <x v="1"/>
    <x v="41"/>
    <x v="1"/>
    <x v="43"/>
    <x v="1"/>
    <n v="38.52"/>
    <x v="0"/>
    <x v="0"/>
    <x v="882"/>
    <n v="63"/>
  </r>
  <r>
    <s v="SALE883"/>
    <x v="455"/>
    <s v="CUST1119"/>
    <s v="PROD85"/>
    <s v="STORE0"/>
    <n v="3"/>
    <n v="762"/>
    <x v="31"/>
    <x v="1"/>
    <x v="0"/>
    <x v="3"/>
    <x v="3"/>
    <x v="65"/>
    <x v="4"/>
    <n v="119.57"/>
    <x v="3"/>
    <x v="1"/>
    <x v="883"/>
    <n v="40"/>
  </r>
  <r>
    <s v="SALE884"/>
    <x v="511"/>
    <s v="CUST1425"/>
    <s v="PROD72"/>
    <s v="STORE19"/>
    <n v="1"/>
    <n v="44.08"/>
    <x v="28"/>
    <x v="0"/>
    <x v="0"/>
    <x v="39"/>
    <x v="3"/>
    <x v="18"/>
    <x v="0"/>
    <n v="477.61"/>
    <x v="3"/>
    <x v="2"/>
    <x v="884"/>
    <n v="40"/>
  </r>
  <r>
    <s v="SALE885"/>
    <x v="23"/>
    <s v="CUST1495"/>
    <s v="PROD59"/>
    <s v="STORE13"/>
    <n v="1"/>
    <n v="992.37"/>
    <x v="24"/>
    <x v="2"/>
    <x v="1"/>
    <x v="37"/>
    <x v="3"/>
    <x v="4"/>
    <x v="2"/>
    <n v="17.31"/>
    <x v="3"/>
    <x v="1"/>
    <x v="885"/>
    <n v="23"/>
  </r>
  <r>
    <s v="SALE886"/>
    <x v="213"/>
    <s v="CUST1201"/>
    <s v="PROD31"/>
    <s v="STORE10"/>
    <n v="3"/>
    <n v="465.4"/>
    <x v="12"/>
    <x v="2"/>
    <x v="1"/>
    <x v="20"/>
    <x v="3"/>
    <x v="45"/>
    <x v="0"/>
    <n v="204.39"/>
    <x v="3"/>
    <x v="2"/>
    <x v="886"/>
    <n v="25"/>
  </r>
  <r>
    <s v="SALE887"/>
    <x v="512"/>
    <s v="CUST1337"/>
    <s v="PROD16"/>
    <s v="STORE10"/>
    <n v="2"/>
    <n v="693.61"/>
    <x v="6"/>
    <x v="1"/>
    <x v="1"/>
    <x v="29"/>
    <x v="3"/>
    <x v="30"/>
    <x v="2"/>
    <n v="337.42"/>
    <x v="3"/>
    <x v="2"/>
    <x v="887"/>
    <n v="40"/>
  </r>
  <r>
    <s v="SALE888"/>
    <x v="11"/>
    <s v="CUST1465"/>
    <s v="PROD67"/>
    <s v="STORE8"/>
    <n v="2"/>
    <n v="995.11"/>
    <x v="21"/>
    <x v="1"/>
    <x v="1"/>
    <x v="29"/>
    <x v="2"/>
    <x v="22"/>
    <x v="1"/>
    <n v="349.17"/>
    <x v="1"/>
    <x v="2"/>
    <x v="888"/>
    <n v="28"/>
  </r>
  <r>
    <s v="SALE889"/>
    <x v="513"/>
    <s v="CUST1381"/>
    <s v="PROD23"/>
    <s v="STORE4"/>
    <n v="3"/>
    <n v="70.97"/>
    <x v="22"/>
    <x v="2"/>
    <x v="0"/>
    <x v="4"/>
    <x v="2"/>
    <x v="34"/>
    <x v="4"/>
    <n v="248.821917808219"/>
    <x v="2"/>
    <x v="2"/>
    <x v="889"/>
    <n v="50"/>
  </r>
  <r>
    <s v="SALE890"/>
    <x v="474"/>
    <s v="CUST1113"/>
    <s v="PROD83"/>
    <s v="STORE9"/>
    <n v="3"/>
    <n v="470.42"/>
    <x v="3"/>
    <x v="0"/>
    <x v="0"/>
    <x v="23"/>
    <x v="0"/>
    <x v="50"/>
    <x v="2"/>
    <n v="289.359375"/>
    <x v="2"/>
    <x v="1"/>
    <x v="890"/>
    <n v="51"/>
  </r>
  <r>
    <s v="SALE891"/>
    <x v="230"/>
    <s v="CUST1314"/>
    <s v="PROD86"/>
    <s v="STORE16"/>
    <n v="2"/>
    <n v="215.59"/>
    <x v="4"/>
    <x v="0"/>
    <x v="1"/>
    <x v="7"/>
    <x v="2"/>
    <x v="56"/>
    <x v="3"/>
    <n v="176.07"/>
    <x v="1"/>
    <x v="1"/>
    <x v="891"/>
    <n v="53"/>
  </r>
  <r>
    <s v="SALE892"/>
    <x v="371"/>
    <s v="CUST1239"/>
    <s v="PROD92"/>
    <s v="STORE0"/>
    <n v="1"/>
    <n v="533.8"/>
    <x v="1"/>
    <x v="2"/>
    <x v="1"/>
    <x v="8"/>
    <x v="1"/>
    <x v="80"/>
    <x v="3"/>
    <n v="447.43"/>
    <x v="3"/>
    <x v="1"/>
    <x v="892"/>
    <n v="58"/>
  </r>
  <r>
    <s v="SALE893"/>
    <x v="339"/>
    <s v="CUST1093"/>
    <s v="PROD32"/>
    <s v="STORE3"/>
    <n v="2"/>
    <n v="732.67"/>
    <x v="24"/>
    <x v="1"/>
    <x v="1"/>
    <x v="42"/>
    <x v="0"/>
    <x v="79"/>
    <x v="2"/>
    <n v="283.83"/>
    <x v="0"/>
    <x v="0"/>
    <x v="893"/>
    <n v="28"/>
  </r>
  <r>
    <s v="SALE894"/>
    <x v="514"/>
    <s v="CUST1489"/>
    <s v="PROD60"/>
    <s v="STORE13"/>
    <n v="4"/>
    <n v="106.48"/>
    <x v="30"/>
    <x v="2"/>
    <x v="1"/>
    <x v="30"/>
    <x v="2"/>
    <x v="17"/>
    <x v="2"/>
    <n v="482.75"/>
    <x v="3"/>
    <x v="1"/>
    <x v="894"/>
    <n v="42"/>
  </r>
  <r>
    <s v="SALE895"/>
    <x v="515"/>
    <s v="CUST1105"/>
    <s v="PROD57"/>
    <s v="STORE3"/>
    <n v="1"/>
    <n v="38.95"/>
    <x v="23"/>
    <x v="0"/>
    <x v="1"/>
    <x v="26"/>
    <x v="0"/>
    <x v="71"/>
    <x v="0"/>
    <n v="30.62"/>
    <x v="0"/>
    <x v="0"/>
    <x v="895"/>
    <n v="50"/>
  </r>
  <r>
    <s v="SALE896"/>
    <x v="26"/>
    <s v="CUST1431"/>
    <s v="PROD96"/>
    <s v="STORE16"/>
    <n v="1"/>
    <n v="835.17"/>
    <x v="31"/>
    <x v="2"/>
    <x v="0"/>
    <x v="24"/>
    <x v="1"/>
    <x v="99"/>
    <x v="4"/>
    <n v="358.47"/>
    <x v="1"/>
    <x v="1"/>
    <x v="896"/>
    <n v="27"/>
  </r>
  <r>
    <s v="SALE897"/>
    <x v="257"/>
    <s v="CUST1134"/>
    <s v="PROD83"/>
    <s v="STORE3"/>
    <n v="1"/>
    <n v="113.07"/>
    <x v="24"/>
    <x v="0"/>
    <x v="0"/>
    <x v="7"/>
    <x v="0"/>
    <x v="50"/>
    <x v="2"/>
    <n v="289.359375"/>
    <x v="0"/>
    <x v="0"/>
    <x v="897"/>
    <n v="54"/>
  </r>
  <r>
    <s v="SALE898"/>
    <x v="516"/>
    <s v="CUST1466"/>
    <s v="PROD94"/>
    <s v="STORE12"/>
    <n v="2"/>
    <n v="451.33"/>
    <x v="7"/>
    <x v="2"/>
    <x v="0"/>
    <x v="46"/>
    <x v="2"/>
    <x v="32"/>
    <x v="2"/>
    <n v="358.47"/>
    <x v="0"/>
    <x v="2"/>
    <x v="898"/>
    <n v="18"/>
  </r>
  <r>
    <s v="SALE899"/>
    <x v="441"/>
    <s v="CUST1372"/>
    <s v="PROD86"/>
    <s v="STORE6"/>
    <n v="3"/>
    <n v="619.81"/>
    <x v="3"/>
    <x v="2"/>
    <x v="0"/>
    <x v="31"/>
    <x v="3"/>
    <x v="56"/>
    <x v="3"/>
    <n v="176.07"/>
    <x v="3"/>
    <x v="2"/>
    <x v="899"/>
    <n v="28"/>
  </r>
  <r>
    <s v="SALE900"/>
    <x v="219"/>
    <s v="CUST1108"/>
    <s v="PROD62"/>
    <s v="STORE7"/>
    <n v="4"/>
    <n v="46.97"/>
    <x v="25"/>
    <x v="1"/>
    <x v="0"/>
    <x v="21"/>
    <x v="3"/>
    <x v="85"/>
    <x v="1"/>
    <n v="86.42"/>
    <x v="2"/>
    <x v="2"/>
    <x v="900"/>
    <n v="38"/>
  </r>
  <r>
    <s v="SALE901"/>
    <x v="517"/>
    <s v="CUST1184"/>
    <s v="PROD46"/>
    <s v="STORE2"/>
    <n v="2"/>
    <n v="71.48"/>
    <x v="17"/>
    <x v="2"/>
    <x v="1"/>
    <x v="16"/>
    <x v="2"/>
    <x v="54"/>
    <x v="4"/>
    <n v="167.34"/>
    <x v="2"/>
    <x v="0"/>
    <x v="901"/>
    <n v="46"/>
  </r>
  <r>
    <s v="SALE902"/>
    <x v="162"/>
    <s v="CUST1000"/>
    <s v="PROD56"/>
    <s v="STORE19"/>
    <n v="2"/>
    <n v="404.08"/>
    <x v="8"/>
    <x v="0"/>
    <x v="0"/>
    <x v="29"/>
    <x v="4"/>
    <x v="6"/>
    <x v="3"/>
    <n v="461.47"/>
    <x v="3"/>
    <x v="2"/>
    <x v="902"/>
    <n v="55"/>
  </r>
  <r>
    <s v="SALE903"/>
    <x v="507"/>
    <s v="CUST1264"/>
    <s v="PROD17"/>
    <s v="STORE16"/>
    <n v="1"/>
    <n v="519.91"/>
    <x v="28"/>
    <x v="2"/>
    <x v="0"/>
    <x v="0"/>
    <x v="0"/>
    <x v="53"/>
    <x v="0"/>
    <n v="144.53"/>
    <x v="1"/>
    <x v="1"/>
    <x v="903"/>
    <n v="25"/>
  </r>
  <r>
    <s v="SALE904"/>
    <x v="265"/>
    <s v="CUST1145"/>
    <s v="PROD48"/>
    <s v="STORE13"/>
    <n v="3"/>
    <n v="566.16"/>
    <x v="28"/>
    <x v="1"/>
    <x v="0"/>
    <x v="30"/>
    <x v="1"/>
    <x v="70"/>
    <x v="1"/>
    <n v="177.98"/>
    <x v="3"/>
    <x v="1"/>
    <x v="904"/>
    <n v="46"/>
  </r>
  <r>
    <s v="SALE905"/>
    <x v="518"/>
    <s v="CUST1392"/>
    <s v="PROD52"/>
    <s v="STORE10"/>
    <n v="2"/>
    <n v="295.12"/>
    <x v="0"/>
    <x v="2"/>
    <x v="0"/>
    <x v="6"/>
    <x v="0"/>
    <x v="40"/>
    <x v="0"/>
    <n v="212.26"/>
    <x v="3"/>
    <x v="2"/>
    <x v="905"/>
    <n v="46"/>
  </r>
  <r>
    <s v="SALE906"/>
    <x v="84"/>
    <s v="CUST1109"/>
    <s v="PROD34"/>
    <s v="STORE11"/>
    <n v="2"/>
    <n v="414.18"/>
    <x v="2"/>
    <x v="1"/>
    <x v="0"/>
    <x v="35"/>
    <x v="2"/>
    <x v="13"/>
    <x v="1"/>
    <n v="419.28"/>
    <x v="2"/>
    <x v="2"/>
    <x v="906"/>
    <n v="27"/>
  </r>
  <r>
    <s v="SALE907"/>
    <x v="147"/>
    <s v="CUST1268"/>
    <s v="PROD58"/>
    <s v="STORE8"/>
    <n v="2"/>
    <n v="433.75"/>
    <x v="33"/>
    <x v="0"/>
    <x v="1"/>
    <x v="46"/>
    <x v="3"/>
    <x v="87"/>
    <x v="4"/>
    <n v="113.83"/>
    <x v="1"/>
    <x v="2"/>
    <x v="907"/>
    <n v="53"/>
  </r>
  <r>
    <s v="SALE908"/>
    <x v="519"/>
    <s v="CUST1281"/>
    <s v="PROD85"/>
    <s v="STORE19"/>
    <n v="3"/>
    <n v="104.33"/>
    <x v="21"/>
    <x v="2"/>
    <x v="0"/>
    <x v="40"/>
    <x v="1"/>
    <x v="65"/>
    <x v="4"/>
    <n v="119.57"/>
    <x v="3"/>
    <x v="2"/>
    <x v="1"/>
    <n v="59"/>
  </r>
  <r>
    <s v="SALE909"/>
    <x v="471"/>
    <s v="CUST1464"/>
    <s v="PROD4"/>
    <s v="STORE12"/>
    <n v="1"/>
    <n v="221.7"/>
    <x v="13"/>
    <x v="0"/>
    <x v="1"/>
    <x v="7"/>
    <x v="1"/>
    <x v="83"/>
    <x v="4"/>
    <n v="306.46"/>
    <x v="0"/>
    <x v="2"/>
    <x v="908"/>
    <n v="45"/>
  </r>
  <r>
    <s v="SALE910"/>
    <x v="254"/>
    <s v="CUST1211"/>
    <s v="PROD67"/>
    <s v="STORE5"/>
    <n v="2"/>
    <n v="491.26"/>
    <x v="17"/>
    <x v="2"/>
    <x v="1"/>
    <x v="37"/>
    <x v="2"/>
    <x v="22"/>
    <x v="1"/>
    <n v="349.17"/>
    <x v="0"/>
    <x v="0"/>
    <x v="909"/>
    <n v="20"/>
  </r>
  <r>
    <s v="SALE911"/>
    <x v="520"/>
    <s v="CUST1181"/>
    <s v="PROD37"/>
    <s v="STORE8"/>
    <n v="4"/>
    <n v="923.14"/>
    <x v="6"/>
    <x v="0"/>
    <x v="0"/>
    <x v="14"/>
    <x v="3"/>
    <x v="92"/>
    <x v="4"/>
    <n v="353.47"/>
    <x v="1"/>
    <x v="2"/>
    <x v="910"/>
    <n v="60"/>
  </r>
  <r>
    <s v="SALE912"/>
    <x v="450"/>
    <s v="CUST1193"/>
    <s v="PROD64"/>
    <s v="STORE7"/>
    <n v="2"/>
    <n v="747.65"/>
    <x v="16"/>
    <x v="0"/>
    <x v="0"/>
    <x v="36"/>
    <x v="0"/>
    <x v="91"/>
    <x v="2"/>
    <n v="299.11"/>
    <x v="2"/>
    <x v="2"/>
    <x v="911"/>
    <n v="38"/>
  </r>
  <r>
    <s v="SALE913"/>
    <x v="218"/>
    <s v="CUST1109"/>
    <s v="PROD42"/>
    <s v="STORE7"/>
    <n v="3"/>
    <n v="94.55"/>
    <x v="21"/>
    <x v="2"/>
    <x v="0"/>
    <x v="35"/>
    <x v="2"/>
    <x v="63"/>
    <x v="1"/>
    <n v="450.71"/>
    <x v="2"/>
    <x v="2"/>
    <x v="912"/>
    <n v="27"/>
  </r>
  <r>
    <s v="SALE914"/>
    <x v="238"/>
    <s v="CUST1039"/>
    <s v="PROD15"/>
    <s v="STORE19"/>
    <n v="3"/>
    <n v="620.12"/>
    <x v="22"/>
    <x v="0"/>
    <x v="1"/>
    <x v="20"/>
    <x v="0"/>
    <x v="5"/>
    <x v="1"/>
    <n v="465.34"/>
    <x v="3"/>
    <x v="2"/>
    <x v="913"/>
    <n v="55"/>
  </r>
  <r>
    <s v="SALE915"/>
    <x v="9"/>
    <s v="CUST1486"/>
    <s v="PROD69"/>
    <s v="STORE6"/>
    <n v="2"/>
    <n v="354.09"/>
    <x v="27"/>
    <x v="2"/>
    <x v="1"/>
    <x v="1"/>
    <x v="3"/>
    <x v="20"/>
    <x v="4"/>
    <n v="218.22"/>
    <x v="3"/>
    <x v="2"/>
    <x v="914"/>
    <n v="22"/>
  </r>
  <r>
    <s v="SALE916"/>
    <x v="284"/>
    <s v="CUST1130"/>
    <s v="PROD53"/>
    <s v="STORE5"/>
    <n v="3"/>
    <n v="214.94"/>
    <x v="14"/>
    <x v="2"/>
    <x v="0"/>
    <x v="40"/>
    <x v="1"/>
    <x v="27"/>
    <x v="4"/>
    <n v="386.56"/>
    <x v="0"/>
    <x v="0"/>
    <x v="915"/>
    <n v="29"/>
  </r>
  <r>
    <s v="SALE917"/>
    <x v="504"/>
    <s v="CUST1199"/>
    <s v="PROD9"/>
    <s v="STORE12"/>
    <n v="2"/>
    <n v="309.78"/>
    <x v="3"/>
    <x v="0"/>
    <x v="0"/>
    <x v="3"/>
    <x v="3"/>
    <x v="93"/>
    <x v="0"/>
    <n v="495.72"/>
    <x v="0"/>
    <x v="2"/>
    <x v="916"/>
    <n v="46"/>
  </r>
  <r>
    <s v="SALE918"/>
    <x v="185"/>
    <s v="CUST1069"/>
    <s v="PROD13"/>
    <s v="STORE3"/>
    <n v="2"/>
    <n v="183.85"/>
    <x v="17"/>
    <x v="1"/>
    <x v="1"/>
    <x v="19"/>
    <x v="1"/>
    <x v="26"/>
    <x v="1"/>
    <n v="242.23"/>
    <x v="0"/>
    <x v="0"/>
    <x v="917"/>
    <n v="24"/>
  </r>
  <r>
    <s v="SALE919"/>
    <x v="353"/>
    <s v="CUST1409"/>
    <s v="PROD70"/>
    <s v="STORE0"/>
    <n v="1"/>
    <n v="550.06"/>
    <x v="10"/>
    <x v="0"/>
    <x v="0"/>
    <x v="0"/>
    <x v="0"/>
    <x v="7"/>
    <x v="3"/>
    <n v="138.05"/>
    <x v="3"/>
    <x v="1"/>
    <x v="918"/>
    <n v="55"/>
  </r>
  <r>
    <s v="SALE920"/>
    <x v="205"/>
    <s v="CUST1029"/>
    <s v="PROD79"/>
    <s v="STORE4"/>
    <n v="2"/>
    <n v="32.19"/>
    <x v="21"/>
    <x v="2"/>
    <x v="1"/>
    <x v="24"/>
    <x v="2"/>
    <x v="29"/>
    <x v="3"/>
    <n v="228.53"/>
    <x v="2"/>
    <x v="2"/>
    <x v="919"/>
    <n v="54"/>
  </r>
  <r>
    <s v="SALE921"/>
    <x v="325"/>
    <s v="CUST1138"/>
    <s v="PROD33"/>
    <s v="STORE19"/>
    <n v="2"/>
    <n v="892.06"/>
    <x v="16"/>
    <x v="0"/>
    <x v="0"/>
    <x v="45"/>
    <x v="0"/>
    <x v="9"/>
    <x v="3"/>
    <n v="179.77"/>
    <x v="3"/>
    <x v="2"/>
    <x v="920"/>
    <n v="43"/>
  </r>
  <r>
    <s v="SALE922"/>
    <x v="312"/>
    <s v="CUST1472"/>
    <s v="PROD58"/>
    <s v="STORE6"/>
    <n v="1"/>
    <n v="127.47"/>
    <x v="3"/>
    <x v="2"/>
    <x v="0"/>
    <x v="43"/>
    <x v="2"/>
    <x v="87"/>
    <x v="4"/>
    <n v="113.83"/>
    <x v="3"/>
    <x v="2"/>
    <x v="921"/>
    <n v="42"/>
  </r>
  <r>
    <s v="SALE923"/>
    <x v="428"/>
    <s v="CUST1388"/>
    <s v="PROD77"/>
    <s v="STORE14"/>
    <n v="3"/>
    <n v="212.87"/>
    <x v="4"/>
    <x v="0"/>
    <x v="0"/>
    <x v="6"/>
    <x v="1"/>
    <x v="25"/>
    <x v="1"/>
    <n v="480.9"/>
    <x v="2"/>
    <x v="0"/>
    <x v="922"/>
    <n v="53"/>
  </r>
  <r>
    <s v="SALE924"/>
    <x v="521"/>
    <s v="CUST1181"/>
    <s v="PROD81"/>
    <s v="STORE7"/>
    <n v="1"/>
    <n v="26.37"/>
    <x v="11"/>
    <x v="2"/>
    <x v="0"/>
    <x v="14"/>
    <x v="3"/>
    <x v="82"/>
    <x v="0"/>
    <n v="285.54"/>
    <x v="2"/>
    <x v="2"/>
    <x v="923"/>
    <n v="60"/>
  </r>
  <r>
    <s v="SALE925"/>
    <x v="505"/>
    <s v="CUST1466"/>
    <s v="PROD34"/>
    <s v="STORE18"/>
    <n v="4"/>
    <n v="953.98"/>
    <x v="3"/>
    <x v="0"/>
    <x v="0"/>
    <x v="46"/>
    <x v="2"/>
    <x v="13"/>
    <x v="1"/>
    <n v="419.28"/>
    <x v="3"/>
    <x v="1"/>
    <x v="924"/>
    <n v="18"/>
  </r>
  <r>
    <s v="SALE926"/>
    <x v="19"/>
    <s v="CUST1215"/>
    <s v="PROD67"/>
    <s v="STORE19"/>
    <n v="3"/>
    <n v="968.88"/>
    <x v="6"/>
    <x v="0"/>
    <x v="1"/>
    <x v="47"/>
    <x v="0"/>
    <x v="22"/>
    <x v="1"/>
    <n v="349.17"/>
    <x v="3"/>
    <x v="2"/>
    <x v="925"/>
    <n v="50"/>
  </r>
  <r>
    <s v="SALE927"/>
    <x v="126"/>
    <s v="CUST1187"/>
    <s v="PROD76"/>
    <s v="STORE18"/>
    <n v="1"/>
    <n v="533.05"/>
    <x v="32"/>
    <x v="1"/>
    <x v="1"/>
    <x v="4"/>
    <x v="1"/>
    <x v="3"/>
    <x v="1"/>
    <n v="392.89"/>
    <x v="3"/>
    <x v="1"/>
    <x v="926"/>
    <n v="60"/>
  </r>
  <r>
    <s v="SALE928"/>
    <x v="17"/>
    <s v="CUST1381"/>
    <s v="PROD81"/>
    <s v="STORE1"/>
    <n v="3"/>
    <n v="138.86"/>
    <x v="32"/>
    <x v="1"/>
    <x v="0"/>
    <x v="4"/>
    <x v="2"/>
    <x v="82"/>
    <x v="0"/>
    <n v="285.54"/>
    <x v="0"/>
    <x v="1"/>
    <x v="927"/>
    <n v="50"/>
  </r>
  <r>
    <s v="SALE929"/>
    <x v="52"/>
    <s v="CUST1159"/>
    <s v="PROD22"/>
    <s v="STORE0"/>
    <n v="1"/>
    <n v="588.93"/>
    <x v="15"/>
    <x v="2"/>
    <x v="1"/>
    <x v="19"/>
    <x v="0"/>
    <x v="62"/>
    <x v="0"/>
    <n v="484.62"/>
    <x v="3"/>
    <x v="1"/>
    <x v="928"/>
    <n v="46"/>
  </r>
  <r>
    <s v="SALE930"/>
    <x v="278"/>
    <s v="CUST1403"/>
    <s v="PROD52"/>
    <s v="STORE5"/>
    <n v="2"/>
    <n v="576.83"/>
    <x v="5"/>
    <x v="1"/>
    <x v="0"/>
    <x v="38"/>
    <x v="3"/>
    <x v="40"/>
    <x v="0"/>
    <n v="212.26"/>
    <x v="0"/>
    <x v="0"/>
    <x v="929"/>
    <n v="34"/>
  </r>
  <r>
    <s v="SALE931"/>
    <x v="214"/>
    <s v="CUST1323"/>
    <s v="PROD65"/>
    <s v="STORE12"/>
    <n v="1"/>
    <n v="681.3"/>
    <x v="28"/>
    <x v="0"/>
    <x v="1"/>
    <x v="29"/>
    <x v="1"/>
    <x v="15"/>
    <x v="0"/>
    <n v="240.63"/>
    <x v="0"/>
    <x v="2"/>
    <x v="930"/>
    <n v="64"/>
  </r>
  <r>
    <s v="SALE932"/>
    <x v="522"/>
    <s v="CUST1457"/>
    <s v="PROD25"/>
    <s v="STORE15"/>
    <n v="3"/>
    <n v="504.97"/>
    <x v="11"/>
    <x v="0"/>
    <x v="0"/>
    <x v="27"/>
    <x v="1"/>
    <x v="60"/>
    <x v="4"/>
    <n v="174.02"/>
    <x v="0"/>
    <x v="1"/>
    <x v="931"/>
    <n v="59"/>
  </r>
  <r>
    <s v="SALE933"/>
    <x v="523"/>
    <s v="CUST1060"/>
    <s v="PROD38"/>
    <s v="STORE11"/>
    <n v="3"/>
    <n v="649.78"/>
    <x v="30"/>
    <x v="1"/>
    <x v="1"/>
    <x v="41"/>
    <x v="2"/>
    <x v="48"/>
    <x v="0"/>
    <n v="135.61"/>
    <x v="2"/>
    <x v="2"/>
    <x v="932"/>
    <n v="22"/>
  </r>
  <r>
    <s v="SALE934"/>
    <x v="524"/>
    <s v="CUST1245"/>
    <s v="PROD39"/>
    <s v="STORE9"/>
    <n v="2"/>
    <n v="986.73"/>
    <x v="28"/>
    <x v="1"/>
    <x v="1"/>
    <x v="20"/>
    <x v="1"/>
    <x v="11"/>
    <x v="1"/>
    <n v="326.06"/>
    <x v="2"/>
    <x v="1"/>
    <x v="933"/>
    <n v="57"/>
  </r>
  <r>
    <s v="SALE935"/>
    <x v="163"/>
    <s v="CUST1119"/>
    <s v="PROD13"/>
    <s v="STORE15"/>
    <n v="2"/>
    <n v="65.44"/>
    <x v="28"/>
    <x v="1"/>
    <x v="0"/>
    <x v="3"/>
    <x v="3"/>
    <x v="26"/>
    <x v="1"/>
    <n v="242.23"/>
    <x v="0"/>
    <x v="1"/>
    <x v="934"/>
    <n v="40"/>
  </r>
  <r>
    <s v="SALE936"/>
    <x v="317"/>
    <s v="CUST1383"/>
    <s v="PROD63"/>
    <s v="STORE13"/>
    <n v="3"/>
    <n v="953.74"/>
    <x v="13"/>
    <x v="0"/>
    <x v="1"/>
    <x v="42"/>
    <x v="2"/>
    <x v="81"/>
    <x v="2"/>
    <n v="266.86"/>
    <x v="3"/>
    <x v="1"/>
    <x v="935"/>
    <n v="27"/>
  </r>
  <r>
    <s v="SALE937"/>
    <x v="525"/>
    <s v="CUST1067"/>
    <s v="PROD76"/>
    <s v="STORE10"/>
    <n v="3"/>
    <n v="904.48"/>
    <x v="34"/>
    <x v="1"/>
    <x v="0"/>
    <x v="26"/>
    <x v="2"/>
    <x v="3"/>
    <x v="1"/>
    <n v="392.89"/>
    <x v="3"/>
    <x v="2"/>
    <x v="936"/>
    <n v="58"/>
  </r>
  <r>
    <s v="SALE938"/>
    <x v="526"/>
    <s v="CUST1492"/>
    <s v="PROD62"/>
    <s v="STORE15"/>
    <n v="3"/>
    <n v="920.82"/>
    <x v="30"/>
    <x v="1"/>
    <x v="1"/>
    <x v="26"/>
    <x v="1"/>
    <x v="85"/>
    <x v="1"/>
    <n v="86.42"/>
    <x v="0"/>
    <x v="1"/>
    <x v="937"/>
    <n v="59"/>
  </r>
  <r>
    <s v="SALE939"/>
    <x v="225"/>
    <s v="CUST1305"/>
    <s v="PROD28"/>
    <s v="STORE1"/>
    <n v="1"/>
    <n v="182.28"/>
    <x v="6"/>
    <x v="2"/>
    <x v="0"/>
    <x v="7"/>
    <x v="1"/>
    <x v="77"/>
    <x v="0"/>
    <n v="38.76"/>
    <x v="0"/>
    <x v="1"/>
    <x v="938"/>
    <n v="64"/>
  </r>
  <r>
    <s v="SALE940"/>
    <x v="200"/>
    <s v="CUST1445"/>
    <s v="PROD31"/>
    <s v="STORE16"/>
    <n v="3"/>
    <n v="938.68"/>
    <x v="17"/>
    <x v="0"/>
    <x v="1"/>
    <x v="45"/>
    <x v="1"/>
    <x v="45"/>
    <x v="0"/>
    <n v="204.39"/>
    <x v="1"/>
    <x v="1"/>
    <x v="939"/>
    <n v="41"/>
  </r>
  <r>
    <s v="SALE941"/>
    <x v="527"/>
    <s v="CUST1081"/>
    <s v="PROD91"/>
    <s v="STORE5"/>
    <n v="3"/>
    <n v="219.96"/>
    <x v="4"/>
    <x v="1"/>
    <x v="1"/>
    <x v="28"/>
    <x v="1"/>
    <x v="52"/>
    <x v="4"/>
    <n v="438.25"/>
    <x v="0"/>
    <x v="0"/>
    <x v="940"/>
    <n v="34"/>
  </r>
  <r>
    <s v="SALE942"/>
    <x v="484"/>
    <s v="CUST1473"/>
    <s v="PROD71"/>
    <s v="STORE18"/>
    <n v="3"/>
    <n v="385.74"/>
    <x v="1"/>
    <x v="0"/>
    <x v="0"/>
    <x v="18"/>
    <x v="3"/>
    <x v="51"/>
    <x v="2"/>
    <n v="214.32"/>
    <x v="3"/>
    <x v="1"/>
    <x v="941"/>
    <n v="53"/>
  </r>
  <r>
    <s v="SALE943"/>
    <x v="264"/>
    <s v="CUST1453"/>
    <s v="PROD81"/>
    <s v="STORE18"/>
    <n v="2"/>
    <n v="830.94"/>
    <x v="23"/>
    <x v="1"/>
    <x v="1"/>
    <x v="22"/>
    <x v="1"/>
    <x v="82"/>
    <x v="0"/>
    <n v="285.54"/>
    <x v="3"/>
    <x v="1"/>
    <x v="942"/>
    <n v="62"/>
  </r>
  <r>
    <s v="SALE944"/>
    <x v="112"/>
    <s v="CUST1383"/>
    <s v="PROD3"/>
    <s v="STORE9"/>
    <n v="3"/>
    <n v="462.75"/>
    <x v="14"/>
    <x v="1"/>
    <x v="1"/>
    <x v="42"/>
    <x v="2"/>
    <x v="58"/>
    <x v="4"/>
    <n v="364.67"/>
    <x v="2"/>
    <x v="1"/>
    <x v="943"/>
    <n v="27"/>
  </r>
  <r>
    <s v="SALE945"/>
    <x v="528"/>
    <s v="CUST1067"/>
    <s v="PROD14"/>
    <s v="STORE15"/>
    <n v="4"/>
    <n v="973.9"/>
    <x v="31"/>
    <x v="2"/>
    <x v="0"/>
    <x v="26"/>
    <x v="2"/>
    <x v="66"/>
    <x v="3"/>
    <n v="48.01"/>
    <x v="0"/>
    <x v="1"/>
    <x v="944"/>
    <n v="58"/>
  </r>
  <r>
    <s v="SALE946"/>
    <x v="167"/>
    <s v="CUST1140"/>
    <s v="PROD35"/>
    <s v="STORE1"/>
    <n v="2"/>
    <n v="157.18"/>
    <x v="6"/>
    <x v="0"/>
    <x v="1"/>
    <x v="2"/>
    <x v="0"/>
    <x v="68"/>
    <x v="3"/>
    <n v="382.22"/>
    <x v="0"/>
    <x v="1"/>
    <x v="945"/>
    <n v="63"/>
  </r>
  <r>
    <s v="SALE947"/>
    <x v="529"/>
    <s v="CUST1013"/>
    <s v="PROD73"/>
    <s v="STORE13"/>
    <n v="3"/>
    <n v="239.57"/>
    <x v="3"/>
    <x v="0"/>
    <x v="1"/>
    <x v="10"/>
    <x v="2"/>
    <x v="78"/>
    <x v="0"/>
    <n v="107.06"/>
    <x v="3"/>
    <x v="1"/>
    <x v="946"/>
    <n v="32"/>
  </r>
  <r>
    <s v="SALE948"/>
    <x v="530"/>
    <s v="CUST1327"/>
    <s v="PROD9"/>
    <s v="STORE16"/>
    <n v="4"/>
    <n v="583.21"/>
    <x v="29"/>
    <x v="0"/>
    <x v="1"/>
    <x v="14"/>
    <x v="3"/>
    <x v="93"/>
    <x v="0"/>
    <n v="495.72"/>
    <x v="1"/>
    <x v="1"/>
    <x v="947"/>
    <n v="62"/>
  </r>
  <r>
    <s v="SALE949"/>
    <x v="531"/>
    <s v="CUST1413"/>
    <s v="PROD81"/>
    <s v="STORE8"/>
    <n v="3"/>
    <n v="758.75"/>
    <x v="1"/>
    <x v="1"/>
    <x v="1"/>
    <x v="12"/>
    <x v="3"/>
    <x v="82"/>
    <x v="0"/>
    <n v="285.54"/>
    <x v="1"/>
    <x v="2"/>
    <x v="948"/>
    <n v="59"/>
  </r>
  <r>
    <s v="SALE950"/>
    <x v="50"/>
    <s v="CUST1309"/>
    <s v="PROD61"/>
    <s v="STORE5"/>
    <n v="4"/>
    <n v="372.42"/>
    <x v="5"/>
    <x v="0"/>
    <x v="1"/>
    <x v="24"/>
    <x v="3"/>
    <x v="86"/>
    <x v="0"/>
    <n v="103.45"/>
    <x v="0"/>
    <x v="0"/>
    <x v="949"/>
    <n v="41"/>
  </r>
  <r>
    <s v="SALE951"/>
    <x v="322"/>
    <s v="CUST1154"/>
    <s v="PROD63"/>
    <s v="STORE19"/>
    <n v="4"/>
    <n v="286.28"/>
    <x v="23"/>
    <x v="1"/>
    <x v="1"/>
    <x v="1"/>
    <x v="0"/>
    <x v="81"/>
    <x v="2"/>
    <n v="266.86"/>
    <x v="3"/>
    <x v="2"/>
    <x v="950"/>
    <n v="35"/>
  </r>
  <r>
    <s v="SALE952"/>
    <x v="261"/>
    <s v="CUST1279"/>
    <s v="PROD73"/>
    <s v="STORE11"/>
    <n v="3"/>
    <n v="488.37"/>
    <x v="1"/>
    <x v="2"/>
    <x v="1"/>
    <x v="31"/>
    <x v="3"/>
    <x v="78"/>
    <x v="0"/>
    <n v="107.06"/>
    <x v="2"/>
    <x v="2"/>
    <x v="951"/>
    <n v="21"/>
  </r>
  <r>
    <s v="SALE953"/>
    <x v="532"/>
    <s v="CUST1469"/>
    <s v="PROD87"/>
    <s v="STORE8"/>
    <n v="3"/>
    <n v="662.82"/>
    <x v="10"/>
    <x v="2"/>
    <x v="0"/>
    <x v="39"/>
    <x v="0"/>
    <x v="72"/>
    <x v="3"/>
    <n v="371.38"/>
    <x v="1"/>
    <x v="2"/>
    <x v="952"/>
    <n v="19"/>
  </r>
  <r>
    <s v="SALE954"/>
    <x v="502"/>
    <s v="CUST1497"/>
    <s v="PROD6"/>
    <s v="STORE16"/>
    <n v="2"/>
    <n v="824.34"/>
    <x v="30"/>
    <x v="2"/>
    <x v="1"/>
    <x v="14"/>
    <x v="0"/>
    <x v="96"/>
    <x v="2"/>
    <n v="312.8"/>
    <x v="1"/>
    <x v="1"/>
    <x v="953"/>
    <n v="47"/>
  </r>
  <r>
    <s v="SALE955"/>
    <x v="209"/>
    <s v="CUST1113"/>
    <s v="PROD59"/>
    <s v="STORE8"/>
    <n v="1"/>
    <n v="437.12"/>
    <x v="34"/>
    <x v="0"/>
    <x v="0"/>
    <x v="23"/>
    <x v="0"/>
    <x v="4"/>
    <x v="2"/>
    <n v="17.31"/>
    <x v="1"/>
    <x v="2"/>
    <x v="954"/>
    <n v="51"/>
  </r>
  <r>
    <s v="SALE956"/>
    <x v="40"/>
    <s v="CUST1357"/>
    <s v="PROD88"/>
    <s v="STORE6"/>
    <n v="3"/>
    <n v="23.37"/>
    <x v="6"/>
    <x v="1"/>
    <x v="0"/>
    <x v="3"/>
    <x v="0"/>
    <x v="12"/>
    <x v="0"/>
    <n v="131.24"/>
    <x v="3"/>
    <x v="2"/>
    <x v="955"/>
    <n v="41"/>
  </r>
  <r>
    <s v="SALE957"/>
    <x v="533"/>
    <s v="CUST1187"/>
    <s v="PROD36"/>
    <s v="STORE8"/>
    <n v="1"/>
    <n v="579.69"/>
    <x v="31"/>
    <x v="0"/>
    <x v="1"/>
    <x v="4"/>
    <x v="1"/>
    <x v="14"/>
    <x v="4"/>
    <n v="223.43"/>
    <x v="1"/>
    <x v="2"/>
    <x v="956"/>
    <n v="60"/>
  </r>
  <r>
    <s v="SALE958"/>
    <x v="236"/>
    <s v="CUST1430"/>
    <s v="PROD78"/>
    <s v="STORE14"/>
    <n v="3"/>
    <n v="240.51"/>
    <x v="8"/>
    <x v="0"/>
    <x v="1"/>
    <x v="19"/>
    <x v="0"/>
    <x v="36"/>
    <x v="3"/>
    <n v="325.26"/>
    <x v="2"/>
    <x v="0"/>
    <x v="957"/>
    <n v="36"/>
  </r>
  <r>
    <s v="SALE959"/>
    <x v="534"/>
    <s v="CUST1382"/>
    <s v="PROD25"/>
    <s v="STORE14"/>
    <n v="2"/>
    <n v="855.4"/>
    <x v="16"/>
    <x v="2"/>
    <x v="1"/>
    <x v="24"/>
    <x v="0"/>
    <x v="60"/>
    <x v="4"/>
    <n v="174.02"/>
    <x v="2"/>
    <x v="0"/>
    <x v="958"/>
    <n v="20"/>
  </r>
  <r>
    <s v="SALE960"/>
    <x v="174"/>
    <s v="CUST1007"/>
    <s v="PROD90"/>
    <s v="STORE7"/>
    <n v="1"/>
    <n v="537.26"/>
    <x v="0"/>
    <x v="0"/>
    <x v="1"/>
    <x v="35"/>
    <x v="3"/>
    <x v="64"/>
    <x v="1"/>
    <n v="340.14"/>
    <x v="2"/>
    <x v="2"/>
    <x v="959"/>
    <n v="29"/>
  </r>
  <r>
    <s v="SALE961"/>
    <x v="17"/>
    <s v="CUST1384"/>
    <s v="PROD51"/>
    <s v="STORE10"/>
    <n v="3"/>
    <n v="918.26"/>
    <x v="9"/>
    <x v="2"/>
    <x v="1"/>
    <x v="9"/>
    <x v="3"/>
    <x v="69"/>
    <x v="1"/>
    <n v="88.49"/>
    <x v="3"/>
    <x v="2"/>
    <x v="960"/>
    <n v="52"/>
  </r>
  <r>
    <s v="SALE962"/>
    <x v="469"/>
    <s v="CUST1095"/>
    <s v="PROD6"/>
    <s v="STORE9"/>
    <n v="4"/>
    <n v="579.7"/>
    <x v="4"/>
    <x v="1"/>
    <x v="1"/>
    <x v="14"/>
    <x v="1"/>
    <x v="96"/>
    <x v="2"/>
    <n v="312.8"/>
    <x v="2"/>
    <x v="1"/>
    <x v="961"/>
    <n v="62"/>
  </r>
  <r>
    <s v="SALE963"/>
    <x v="27"/>
    <s v="CUST1145"/>
    <s v="PROD43"/>
    <s v="STORE6"/>
    <n v="1"/>
    <n v="824.32"/>
    <x v="4"/>
    <x v="0"/>
    <x v="0"/>
    <x v="30"/>
    <x v="1"/>
    <x v="19"/>
    <x v="1"/>
    <n v="253.33"/>
    <x v="3"/>
    <x v="2"/>
    <x v="962"/>
    <n v="46"/>
  </r>
  <r>
    <s v="SALE964"/>
    <x v="535"/>
    <s v="CUST1109"/>
    <s v="PROD46"/>
    <s v="STORE15"/>
    <n v="4"/>
    <n v="614.99"/>
    <x v="3"/>
    <x v="1"/>
    <x v="0"/>
    <x v="35"/>
    <x v="2"/>
    <x v="54"/>
    <x v="4"/>
    <n v="167.34"/>
    <x v="0"/>
    <x v="1"/>
    <x v="963"/>
    <n v="27"/>
  </r>
  <r>
    <s v="SALE965"/>
    <x v="536"/>
    <s v="CUST1128"/>
    <s v="PROD62"/>
    <s v="STORE0"/>
    <n v="4"/>
    <n v="189.21"/>
    <x v="22"/>
    <x v="2"/>
    <x v="0"/>
    <x v="13"/>
    <x v="2"/>
    <x v="85"/>
    <x v="1"/>
    <n v="86.42"/>
    <x v="3"/>
    <x v="1"/>
    <x v="964"/>
    <n v="45"/>
  </r>
  <r>
    <s v="SALE966"/>
    <x v="434"/>
    <s v="CUST1154"/>
    <s v="PROD62"/>
    <s v="STORE14"/>
    <n v="2"/>
    <n v="233.33"/>
    <x v="28"/>
    <x v="0"/>
    <x v="1"/>
    <x v="1"/>
    <x v="0"/>
    <x v="85"/>
    <x v="1"/>
    <n v="86.42"/>
    <x v="2"/>
    <x v="0"/>
    <x v="965"/>
    <n v="35"/>
  </r>
  <r>
    <s v="SALE967"/>
    <x v="454"/>
    <s v="CUST1248"/>
    <s v="PROD39"/>
    <s v="STORE18"/>
    <n v="3"/>
    <n v="529.89"/>
    <x v="34"/>
    <x v="0"/>
    <x v="0"/>
    <x v="8"/>
    <x v="0"/>
    <x v="11"/>
    <x v="1"/>
    <n v="326.06"/>
    <x v="3"/>
    <x v="1"/>
    <x v="966"/>
    <n v="19"/>
  </r>
  <r>
    <s v="SALE968"/>
    <x v="79"/>
    <s v="CUST1489"/>
    <s v="PROD92"/>
    <s v="STORE1"/>
    <n v="2"/>
    <n v="954.1"/>
    <x v="9"/>
    <x v="1"/>
    <x v="1"/>
    <x v="30"/>
    <x v="2"/>
    <x v="80"/>
    <x v="3"/>
    <n v="447.43"/>
    <x v="0"/>
    <x v="1"/>
    <x v="967"/>
    <n v="42"/>
  </r>
  <r>
    <s v="SALE969"/>
    <x v="113"/>
    <s v="CUST1323"/>
    <s v="PROD65"/>
    <s v="STORE7"/>
    <n v="1"/>
    <n v="370.04"/>
    <x v="13"/>
    <x v="2"/>
    <x v="1"/>
    <x v="29"/>
    <x v="1"/>
    <x v="15"/>
    <x v="0"/>
    <n v="240.63"/>
    <x v="2"/>
    <x v="2"/>
    <x v="968"/>
    <n v="64"/>
  </r>
  <r>
    <s v="SALE970"/>
    <x v="4"/>
    <s v="CUST1061"/>
    <s v="PROD96"/>
    <s v="STORE19"/>
    <n v="4"/>
    <n v="492.71"/>
    <x v="16"/>
    <x v="0"/>
    <x v="0"/>
    <x v="6"/>
    <x v="2"/>
    <x v="99"/>
    <x v="4"/>
    <n v="358.47"/>
    <x v="3"/>
    <x v="2"/>
    <x v="969"/>
    <n v="23"/>
  </r>
  <r>
    <s v="SALE971"/>
    <x v="89"/>
    <s v="CUST1280"/>
    <s v="PROD91"/>
    <s v="STORE13"/>
    <n v="4"/>
    <n v="853.26"/>
    <x v="24"/>
    <x v="2"/>
    <x v="0"/>
    <x v="22"/>
    <x v="3"/>
    <x v="52"/>
    <x v="4"/>
    <n v="438.25"/>
    <x v="3"/>
    <x v="1"/>
    <x v="970"/>
    <n v="48"/>
  </r>
  <r>
    <s v="SALE972"/>
    <x v="459"/>
    <s v="CUST1406"/>
    <s v="PROD3"/>
    <s v="STORE16"/>
    <n v="1"/>
    <n v="402.47"/>
    <x v="5"/>
    <x v="1"/>
    <x v="1"/>
    <x v="18"/>
    <x v="0"/>
    <x v="58"/>
    <x v="4"/>
    <n v="364.67"/>
    <x v="1"/>
    <x v="1"/>
    <x v="971"/>
    <n v="23"/>
  </r>
  <r>
    <s v="SALE973"/>
    <x v="331"/>
    <s v="CUST1402"/>
    <s v="PROD54"/>
    <s v="STORE18"/>
    <n v="2"/>
    <n v="528.3"/>
    <x v="24"/>
    <x v="0"/>
    <x v="0"/>
    <x v="25"/>
    <x v="3"/>
    <x v="59"/>
    <x v="0"/>
    <n v="434.84"/>
    <x v="3"/>
    <x v="1"/>
    <x v="972"/>
    <n v="31"/>
  </r>
  <r>
    <s v="SALE974"/>
    <x v="228"/>
    <s v="CUST1444"/>
    <s v="PROD10"/>
    <s v="STORE6"/>
    <n v="4"/>
    <n v="599.85"/>
    <x v="2"/>
    <x v="0"/>
    <x v="0"/>
    <x v="0"/>
    <x v="0"/>
    <x v="31"/>
    <x v="3"/>
    <n v="298.86"/>
    <x v="3"/>
    <x v="2"/>
    <x v="973"/>
    <n v="19"/>
  </r>
  <r>
    <s v="SALE975"/>
    <x v="374"/>
    <s v="CUST1303"/>
    <s v="PROD16"/>
    <s v="STORE9"/>
    <n v="2"/>
    <n v="61.42"/>
    <x v="16"/>
    <x v="1"/>
    <x v="1"/>
    <x v="37"/>
    <x v="1"/>
    <x v="30"/>
    <x v="2"/>
    <n v="337.42"/>
    <x v="2"/>
    <x v="1"/>
    <x v="974"/>
    <n v="23"/>
  </r>
  <r>
    <s v="SALE976"/>
    <x v="227"/>
    <s v="CUST1249"/>
    <s v="PROD19"/>
    <s v="STORE10"/>
    <n v="2"/>
    <n v="466.42"/>
    <x v="27"/>
    <x v="1"/>
    <x v="1"/>
    <x v="14"/>
    <x v="0"/>
    <x v="46"/>
    <x v="0"/>
    <n v="21.34"/>
    <x v="3"/>
    <x v="2"/>
    <x v="975"/>
    <n v="41"/>
  </r>
  <r>
    <s v="SALE977"/>
    <x v="446"/>
    <s v="CUST1099"/>
    <s v="PROD31"/>
    <s v="STORE5"/>
    <n v="4"/>
    <n v="540.69"/>
    <x v="0"/>
    <x v="2"/>
    <x v="0"/>
    <x v="3"/>
    <x v="2"/>
    <x v="45"/>
    <x v="0"/>
    <n v="204.39"/>
    <x v="0"/>
    <x v="0"/>
    <x v="976"/>
    <n v="35"/>
  </r>
  <r>
    <s v="SALE978"/>
    <x v="537"/>
    <s v="CUST1298"/>
    <s v="PROD19"/>
    <s v="STORE13"/>
    <n v="3"/>
    <n v="677.46"/>
    <x v="28"/>
    <x v="0"/>
    <x v="0"/>
    <x v="17"/>
    <x v="1"/>
    <x v="46"/>
    <x v="0"/>
    <n v="21.34"/>
    <x v="3"/>
    <x v="1"/>
    <x v="977"/>
    <n v="64"/>
  </r>
  <r>
    <s v="SALE979"/>
    <x v="538"/>
    <s v="CUST1328"/>
    <s v="PROD21"/>
    <s v="STORE1"/>
    <n v="3"/>
    <n v="614.63"/>
    <x v="22"/>
    <x v="1"/>
    <x v="0"/>
    <x v="46"/>
    <x v="1"/>
    <x v="39"/>
    <x v="3"/>
    <n v="123.46"/>
    <x v="0"/>
    <x v="1"/>
    <x v="978"/>
    <n v="46"/>
  </r>
  <r>
    <s v="SALE980"/>
    <x v="539"/>
    <s v="CUST1232"/>
    <s v="PROD66"/>
    <s v="STORE8"/>
    <n v="4"/>
    <n v="649.52"/>
    <x v="32"/>
    <x v="0"/>
    <x v="1"/>
    <x v="19"/>
    <x v="1"/>
    <x v="73"/>
    <x v="2"/>
    <n v="340.39"/>
    <x v="1"/>
    <x v="2"/>
    <x v="979"/>
    <n v="27"/>
  </r>
  <r>
    <s v="SALE981"/>
    <x v="540"/>
    <s v="CUST1445"/>
    <s v="PROD85"/>
    <s v="STORE8"/>
    <n v="2"/>
    <n v="943.93"/>
    <x v="14"/>
    <x v="1"/>
    <x v="1"/>
    <x v="45"/>
    <x v="1"/>
    <x v="65"/>
    <x v="4"/>
    <n v="119.57"/>
    <x v="1"/>
    <x v="2"/>
    <x v="980"/>
    <n v="41"/>
  </r>
  <r>
    <s v="SALE982"/>
    <x v="541"/>
    <s v="CUST1165"/>
    <s v="PROD31"/>
    <s v="STORE8"/>
    <n v="4"/>
    <n v="538.73"/>
    <x v="15"/>
    <x v="0"/>
    <x v="1"/>
    <x v="49"/>
    <x v="1"/>
    <x v="45"/>
    <x v="0"/>
    <n v="204.39"/>
    <x v="1"/>
    <x v="2"/>
    <x v="981"/>
    <n v="47"/>
  </r>
  <r>
    <s v="SALE983"/>
    <x v="542"/>
    <s v="CUST1088"/>
    <s v="PROD66"/>
    <s v="STORE8"/>
    <n v="2"/>
    <n v="853.93"/>
    <x v="10"/>
    <x v="1"/>
    <x v="0"/>
    <x v="13"/>
    <x v="2"/>
    <x v="73"/>
    <x v="2"/>
    <n v="340.39"/>
    <x v="1"/>
    <x v="2"/>
    <x v="982"/>
    <n v="58"/>
  </r>
  <r>
    <s v="SALE984"/>
    <x v="62"/>
    <s v="CUST1491"/>
    <s v="PROD29"/>
    <s v="STORE4"/>
    <n v="4"/>
    <n v="465.42"/>
    <x v="25"/>
    <x v="2"/>
    <x v="1"/>
    <x v="34"/>
    <x v="0"/>
    <x v="35"/>
    <x v="3"/>
    <n v="218.48"/>
    <x v="2"/>
    <x v="2"/>
    <x v="983"/>
    <n v="52"/>
  </r>
  <r>
    <s v="SALE985"/>
    <x v="543"/>
    <s v="CUST1055"/>
    <s v="PROD1"/>
    <s v="STORE11"/>
    <n v="4"/>
    <n v="880.26"/>
    <x v="32"/>
    <x v="2"/>
    <x v="1"/>
    <x v="46"/>
    <x v="3"/>
    <x v="55"/>
    <x v="4"/>
    <n v="342.56"/>
    <x v="2"/>
    <x v="2"/>
    <x v="984"/>
    <n v="56"/>
  </r>
  <r>
    <s v="SALE986"/>
    <x v="449"/>
    <s v="CUST1483"/>
    <s v="PROD51"/>
    <s v="STORE11"/>
    <n v="3"/>
    <n v="461.02"/>
    <x v="12"/>
    <x v="1"/>
    <x v="0"/>
    <x v="8"/>
    <x v="0"/>
    <x v="69"/>
    <x v="1"/>
    <n v="88.49"/>
    <x v="2"/>
    <x v="2"/>
    <x v="985"/>
    <n v="48"/>
  </r>
  <r>
    <s v="SALE987"/>
    <x v="372"/>
    <s v="CUST1026"/>
    <s v="PROD25"/>
    <s v="STORE13"/>
    <n v="1"/>
    <n v="531.99"/>
    <x v="9"/>
    <x v="1"/>
    <x v="1"/>
    <x v="6"/>
    <x v="0"/>
    <x v="60"/>
    <x v="4"/>
    <n v="174.02"/>
    <x v="3"/>
    <x v="1"/>
    <x v="986"/>
    <n v="18"/>
  </r>
  <r>
    <s v="SALE988"/>
    <x v="40"/>
    <s v="CUST1004"/>
    <s v="PROD47"/>
    <s v="STORE17"/>
    <n v="2"/>
    <n v="274.09"/>
    <x v="21"/>
    <x v="1"/>
    <x v="1"/>
    <x v="24"/>
    <x v="2"/>
    <x v="44"/>
    <x v="2"/>
    <n v="255.049019607843"/>
    <x v="0"/>
    <x v="1"/>
    <x v="987"/>
    <n v="64"/>
  </r>
  <r>
    <s v="SALE989"/>
    <x v="544"/>
    <s v="CUST1443"/>
    <s v="PROD88"/>
    <s v="STORE10"/>
    <n v="1"/>
    <n v="66.14"/>
    <x v="17"/>
    <x v="2"/>
    <x v="0"/>
    <x v="11"/>
    <x v="2"/>
    <x v="12"/>
    <x v="0"/>
    <n v="131.24"/>
    <x v="3"/>
    <x v="2"/>
    <x v="988"/>
    <n v="51"/>
  </r>
  <r>
    <s v="SALE990"/>
    <x v="13"/>
    <s v="CUST1077"/>
    <s v="PROD20"/>
    <s v="STORE9"/>
    <n v="3"/>
    <n v="955.82"/>
    <x v="3"/>
    <x v="2"/>
    <x v="0"/>
    <x v="1"/>
    <x v="0"/>
    <x v="42"/>
    <x v="0"/>
    <n v="131.51"/>
    <x v="2"/>
    <x v="1"/>
    <x v="989"/>
    <n v="29"/>
  </r>
  <r>
    <s v="SALE991"/>
    <x v="542"/>
    <s v="CUST1319"/>
    <s v="PROD22"/>
    <s v="STORE12"/>
    <n v="1"/>
    <n v="904.92"/>
    <x v="21"/>
    <x v="0"/>
    <x v="0"/>
    <x v="25"/>
    <x v="1"/>
    <x v="62"/>
    <x v="0"/>
    <n v="484.62"/>
    <x v="0"/>
    <x v="2"/>
    <x v="990"/>
    <n v="54"/>
  </r>
  <r>
    <s v="SALE992"/>
    <x v="509"/>
    <s v="CUST1000"/>
    <s v="PROD40"/>
    <s v="STORE7"/>
    <n v="3"/>
    <n v="490.02"/>
    <x v="25"/>
    <x v="0"/>
    <x v="0"/>
    <x v="29"/>
    <x v="4"/>
    <x v="43"/>
    <x v="1"/>
    <n v="38.52"/>
    <x v="2"/>
    <x v="2"/>
    <x v="991"/>
    <n v="55"/>
  </r>
  <r>
    <s v="SALE993"/>
    <x v="481"/>
    <s v="CUST1363"/>
    <s v="PROD19"/>
    <s v="STORE6"/>
    <n v="2"/>
    <n v="957.54"/>
    <x v="30"/>
    <x v="2"/>
    <x v="0"/>
    <x v="31"/>
    <x v="3"/>
    <x v="46"/>
    <x v="0"/>
    <n v="21.34"/>
    <x v="3"/>
    <x v="2"/>
    <x v="992"/>
    <n v="23"/>
  </r>
  <r>
    <s v="SALE994"/>
    <x v="545"/>
    <s v="CUST1329"/>
    <s v="PROD99"/>
    <s v="STORE13"/>
    <n v="2"/>
    <n v="314.4"/>
    <x v="8"/>
    <x v="1"/>
    <x v="1"/>
    <x v="46"/>
    <x v="3"/>
    <x v="8"/>
    <x v="3"/>
    <n v="201.41"/>
    <x v="3"/>
    <x v="1"/>
    <x v="993"/>
    <n v="62"/>
  </r>
  <r>
    <s v="SALE995"/>
    <x v="297"/>
    <s v="CUST1394"/>
    <s v="PROD24"/>
    <s v="STORE6"/>
    <n v="3"/>
    <n v="480.11"/>
    <x v="32"/>
    <x v="1"/>
    <x v="1"/>
    <x v="40"/>
    <x v="3"/>
    <x v="10"/>
    <x v="0"/>
    <n v="166.06"/>
    <x v="3"/>
    <x v="2"/>
    <x v="994"/>
    <n v="43"/>
  </r>
  <r>
    <s v="SALE996"/>
    <x v="140"/>
    <s v="CUST1388"/>
    <s v="PROD48"/>
    <s v="STORE6"/>
    <n v="4"/>
    <n v="826.55"/>
    <x v="23"/>
    <x v="0"/>
    <x v="0"/>
    <x v="6"/>
    <x v="1"/>
    <x v="70"/>
    <x v="1"/>
    <n v="177.98"/>
    <x v="3"/>
    <x v="2"/>
    <x v="995"/>
    <n v="53"/>
  </r>
  <r>
    <s v="SALE997"/>
    <x v="546"/>
    <s v="CUST1190"/>
    <s v="PROD27"/>
    <s v="STORE3"/>
    <n v="3"/>
    <n v="530.17"/>
    <x v="4"/>
    <x v="1"/>
    <x v="0"/>
    <x v="14"/>
    <x v="3"/>
    <x v="16"/>
    <x v="3"/>
    <n v="250.021571428571"/>
    <x v="0"/>
    <x v="0"/>
    <x v="996"/>
    <n v="21"/>
  </r>
  <r>
    <s v="SALE998"/>
    <x v="135"/>
    <s v="CUST1407"/>
    <s v="PROD34"/>
    <s v="STORE17"/>
    <n v="3"/>
    <n v="336.17"/>
    <x v="13"/>
    <x v="2"/>
    <x v="0"/>
    <x v="33"/>
    <x v="0"/>
    <x v="13"/>
    <x v="1"/>
    <n v="419.28"/>
    <x v="0"/>
    <x v="1"/>
    <x v="997"/>
    <n v="33"/>
  </r>
  <r>
    <s v="SALE999"/>
    <x v="288"/>
    <s v="CUST1421"/>
    <s v="PROD81"/>
    <s v="STORE8"/>
    <n v="4"/>
    <n v="22.51"/>
    <x v="1"/>
    <x v="1"/>
    <x v="1"/>
    <x v="7"/>
    <x v="1"/>
    <x v="82"/>
    <x v="0"/>
    <n v="285.54"/>
    <x v="1"/>
    <x v="2"/>
    <x v="998"/>
    <n v="45"/>
  </r>
  <r>
    <s v="SALE1000"/>
    <x v="441"/>
    <s v="CUST1190"/>
    <s v="PROD59"/>
    <s v="STORE2"/>
    <n v="2"/>
    <n v="909.51"/>
    <x v="1"/>
    <x v="0"/>
    <x v="0"/>
    <x v="14"/>
    <x v="3"/>
    <x v="4"/>
    <x v="2"/>
    <n v="17.31"/>
    <x v="2"/>
    <x v="0"/>
    <x v="999"/>
    <n v="21"/>
  </r>
  <r>
    <s v="SALE1001"/>
    <x v="547"/>
    <s v="CUST1052"/>
    <s v="PROD69"/>
    <s v="STORE14"/>
    <n v="4"/>
    <n v="593.84"/>
    <x v="24"/>
    <x v="1"/>
    <x v="0"/>
    <x v="46"/>
    <x v="3"/>
    <x v="20"/>
    <x v="4"/>
    <n v="218.22"/>
    <x v="2"/>
    <x v="0"/>
    <x v="1000"/>
    <n v="55"/>
  </r>
  <r>
    <s v="SALE1002"/>
    <x v="548"/>
    <s v="CUST1109"/>
    <s v="PROD73"/>
    <s v="STORE10"/>
    <n v="3"/>
    <n v="909.11"/>
    <x v="7"/>
    <x v="2"/>
    <x v="0"/>
    <x v="35"/>
    <x v="2"/>
    <x v="78"/>
    <x v="0"/>
    <n v="107.06"/>
    <x v="3"/>
    <x v="2"/>
    <x v="1001"/>
    <n v="27"/>
  </r>
  <r>
    <s v="SALE1003"/>
    <x v="549"/>
    <s v="CUST1399"/>
    <s v="PROD24"/>
    <s v="STORE1"/>
    <n v="4"/>
    <n v="996.85"/>
    <x v="24"/>
    <x v="1"/>
    <x v="0"/>
    <x v="17"/>
    <x v="3"/>
    <x v="10"/>
    <x v="0"/>
    <n v="166.06"/>
    <x v="0"/>
    <x v="1"/>
    <x v="1002"/>
    <n v="27"/>
  </r>
  <r>
    <s v="SALE1004"/>
    <x v="550"/>
    <s v="CUST1300"/>
    <s v="PROD0"/>
    <s v="STORE17"/>
    <n v="1"/>
    <n v="522.69"/>
    <x v="22"/>
    <x v="2"/>
    <x v="0"/>
    <x v="47"/>
    <x v="2"/>
    <x v="90"/>
    <x v="1"/>
    <n v="112.42"/>
    <x v="0"/>
    <x v="1"/>
    <x v="1003"/>
    <n v="29"/>
  </r>
  <r>
    <s v="SALE1005"/>
    <x v="111"/>
    <s v="CUST1194"/>
    <s v="PROD54"/>
    <s v="STORE3"/>
    <n v="3"/>
    <n v="261.05"/>
    <x v="27"/>
    <x v="1"/>
    <x v="0"/>
    <x v="2"/>
    <x v="0"/>
    <x v="59"/>
    <x v="0"/>
    <n v="434.84"/>
    <x v="0"/>
    <x v="0"/>
    <x v="1004"/>
    <n v="46"/>
  </r>
  <r>
    <s v="SALE1006"/>
    <x v="147"/>
    <s v="CUST1087"/>
    <s v="PROD23"/>
    <s v="STORE17"/>
    <n v="3"/>
    <n v="644.73"/>
    <x v="10"/>
    <x v="2"/>
    <x v="1"/>
    <x v="42"/>
    <x v="3"/>
    <x v="34"/>
    <x v="4"/>
    <n v="248.821917808219"/>
    <x v="0"/>
    <x v="1"/>
    <x v="1005"/>
    <n v="58"/>
  </r>
  <r>
    <s v="SALE1007"/>
    <x v="30"/>
    <s v="CUST1198"/>
    <s v="PROD75"/>
    <s v="STORE2"/>
    <n v="2"/>
    <n v="541.52"/>
    <x v="25"/>
    <x v="1"/>
    <x v="0"/>
    <x v="1"/>
    <x v="3"/>
    <x v="28"/>
    <x v="4"/>
    <n v="158.14"/>
    <x v="2"/>
    <x v="0"/>
    <x v="1006"/>
    <n v="54"/>
  </r>
  <r>
    <s v="SALE1008"/>
    <x v="3"/>
    <s v="CUST1426"/>
    <s v="PROD63"/>
    <s v="STORE10"/>
    <n v="1"/>
    <n v="395.18"/>
    <x v="0"/>
    <x v="1"/>
    <x v="0"/>
    <x v="29"/>
    <x v="1"/>
    <x v="81"/>
    <x v="2"/>
    <n v="266.86"/>
    <x v="3"/>
    <x v="2"/>
    <x v="1007"/>
    <n v="28"/>
  </r>
  <r>
    <s v="SALE1009"/>
    <x v="459"/>
    <s v="CUST1100"/>
    <s v="PROD8"/>
    <s v="STORE8"/>
    <n v="4"/>
    <n v="56.37"/>
    <x v="9"/>
    <x v="0"/>
    <x v="1"/>
    <x v="11"/>
    <x v="1"/>
    <x v="67"/>
    <x v="1"/>
    <n v="439.07"/>
    <x v="1"/>
    <x v="2"/>
    <x v="1008"/>
    <n v="53"/>
  </r>
  <r>
    <s v="SALE1010"/>
    <x v="24"/>
    <s v="CUST1209"/>
    <s v="PROD79"/>
    <s v="STORE9"/>
    <n v="4"/>
    <n v="202.59"/>
    <x v="22"/>
    <x v="2"/>
    <x v="1"/>
    <x v="17"/>
    <x v="1"/>
    <x v="29"/>
    <x v="3"/>
    <n v="228.53"/>
    <x v="2"/>
    <x v="1"/>
    <x v="1009"/>
    <n v="50"/>
  </r>
  <r>
    <s v="SALE1011"/>
    <x v="145"/>
    <s v="CUST1004"/>
    <s v="PROD81"/>
    <s v="STORE5"/>
    <n v="2"/>
    <n v="358.36"/>
    <x v="28"/>
    <x v="1"/>
    <x v="1"/>
    <x v="24"/>
    <x v="2"/>
    <x v="82"/>
    <x v="0"/>
    <n v="285.54"/>
    <x v="0"/>
    <x v="0"/>
    <x v="1010"/>
    <n v="64"/>
  </r>
  <r>
    <s v="SALE1012"/>
    <x v="300"/>
    <s v="CUST1072"/>
    <s v="PROD37"/>
    <s v="STORE18"/>
    <n v="4"/>
    <n v="85.62"/>
    <x v="23"/>
    <x v="2"/>
    <x v="1"/>
    <x v="9"/>
    <x v="0"/>
    <x v="92"/>
    <x v="4"/>
    <n v="353.47"/>
    <x v="3"/>
    <x v="1"/>
    <x v="1011"/>
    <n v="39"/>
  </r>
  <r>
    <s v="SALE1013"/>
    <x v="170"/>
    <s v="CUST1185"/>
    <s v="PROD7"/>
    <s v="STORE17"/>
    <n v="4"/>
    <n v="929.26"/>
    <x v="7"/>
    <x v="1"/>
    <x v="1"/>
    <x v="19"/>
    <x v="1"/>
    <x v="84"/>
    <x v="3"/>
    <n v="218.86"/>
    <x v="0"/>
    <x v="1"/>
    <x v="1012"/>
    <n v="54"/>
  </r>
  <r>
    <s v="SALE1014"/>
    <x v="551"/>
    <s v="CUST1309"/>
    <s v="PROD60"/>
    <s v="STORE13"/>
    <n v="2"/>
    <n v="92.64"/>
    <x v="17"/>
    <x v="2"/>
    <x v="1"/>
    <x v="24"/>
    <x v="3"/>
    <x v="17"/>
    <x v="2"/>
    <n v="482.75"/>
    <x v="3"/>
    <x v="1"/>
    <x v="1013"/>
    <n v="41"/>
  </r>
  <r>
    <s v="SALE1015"/>
    <x v="176"/>
    <s v="CUST1248"/>
    <s v="PROD62"/>
    <s v="STORE4"/>
    <n v="4"/>
    <n v="139.05"/>
    <x v="12"/>
    <x v="2"/>
    <x v="0"/>
    <x v="8"/>
    <x v="0"/>
    <x v="85"/>
    <x v="1"/>
    <n v="86.42"/>
    <x v="2"/>
    <x v="2"/>
    <x v="1014"/>
    <n v="19"/>
  </r>
  <r>
    <s v="SALE1016"/>
    <x v="552"/>
    <s v="CUST1140"/>
    <s v="PROD53"/>
    <s v="STORE4"/>
    <n v="3"/>
    <n v="155.87"/>
    <x v="15"/>
    <x v="2"/>
    <x v="1"/>
    <x v="2"/>
    <x v="0"/>
    <x v="27"/>
    <x v="4"/>
    <n v="386.56"/>
    <x v="2"/>
    <x v="2"/>
    <x v="1015"/>
    <n v="63"/>
  </r>
  <r>
    <s v="SALE1017"/>
    <x v="315"/>
    <s v="CUST1442"/>
    <s v="PROD34"/>
    <s v="STORE16"/>
    <n v="4"/>
    <n v="115.42"/>
    <x v="15"/>
    <x v="2"/>
    <x v="1"/>
    <x v="47"/>
    <x v="3"/>
    <x v="13"/>
    <x v="1"/>
    <n v="419.28"/>
    <x v="1"/>
    <x v="1"/>
    <x v="1016"/>
    <n v="42"/>
  </r>
  <r>
    <s v="SALE1018"/>
    <x v="260"/>
    <s v="CUST1122"/>
    <s v="PROD52"/>
    <s v="STORE6"/>
    <n v="3"/>
    <n v="593.62"/>
    <x v="16"/>
    <x v="0"/>
    <x v="0"/>
    <x v="29"/>
    <x v="1"/>
    <x v="40"/>
    <x v="0"/>
    <n v="212.26"/>
    <x v="3"/>
    <x v="2"/>
    <x v="1017"/>
    <n v="50"/>
  </r>
  <r>
    <s v="SALE1019"/>
    <x v="295"/>
    <s v="CUST1353"/>
    <s v="PROD45"/>
    <s v="STORE4"/>
    <n v="2"/>
    <n v="825.04"/>
    <x v="29"/>
    <x v="0"/>
    <x v="1"/>
    <x v="47"/>
    <x v="1"/>
    <x v="49"/>
    <x v="0"/>
    <n v="318.91"/>
    <x v="2"/>
    <x v="2"/>
    <x v="1018"/>
    <n v="56"/>
  </r>
  <r>
    <s v="SALE1020"/>
    <x v="302"/>
    <s v="CUST1464"/>
    <s v="PROD25"/>
    <s v="STORE13"/>
    <n v="1"/>
    <n v="963.76"/>
    <x v="17"/>
    <x v="1"/>
    <x v="1"/>
    <x v="7"/>
    <x v="1"/>
    <x v="60"/>
    <x v="4"/>
    <n v="174.02"/>
    <x v="3"/>
    <x v="1"/>
    <x v="1019"/>
    <n v="45"/>
  </r>
  <r>
    <s v="SALE1021"/>
    <x v="529"/>
    <s v="CUST1292"/>
    <s v="PROD55"/>
    <s v="STORE6"/>
    <n v="1"/>
    <n v="238.24"/>
    <x v="27"/>
    <x v="1"/>
    <x v="0"/>
    <x v="46"/>
    <x v="2"/>
    <x v="76"/>
    <x v="3"/>
    <n v="81.75"/>
    <x v="3"/>
    <x v="2"/>
    <x v="1020"/>
    <n v="30"/>
  </r>
  <r>
    <s v="SALE1022"/>
    <x v="350"/>
    <s v="CUST1457"/>
    <s v="PROD82"/>
    <s v="STORE16"/>
    <n v="1"/>
    <n v="756.63"/>
    <x v="13"/>
    <x v="1"/>
    <x v="0"/>
    <x v="27"/>
    <x v="1"/>
    <x v="74"/>
    <x v="0"/>
    <n v="152.92"/>
    <x v="1"/>
    <x v="1"/>
    <x v="1021"/>
    <n v="59"/>
  </r>
  <r>
    <s v="SALE1023"/>
    <x v="553"/>
    <s v="CUST1019"/>
    <s v="PROD93"/>
    <s v="STORE7"/>
    <n v="3"/>
    <n v="159.76"/>
    <x v="14"/>
    <x v="0"/>
    <x v="1"/>
    <x v="19"/>
    <x v="1"/>
    <x v="47"/>
    <x v="1"/>
    <n v="377.52"/>
    <x v="2"/>
    <x v="2"/>
    <x v="1022"/>
    <n v="46"/>
  </r>
  <r>
    <s v="SALE1024"/>
    <x v="166"/>
    <s v="CUST1368"/>
    <s v="PROD95"/>
    <s v="STORE8"/>
    <n v="1"/>
    <n v="329.94"/>
    <x v="17"/>
    <x v="2"/>
    <x v="1"/>
    <x v="14"/>
    <x v="1"/>
    <x v="98"/>
    <x v="0"/>
    <n v="60.65"/>
    <x v="1"/>
    <x v="2"/>
    <x v="1023"/>
    <n v="34"/>
  </r>
  <r>
    <s v="SALE1025"/>
    <x v="554"/>
    <s v="CUST1060"/>
    <s v="PROD17"/>
    <s v="STORE8"/>
    <n v="1"/>
    <n v="234.06"/>
    <x v="32"/>
    <x v="1"/>
    <x v="1"/>
    <x v="41"/>
    <x v="2"/>
    <x v="53"/>
    <x v="0"/>
    <n v="144.53"/>
    <x v="1"/>
    <x v="2"/>
    <x v="1024"/>
    <n v="22"/>
  </r>
  <r>
    <s v="SALE1026"/>
    <x v="443"/>
    <s v="CUST1317"/>
    <s v="PROD81"/>
    <s v="STORE0"/>
    <n v="2"/>
    <n v="773.75"/>
    <x v="3"/>
    <x v="1"/>
    <x v="1"/>
    <x v="21"/>
    <x v="0"/>
    <x v="82"/>
    <x v="0"/>
    <n v="285.54"/>
    <x v="3"/>
    <x v="1"/>
    <x v="1025"/>
    <n v="64"/>
  </r>
  <r>
    <s v="SALE1027"/>
    <x v="555"/>
    <s v="CUST1436"/>
    <s v="PROD52"/>
    <s v="STORE18"/>
    <n v="1"/>
    <n v="73.88"/>
    <x v="13"/>
    <x v="0"/>
    <x v="0"/>
    <x v="34"/>
    <x v="0"/>
    <x v="40"/>
    <x v="0"/>
    <n v="212.26"/>
    <x v="3"/>
    <x v="1"/>
    <x v="1026"/>
    <n v="61"/>
  </r>
  <r>
    <s v="SALE1028"/>
    <x v="556"/>
    <s v="CUST1005"/>
    <s v="PROD86"/>
    <s v="STORE18"/>
    <n v="1"/>
    <n v="859.3"/>
    <x v="3"/>
    <x v="1"/>
    <x v="0"/>
    <x v="47"/>
    <x v="3"/>
    <x v="56"/>
    <x v="3"/>
    <n v="176.07"/>
    <x v="3"/>
    <x v="1"/>
    <x v="1027"/>
    <n v="24"/>
  </r>
  <r>
    <s v="SALE1029"/>
    <x v="290"/>
    <s v="CUST1129"/>
    <s v="PROD81"/>
    <s v="STORE6"/>
    <n v="4"/>
    <n v="762.43"/>
    <x v="28"/>
    <x v="0"/>
    <x v="1"/>
    <x v="34"/>
    <x v="2"/>
    <x v="82"/>
    <x v="0"/>
    <n v="285.54"/>
    <x v="3"/>
    <x v="2"/>
    <x v="1028"/>
    <n v="43"/>
  </r>
  <r>
    <s v="SALE1030"/>
    <x v="557"/>
    <s v="CUST1124"/>
    <s v="PROD73"/>
    <s v="STORE0"/>
    <n v="1"/>
    <n v="328.51"/>
    <x v="29"/>
    <x v="2"/>
    <x v="0"/>
    <x v="49"/>
    <x v="3"/>
    <x v="78"/>
    <x v="0"/>
    <n v="107.06"/>
    <x v="3"/>
    <x v="1"/>
    <x v="1029"/>
    <n v="26"/>
  </r>
  <r>
    <s v="SALE1031"/>
    <x v="558"/>
    <s v="CUST1274"/>
    <s v="PROD44"/>
    <s v="STORE4"/>
    <n v="1"/>
    <n v="34.51"/>
    <x v="13"/>
    <x v="2"/>
    <x v="0"/>
    <x v="1"/>
    <x v="2"/>
    <x v="38"/>
    <x v="0"/>
    <n v="167.12"/>
    <x v="2"/>
    <x v="2"/>
    <x v="1030"/>
    <n v="38"/>
  </r>
  <r>
    <s v="SALE1032"/>
    <x v="400"/>
    <s v="CUST1105"/>
    <s v="PROD19"/>
    <s v="STORE11"/>
    <n v="3"/>
    <n v="663.73"/>
    <x v="22"/>
    <x v="2"/>
    <x v="1"/>
    <x v="26"/>
    <x v="0"/>
    <x v="46"/>
    <x v="0"/>
    <n v="21.34"/>
    <x v="2"/>
    <x v="2"/>
    <x v="1031"/>
    <n v="50"/>
  </r>
  <r>
    <s v="SALE1033"/>
    <x v="94"/>
    <s v="CUST1246"/>
    <s v="PROD33"/>
    <s v="STORE9"/>
    <n v="1"/>
    <n v="409.41"/>
    <x v="21"/>
    <x v="1"/>
    <x v="0"/>
    <x v="13"/>
    <x v="3"/>
    <x v="9"/>
    <x v="3"/>
    <n v="179.77"/>
    <x v="2"/>
    <x v="1"/>
    <x v="1032"/>
    <n v="58"/>
  </r>
  <r>
    <s v="SALE1034"/>
    <x v="277"/>
    <s v="CUST1092"/>
    <s v="PROD78"/>
    <s v="STORE3"/>
    <n v="3"/>
    <n v="461.03"/>
    <x v="32"/>
    <x v="1"/>
    <x v="1"/>
    <x v="3"/>
    <x v="1"/>
    <x v="36"/>
    <x v="3"/>
    <n v="325.26"/>
    <x v="0"/>
    <x v="0"/>
    <x v="1033"/>
    <n v="44"/>
  </r>
  <r>
    <s v="SALE1035"/>
    <x v="22"/>
    <s v="CUST1368"/>
    <s v="PROD19"/>
    <s v="STORE14"/>
    <n v="2"/>
    <n v="760.14"/>
    <x v="31"/>
    <x v="2"/>
    <x v="1"/>
    <x v="14"/>
    <x v="1"/>
    <x v="46"/>
    <x v="0"/>
    <n v="21.34"/>
    <x v="2"/>
    <x v="0"/>
    <x v="1034"/>
    <n v="34"/>
  </r>
  <r>
    <s v="SALE1036"/>
    <x v="218"/>
    <s v="CUST1278"/>
    <s v="PROD23"/>
    <s v="STORE1"/>
    <n v="3"/>
    <n v="688.76"/>
    <x v="27"/>
    <x v="1"/>
    <x v="1"/>
    <x v="5"/>
    <x v="1"/>
    <x v="34"/>
    <x v="4"/>
    <n v="248.821917808219"/>
    <x v="0"/>
    <x v="1"/>
    <x v="1035"/>
    <n v="42"/>
  </r>
  <r>
    <s v="SALE1037"/>
    <x v="559"/>
    <s v="CUST1159"/>
    <s v="PROD43"/>
    <s v="STORE9"/>
    <n v="2"/>
    <n v="257.78"/>
    <x v="28"/>
    <x v="0"/>
    <x v="1"/>
    <x v="19"/>
    <x v="0"/>
    <x v="19"/>
    <x v="1"/>
    <n v="253.33"/>
    <x v="2"/>
    <x v="1"/>
    <x v="1036"/>
    <n v="46"/>
  </r>
  <r>
    <s v="SALE1038"/>
    <x v="560"/>
    <s v="CUST1052"/>
    <s v="PROD53"/>
    <s v="STORE7"/>
    <n v="2"/>
    <n v="314.29"/>
    <x v="5"/>
    <x v="2"/>
    <x v="0"/>
    <x v="46"/>
    <x v="3"/>
    <x v="27"/>
    <x v="4"/>
    <n v="386.56"/>
    <x v="2"/>
    <x v="2"/>
    <x v="1037"/>
    <n v="55"/>
  </r>
  <r>
    <s v="SALE1039"/>
    <x v="296"/>
    <s v="CUST1155"/>
    <s v="PROD72"/>
    <s v="STORE14"/>
    <n v="3"/>
    <n v="336.09"/>
    <x v="10"/>
    <x v="1"/>
    <x v="1"/>
    <x v="9"/>
    <x v="0"/>
    <x v="18"/>
    <x v="0"/>
    <n v="477.61"/>
    <x v="2"/>
    <x v="0"/>
    <x v="1038"/>
    <n v="60"/>
  </r>
  <r>
    <s v="SALE1040"/>
    <x v="206"/>
    <s v="CUST1002"/>
    <s v="PROD75"/>
    <s v="STORE17"/>
    <n v="3"/>
    <n v="202.07"/>
    <x v="7"/>
    <x v="1"/>
    <x v="1"/>
    <x v="4"/>
    <x v="1"/>
    <x v="28"/>
    <x v="4"/>
    <n v="158.14"/>
    <x v="0"/>
    <x v="1"/>
    <x v="1039"/>
    <n v="29"/>
  </r>
  <r>
    <s v="SALE1041"/>
    <x v="8"/>
    <s v="CUST1310"/>
    <s v="PROD17"/>
    <s v="STORE8"/>
    <n v="2"/>
    <n v="485.25"/>
    <x v="23"/>
    <x v="0"/>
    <x v="0"/>
    <x v="1"/>
    <x v="2"/>
    <x v="53"/>
    <x v="0"/>
    <n v="144.53"/>
    <x v="1"/>
    <x v="2"/>
    <x v="1040"/>
    <n v="20"/>
  </r>
  <r>
    <s v="SALE1042"/>
    <x v="332"/>
    <s v="CUST1171"/>
    <s v="PROD75"/>
    <s v="STORE10"/>
    <n v="4"/>
    <n v="552.38"/>
    <x v="30"/>
    <x v="1"/>
    <x v="1"/>
    <x v="30"/>
    <x v="1"/>
    <x v="28"/>
    <x v="4"/>
    <n v="158.14"/>
    <x v="3"/>
    <x v="2"/>
    <x v="1041"/>
    <n v="44"/>
  </r>
  <r>
    <s v="SALE1043"/>
    <x v="378"/>
    <s v="CUST1107"/>
    <s v="PROD58"/>
    <s v="STORE17"/>
    <n v="4"/>
    <n v="377.26"/>
    <x v="14"/>
    <x v="2"/>
    <x v="1"/>
    <x v="16"/>
    <x v="1"/>
    <x v="87"/>
    <x v="4"/>
    <n v="113.83"/>
    <x v="0"/>
    <x v="1"/>
    <x v="1042"/>
    <n v="62"/>
  </r>
  <r>
    <s v="SALE1044"/>
    <x v="57"/>
    <s v="CUST1053"/>
    <s v="PROD47"/>
    <s v="STORE19"/>
    <n v="4"/>
    <n v="189.07"/>
    <x v="30"/>
    <x v="2"/>
    <x v="1"/>
    <x v="20"/>
    <x v="0"/>
    <x v="44"/>
    <x v="2"/>
    <n v="255.049019607843"/>
    <x v="3"/>
    <x v="2"/>
    <x v="1043"/>
    <n v="37"/>
  </r>
  <r>
    <s v="SALE1045"/>
    <x v="561"/>
    <s v="CUST1499"/>
    <s v="PROD30"/>
    <s v="STORE4"/>
    <n v="3"/>
    <n v="272.27"/>
    <x v="10"/>
    <x v="0"/>
    <x v="1"/>
    <x v="47"/>
    <x v="1"/>
    <x v="37"/>
    <x v="3"/>
    <n v="19.52"/>
    <x v="2"/>
    <x v="2"/>
    <x v="1044"/>
    <n v="27"/>
  </r>
  <r>
    <s v="SALE1046"/>
    <x v="330"/>
    <s v="CUST1264"/>
    <s v="PROD92"/>
    <s v="STORE11"/>
    <n v="1"/>
    <n v="209.39"/>
    <x v="23"/>
    <x v="1"/>
    <x v="0"/>
    <x v="0"/>
    <x v="0"/>
    <x v="80"/>
    <x v="3"/>
    <n v="447.43"/>
    <x v="2"/>
    <x v="2"/>
    <x v="1045"/>
    <n v="25"/>
  </r>
  <r>
    <s v="SALE1047"/>
    <x v="519"/>
    <s v="CUST1053"/>
    <s v="PROD80"/>
    <s v="STORE9"/>
    <n v="1"/>
    <n v="813.87"/>
    <x v="7"/>
    <x v="0"/>
    <x v="1"/>
    <x v="20"/>
    <x v="0"/>
    <x v="61"/>
    <x v="3"/>
    <n v="143.43"/>
    <x v="2"/>
    <x v="1"/>
    <x v="1046"/>
    <n v="37"/>
  </r>
  <r>
    <s v="SALE1048"/>
    <x v="454"/>
    <s v="CUST1257"/>
    <s v="PROD28"/>
    <s v="STORE0"/>
    <n v="1"/>
    <n v="143.7"/>
    <x v="5"/>
    <x v="1"/>
    <x v="0"/>
    <x v="43"/>
    <x v="2"/>
    <x v="77"/>
    <x v="0"/>
    <n v="38.76"/>
    <x v="3"/>
    <x v="1"/>
    <x v="1047"/>
    <n v="42"/>
  </r>
  <r>
    <s v="SALE1049"/>
    <x v="562"/>
    <s v="CUST1470"/>
    <s v="PROD46"/>
    <s v="STORE1"/>
    <n v="4"/>
    <n v="837.34"/>
    <x v="28"/>
    <x v="1"/>
    <x v="1"/>
    <x v="21"/>
    <x v="0"/>
    <x v="54"/>
    <x v="4"/>
    <n v="167.34"/>
    <x v="0"/>
    <x v="1"/>
    <x v="1048"/>
    <n v="21"/>
  </r>
  <r>
    <s v="SALE1050"/>
    <x v="35"/>
    <s v="CUST1120"/>
    <s v="PROD15"/>
    <s v="STORE19"/>
    <n v="1"/>
    <n v="151.66"/>
    <x v="3"/>
    <x v="2"/>
    <x v="1"/>
    <x v="2"/>
    <x v="1"/>
    <x v="5"/>
    <x v="1"/>
    <n v="465.34"/>
    <x v="3"/>
    <x v="2"/>
    <x v="1049"/>
    <n v="44"/>
  </r>
  <r>
    <s v="SALE1051"/>
    <x v="554"/>
    <s v="CUST1499"/>
    <s v="PROD44"/>
    <s v="STORE8"/>
    <n v="3"/>
    <n v="961.4"/>
    <x v="31"/>
    <x v="1"/>
    <x v="1"/>
    <x v="47"/>
    <x v="1"/>
    <x v="38"/>
    <x v="0"/>
    <n v="167.12"/>
    <x v="1"/>
    <x v="2"/>
    <x v="1050"/>
    <n v="27"/>
  </r>
  <r>
    <s v="SALE1052"/>
    <x v="112"/>
    <s v="CUST1370"/>
    <s v="PROD74"/>
    <s v="STORE18"/>
    <n v="4"/>
    <n v="475.98"/>
    <x v="5"/>
    <x v="1"/>
    <x v="0"/>
    <x v="30"/>
    <x v="2"/>
    <x v="1"/>
    <x v="1"/>
    <n v="403.71"/>
    <x v="3"/>
    <x v="1"/>
    <x v="1051"/>
    <n v="45"/>
  </r>
  <r>
    <s v="SALE1053"/>
    <x v="327"/>
    <s v="CUST1380"/>
    <s v="PROD38"/>
    <s v="STORE15"/>
    <n v="4"/>
    <n v="132.89"/>
    <x v="27"/>
    <x v="0"/>
    <x v="0"/>
    <x v="5"/>
    <x v="0"/>
    <x v="48"/>
    <x v="0"/>
    <n v="135.61"/>
    <x v="0"/>
    <x v="1"/>
    <x v="1052"/>
    <n v="23"/>
  </r>
  <r>
    <s v="SALE1054"/>
    <x v="6"/>
    <s v="CUST1437"/>
    <s v="PROD35"/>
    <s v="STORE12"/>
    <n v="3"/>
    <n v="471.31"/>
    <x v="33"/>
    <x v="1"/>
    <x v="1"/>
    <x v="21"/>
    <x v="1"/>
    <x v="68"/>
    <x v="3"/>
    <n v="382.22"/>
    <x v="0"/>
    <x v="2"/>
    <x v="1053"/>
    <n v="47"/>
  </r>
  <r>
    <s v="SALE1055"/>
    <x v="522"/>
    <s v="CUST1464"/>
    <s v="PROD76"/>
    <s v="STORE14"/>
    <n v="2"/>
    <n v="720.32"/>
    <x v="25"/>
    <x v="0"/>
    <x v="1"/>
    <x v="7"/>
    <x v="1"/>
    <x v="3"/>
    <x v="1"/>
    <n v="392.89"/>
    <x v="2"/>
    <x v="0"/>
    <x v="1054"/>
    <n v="45"/>
  </r>
  <r>
    <s v="SALE1056"/>
    <x v="251"/>
    <s v="CUST1075"/>
    <s v="PROD66"/>
    <s v="STORE18"/>
    <n v="4"/>
    <n v="99.92"/>
    <x v="32"/>
    <x v="2"/>
    <x v="1"/>
    <x v="24"/>
    <x v="0"/>
    <x v="73"/>
    <x v="2"/>
    <n v="340.39"/>
    <x v="3"/>
    <x v="1"/>
    <x v="1055"/>
    <n v="61"/>
  </r>
  <r>
    <s v="SALE1057"/>
    <x v="498"/>
    <s v="CUST1067"/>
    <s v="PROD10"/>
    <s v="STORE3"/>
    <n v="3"/>
    <n v="900.63"/>
    <x v="32"/>
    <x v="2"/>
    <x v="0"/>
    <x v="26"/>
    <x v="2"/>
    <x v="31"/>
    <x v="3"/>
    <n v="298.86"/>
    <x v="0"/>
    <x v="0"/>
    <x v="1056"/>
    <n v="58"/>
  </r>
  <r>
    <s v="SALE1058"/>
    <x v="434"/>
    <s v="CUST1442"/>
    <s v="PROD46"/>
    <s v="STORE8"/>
    <n v="1"/>
    <n v="681.72"/>
    <x v="32"/>
    <x v="1"/>
    <x v="1"/>
    <x v="47"/>
    <x v="3"/>
    <x v="54"/>
    <x v="4"/>
    <n v="167.34"/>
    <x v="1"/>
    <x v="2"/>
    <x v="1057"/>
    <n v="42"/>
  </r>
  <r>
    <s v="SALE1059"/>
    <x v="383"/>
    <s v="CUST1009"/>
    <s v="PROD78"/>
    <s v="STORE13"/>
    <n v="2"/>
    <n v="838.22"/>
    <x v="11"/>
    <x v="0"/>
    <x v="0"/>
    <x v="2"/>
    <x v="1"/>
    <x v="36"/>
    <x v="3"/>
    <n v="325.26"/>
    <x v="3"/>
    <x v="1"/>
    <x v="1058"/>
    <n v="64"/>
  </r>
  <r>
    <s v="SALE1060"/>
    <x v="343"/>
    <s v="CUST1194"/>
    <s v="PROD87"/>
    <s v="STORE12"/>
    <n v="2"/>
    <n v="816.22"/>
    <x v="1"/>
    <x v="0"/>
    <x v="0"/>
    <x v="2"/>
    <x v="0"/>
    <x v="72"/>
    <x v="3"/>
    <n v="371.38"/>
    <x v="0"/>
    <x v="2"/>
    <x v="1059"/>
    <n v="46"/>
  </r>
  <r>
    <s v="SALE1061"/>
    <x v="110"/>
    <s v="CUST1380"/>
    <s v="PROD61"/>
    <s v="STORE7"/>
    <n v="2"/>
    <n v="654.12"/>
    <x v="1"/>
    <x v="1"/>
    <x v="0"/>
    <x v="5"/>
    <x v="0"/>
    <x v="86"/>
    <x v="0"/>
    <n v="103.45"/>
    <x v="2"/>
    <x v="2"/>
    <x v="1060"/>
    <n v="23"/>
  </r>
  <r>
    <s v="SALE1062"/>
    <x v="562"/>
    <s v="CUST1105"/>
    <s v="PROD73"/>
    <s v="STORE13"/>
    <n v="4"/>
    <n v="528.22"/>
    <x v="29"/>
    <x v="1"/>
    <x v="1"/>
    <x v="26"/>
    <x v="0"/>
    <x v="78"/>
    <x v="0"/>
    <n v="107.06"/>
    <x v="3"/>
    <x v="1"/>
    <x v="1061"/>
    <n v="50"/>
  </r>
  <r>
    <s v="SALE1063"/>
    <x v="563"/>
    <s v="CUST1221"/>
    <s v="PROD34"/>
    <s v="STORE7"/>
    <n v="4"/>
    <n v="36.72"/>
    <x v="8"/>
    <x v="2"/>
    <x v="0"/>
    <x v="36"/>
    <x v="1"/>
    <x v="13"/>
    <x v="1"/>
    <n v="419.28"/>
    <x v="2"/>
    <x v="2"/>
    <x v="1062"/>
    <n v="38"/>
  </r>
  <r>
    <s v="SALE1064"/>
    <x v="81"/>
    <s v="CUST1370"/>
    <s v="PROD78"/>
    <s v="STORE19"/>
    <n v="2"/>
    <n v="705.97"/>
    <x v="30"/>
    <x v="1"/>
    <x v="0"/>
    <x v="30"/>
    <x v="2"/>
    <x v="36"/>
    <x v="3"/>
    <n v="325.26"/>
    <x v="3"/>
    <x v="2"/>
    <x v="1063"/>
    <n v="45"/>
  </r>
  <r>
    <s v="SALE1065"/>
    <x v="324"/>
    <s v="CUST1023"/>
    <s v="PROD40"/>
    <s v="STORE1"/>
    <n v="2"/>
    <n v="994.29"/>
    <x v="10"/>
    <x v="1"/>
    <x v="1"/>
    <x v="47"/>
    <x v="2"/>
    <x v="43"/>
    <x v="1"/>
    <n v="38.52"/>
    <x v="0"/>
    <x v="1"/>
    <x v="1064"/>
    <n v="52"/>
  </r>
  <r>
    <s v="SALE1066"/>
    <x v="418"/>
    <s v="CUST1421"/>
    <s v="PROD92"/>
    <s v="STORE18"/>
    <n v="1"/>
    <n v="909.04"/>
    <x v="32"/>
    <x v="0"/>
    <x v="1"/>
    <x v="7"/>
    <x v="1"/>
    <x v="80"/>
    <x v="3"/>
    <n v="447.43"/>
    <x v="3"/>
    <x v="1"/>
    <x v="1065"/>
    <n v="45"/>
  </r>
  <r>
    <s v="SALE1067"/>
    <x v="427"/>
    <s v="CUST1349"/>
    <s v="PROD34"/>
    <s v="STORE11"/>
    <n v="1"/>
    <n v="164.73"/>
    <x v="27"/>
    <x v="1"/>
    <x v="0"/>
    <x v="41"/>
    <x v="3"/>
    <x v="13"/>
    <x v="1"/>
    <n v="419.28"/>
    <x v="2"/>
    <x v="2"/>
    <x v="1066"/>
    <n v="31"/>
  </r>
  <r>
    <s v="SALE1068"/>
    <x v="527"/>
    <s v="CUST1062"/>
    <s v="PROD37"/>
    <s v="STORE7"/>
    <n v="2"/>
    <n v="606.35"/>
    <x v="3"/>
    <x v="2"/>
    <x v="0"/>
    <x v="23"/>
    <x v="3"/>
    <x v="92"/>
    <x v="4"/>
    <n v="353.47"/>
    <x v="2"/>
    <x v="2"/>
    <x v="1067"/>
    <n v="50"/>
  </r>
  <r>
    <s v="SALE1069"/>
    <x v="540"/>
    <s v="CUST1163"/>
    <s v="PROD98"/>
    <s v="STORE4"/>
    <n v="3"/>
    <n v="904.19"/>
    <x v="0"/>
    <x v="0"/>
    <x v="0"/>
    <x v="49"/>
    <x v="3"/>
    <x v="24"/>
    <x v="1"/>
    <n v="431.67"/>
    <x v="2"/>
    <x v="2"/>
    <x v="1068"/>
    <n v="21"/>
  </r>
  <r>
    <s v="SALE1070"/>
    <x v="311"/>
    <s v="CUST1151"/>
    <s v="PROD50"/>
    <s v="STORE2"/>
    <n v="4"/>
    <n v="694.61"/>
    <x v="4"/>
    <x v="2"/>
    <x v="1"/>
    <x v="47"/>
    <x v="0"/>
    <x v="57"/>
    <x v="0"/>
    <n v="190.29"/>
    <x v="2"/>
    <x v="0"/>
    <x v="1069"/>
    <n v="25"/>
  </r>
  <r>
    <s v="SALE1071"/>
    <x v="34"/>
    <s v="CUST1225"/>
    <s v="PROD89"/>
    <s v="STORE2"/>
    <n v="4"/>
    <n v="753.83"/>
    <x v="24"/>
    <x v="0"/>
    <x v="1"/>
    <x v="39"/>
    <x v="1"/>
    <x v="41"/>
    <x v="2"/>
    <n v="183.04"/>
    <x v="2"/>
    <x v="0"/>
    <x v="1070"/>
    <n v="46"/>
  </r>
  <r>
    <s v="SALE1072"/>
    <x v="507"/>
    <s v="CUST1197"/>
    <s v="PROD21"/>
    <s v="STORE8"/>
    <n v="1"/>
    <n v="66.22"/>
    <x v="31"/>
    <x v="0"/>
    <x v="1"/>
    <x v="46"/>
    <x v="1"/>
    <x v="39"/>
    <x v="3"/>
    <n v="123.46"/>
    <x v="1"/>
    <x v="2"/>
    <x v="1071"/>
    <n v="45"/>
  </r>
  <r>
    <s v="SALE1073"/>
    <x v="41"/>
    <s v="CUST1337"/>
    <s v="PROD64"/>
    <s v="STORE14"/>
    <n v="2"/>
    <n v="891.8"/>
    <x v="12"/>
    <x v="2"/>
    <x v="1"/>
    <x v="29"/>
    <x v="3"/>
    <x v="91"/>
    <x v="2"/>
    <n v="299.11"/>
    <x v="2"/>
    <x v="0"/>
    <x v="1072"/>
    <n v="40"/>
  </r>
  <r>
    <s v="SALE1074"/>
    <x v="504"/>
    <s v="CUST1363"/>
    <s v="PROD75"/>
    <s v="STORE9"/>
    <n v="4"/>
    <n v="255.48"/>
    <x v="15"/>
    <x v="2"/>
    <x v="0"/>
    <x v="31"/>
    <x v="3"/>
    <x v="28"/>
    <x v="4"/>
    <n v="158.14"/>
    <x v="2"/>
    <x v="1"/>
    <x v="1073"/>
    <n v="23"/>
  </r>
  <r>
    <s v="SALE1075"/>
    <x v="31"/>
    <s v="CUST1301"/>
    <s v="PROD84"/>
    <s v="STORE17"/>
    <n v="4"/>
    <n v="604.87"/>
    <x v="23"/>
    <x v="1"/>
    <x v="0"/>
    <x v="45"/>
    <x v="0"/>
    <x v="94"/>
    <x v="3"/>
    <n v="388.46"/>
    <x v="0"/>
    <x v="1"/>
    <x v="1074"/>
    <n v="50"/>
  </r>
  <r>
    <s v="SALE1076"/>
    <x v="564"/>
    <s v="CUST1045"/>
    <s v="PROD33"/>
    <s v="STORE17"/>
    <n v="3"/>
    <n v="623.82"/>
    <x v="21"/>
    <x v="2"/>
    <x v="0"/>
    <x v="28"/>
    <x v="0"/>
    <x v="9"/>
    <x v="3"/>
    <n v="179.77"/>
    <x v="0"/>
    <x v="1"/>
    <x v="1075"/>
    <n v="54"/>
  </r>
  <r>
    <s v="SALE1077"/>
    <x v="416"/>
    <s v="CUST1138"/>
    <s v="PROD71"/>
    <s v="STORE16"/>
    <n v="3"/>
    <n v="575.24"/>
    <x v="27"/>
    <x v="2"/>
    <x v="0"/>
    <x v="45"/>
    <x v="0"/>
    <x v="51"/>
    <x v="2"/>
    <n v="214.32"/>
    <x v="1"/>
    <x v="1"/>
    <x v="1076"/>
    <n v="43"/>
  </r>
  <r>
    <s v="SALE1078"/>
    <x v="35"/>
    <s v="CUST1414"/>
    <s v="PROD4"/>
    <s v="STORE11"/>
    <n v="1"/>
    <n v="769.4"/>
    <x v="3"/>
    <x v="0"/>
    <x v="1"/>
    <x v="6"/>
    <x v="0"/>
    <x v="83"/>
    <x v="4"/>
    <n v="306.46"/>
    <x v="2"/>
    <x v="2"/>
    <x v="1077"/>
    <n v="35"/>
  </r>
  <r>
    <s v="SALE1079"/>
    <x v="109"/>
    <s v="CUST1329"/>
    <s v="PROD4"/>
    <s v="STORE17"/>
    <n v="1"/>
    <n v="227.28"/>
    <x v="21"/>
    <x v="2"/>
    <x v="1"/>
    <x v="46"/>
    <x v="3"/>
    <x v="83"/>
    <x v="4"/>
    <n v="306.46"/>
    <x v="0"/>
    <x v="1"/>
    <x v="1078"/>
    <n v="62"/>
  </r>
  <r>
    <s v="SALE1080"/>
    <x v="191"/>
    <s v="CUST1051"/>
    <s v="PROD2"/>
    <s v="STORE17"/>
    <n v="4"/>
    <n v="127.58"/>
    <x v="6"/>
    <x v="0"/>
    <x v="1"/>
    <x v="35"/>
    <x v="0"/>
    <x v="95"/>
    <x v="4"/>
    <n v="254.620869565217"/>
    <x v="0"/>
    <x v="1"/>
    <x v="1079"/>
    <n v="23"/>
  </r>
  <r>
    <s v="SALE1081"/>
    <x v="404"/>
    <s v="CUST1418"/>
    <s v="PROD44"/>
    <s v="STORE3"/>
    <n v="1"/>
    <n v="793.21"/>
    <x v="0"/>
    <x v="0"/>
    <x v="1"/>
    <x v="21"/>
    <x v="2"/>
    <x v="38"/>
    <x v="0"/>
    <n v="167.12"/>
    <x v="0"/>
    <x v="0"/>
    <x v="1080"/>
    <n v="60"/>
  </r>
  <r>
    <s v="SALE1082"/>
    <x v="245"/>
    <s v="CUST1301"/>
    <s v="PROD83"/>
    <s v="STORE12"/>
    <n v="3"/>
    <n v="435.61"/>
    <x v="15"/>
    <x v="1"/>
    <x v="0"/>
    <x v="45"/>
    <x v="0"/>
    <x v="50"/>
    <x v="2"/>
    <n v="289.359375"/>
    <x v="0"/>
    <x v="2"/>
    <x v="1081"/>
    <n v="50"/>
  </r>
  <r>
    <s v="SALE1083"/>
    <x v="429"/>
    <s v="CUST1385"/>
    <s v="PROD29"/>
    <s v="STORE16"/>
    <n v="1"/>
    <n v="850.06"/>
    <x v="12"/>
    <x v="1"/>
    <x v="0"/>
    <x v="42"/>
    <x v="0"/>
    <x v="35"/>
    <x v="3"/>
    <n v="218.48"/>
    <x v="1"/>
    <x v="1"/>
    <x v="1082"/>
    <n v="60"/>
  </r>
  <r>
    <s v="SALE1084"/>
    <x v="97"/>
    <s v="CUST1347"/>
    <s v="PROD16"/>
    <s v="STORE16"/>
    <n v="2"/>
    <n v="753.92"/>
    <x v="9"/>
    <x v="1"/>
    <x v="1"/>
    <x v="40"/>
    <x v="0"/>
    <x v="30"/>
    <x v="2"/>
    <n v="337.42"/>
    <x v="1"/>
    <x v="1"/>
    <x v="1083"/>
    <n v="39"/>
  </r>
  <r>
    <s v="SALE1085"/>
    <x v="331"/>
    <s v="CUST1488"/>
    <s v="PROD4"/>
    <s v="STORE13"/>
    <n v="3"/>
    <n v="408.99"/>
    <x v="1"/>
    <x v="1"/>
    <x v="1"/>
    <x v="24"/>
    <x v="1"/>
    <x v="83"/>
    <x v="4"/>
    <n v="306.46"/>
    <x v="3"/>
    <x v="1"/>
    <x v="334"/>
    <n v="23"/>
  </r>
  <r>
    <s v="SALE1086"/>
    <x v="528"/>
    <s v="CUST1285"/>
    <s v="PROD57"/>
    <s v="STORE5"/>
    <n v="3"/>
    <n v="404.5"/>
    <x v="14"/>
    <x v="1"/>
    <x v="1"/>
    <x v="43"/>
    <x v="2"/>
    <x v="71"/>
    <x v="0"/>
    <n v="30.62"/>
    <x v="0"/>
    <x v="0"/>
    <x v="1084"/>
    <n v="46"/>
  </r>
  <r>
    <s v="SALE1087"/>
    <x v="565"/>
    <s v="CUST1380"/>
    <s v="PROD39"/>
    <s v="STORE3"/>
    <n v="3"/>
    <n v="717.81"/>
    <x v="9"/>
    <x v="2"/>
    <x v="0"/>
    <x v="5"/>
    <x v="0"/>
    <x v="11"/>
    <x v="1"/>
    <n v="326.06"/>
    <x v="0"/>
    <x v="0"/>
    <x v="1085"/>
    <n v="23"/>
  </r>
  <r>
    <s v="SALE1088"/>
    <x v="195"/>
    <s v="CUST1251"/>
    <s v="PROD84"/>
    <s v="STORE1"/>
    <n v="3"/>
    <n v="204.77"/>
    <x v="17"/>
    <x v="0"/>
    <x v="0"/>
    <x v="4"/>
    <x v="2"/>
    <x v="94"/>
    <x v="3"/>
    <n v="388.46"/>
    <x v="0"/>
    <x v="1"/>
    <x v="1086"/>
    <n v="64"/>
  </r>
  <r>
    <s v="SALE1089"/>
    <x v="165"/>
    <s v="CUST1039"/>
    <s v="PROD48"/>
    <s v="STORE18"/>
    <n v="4"/>
    <n v="106.23"/>
    <x v="23"/>
    <x v="2"/>
    <x v="1"/>
    <x v="20"/>
    <x v="0"/>
    <x v="70"/>
    <x v="1"/>
    <n v="177.98"/>
    <x v="3"/>
    <x v="1"/>
    <x v="1087"/>
    <n v="55"/>
  </r>
  <r>
    <s v="SALE1090"/>
    <x v="317"/>
    <s v="CUST1325"/>
    <s v="PROD66"/>
    <s v="STORE5"/>
    <n v="2"/>
    <n v="769.48"/>
    <x v="32"/>
    <x v="1"/>
    <x v="0"/>
    <x v="18"/>
    <x v="3"/>
    <x v="73"/>
    <x v="2"/>
    <n v="340.39"/>
    <x v="0"/>
    <x v="0"/>
    <x v="1088"/>
    <n v="60"/>
  </r>
  <r>
    <s v="SALE1091"/>
    <x v="566"/>
    <s v="CUST1255"/>
    <s v="PROD57"/>
    <s v="STORE13"/>
    <n v="2"/>
    <n v="714.21"/>
    <x v="17"/>
    <x v="0"/>
    <x v="0"/>
    <x v="31"/>
    <x v="0"/>
    <x v="71"/>
    <x v="0"/>
    <n v="30.62"/>
    <x v="3"/>
    <x v="1"/>
    <x v="1089"/>
    <n v="21"/>
  </r>
  <r>
    <s v="SALE1092"/>
    <x v="372"/>
    <s v="CUST1271"/>
    <s v="PROD11"/>
    <s v="STORE15"/>
    <n v="4"/>
    <n v="632.24"/>
    <x v="2"/>
    <x v="1"/>
    <x v="0"/>
    <x v="48"/>
    <x v="1"/>
    <x v="75"/>
    <x v="1"/>
    <n v="449.4"/>
    <x v="0"/>
    <x v="1"/>
    <x v="1090"/>
    <n v="64"/>
  </r>
  <r>
    <s v="SALE1093"/>
    <x v="509"/>
    <s v="CUST1161"/>
    <s v="PROD78"/>
    <s v="STORE3"/>
    <n v="2"/>
    <n v="845.27"/>
    <x v="4"/>
    <x v="1"/>
    <x v="1"/>
    <x v="28"/>
    <x v="2"/>
    <x v="36"/>
    <x v="3"/>
    <n v="325.26"/>
    <x v="0"/>
    <x v="0"/>
    <x v="1091"/>
    <n v="18"/>
  </r>
  <r>
    <s v="SALE1094"/>
    <x v="567"/>
    <s v="CUST1497"/>
    <s v="PROD87"/>
    <s v="STORE13"/>
    <n v="1"/>
    <n v="575.94"/>
    <x v="9"/>
    <x v="0"/>
    <x v="1"/>
    <x v="14"/>
    <x v="0"/>
    <x v="72"/>
    <x v="3"/>
    <n v="371.38"/>
    <x v="3"/>
    <x v="1"/>
    <x v="1092"/>
    <n v="47"/>
  </r>
  <r>
    <s v="SALE1095"/>
    <x v="33"/>
    <s v="CUST1251"/>
    <s v="PROD84"/>
    <s v="STORE15"/>
    <n v="1"/>
    <n v="907.97"/>
    <x v="25"/>
    <x v="2"/>
    <x v="0"/>
    <x v="4"/>
    <x v="2"/>
    <x v="94"/>
    <x v="3"/>
    <n v="388.46"/>
    <x v="0"/>
    <x v="1"/>
    <x v="1093"/>
    <n v="64"/>
  </r>
  <r>
    <s v="SALE1096"/>
    <x v="379"/>
    <s v="CUST1266"/>
    <s v="PROD20"/>
    <s v="STORE12"/>
    <n v="1"/>
    <n v="99.35"/>
    <x v="16"/>
    <x v="2"/>
    <x v="1"/>
    <x v="27"/>
    <x v="3"/>
    <x v="42"/>
    <x v="0"/>
    <n v="131.51"/>
    <x v="0"/>
    <x v="2"/>
    <x v="1094"/>
    <n v="32"/>
  </r>
  <r>
    <s v="SALE1097"/>
    <x v="247"/>
    <s v="CUST1071"/>
    <s v="PROD0"/>
    <s v="STORE3"/>
    <n v="2"/>
    <n v="374.42"/>
    <x v="34"/>
    <x v="2"/>
    <x v="1"/>
    <x v="23"/>
    <x v="0"/>
    <x v="90"/>
    <x v="1"/>
    <n v="112.42"/>
    <x v="0"/>
    <x v="0"/>
    <x v="1095"/>
    <n v="61"/>
  </r>
  <r>
    <s v="SALE1098"/>
    <x v="9"/>
    <s v="CUST1481"/>
    <s v="PROD15"/>
    <s v="STORE15"/>
    <n v="3"/>
    <n v="248.43"/>
    <x v="24"/>
    <x v="2"/>
    <x v="0"/>
    <x v="36"/>
    <x v="0"/>
    <x v="5"/>
    <x v="1"/>
    <n v="465.34"/>
    <x v="0"/>
    <x v="1"/>
    <x v="1096"/>
    <n v="21"/>
  </r>
  <r>
    <s v="SALE1099"/>
    <x v="568"/>
    <s v="CUST1468"/>
    <s v="PROD85"/>
    <s v="STORE1"/>
    <n v="1"/>
    <n v="784.46"/>
    <x v="17"/>
    <x v="2"/>
    <x v="0"/>
    <x v="1"/>
    <x v="3"/>
    <x v="65"/>
    <x v="4"/>
    <n v="119.57"/>
    <x v="0"/>
    <x v="1"/>
    <x v="1097"/>
    <n v="45"/>
  </r>
  <r>
    <s v="SALE1100"/>
    <x v="411"/>
    <s v="CUST1259"/>
    <s v="PROD52"/>
    <s v="STORE10"/>
    <n v="3"/>
    <n v="70.88"/>
    <x v="1"/>
    <x v="2"/>
    <x v="1"/>
    <x v="15"/>
    <x v="2"/>
    <x v="40"/>
    <x v="0"/>
    <n v="212.26"/>
    <x v="3"/>
    <x v="2"/>
    <x v="1098"/>
    <n v="32"/>
  </r>
  <r>
    <s v="SALE1101"/>
    <x v="159"/>
    <s v="CUST1110"/>
    <s v="PROD8"/>
    <s v="STORE1"/>
    <n v="3"/>
    <n v="324.29"/>
    <x v="3"/>
    <x v="2"/>
    <x v="1"/>
    <x v="33"/>
    <x v="0"/>
    <x v="67"/>
    <x v="1"/>
    <n v="439.07"/>
    <x v="0"/>
    <x v="1"/>
    <x v="1099"/>
    <n v="40"/>
  </r>
  <r>
    <s v="SALE1102"/>
    <x v="253"/>
    <s v="CUST1141"/>
    <s v="PROD15"/>
    <s v="STORE3"/>
    <n v="4"/>
    <n v="243.92"/>
    <x v="31"/>
    <x v="1"/>
    <x v="0"/>
    <x v="24"/>
    <x v="3"/>
    <x v="5"/>
    <x v="1"/>
    <n v="465.34"/>
    <x v="0"/>
    <x v="0"/>
    <x v="1100"/>
    <n v="30"/>
  </r>
  <r>
    <s v="SALE1103"/>
    <x v="57"/>
    <s v="CUST1375"/>
    <s v="PROD28"/>
    <s v="STORE13"/>
    <n v="1"/>
    <n v="664.35"/>
    <x v="33"/>
    <x v="0"/>
    <x v="0"/>
    <x v="46"/>
    <x v="1"/>
    <x v="77"/>
    <x v="0"/>
    <n v="38.76"/>
    <x v="3"/>
    <x v="1"/>
    <x v="1101"/>
    <n v="26"/>
  </r>
  <r>
    <s v="SALE1104"/>
    <x v="569"/>
    <s v="CUST1384"/>
    <s v="PROD21"/>
    <s v="STORE10"/>
    <n v="2"/>
    <n v="218.07"/>
    <x v="5"/>
    <x v="1"/>
    <x v="1"/>
    <x v="9"/>
    <x v="3"/>
    <x v="39"/>
    <x v="3"/>
    <n v="123.46"/>
    <x v="3"/>
    <x v="2"/>
    <x v="1102"/>
    <n v="52"/>
  </r>
  <r>
    <s v="SALE1105"/>
    <x v="541"/>
    <s v="CUST1383"/>
    <s v="PROD15"/>
    <s v="STORE3"/>
    <n v="4"/>
    <n v="921.83"/>
    <x v="1"/>
    <x v="0"/>
    <x v="1"/>
    <x v="42"/>
    <x v="2"/>
    <x v="5"/>
    <x v="1"/>
    <n v="465.34"/>
    <x v="0"/>
    <x v="0"/>
    <x v="1103"/>
    <n v="27"/>
  </r>
  <r>
    <s v="SALE1106"/>
    <x v="232"/>
    <s v="CUST1168"/>
    <s v="PROD50"/>
    <s v="STORE1"/>
    <n v="3"/>
    <n v="326.2"/>
    <x v="14"/>
    <x v="2"/>
    <x v="1"/>
    <x v="26"/>
    <x v="1"/>
    <x v="57"/>
    <x v="0"/>
    <n v="190.29"/>
    <x v="0"/>
    <x v="1"/>
    <x v="1104"/>
    <n v="36"/>
  </r>
  <r>
    <s v="SALE1107"/>
    <x v="437"/>
    <s v="CUST1458"/>
    <s v="PROD17"/>
    <s v="STORE19"/>
    <n v="1"/>
    <n v="244.25"/>
    <x v="0"/>
    <x v="1"/>
    <x v="1"/>
    <x v="2"/>
    <x v="2"/>
    <x v="53"/>
    <x v="0"/>
    <n v="144.53"/>
    <x v="3"/>
    <x v="2"/>
    <x v="1105"/>
    <n v="62"/>
  </r>
  <r>
    <s v="SALE1108"/>
    <x v="134"/>
    <s v="CUST1369"/>
    <s v="PROD61"/>
    <s v="STORE10"/>
    <n v="3"/>
    <n v="808.87"/>
    <x v="27"/>
    <x v="2"/>
    <x v="1"/>
    <x v="1"/>
    <x v="1"/>
    <x v="86"/>
    <x v="0"/>
    <n v="103.45"/>
    <x v="3"/>
    <x v="2"/>
    <x v="1106"/>
    <n v="20"/>
  </r>
  <r>
    <s v="SALE1109"/>
    <x v="570"/>
    <s v="CUST1338"/>
    <s v="PROD31"/>
    <s v="STORE2"/>
    <n v="3"/>
    <n v="826.15"/>
    <x v="33"/>
    <x v="1"/>
    <x v="1"/>
    <x v="40"/>
    <x v="2"/>
    <x v="45"/>
    <x v="0"/>
    <n v="204.39"/>
    <x v="2"/>
    <x v="0"/>
    <x v="1107"/>
    <n v="46"/>
  </r>
  <r>
    <s v="SALE1110"/>
    <x v="413"/>
    <s v="CUST1187"/>
    <s v="PROD24"/>
    <s v="STORE19"/>
    <n v="3"/>
    <n v="631.2"/>
    <x v="24"/>
    <x v="0"/>
    <x v="1"/>
    <x v="4"/>
    <x v="1"/>
    <x v="10"/>
    <x v="0"/>
    <n v="166.06"/>
    <x v="3"/>
    <x v="2"/>
    <x v="1108"/>
    <n v="60"/>
  </r>
  <r>
    <s v="SALE1111"/>
    <x v="229"/>
    <s v="CUST1274"/>
    <s v="PROD58"/>
    <s v="STORE10"/>
    <n v="1"/>
    <n v="937.01"/>
    <x v="8"/>
    <x v="0"/>
    <x v="0"/>
    <x v="1"/>
    <x v="2"/>
    <x v="87"/>
    <x v="4"/>
    <n v="113.83"/>
    <x v="3"/>
    <x v="2"/>
    <x v="1109"/>
    <n v="38"/>
  </r>
  <r>
    <s v="SALE1112"/>
    <x v="229"/>
    <s v="CUST1151"/>
    <s v="PROD73"/>
    <s v="STORE5"/>
    <n v="2"/>
    <n v="644"/>
    <x v="13"/>
    <x v="1"/>
    <x v="1"/>
    <x v="47"/>
    <x v="0"/>
    <x v="78"/>
    <x v="0"/>
    <n v="107.06"/>
    <x v="0"/>
    <x v="0"/>
    <x v="1110"/>
    <n v="25"/>
  </r>
  <r>
    <s v="SALE1113"/>
    <x v="571"/>
    <s v="CUST1094"/>
    <s v="PROD91"/>
    <s v="STORE5"/>
    <n v="3"/>
    <n v="629.58"/>
    <x v="28"/>
    <x v="0"/>
    <x v="1"/>
    <x v="8"/>
    <x v="0"/>
    <x v="52"/>
    <x v="4"/>
    <n v="438.25"/>
    <x v="0"/>
    <x v="0"/>
    <x v="1111"/>
    <n v="43"/>
  </r>
  <r>
    <s v="SALE1114"/>
    <x v="572"/>
    <s v="CUST1466"/>
    <s v="PROD87"/>
    <s v="STORE2"/>
    <n v="2"/>
    <n v="121.52"/>
    <x v="4"/>
    <x v="2"/>
    <x v="0"/>
    <x v="46"/>
    <x v="2"/>
    <x v="72"/>
    <x v="3"/>
    <n v="371.38"/>
    <x v="2"/>
    <x v="0"/>
    <x v="1112"/>
    <n v="18"/>
  </r>
  <r>
    <s v="SALE1115"/>
    <x v="109"/>
    <s v="CUST1401"/>
    <s v="PROD65"/>
    <s v="STORE19"/>
    <n v="2"/>
    <n v="549.83"/>
    <x v="8"/>
    <x v="1"/>
    <x v="1"/>
    <x v="8"/>
    <x v="1"/>
    <x v="15"/>
    <x v="0"/>
    <n v="240.63"/>
    <x v="3"/>
    <x v="2"/>
    <x v="1113"/>
    <n v="51"/>
  </r>
  <r>
    <s v="SALE1116"/>
    <x v="188"/>
    <s v="CUST1140"/>
    <s v="PROD13"/>
    <s v="STORE8"/>
    <n v="3"/>
    <n v="278.38"/>
    <x v="15"/>
    <x v="0"/>
    <x v="1"/>
    <x v="2"/>
    <x v="0"/>
    <x v="26"/>
    <x v="1"/>
    <n v="242.23"/>
    <x v="1"/>
    <x v="2"/>
    <x v="1114"/>
    <n v="63"/>
  </r>
  <r>
    <s v="SALE1117"/>
    <x v="438"/>
    <s v="CUST1437"/>
    <s v="PROD96"/>
    <s v="STORE3"/>
    <n v="4"/>
    <n v="723.66"/>
    <x v="15"/>
    <x v="1"/>
    <x v="1"/>
    <x v="21"/>
    <x v="1"/>
    <x v="99"/>
    <x v="4"/>
    <n v="358.47"/>
    <x v="0"/>
    <x v="0"/>
    <x v="1115"/>
    <n v="47"/>
  </r>
  <r>
    <s v="SALE1118"/>
    <x v="456"/>
    <s v="CUST1205"/>
    <s v="PROD72"/>
    <s v="STORE9"/>
    <n v="1"/>
    <n v="724.74"/>
    <x v="6"/>
    <x v="1"/>
    <x v="1"/>
    <x v="19"/>
    <x v="0"/>
    <x v="18"/>
    <x v="0"/>
    <n v="477.61"/>
    <x v="2"/>
    <x v="1"/>
    <x v="1116"/>
    <n v="44"/>
  </r>
  <r>
    <s v="SALE1119"/>
    <x v="573"/>
    <s v="CUST1455"/>
    <s v="PROD21"/>
    <s v="STORE4"/>
    <n v="2"/>
    <n v="961.84"/>
    <x v="2"/>
    <x v="1"/>
    <x v="0"/>
    <x v="49"/>
    <x v="0"/>
    <x v="39"/>
    <x v="3"/>
    <n v="123.46"/>
    <x v="2"/>
    <x v="2"/>
    <x v="1117"/>
    <n v="54"/>
  </r>
  <r>
    <s v="SALE1120"/>
    <x v="2"/>
    <s v="CUST1020"/>
    <s v="PROD37"/>
    <s v="STORE16"/>
    <n v="4"/>
    <n v="21.12"/>
    <x v="4"/>
    <x v="2"/>
    <x v="0"/>
    <x v="37"/>
    <x v="2"/>
    <x v="92"/>
    <x v="4"/>
    <n v="353.47"/>
    <x v="1"/>
    <x v="1"/>
    <x v="1118"/>
    <n v="59"/>
  </r>
  <r>
    <s v="SALE1121"/>
    <x v="140"/>
    <s v="CUST1319"/>
    <s v="PROD0"/>
    <s v="STORE4"/>
    <n v="3"/>
    <n v="819.93"/>
    <x v="16"/>
    <x v="1"/>
    <x v="0"/>
    <x v="25"/>
    <x v="1"/>
    <x v="90"/>
    <x v="1"/>
    <n v="112.42"/>
    <x v="2"/>
    <x v="2"/>
    <x v="1119"/>
    <n v="54"/>
  </r>
  <r>
    <s v="SALE1122"/>
    <x v="176"/>
    <s v="CUST1294"/>
    <s v="PROD42"/>
    <s v="STORE0"/>
    <n v="2"/>
    <n v="700.95"/>
    <x v="4"/>
    <x v="0"/>
    <x v="0"/>
    <x v="10"/>
    <x v="1"/>
    <x v="63"/>
    <x v="1"/>
    <n v="450.71"/>
    <x v="3"/>
    <x v="1"/>
    <x v="1120"/>
    <n v="29"/>
  </r>
  <r>
    <s v="SALE1123"/>
    <x v="126"/>
    <s v="CUST1141"/>
    <s v="PROD17"/>
    <s v="STORE14"/>
    <n v="2"/>
    <n v="456.38"/>
    <x v="27"/>
    <x v="0"/>
    <x v="0"/>
    <x v="24"/>
    <x v="3"/>
    <x v="53"/>
    <x v="0"/>
    <n v="144.53"/>
    <x v="2"/>
    <x v="0"/>
    <x v="1121"/>
    <n v="30"/>
  </r>
  <r>
    <s v="SALE1124"/>
    <x v="21"/>
    <s v="CUST1361"/>
    <s v="PROD76"/>
    <s v="STORE14"/>
    <n v="3"/>
    <n v="291.05"/>
    <x v="11"/>
    <x v="0"/>
    <x v="0"/>
    <x v="30"/>
    <x v="1"/>
    <x v="3"/>
    <x v="1"/>
    <n v="392.89"/>
    <x v="2"/>
    <x v="0"/>
    <x v="1122"/>
    <n v="64"/>
  </r>
  <r>
    <s v="SALE1125"/>
    <x v="482"/>
    <s v="CUST1233"/>
    <s v="PROD95"/>
    <s v="STORE15"/>
    <n v="2"/>
    <n v="463.52"/>
    <x v="1"/>
    <x v="1"/>
    <x v="0"/>
    <x v="35"/>
    <x v="2"/>
    <x v="98"/>
    <x v="0"/>
    <n v="60.65"/>
    <x v="0"/>
    <x v="1"/>
    <x v="1123"/>
    <n v="59"/>
  </r>
  <r>
    <s v="SALE1126"/>
    <x v="507"/>
    <s v="CUST1379"/>
    <s v="PROD0"/>
    <s v="STORE17"/>
    <n v="3"/>
    <n v="241.64"/>
    <x v="12"/>
    <x v="1"/>
    <x v="1"/>
    <x v="9"/>
    <x v="0"/>
    <x v="90"/>
    <x v="1"/>
    <n v="112.42"/>
    <x v="0"/>
    <x v="1"/>
    <x v="1124"/>
    <n v="34"/>
  </r>
  <r>
    <s v="SALE1127"/>
    <x v="310"/>
    <s v="CUST1483"/>
    <s v="PROD30"/>
    <s v="STORE10"/>
    <n v="2"/>
    <n v="47.86"/>
    <x v="15"/>
    <x v="1"/>
    <x v="0"/>
    <x v="8"/>
    <x v="0"/>
    <x v="37"/>
    <x v="3"/>
    <n v="19.52"/>
    <x v="3"/>
    <x v="2"/>
    <x v="1125"/>
    <n v="48"/>
  </r>
  <r>
    <s v="SALE1128"/>
    <x v="574"/>
    <s v="CUST1344"/>
    <s v="PROD92"/>
    <s v="STORE3"/>
    <n v="1"/>
    <n v="805.07"/>
    <x v="22"/>
    <x v="2"/>
    <x v="0"/>
    <x v="23"/>
    <x v="0"/>
    <x v="80"/>
    <x v="3"/>
    <n v="447.43"/>
    <x v="0"/>
    <x v="0"/>
    <x v="1126"/>
    <n v="39"/>
  </r>
  <r>
    <s v="SALE1129"/>
    <x v="164"/>
    <s v="CUST1373"/>
    <s v="PROD34"/>
    <s v="STORE1"/>
    <n v="3"/>
    <n v="848.48"/>
    <x v="33"/>
    <x v="2"/>
    <x v="1"/>
    <x v="17"/>
    <x v="0"/>
    <x v="13"/>
    <x v="1"/>
    <n v="419.28"/>
    <x v="0"/>
    <x v="1"/>
    <x v="1127"/>
    <n v="37"/>
  </r>
  <r>
    <s v="SALE1130"/>
    <x v="575"/>
    <s v="CUST1244"/>
    <s v="PROD53"/>
    <s v="STORE8"/>
    <n v="2"/>
    <n v="568.95"/>
    <x v="14"/>
    <x v="0"/>
    <x v="0"/>
    <x v="39"/>
    <x v="3"/>
    <x v="27"/>
    <x v="4"/>
    <n v="386.56"/>
    <x v="1"/>
    <x v="2"/>
    <x v="1128"/>
    <n v="19"/>
  </r>
  <r>
    <s v="SALE1131"/>
    <x v="267"/>
    <s v="CUST1162"/>
    <s v="PROD53"/>
    <s v="STORE11"/>
    <n v="3"/>
    <n v="269.84"/>
    <x v="28"/>
    <x v="1"/>
    <x v="0"/>
    <x v="3"/>
    <x v="2"/>
    <x v="27"/>
    <x v="4"/>
    <n v="386.56"/>
    <x v="2"/>
    <x v="2"/>
    <x v="1129"/>
    <n v="37"/>
  </r>
  <r>
    <s v="SALE1132"/>
    <x v="215"/>
    <s v="CUST1309"/>
    <s v="PROD62"/>
    <s v="STORE13"/>
    <n v="4"/>
    <n v="267.36"/>
    <x v="1"/>
    <x v="1"/>
    <x v="1"/>
    <x v="24"/>
    <x v="3"/>
    <x v="85"/>
    <x v="1"/>
    <n v="86.42"/>
    <x v="3"/>
    <x v="1"/>
    <x v="1130"/>
    <n v="41"/>
  </r>
  <r>
    <s v="SALE1133"/>
    <x v="576"/>
    <s v="CUST1114"/>
    <s v="PROD37"/>
    <s v="STORE1"/>
    <n v="1"/>
    <n v="438.41"/>
    <x v="0"/>
    <x v="0"/>
    <x v="0"/>
    <x v="8"/>
    <x v="3"/>
    <x v="92"/>
    <x v="4"/>
    <n v="353.47"/>
    <x v="0"/>
    <x v="1"/>
    <x v="1131"/>
    <n v="30"/>
  </r>
  <r>
    <s v="SALE1134"/>
    <x v="577"/>
    <s v="CUST1164"/>
    <s v="PROD51"/>
    <s v="STORE18"/>
    <n v="2"/>
    <n v="86.72"/>
    <x v="23"/>
    <x v="2"/>
    <x v="1"/>
    <x v="36"/>
    <x v="2"/>
    <x v="69"/>
    <x v="1"/>
    <n v="88.49"/>
    <x v="3"/>
    <x v="1"/>
    <x v="1132"/>
    <n v="39"/>
  </r>
  <r>
    <s v="SALE1135"/>
    <x v="578"/>
    <s v="CUST1425"/>
    <s v="PROD89"/>
    <s v="STORE6"/>
    <n v="4"/>
    <n v="630.21"/>
    <x v="17"/>
    <x v="2"/>
    <x v="0"/>
    <x v="39"/>
    <x v="3"/>
    <x v="41"/>
    <x v="2"/>
    <n v="183.04"/>
    <x v="3"/>
    <x v="2"/>
    <x v="1133"/>
    <n v="40"/>
  </r>
  <r>
    <s v="SALE1136"/>
    <x v="509"/>
    <s v="CUST1359"/>
    <s v="PROD59"/>
    <s v="STORE6"/>
    <n v="3"/>
    <n v="180.84"/>
    <x v="15"/>
    <x v="1"/>
    <x v="0"/>
    <x v="32"/>
    <x v="2"/>
    <x v="4"/>
    <x v="2"/>
    <n v="17.31"/>
    <x v="3"/>
    <x v="2"/>
    <x v="1134"/>
    <n v="32"/>
  </r>
  <r>
    <s v="SALE1137"/>
    <x v="522"/>
    <s v="CUST1004"/>
    <s v="PROD64"/>
    <s v="STORE16"/>
    <n v="1"/>
    <n v="453.41"/>
    <x v="13"/>
    <x v="2"/>
    <x v="1"/>
    <x v="24"/>
    <x v="2"/>
    <x v="91"/>
    <x v="2"/>
    <n v="299.11"/>
    <x v="1"/>
    <x v="1"/>
    <x v="1135"/>
    <n v="64"/>
  </r>
  <r>
    <s v="SALE1138"/>
    <x v="280"/>
    <s v="CUST1024"/>
    <s v="PROD51"/>
    <s v="STORE6"/>
    <n v="1"/>
    <n v="629.09"/>
    <x v="31"/>
    <x v="0"/>
    <x v="0"/>
    <x v="12"/>
    <x v="1"/>
    <x v="69"/>
    <x v="1"/>
    <n v="88.49"/>
    <x v="3"/>
    <x v="2"/>
    <x v="1136"/>
    <n v="40"/>
  </r>
  <r>
    <s v="SALE1139"/>
    <x v="79"/>
    <s v="CUST1022"/>
    <s v="PROD77"/>
    <s v="STORE2"/>
    <n v="2"/>
    <n v="257.45"/>
    <x v="33"/>
    <x v="2"/>
    <x v="1"/>
    <x v="22"/>
    <x v="2"/>
    <x v="25"/>
    <x v="1"/>
    <n v="480.9"/>
    <x v="2"/>
    <x v="0"/>
    <x v="1137"/>
    <n v="33"/>
  </r>
  <r>
    <s v="SALE1140"/>
    <x v="206"/>
    <s v="CUST1179"/>
    <s v="PROD34"/>
    <s v="STORE15"/>
    <n v="2"/>
    <n v="696.61"/>
    <x v="9"/>
    <x v="1"/>
    <x v="1"/>
    <x v="39"/>
    <x v="2"/>
    <x v="13"/>
    <x v="1"/>
    <n v="419.28"/>
    <x v="0"/>
    <x v="1"/>
    <x v="1138"/>
    <n v="43"/>
  </r>
  <r>
    <s v="SALE1141"/>
    <x v="579"/>
    <s v="CUST1373"/>
    <s v="PROD46"/>
    <s v="STORE7"/>
    <n v="2"/>
    <n v="143.79"/>
    <x v="30"/>
    <x v="1"/>
    <x v="1"/>
    <x v="17"/>
    <x v="0"/>
    <x v="54"/>
    <x v="4"/>
    <n v="167.34"/>
    <x v="2"/>
    <x v="2"/>
    <x v="1139"/>
    <n v="37"/>
  </r>
  <r>
    <s v="SALE1142"/>
    <x v="418"/>
    <s v="CUST1296"/>
    <s v="PROD83"/>
    <s v="STORE1"/>
    <n v="3"/>
    <n v="460.93"/>
    <x v="5"/>
    <x v="2"/>
    <x v="1"/>
    <x v="35"/>
    <x v="3"/>
    <x v="50"/>
    <x v="2"/>
    <n v="289.359375"/>
    <x v="0"/>
    <x v="1"/>
    <x v="1140"/>
    <n v="28"/>
  </r>
  <r>
    <s v="SALE1143"/>
    <x v="445"/>
    <s v="CUST1499"/>
    <s v="PROD28"/>
    <s v="STORE9"/>
    <n v="2"/>
    <n v="67.55"/>
    <x v="15"/>
    <x v="0"/>
    <x v="1"/>
    <x v="47"/>
    <x v="1"/>
    <x v="77"/>
    <x v="0"/>
    <n v="38.76"/>
    <x v="2"/>
    <x v="1"/>
    <x v="1141"/>
    <n v="27"/>
  </r>
  <r>
    <s v="SALE1144"/>
    <x v="138"/>
    <s v="CUST1210"/>
    <s v="PROD49"/>
    <s v="STORE1"/>
    <n v="3"/>
    <n v="803.31"/>
    <x v="30"/>
    <x v="1"/>
    <x v="0"/>
    <x v="36"/>
    <x v="2"/>
    <x v="2"/>
    <x v="2"/>
    <n v="43.29"/>
    <x v="0"/>
    <x v="1"/>
    <x v="1142"/>
    <n v="48"/>
  </r>
  <r>
    <s v="SALE1145"/>
    <x v="468"/>
    <s v="CUST1432"/>
    <s v="PROD16"/>
    <s v="STORE13"/>
    <n v="4"/>
    <n v="254.71"/>
    <x v="29"/>
    <x v="2"/>
    <x v="0"/>
    <x v="19"/>
    <x v="3"/>
    <x v="30"/>
    <x v="2"/>
    <n v="337.42"/>
    <x v="3"/>
    <x v="1"/>
    <x v="1143"/>
    <n v="37"/>
  </r>
  <r>
    <s v="SALE1146"/>
    <x v="151"/>
    <s v="CUST1051"/>
    <s v="PROD50"/>
    <s v="STORE4"/>
    <n v="4"/>
    <n v="594.89"/>
    <x v="11"/>
    <x v="1"/>
    <x v="1"/>
    <x v="35"/>
    <x v="0"/>
    <x v="57"/>
    <x v="0"/>
    <n v="190.29"/>
    <x v="2"/>
    <x v="2"/>
    <x v="1144"/>
    <n v="23"/>
  </r>
  <r>
    <s v="SALE1147"/>
    <x v="58"/>
    <s v="CUST1219"/>
    <s v="PROD91"/>
    <s v="STORE0"/>
    <n v="2"/>
    <n v="844.31"/>
    <x v="8"/>
    <x v="1"/>
    <x v="1"/>
    <x v="19"/>
    <x v="0"/>
    <x v="52"/>
    <x v="4"/>
    <n v="438.25"/>
    <x v="3"/>
    <x v="1"/>
    <x v="1145"/>
    <n v="47"/>
  </r>
  <r>
    <s v="SALE1148"/>
    <x v="368"/>
    <s v="CUST1134"/>
    <s v="PROD15"/>
    <s v="STORE6"/>
    <n v="4"/>
    <n v="101.33"/>
    <x v="33"/>
    <x v="0"/>
    <x v="0"/>
    <x v="7"/>
    <x v="0"/>
    <x v="5"/>
    <x v="1"/>
    <n v="465.34"/>
    <x v="3"/>
    <x v="2"/>
    <x v="1146"/>
    <n v="54"/>
  </r>
  <r>
    <s v="SALE1149"/>
    <x v="317"/>
    <s v="CUST1131"/>
    <s v="PROD26"/>
    <s v="STORE8"/>
    <n v="3"/>
    <n v="922.56"/>
    <x v="4"/>
    <x v="1"/>
    <x v="1"/>
    <x v="4"/>
    <x v="3"/>
    <x v="33"/>
    <x v="1"/>
    <n v="322.41"/>
    <x v="1"/>
    <x v="2"/>
    <x v="1147"/>
    <n v="34"/>
  </r>
  <r>
    <s v="SALE1150"/>
    <x v="580"/>
    <s v="CUST1432"/>
    <s v="PROD38"/>
    <s v="STORE14"/>
    <n v="4"/>
    <n v="867.19"/>
    <x v="8"/>
    <x v="2"/>
    <x v="0"/>
    <x v="19"/>
    <x v="3"/>
    <x v="48"/>
    <x v="0"/>
    <n v="135.61"/>
    <x v="2"/>
    <x v="0"/>
    <x v="1148"/>
    <n v="37"/>
  </r>
  <r>
    <s v="SALE1151"/>
    <x v="146"/>
    <s v="CUST1006"/>
    <s v="PROD83"/>
    <s v="STORE17"/>
    <n v="3"/>
    <n v="816.87"/>
    <x v="17"/>
    <x v="1"/>
    <x v="1"/>
    <x v="34"/>
    <x v="1"/>
    <x v="50"/>
    <x v="2"/>
    <n v="289.359375"/>
    <x v="0"/>
    <x v="1"/>
    <x v="1149"/>
    <n v="29"/>
  </r>
  <r>
    <s v="SALE1152"/>
    <x v="268"/>
    <s v="CUST1480"/>
    <s v="PROD65"/>
    <s v="STORE3"/>
    <n v="3"/>
    <n v="258.06"/>
    <x v="33"/>
    <x v="1"/>
    <x v="0"/>
    <x v="26"/>
    <x v="3"/>
    <x v="15"/>
    <x v="0"/>
    <n v="240.63"/>
    <x v="0"/>
    <x v="0"/>
    <x v="1150"/>
    <n v="33"/>
  </r>
  <r>
    <s v="SALE1153"/>
    <x v="544"/>
    <s v="CUST1312"/>
    <s v="PROD38"/>
    <s v="STORE14"/>
    <n v="2"/>
    <n v="574.58"/>
    <x v="22"/>
    <x v="0"/>
    <x v="1"/>
    <x v="37"/>
    <x v="2"/>
    <x v="48"/>
    <x v="0"/>
    <n v="135.61"/>
    <x v="2"/>
    <x v="0"/>
    <x v="1151"/>
    <n v="47"/>
  </r>
  <r>
    <s v="SALE1154"/>
    <x v="92"/>
    <s v="CUST1022"/>
    <s v="PROD83"/>
    <s v="STORE6"/>
    <n v="2"/>
    <n v="472.18"/>
    <x v="1"/>
    <x v="1"/>
    <x v="1"/>
    <x v="22"/>
    <x v="2"/>
    <x v="50"/>
    <x v="2"/>
    <n v="289.359375"/>
    <x v="3"/>
    <x v="2"/>
    <x v="1152"/>
    <n v="33"/>
  </r>
  <r>
    <s v="SALE1155"/>
    <x v="90"/>
    <s v="CUST1340"/>
    <s v="PROD41"/>
    <s v="STORE5"/>
    <n v="2"/>
    <n v="20.47"/>
    <x v="27"/>
    <x v="2"/>
    <x v="0"/>
    <x v="44"/>
    <x v="3"/>
    <x v="89"/>
    <x v="0"/>
    <n v="313.26"/>
    <x v="0"/>
    <x v="0"/>
    <x v="1153"/>
    <n v="27"/>
  </r>
  <r>
    <s v="SALE1156"/>
    <x v="28"/>
    <s v="CUST1023"/>
    <s v="PROD22"/>
    <s v="STORE7"/>
    <n v="3"/>
    <n v="235.41"/>
    <x v="6"/>
    <x v="1"/>
    <x v="1"/>
    <x v="47"/>
    <x v="2"/>
    <x v="62"/>
    <x v="0"/>
    <n v="484.62"/>
    <x v="2"/>
    <x v="2"/>
    <x v="1154"/>
    <n v="52"/>
  </r>
  <r>
    <s v="SALE1157"/>
    <x v="323"/>
    <s v="CUST1230"/>
    <s v="PROD78"/>
    <s v="STORE7"/>
    <n v="3"/>
    <n v="744.9"/>
    <x v="1"/>
    <x v="1"/>
    <x v="0"/>
    <x v="26"/>
    <x v="3"/>
    <x v="36"/>
    <x v="3"/>
    <n v="325.26"/>
    <x v="2"/>
    <x v="2"/>
    <x v="1155"/>
    <n v="29"/>
  </r>
  <r>
    <s v="SALE1158"/>
    <x v="204"/>
    <s v="CUST1047"/>
    <s v="PROD18"/>
    <s v="STORE3"/>
    <n v="2"/>
    <n v="382.2"/>
    <x v="6"/>
    <x v="0"/>
    <x v="1"/>
    <x v="8"/>
    <x v="2"/>
    <x v="97"/>
    <x v="4"/>
    <n v="245.778311688312"/>
    <x v="0"/>
    <x v="0"/>
    <x v="1156"/>
    <n v="54"/>
  </r>
  <r>
    <s v="SALE1159"/>
    <x v="377"/>
    <s v="CUST1346"/>
    <s v="PROD90"/>
    <s v="STORE16"/>
    <n v="1"/>
    <n v="269.25"/>
    <x v="17"/>
    <x v="1"/>
    <x v="1"/>
    <x v="3"/>
    <x v="1"/>
    <x v="64"/>
    <x v="1"/>
    <n v="340.14"/>
    <x v="1"/>
    <x v="1"/>
    <x v="1157"/>
    <n v="58"/>
  </r>
  <r>
    <s v="SALE1160"/>
    <x v="581"/>
    <s v="CUST1365"/>
    <s v="PROD30"/>
    <s v="STORE11"/>
    <n v="2"/>
    <n v="723.75"/>
    <x v="15"/>
    <x v="1"/>
    <x v="1"/>
    <x v="41"/>
    <x v="1"/>
    <x v="37"/>
    <x v="3"/>
    <n v="19.52"/>
    <x v="2"/>
    <x v="2"/>
    <x v="1158"/>
    <n v="63"/>
  </r>
  <r>
    <s v="SALE1161"/>
    <x v="448"/>
    <s v="CUST1281"/>
    <s v="PROD19"/>
    <s v="STORE19"/>
    <n v="4"/>
    <n v="58.92"/>
    <x v="4"/>
    <x v="0"/>
    <x v="0"/>
    <x v="40"/>
    <x v="1"/>
    <x v="46"/>
    <x v="0"/>
    <n v="21.34"/>
    <x v="3"/>
    <x v="2"/>
    <x v="1159"/>
    <n v="59"/>
  </r>
  <r>
    <s v="SALE1162"/>
    <x v="240"/>
    <s v="CUST1188"/>
    <s v="PROD71"/>
    <s v="STORE10"/>
    <n v="2"/>
    <n v="913.08"/>
    <x v="25"/>
    <x v="0"/>
    <x v="0"/>
    <x v="23"/>
    <x v="2"/>
    <x v="51"/>
    <x v="2"/>
    <n v="214.32"/>
    <x v="3"/>
    <x v="2"/>
    <x v="1160"/>
    <n v="42"/>
  </r>
  <r>
    <s v="SALE1163"/>
    <x v="501"/>
    <s v="CUST1242"/>
    <s v="PROD81"/>
    <s v="STORE1"/>
    <n v="1"/>
    <n v="791.83"/>
    <x v="23"/>
    <x v="1"/>
    <x v="1"/>
    <x v="40"/>
    <x v="2"/>
    <x v="82"/>
    <x v="0"/>
    <n v="285.54"/>
    <x v="0"/>
    <x v="1"/>
    <x v="1161"/>
    <n v="58"/>
  </r>
  <r>
    <s v="SALE1164"/>
    <x v="582"/>
    <s v="CUST1471"/>
    <s v="PROD3"/>
    <s v="STORE15"/>
    <n v="1"/>
    <n v="74.29"/>
    <x v="11"/>
    <x v="2"/>
    <x v="0"/>
    <x v="10"/>
    <x v="1"/>
    <x v="58"/>
    <x v="4"/>
    <n v="364.67"/>
    <x v="0"/>
    <x v="1"/>
    <x v="1162"/>
    <n v="42"/>
  </r>
  <r>
    <s v="SALE1165"/>
    <x v="378"/>
    <s v="CUST1243"/>
    <s v="PROD35"/>
    <s v="STORE0"/>
    <n v="2"/>
    <n v="961.68"/>
    <x v="1"/>
    <x v="1"/>
    <x v="1"/>
    <x v="11"/>
    <x v="0"/>
    <x v="68"/>
    <x v="3"/>
    <n v="382.22"/>
    <x v="3"/>
    <x v="1"/>
    <x v="1163"/>
    <n v="56"/>
  </r>
  <r>
    <s v="SALE1166"/>
    <x v="578"/>
    <s v="CUST1494"/>
    <s v="PROD19"/>
    <s v="STORE14"/>
    <n v="1"/>
    <n v="90.72"/>
    <x v="30"/>
    <x v="1"/>
    <x v="0"/>
    <x v="11"/>
    <x v="0"/>
    <x v="46"/>
    <x v="0"/>
    <n v="21.34"/>
    <x v="2"/>
    <x v="0"/>
    <x v="1164"/>
    <n v="21"/>
  </r>
  <r>
    <s v="SALE1167"/>
    <x v="50"/>
    <s v="CUST1060"/>
    <s v="PROD58"/>
    <s v="STORE7"/>
    <n v="1"/>
    <n v="458.69"/>
    <x v="3"/>
    <x v="1"/>
    <x v="1"/>
    <x v="41"/>
    <x v="2"/>
    <x v="87"/>
    <x v="4"/>
    <n v="113.83"/>
    <x v="2"/>
    <x v="2"/>
    <x v="1165"/>
    <n v="22"/>
  </r>
  <r>
    <s v="SALE1168"/>
    <x v="360"/>
    <s v="CUST1231"/>
    <s v="PROD34"/>
    <s v="STORE7"/>
    <n v="1"/>
    <n v="168.29"/>
    <x v="28"/>
    <x v="1"/>
    <x v="1"/>
    <x v="42"/>
    <x v="3"/>
    <x v="13"/>
    <x v="1"/>
    <n v="419.28"/>
    <x v="2"/>
    <x v="2"/>
    <x v="1166"/>
    <n v="22"/>
  </r>
  <r>
    <s v="SALE1169"/>
    <x v="583"/>
    <s v="CUST1211"/>
    <s v="PROD17"/>
    <s v="STORE17"/>
    <n v="1"/>
    <n v="391.77"/>
    <x v="30"/>
    <x v="1"/>
    <x v="1"/>
    <x v="37"/>
    <x v="2"/>
    <x v="53"/>
    <x v="0"/>
    <n v="144.53"/>
    <x v="0"/>
    <x v="1"/>
    <x v="1167"/>
    <n v="20"/>
  </r>
  <r>
    <s v="SALE1170"/>
    <x v="584"/>
    <s v="CUST1343"/>
    <s v="PROD12"/>
    <s v="STORE14"/>
    <n v="1"/>
    <n v="424.83"/>
    <x v="28"/>
    <x v="2"/>
    <x v="0"/>
    <x v="45"/>
    <x v="3"/>
    <x v="21"/>
    <x v="2"/>
    <n v="115.82"/>
    <x v="2"/>
    <x v="0"/>
    <x v="1168"/>
    <n v="38"/>
  </r>
  <r>
    <s v="SALE1171"/>
    <x v="238"/>
    <s v="CUST1053"/>
    <s v="PROD11"/>
    <s v="STORE3"/>
    <n v="1"/>
    <n v="499.46"/>
    <x v="30"/>
    <x v="0"/>
    <x v="1"/>
    <x v="20"/>
    <x v="0"/>
    <x v="75"/>
    <x v="1"/>
    <n v="449.4"/>
    <x v="0"/>
    <x v="0"/>
    <x v="1169"/>
    <n v="37"/>
  </r>
  <r>
    <s v="SALE1172"/>
    <x v="314"/>
    <s v="CUST1019"/>
    <s v="PROD99"/>
    <s v="STORE1"/>
    <n v="2"/>
    <n v="698.34"/>
    <x v="6"/>
    <x v="1"/>
    <x v="1"/>
    <x v="19"/>
    <x v="1"/>
    <x v="8"/>
    <x v="3"/>
    <n v="201.41"/>
    <x v="0"/>
    <x v="1"/>
    <x v="1170"/>
    <n v="46"/>
  </r>
  <r>
    <s v="SALE1173"/>
    <x v="64"/>
    <s v="CUST1283"/>
    <s v="PROD56"/>
    <s v="STORE16"/>
    <n v="2"/>
    <n v="805.08"/>
    <x v="1"/>
    <x v="1"/>
    <x v="1"/>
    <x v="0"/>
    <x v="2"/>
    <x v="6"/>
    <x v="3"/>
    <n v="461.47"/>
    <x v="1"/>
    <x v="1"/>
    <x v="1171"/>
    <n v="54"/>
  </r>
  <r>
    <s v="SALE1174"/>
    <x v="177"/>
    <s v="CUST1466"/>
    <s v="PROD76"/>
    <s v="STORE2"/>
    <n v="4"/>
    <n v="934.79"/>
    <x v="16"/>
    <x v="1"/>
    <x v="0"/>
    <x v="46"/>
    <x v="2"/>
    <x v="3"/>
    <x v="1"/>
    <n v="392.89"/>
    <x v="2"/>
    <x v="0"/>
    <x v="1172"/>
    <n v="18"/>
  </r>
  <r>
    <s v="SALE1175"/>
    <x v="230"/>
    <s v="CUST1019"/>
    <s v="PROD60"/>
    <s v="STORE1"/>
    <n v="2"/>
    <n v="424.54"/>
    <x v="24"/>
    <x v="1"/>
    <x v="1"/>
    <x v="19"/>
    <x v="1"/>
    <x v="17"/>
    <x v="2"/>
    <n v="482.75"/>
    <x v="0"/>
    <x v="1"/>
    <x v="1173"/>
    <n v="46"/>
  </r>
  <r>
    <s v="SALE1176"/>
    <x v="55"/>
    <s v="CUST1327"/>
    <s v="PROD84"/>
    <s v="STORE17"/>
    <n v="1"/>
    <n v="235.44"/>
    <x v="5"/>
    <x v="2"/>
    <x v="1"/>
    <x v="14"/>
    <x v="3"/>
    <x v="94"/>
    <x v="3"/>
    <n v="388.46"/>
    <x v="0"/>
    <x v="1"/>
    <x v="1174"/>
    <n v="62"/>
  </r>
  <r>
    <s v="SALE1177"/>
    <x v="352"/>
    <s v="CUST1271"/>
    <s v="PROD49"/>
    <s v="STORE13"/>
    <n v="2"/>
    <n v="620.71"/>
    <x v="1"/>
    <x v="0"/>
    <x v="0"/>
    <x v="48"/>
    <x v="1"/>
    <x v="2"/>
    <x v="2"/>
    <n v="43.29"/>
    <x v="3"/>
    <x v="1"/>
    <x v="1175"/>
    <n v="64"/>
  </r>
  <r>
    <s v="SALE1178"/>
    <x v="433"/>
    <s v="CUST1115"/>
    <s v="PROD16"/>
    <s v="STORE11"/>
    <n v="2"/>
    <n v="851.77"/>
    <x v="21"/>
    <x v="1"/>
    <x v="1"/>
    <x v="16"/>
    <x v="1"/>
    <x v="30"/>
    <x v="2"/>
    <n v="337.42"/>
    <x v="2"/>
    <x v="2"/>
    <x v="1176"/>
    <n v="53"/>
  </r>
  <r>
    <s v="SALE1179"/>
    <x v="368"/>
    <s v="CUST1168"/>
    <s v="PROD45"/>
    <s v="STORE1"/>
    <n v="3"/>
    <n v="876.01"/>
    <x v="29"/>
    <x v="0"/>
    <x v="1"/>
    <x v="26"/>
    <x v="1"/>
    <x v="49"/>
    <x v="0"/>
    <n v="318.91"/>
    <x v="0"/>
    <x v="1"/>
    <x v="1177"/>
    <n v="36"/>
  </r>
  <r>
    <s v="SALE1180"/>
    <x v="396"/>
    <s v="CUST1276"/>
    <s v="PROD27"/>
    <s v="STORE9"/>
    <n v="2"/>
    <n v="717.21"/>
    <x v="6"/>
    <x v="2"/>
    <x v="0"/>
    <x v="8"/>
    <x v="0"/>
    <x v="16"/>
    <x v="3"/>
    <n v="250.021571428571"/>
    <x v="2"/>
    <x v="1"/>
    <x v="1178"/>
    <n v="38"/>
  </r>
  <r>
    <s v="SALE1181"/>
    <x v="530"/>
    <s v="CUST1056"/>
    <s v="PROD41"/>
    <s v="STORE8"/>
    <n v="2"/>
    <n v="871.43"/>
    <x v="28"/>
    <x v="0"/>
    <x v="1"/>
    <x v="2"/>
    <x v="0"/>
    <x v="89"/>
    <x v="0"/>
    <n v="313.26"/>
    <x v="1"/>
    <x v="2"/>
    <x v="1179"/>
    <n v="49"/>
  </r>
  <r>
    <s v="SALE1182"/>
    <x v="585"/>
    <s v="CUST1453"/>
    <s v="PROD36"/>
    <s v="STORE7"/>
    <n v="1"/>
    <n v="514.65"/>
    <x v="4"/>
    <x v="0"/>
    <x v="1"/>
    <x v="22"/>
    <x v="1"/>
    <x v="14"/>
    <x v="4"/>
    <n v="223.43"/>
    <x v="2"/>
    <x v="2"/>
    <x v="1180"/>
    <n v="62"/>
  </r>
  <r>
    <s v="SALE1183"/>
    <x v="447"/>
    <s v="CUST1459"/>
    <s v="PROD62"/>
    <s v="STORE16"/>
    <n v="3"/>
    <n v="198.76"/>
    <x v="23"/>
    <x v="2"/>
    <x v="1"/>
    <x v="42"/>
    <x v="0"/>
    <x v="85"/>
    <x v="1"/>
    <n v="86.42"/>
    <x v="1"/>
    <x v="1"/>
    <x v="1181"/>
    <n v="29"/>
  </r>
  <r>
    <s v="SALE1184"/>
    <x v="323"/>
    <s v="CUST1225"/>
    <s v="PROD63"/>
    <s v="STORE3"/>
    <n v="2"/>
    <n v="975.72"/>
    <x v="3"/>
    <x v="2"/>
    <x v="1"/>
    <x v="39"/>
    <x v="1"/>
    <x v="81"/>
    <x v="2"/>
    <n v="266.86"/>
    <x v="0"/>
    <x v="0"/>
    <x v="1182"/>
    <n v="46"/>
  </r>
  <r>
    <s v="SALE1185"/>
    <x v="586"/>
    <s v="CUST1420"/>
    <s v="PROD15"/>
    <s v="STORE1"/>
    <n v="1"/>
    <n v="86.03"/>
    <x v="10"/>
    <x v="0"/>
    <x v="0"/>
    <x v="29"/>
    <x v="3"/>
    <x v="5"/>
    <x v="1"/>
    <n v="465.34"/>
    <x v="0"/>
    <x v="1"/>
    <x v="1183"/>
    <n v="60"/>
  </r>
  <r>
    <s v="SALE1186"/>
    <x v="67"/>
    <s v="CUST1087"/>
    <s v="PROD54"/>
    <s v="STORE12"/>
    <n v="4"/>
    <n v="705.12"/>
    <x v="6"/>
    <x v="1"/>
    <x v="1"/>
    <x v="42"/>
    <x v="3"/>
    <x v="59"/>
    <x v="0"/>
    <n v="434.84"/>
    <x v="0"/>
    <x v="2"/>
    <x v="1184"/>
    <n v="58"/>
  </r>
  <r>
    <s v="SALE1187"/>
    <x v="392"/>
    <s v="CUST1371"/>
    <s v="PROD18"/>
    <s v="STORE12"/>
    <n v="3"/>
    <n v="99.77"/>
    <x v="10"/>
    <x v="1"/>
    <x v="1"/>
    <x v="21"/>
    <x v="1"/>
    <x v="97"/>
    <x v="4"/>
    <n v="245.778311688312"/>
    <x v="0"/>
    <x v="2"/>
    <x v="1185"/>
    <n v="21"/>
  </r>
  <r>
    <s v="SALE1188"/>
    <x v="89"/>
    <s v="CUST1209"/>
    <s v="PROD34"/>
    <s v="STORE9"/>
    <n v="2"/>
    <n v="166.26"/>
    <x v="17"/>
    <x v="1"/>
    <x v="1"/>
    <x v="17"/>
    <x v="1"/>
    <x v="13"/>
    <x v="1"/>
    <n v="419.28"/>
    <x v="2"/>
    <x v="1"/>
    <x v="1186"/>
    <n v="50"/>
  </r>
  <r>
    <s v="SALE1189"/>
    <x v="148"/>
    <s v="CUST1459"/>
    <s v="PROD26"/>
    <s v="STORE5"/>
    <n v="1"/>
    <n v="429.25"/>
    <x v="12"/>
    <x v="0"/>
    <x v="1"/>
    <x v="42"/>
    <x v="0"/>
    <x v="33"/>
    <x v="1"/>
    <n v="322.41"/>
    <x v="0"/>
    <x v="0"/>
    <x v="1187"/>
    <n v="29"/>
  </r>
  <r>
    <s v="SALE1190"/>
    <x v="569"/>
    <s v="CUST1443"/>
    <s v="PROD0"/>
    <s v="STORE9"/>
    <n v="2"/>
    <n v="540.48"/>
    <x v="12"/>
    <x v="0"/>
    <x v="0"/>
    <x v="11"/>
    <x v="2"/>
    <x v="90"/>
    <x v="1"/>
    <n v="112.42"/>
    <x v="2"/>
    <x v="1"/>
    <x v="1188"/>
    <n v="51"/>
  </r>
  <r>
    <s v="SALE1191"/>
    <x v="494"/>
    <s v="CUST1269"/>
    <s v="PROD59"/>
    <s v="STORE14"/>
    <n v="2"/>
    <n v="579.52"/>
    <x v="10"/>
    <x v="1"/>
    <x v="1"/>
    <x v="24"/>
    <x v="2"/>
    <x v="4"/>
    <x v="2"/>
    <n v="17.31"/>
    <x v="2"/>
    <x v="0"/>
    <x v="1189"/>
    <n v="45"/>
  </r>
  <r>
    <s v="SALE1192"/>
    <x v="587"/>
    <s v="CUST1026"/>
    <s v="PROD69"/>
    <s v="STORE17"/>
    <n v="4"/>
    <n v="477.52"/>
    <x v="8"/>
    <x v="1"/>
    <x v="1"/>
    <x v="6"/>
    <x v="0"/>
    <x v="20"/>
    <x v="4"/>
    <n v="218.22"/>
    <x v="0"/>
    <x v="1"/>
    <x v="1190"/>
    <n v="18"/>
  </r>
  <r>
    <s v="SALE1193"/>
    <x v="105"/>
    <s v="CUST1259"/>
    <s v="PROD91"/>
    <s v="STORE6"/>
    <n v="3"/>
    <n v="242.58"/>
    <x v="2"/>
    <x v="0"/>
    <x v="1"/>
    <x v="15"/>
    <x v="2"/>
    <x v="52"/>
    <x v="4"/>
    <n v="438.25"/>
    <x v="3"/>
    <x v="2"/>
    <x v="1191"/>
    <n v="32"/>
  </r>
  <r>
    <s v="SALE1194"/>
    <x v="400"/>
    <s v="CUST1367"/>
    <s v="PROD26"/>
    <s v="STORE17"/>
    <n v="2"/>
    <n v="519.3"/>
    <x v="0"/>
    <x v="1"/>
    <x v="0"/>
    <x v="31"/>
    <x v="3"/>
    <x v="33"/>
    <x v="1"/>
    <n v="322.41"/>
    <x v="0"/>
    <x v="1"/>
    <x v="1192"/>
    <n v="51"/>
  </r>
  <r>
    <s v="SALE1195"/>
    <x v="588"/>
    <s v="CUST1491"/>
    <s v="PROD94"/>
    <s v="STORE11"/>
    <n v="3"/>
    <n v="845.67"/>
    <x v="27"/>
    <x v="2"/>
    <x v="1"/>
    <x v="34"/>
    <x v="0"/>
    <x v="32"/>
    <x v="2"/>
    <n v="358.47"/>
    <x v="2"/>
    <x v="2"/>
    <x v="1193"/>
    <n v="52"/>
  </r>
  <r>
    <s v="SALE1196"/>
    <x v="511"/>
    <s v="CUST1305"/>
    <s v="PROD55"/>
    <s v="STORE16"/>
    <n v="4"/>
    <n v="750.26"/>
    <x v="10"/>
    <x v="1"/>
    <x v="0"/>
    <x v="7"/>
    <x v="1"/>
    <x v="76"/>
    <x v="3"/>
    <n v="81.75"/>
    <x v="1"/>
    <x v="1"/>
    <x v="1194"/>
    <n v="64"/>
  </r>
  <r>
    <s v="SALE1197"/>
    <x v="408"/>
    <s v="CUST1332"/>
    <s v="PROD92"/>
    <s v="STORE12"/>
    <n v="4"/>
    <n v="294.38"/>
    <x v="29"/>
    <x v="0"/>
    <x v="1"/>
    <x v="22"/>
    <x v="3"/>
    <x v="80"/>
    <x v="3"/>
    <n v="447.43"/>
    <x v="0"/>
    <x v="2"/>
    <x v="1195"/>
    <n v="34"/>
  </r>
  <r>
    <s v="SALE1198"/>
    <x v="347"/>
    <s v="CUST1097"/>
    <s v="PROD96"/>
    <s v="STORE2"/>
    <n v="3"/>
    <n v="583.52"/>
    <x v="8"/>
    <x v="1"/>
    <x v="0"/>
    <x v="34"/>
    <x v="2"/>
    <x v="99"/>
    <x v="4"/>
    <n v="358.47"/>
    <x v="2"/>
    <x v="0"/>
    <x v="1196"/>
    <n v="36"/>
  </r>
  <r>
    <s v="SALE1199"/>
    <x v="95"/>
    <s v="CUST1470"/>
    <s v="PROD89"/>
    <s v="STORE16"/>
    <n v="2"/>
    <n v="635.22"/>
    <x v="11"/>
    <x v="2"/>
    <x v="1"/>
    <x v="21"/>
    <x v="0"/>
    <x v="41"/>
    <x v="2"/>
    <n v="183.04"/>
    <x v="1"/>
    <x v="1"/>
    <x v="1197"/>
    <n v="21"/>
  </r>
  <r>
    <s v="SALE1200"/>
    <x v="154"/>
    <s v="CUST1428"/>
    <s v="PROD66"/>
    <s v="STORE2"/>
    <n v="1"/>
    <n v="743.55"/>
    <x v="32"/>
    <x v="2"/>
    <x v="1"/>
    <x v="38"/>
    <x v="3"/>
    <x v="73"/>
    <x v="2"/>
    <n v="340.39"/>
    <x v="2"/>
    <x v="0"/>
    <x v="1198"/>
    <n v="27"/>
  </r>
  <r>
    <s v="SALE1201"/>
    <x v="532"/>
    <s v="CUST1101"/>
    <s v="PROD44"/>
    <s v="STORE3"/>
    <n v="4"/>
    <n v="530.45"/>
    <x v="21"/>
    <x v="0"/>
    <x v="0"/>
    <x v="39"/>
    <x v="0"/>
    <x v="38"/>
    <x v="0"/>
    <n v="167.12"/>
    <x v="0"/>
    <x v="0"/>
    <x v="1199"/>
    <n v="29"/>
  </r>
  <r>
    <s v="SALE1202"/>
    <x v="160"/>
    <s v="CUST1264"/>
    <s v="PROD66"/>
    <s v="STORE9"/>
    <n v="2"/>
    <n v="972.4"/>
    <x v="22"/>
    <x v="2"/>
    <x v="0"/>
    <x v="0"/>
    <x v="0"/>
    <x v="73"/>
    <x v="2"/>
    <n v="340.39"/>
    <x v="2"/>
    <x v="1"/>
    <x v="1200"/>
    <n v="25"/>
  </r>
  <r>
    <s v="SALE1203"/>
    <x v="343"/>
    <s v="CUST1378"/>
    <s v="PROD15"/>
    <s v="STORE18"/>
    <n v="3"/>
    <n v="197.93"/>
    <x v="33"/>
    <x v="2"/>
    <x v="1"/>
    <x v="37"/>
    <x v="3"/>
    <x v="5"/>
    <x v="1"/>
    <n v="465.34"/>
    <x v="3"/>
    <x v="1"/>
    <x v="1201"/>
    <n v="44"/>
  </r>
  <r>
    <s v="SALE1204"/>
    <x v="509"/>
    <s v="CUST1342"/>
    <s v="PROD87"/>
    <s v="STORE11"/>
    <n v="4"/>
    <n v="565.51"/>
    <x v="3"/>
    <x v="1"/>
    <x v="1"/>
    <x v="40"/>
    <x v="3"/>
    <x v="72"/>
    <x v="3"/>
    <n v="371.38"/>
    <x v="2"/>
    <x v="2"/>
    <x v="1202"/>
    <n v="30"/>
  </r>
  <r>
    <s v="SALE1205"/>
    <x v="548"/>
    <s v="CUST1400"/>
    <s v="PROD39"/>
    <s v="STORE4"/>
    <n v="4"/>
    <n v="983.38"/>
    <x v="2"/>
    <x v="2"/>
    <x v="1"/>
    <x v="15"/>
    <x v="1"/>
    <x v="11"/>
    <x v="1"/>
    <n v="326.06"/>
    <x v="2"/>
    <x v="2"/>
    <x v="1203"/>
    <n v="57"/>
  </r>
  <r>
    <s v="SALE1206"/>
    <x v="336"/>
    <s v="CUST1234"/>
    <s v="PROD99"/>
    <s v="STORE9"/>
    <n v="1"/>
    <n v="955.06"/>
    <x v="17"/>
    <x v="0"/>
    <x v="1"/>
    <x v="32"/>
    <x v="0"/>
    <x v="8"/>
    <x v="3"/>
    <n v="201.41"/>
    <x v="2"/>
    <x v="1"/>
    <x v="1204"/>
    <n v="43"/>
  </r>
  <r>
    <s v="SALE1207"/>
    <x v="227"/>
    <s v="CUST1352"/>
    <s v="PROD59"/>
    <s v="STORE15"/>
    <n v="3"/>
    <n v="597.46"/>
    <x v="31"/>
    <x v="1"/>
    <x v="1"/>
    <x v="18"/>
    <x v="2"/>
    <x v="4"/>
    <x v="2"/>
    <n v="17.31"/>
    <x v="0"/>
    <x v="1"/>
    <x v="1205"/>
    <n v="52"/>
  </r>
  <r>
    <s v="SALE1208"/>
    <x v="2"/>
    <s v="CUST1317"/>
    <s v="PROD8"/>
    <s v="STORE16"/>
    <n v="3"/>
    <n v="581.09"/>
    <x v="30"/>
    <x v="2"/>
    <x v="1"/>
    <x v="21"/>
    <x v="0"/>
    <x v="67"/>
    <x v="1"/>
    <n v="439.07"/>
    <x v="1"/>
    <x v="1"/>
    <x v="1206"/>
    <n v="64"/>
  </r>
  <r>
    <s v="SALE1209"/>
    <x v="589"/>
    <s v="CUST1054"/>
    <s v="PROD30"/>
    <s v="STORE4"/>
    <n v="4"/>
    <n v="153.95"/>
    <x v="32"/>
    <x v="1"/>
    <x v="0"/>
    <x v="15"/>
    <x v="1"/>
    <x v="37"/>
    <x v="3"/>
    <n v="19.52"/>
    <x v="2"/>
    <x v="2"/>
    <x v="1207"/>
    <n v="24"/>
  </r>
  <r>
    <s v="SALE1210"/>
    <x v="89"/>
    <s v="CUST1081"/>
    <s v="PROD36"/>
    <s v="STORE8"/>
    <n v="4"/>
    <n v="271.04"/>
    <x v="27"/>
    <x v="2"/>
    <x v="1"/>
    <x v="28"/>
    <x v="1"/>
    <x v="14"/>
    <x v="4"/>
    <n v="223.43"/>
    <x v="1"/>
    <x v="2"/>
    <x v="1208"/>
    <n v="34"/>
  </r>
  <r>
    <s v="SALE1211"/>
    <x v="114"/>
    <s v="CUST1015"/>
    <s v="PROD35"/>
    <s v="STORE6"/>
    <n v="4"/>
    <n v="328.27"/>
    <x v="0"/>
    <x v="1"/>
    <x v="1"/>
    <x v="7"/>
    <x v="1"/>
    <x v="68"/>
    <x v="3"/>
    <n v="382.22"/>
    <x v="3"/>
    <x v="2"/>
    <x v="1209"/>
    <n v="49"/>
  </r>
  <r>
    <s v="SALE1212"/>
    <x v="469"/>
    <s v="CUST1494"/>
    <s v="PROD17"/>
    <s v="STORE14"/>
    <n v="4"/>
    <n v="884.71"/>
    <x v="0"/>
    <x v="1"/>
    <x v="0"/>
    <x v="11"/>
    <x v="0"/>
    <x v="53"/>
    <x v="0"/>
    <n v="144.53"/>
    <x v="2"/>
    <x v="0"/>
    <x v="1210"/>
    <n v="21"/>
  </r>
  <r>
    <s v="SALE1213"/>
    <x v="203"/>
    <s v="CUST1249"/>
    <s v="PROD72"/>
    <s v="STORE4"/>
    <n v="1"/>
    <n v="41.39"/>
    <x v="10"/>
    <x v="0"/>
    <x v="1"/>
    <x v="14"/>
    <x v="0"/>
    <x v="18"/>
    <x v="0"/>
    <n v="477.61"/>
    <x v="2"/>
    <x v="2"/>
    <x v="1211"/>
    <n v="41"/>
  </r>
  <r>
    <s v="SALE1214"/>
    <x v="454"/>
    <s v="CUST1165"/>
    <s v="PROD57"/>
    <s v="STORE9"/>
    <n v="4"/>
    <n v="64.06"/>
    <x v="25"/>
    <x v="0"/>
    <x v="1"/>
    <x v="49"/>
    <x v="1"/>
    <x v="71"/>
    <x v="0"/>
    <n v="30.62"/>
    <x v="2"/>
    <x v="1"/>
    <x v="1212"/>
    <n v="47"/>
  </r>
  <r>
    <s v="SALE1215"/>
    <x v="68"/>
    <s v="CUST1346"/>
    <s v="PROD46"/>
    <s v="STORE9"/>
    <n v="2"/>
    <n v="152.25"/>
    <x v="21"/>
    <x v="0"/>
    <x v="1"/>
    <x v="3"/>
    <x v="1"/>
    <x v="54"/>
    <x v="4"/>
    <n v="167.34"/>
    <x v="2"/>
    <x v="1"/>
    <x v="1213"/>
    <n v="58"/>
  </r>
  <r>
    <s v="SALE1216"/>
    <x v="374"/>
    <s v="CUST1100"/>
    <s v="PROD13"/>
    <s v="STORE19"/>
    <n v="2"/>
    <n v="889.04"/>
    <x v="7"/>
    <x v="0"/>
    <x v="1"/>
    <x v="11"/>
    <x v="1"/>
    <x v="26"/>
    <x v="1"/>
    <n v="242.23"/>
    <x v="3"/>
    <x v="2"/>
    <x v="1214"/>
    <n v="53"/>
  </r>
  <r>
    <s v="SALE1217"/>
    <x v="302"/>
    <s v="CUST1161"/>
    <s v="PROD37"/>
    <s v="STORE10"/>
    <n v="3"/>
    <n v="145.25"/>
    <x v="24"/>
    <x v="1"/>
    <x v="1"/>
    <x v="28"/>
    <x v="2"/>
    <x v="92"/>
    <x v="4"/>
    <n v="353.47"/>
    <x v="3"/>
    <x v="2"/>
    <x v="1215"/>
    <n v="18"/>
  </r>
  <r>
    <s v="SALE1218"/>
    <x v="590"/>
    <s v="CUST1056"/>
    <s v="PROD88"/>
    <s v="STORE2"/>
    <n v="2"/>
    <n v="898.45"/>
    <x v="12"/>
    <x v="2"/>
    <x v="1"/>
    <x v="2"/>
    <x v="0"/>
    <x v="12"/>
    <x v="0"/>
    <n v="131.24"/>
    <x v="2"/>
    <x v="0"/>
    <x v="1216"/>
    <n v="49"/>
  </r>
  <r>
    <s v="SALE1219"/>
    <x v="591"/>
    <s v="CUST1030"/>
    <s v="PROD35"/>
    <s v="STORE15"/>
    <n v="4"/>
    <n v="642.05"/>
    <x v="2"/>
    <x v="0"/>
    <x v="1"/>
    <x v="2"/>
    <x v="3"/>
    <x v="68"/>
    <x v="3"/>
    <n v="382.22"/>
    <x v="0"/>
    <x v="1"/>
    <x v="1217"/>
    <n v="64"/>
  </r>
  <r>
    <s v="SALE1220"/>
    <x v="429"/>
    <s v="CUST1313"/>
    <s v="PROD84"/>
    <s v="STORE7"/>
    <n v="4"/>
    <n v="450.83"/>
    <x v="24"/>
    <x v="0"/>
    <x v="0"/>
    <x v="33"/>
    <x v="1"/>
    <x v="94"/>
    <x v="3"/>
    <n v="388.46"/>
    <x v="2"/>
    <x v="2"/>
    <x v="1218"/>
    <n v="62"/>
  </r>
  <r>
    <s v="SALE1221"/>
    <x v="592"/>
    <s v="CUST1010"/>
    <s v="PROD52"/>
    <s v="STORE19"/>
    <n v="2"/>
    <n v="441.03"/>
    <x v="7"/>
    <x v="2"/>
    <x v="0"/>
    <x v="2"/>
    <x v="3"/>
    <x v="40"/>
    <x v="0"/>
    <n v="212.26"/>
    <x v="3"/>
    <x v="2"/>
    <x v="1219"/>
    <n v="53"/>
  </r>
  <r>
    <s v="SALE1222"/>
    <x v="393"/>
    <s v="CUST1082"/>
    <s v="PROD25"/>
    <s v="STORE2"/>
    <n v="3"/>
    <n v="377.69"/>
    <x v="8"/>
    <x v="1"/>
    <x v="0"/>
    <x v="26"/>
    <x v="3"/>
    <x v="60"/>
    <x v="4"/>
    <n v="174.02"/>
    <x v="2"/>
    <x v="0"/>
    <x v="1220"/>
    <n v="53"/>
  </r>
  <r>
    <s v="SALE1223"/>
    <x v="579"/>
    <s v="CUST1160"/>
    <s v="PROD10"/>
    <s v="STORE7"/>
    <n v="1"/>
    <n v="457.33"/>
    <x v="1"/>
    <x v="0"/>
    <x v="1"/>
    <x v="29"/>
    <x v="1"/>
    <x v="31"/>
    <x v="3"/>
    <n v="298.86"/>
    <x v="2"/>
    <x v="2"/>
    <x v="1221"/>
    <n v="41"/>
  </r>
  <r>
    <s v="SALE1224"/>
    <x v="200"/>
    <s v="CUST1244"/>
    <s v="PROD76"/>
    <s v="STORE6"/>
    <n v="4"/>
    <n v="218.01"/>
    <x v="22"/>
    <x v="0"/>
    <x v="0"/>
    <x v="39"/>
    <x v="3"/>
    <x v="3"/>
    <x v="1"/>
    <n v="392.89"/>
    <x v="3"/>
    <x v="2"/>
    <x v="1222"/>
    <n v="19"/>
  </r>
  <r>
    <s v="SALE1225"/>
    <x v="483"/>
    <s v="CUST1218"/>
    <s v="PROD92"/>
    <s v="STORE18"/>
    <n v="2"/>
    <n v="682.7"/>
    <x v="21"/>
    <x v="0"/>
    <x v="0"/>
    <x v="24"/>
    <x v="1"/>
    <x v="80"/>
    <x v="3"/>
    <n v="447.43"/>
    <x v="3"/>
    <x v="1"/>
    <x v="1223"/>
    <n v="46"/>
  </r>
  <r>
    <s v="SALE1226"/>
    <x v="593"/>
    <s v="CUST1323"/>
    <s v="PROD19"/>
    <s v="STORE18"/>
    <n v="3"/>
    <n v="726.97"/>
    <x v="13"/>
    <x v="1"/>
    <x v="1"/>
    <x v="29"/>
    <x v="1"/>
    <x v="46"/>
    <x v="0"/>
    <n v="21.34"/>
    <x v="3"/>
    <x v="1"/>
    <x v="1224"/>
    <n v="64"/>
  </r>
  <r>
    <s v="SALE1227"/>
    <x v="551"/>
    <s v="CUST1408"/>
    <s v="PROD59"/>
    <s v="STORE9"/>
    <n v="2"/>
    <n v="107.97"/>
    <x v="22"/>
    <x v="0"/>
    <x v="0"/>
    <x v="19"/>
    <x v="0"/>
    <x v="4"/>
    <x v="2"/>
    <n v="17.31"/>
    <x v="2"/>
    <x v="1"/>
    <x v="1225"/>
    <n v="36"/>
  </r>
  <r>
    <s v="SALE1228"/>
    <x v="101"/>
    <s v="CUST1007"/>
    <s v="PROD5"/>
    <s v="STORE14"/>
    <n v="1"/>
    <n v="38.88"/>
    <x v="3"/>
    <x v="2"/>
    <x v="1"/>
    <x v="35"/>
    <x v="3"/>
    <x v="23"/>
    <x v="4"/>
    <n v="261"/>
    <x v="2"/>
    <x v="0"/>
    <x v="1226"/>
    <n v="29"/>
  </r>
  <r>
    <s v="SALE1229"/>
    <x v="260"/>
    <s v="CUST1078"/>
    <s v="PROD16"/>
    <s v="STORE17"/>
    <n v="3"/>
    <n v="484.39"/>
    <x v="12"/>
    <x v="2"/>
    <x v="0"/>
    <x v="45"/>
    <x v="0"/>
    <x v="30"/>
    <x v="2"/>
    <n v="337.42"/>
    <x v="0"/>
    <x v="1"/>
    <x v="1227"/>
    <n v="21"/>
  </r>
  <r>
    <s v="SALE1230"/>
    <x v="423"/>
    <s v="CUST1018"/>
    <s v="PROD80"/>
    <s v="STORE15"/>
    <n v="2"/>
    <n v="949.3"/>
    <x v="16"/>
    <x v="2"/>
    <x v="0"/>
    <x v="32"/>
    <x v="4"/>
    <x v="61"/>
    <x v="3"/>
    <n v="143.43"/>
    <x v="0"/>
    <x v="1"/>
    <x v="1228"/>
    <n v="43"/>
  </r>
  <r>
    <s v="SALE1231"/>
    <x v="3"/>
    <s v="CUST1433"/>
    <s v="PROD71"/>
    <s v="STORE6"/>
    <n v="3"/>
    <n v="664.75"/>
    <x v="27"/>
    <x v="0"/>
    <x v="1"/>
    <x v="14"/>
    <x v="2"/>
    <x v="51"/>
    <x v="2"/>
    <n v="214.32"/>
    <x v="3"/>
    <x v="2"/>
    <x v="1229"/>
    <n v="51"/>
  </r>
  <r>
    <s v="SALE1232"/>
    <x v="459"/>
    <s v="CUST1282"/>
    <s v="PROD70"/>
    <s v="STORE17"/>
    <n v="3"/>
    <n v="190.04"/>
    <x v="8"/>
    <x v="1"/>
    <x v="1"/>
    <x v="19"/>
    <x v="0"/>
    <x v="7"/>
    <x v="3"/>
    <n v="138.05"/>
    <x v="0"/>
    <x v="1"/>
    <x v="1230"/>
    <n v="46"/>
  </r>
  <r>
    <s v="SALE1233"/>
    <x v="9"/>
    <s v="CUST1277"/>
    <s v="PROD7"/>
    <s v="STORE15"/>
    <n v="3"/>
    <n v="754.02"/>
    <x v="30"/>
    <x v="2"/>
    <x v="1"/>
    <x v="44"/>
    <x v="1"/>
    <x v="84"/>
    <x v="3"/>
    <n v="218.86"/>
    <x v="0"/>
    <x v="1"/>
    <x v="1231"/>
    <n v="22"/>
  </r>
  <r>
    <s v="SALE1234"/>
    <x v="455"/>
    <s v="CUST1384"/>
    <s v="PROD34"/>
    <s v="STORE12"/>
    <n v="4"/>
    <n v="94.13"/>
    <x v="13"/>
    <x v="2"/>
    <x v="1"/>
    <x v="9"/>
    <x v="3"/>
    <x v="13"/>
    <x v="1"/>
    <n v="419.28"/>
    <x v="0"/>
    <x v="2"/>
    <x v="1232"/>
    <n v="52"/>
  </r>
  <r>
    <s v="SALE1235"/>
    <x v="282"/>
    <s v="CUST1468"/>
    <s v="PROD1"/>
    <s v="STORE15"/>
    <n v="3"/>
    <n v="402.3"/>
    <x v="34"/>
    <x v="1"/>
    <x v="0"/>
    <x v="1"/>
    <x v="3"/>
    <x v="55"/>
    <x v="4"/>
    <n v="342.56"/>
    <x v="0"/>
    <x v="1"/>
    <x v="1233"/>
    <n v="45"/>
  </r>
  <r>
    <s v="SALE1236"/>
    <x v="24"/>
    <s v="CUST1239"/>
    <s v="PROD86"/>
    <s v="STORE7"/>
    <n v="1"/>
    <n v="729.05"/>
    <x v="22"/>
    <x v="2"/>
    <x v="1"/>
    <x v="8"/>
    <x v="1"/>
    <x v="56"/>
    <x v="3"/>
    <n v="176.07"/>
    <x v="2"/>
    <x v="2"/>
    <x v="1234"/>
    <n v="58"/>
  </r>
  <r>
    <s v="SALE1237"/>
    <x v="340"/>
    <s v="CUST1134"/>
    <s v="PROD90"/>
    <s v="STORE13"/>
    <n v="1"/>
    <n v="822.6"/>
    <x v="12"/>
    <x v="1"/>
    <x v="0"/>
    <x v="7"/>
    <x v="0"/>
    <x v="64"/>
    <x v="1"/>
    <n v="340.14"/>
    <x v="3"/>
    <x v="1"/>
    <x v="1235"/>
    <n v="54"/>
  </r>
  <r>
    <s v="SALE1238"/>
    <x v="538"/>
    <s v="CUST1193"/>
    <s v="PROD83"/>
    <s v="STORE8"/>
    <n v="2"/>
    <n v="327.25"/>
    <x v="5"/>
    <x v="1"/>
    <x v="0"/>
    <x v="36"/>
    <x v="0"/>
    <x v="50"/>
    <x v="2"/>
    <n v="289.359375"/>
    <x v="1"/>
    <x v="2"/>
    <x v="1236"/>
    <n v="38"/>
  </r>
  <r>
    <s v="SALE1239"/>
    <x v="500"/>
    <s v="CUST1084"/>
    <s v="PROD70"/>
    <s v="STORE9"/>
    <n v="4"/>
    <n v="930.38"/>
    <x v="33"/>
    <x v="2"/>
    <x v="1"/>
    <x v="30"/>
    <x v="1"/>
    <x v="7"/>
    <x v="3"/>
    <n v="138.05"/>
    <x v="2"/>
    <x v="1"/>
    <x v="1237"/>
    <n v="26"/>
  </r>
  <r>
    <s v="SALE1240"/>
    <x v="22"/>
    <s v="CUST1144"/>
    <s v="PROD27"/>
    <s v="STORE5"/>
    <n v="2"/>
    <n v="437.84"/>
    <x v="24"/>
    <x v="0"/>
    <x v="1"/>
    <x v="8"/>
    <x v="3"/>
    <x v="16"/>
    <x v="3"/>
    <n v="250.021571428571"/>
    <x v="0"/>
    <x v="0"/>
    <x v="1238"/>
    <n v="62"/>
  </r>
  <r>
    <s v="SALE1241"/>
    <x v="461"/>
    <s v="CUST1070"/>
    <s v="PROD16"/>
    <s v="STORE16"/>
    <n v="2"/>
    <n v="126.02"/>
    <x v="0"/>
    <x v="2"/>
    <x v="1"/>
    <x v="23"/>
    <x v="0"/>
    <x v="30"/>
    <x v="2"/>
    <n v="337.42"/>
    <x v="1"/>
    <x v="1"/>
    <x v="1239"/>
    <n v="29"/>
  </r>
  <r>
    <s v="SALE1242"/>
    <x v="594"/>
    <s v="CUST1437"/>
    <s v="PROD83"/>
    <s v="STORE15"/>
    <n v="1"/>
    <n v="860.84"/>
    <x v="8"/>
    <x v="1"/>
    <x v="1"/>
    <x v="21"/>
    <x v="1"/>
    <x v="50"/>
    <x v="2"/>
    <n v="289.359375"/>
    <x v="0"/>
    <x v="1"/>
    <x v="1240"/>
    <n v="47"/>
  </r>
  <r>
    <s v="SALE1243"/>
    <x v="43"/>
    <s v="CUST1093"/>
    <s v="PROD48"/>
    <s v="STORE13"/>
    <n v="1"/>
    <n v="161.8"/>
    <x v="24"/>
    <x v="1"/>
    <x v="1"/>
    <x v="42"/>
    <x v="0"/>
    <x v="70"/>
    <x v="1"/>
    <n v="177.98"/>
    <x v="3"/>
    <x v="1"/>
    <x v="1241"/>
    <n v="28"/>
  </r>
  <r>
    <s v="SALE1244"/>
    <x v="595"/>
    <s v="CUST1385"/>
    <s v="PROD38"/>
    <s v="STORE17"/>
    <n v="4"/>
    <n v="347.82"/>
    <x v="31"/>
    <x v="2"/>
    <x v="0"/>
    <x v="42"/>
    <x v="0"/>
    <x v="48"/>
    <x v="0"/>
    <n v="135.61"/>
    <x v="0"/>
    <x v="1"/>
    <x v="1242"/>
    <n v="60"/>
  </r>
  <r>
    <s v="SALE1245"/>
    <x v="289"/>
    <s v="CUST1453"/>
    <s v="PROD85"/>
    <s v="STORE16"/>
    <n v="3"/>
    <n v="416.44"/>
    <x v="1"/>
    <x v="0"/>
    <x v="1"/>
    <x v="22"/>
    <x v="1"/>
    <x v="65"/>
    <x v="4"/>
    <n v="119.57"/>
    <x v="1"/>
    <x v="1"/>
    <x v="1243"/>
    <n v="62"/>
  </r>
  <r>
    <s v="SALE1246"/>
    <x v="534"/>
    <s v="CUST1005"/>
    <s v="PROD62"/>
    <s v="STORE0"/>
    <n v="1"/>
    <n v="147.96"/>
    <x v="24"/>
    <x v="2"/>
    <x v="0"/>
    <x v="47"/>
    <x v="3"/>
    <x v="85"/>
    <x v="1"/>
    <n v="86.42"/>
    <x v="3"/>
    <x v="1"/>
    <x v="1244"/>
    <n v="24"/>
  </r>
  <r>
    <s v="SALE1247"/>
    <x v="590"/>
    <s v="CUST1445"/>
    <s v="PROD18"/>
    <s v="STORE8"/>
    <n v="3"/>
    <n v="550.26"/>
    <x v="14"/>
    <x v="0"/>
    <x v="1"/>
    <x v="45"/>
    <x v="1"/>
    <x v="97"/>
    <x v="4"/>
    <n v="245.778311688312"/>
    <x v="1"/>
    <x v="2"/>
    <x v="1245"/>
    <n v="41"/>
  </r>
  <r>
    <s v="SALE1248"/>
    <x v="157"/>
    <s v="CUST1371"/>
    <s v="PROD97"/>
    <s v="STORE7"/>
    <n v="4"/>
    <n v="938.21"/>
    <x v="13"/>
    <x v="1"/>
    <x v="1"/>
    <x v="21"/>
    <x v="1"/>
    <x v="0"/>
    <x v="0"/>
    <n v="245.98"/>
    <x v="2"/>
    <x v="2"/>
    <x v="1246"/>
    <n v="21"/>
  </r>
  <r>
    <s v="SALE1249"/>
    <x v="596"/>
    <s v="CUST1134"/>
    <s v="PROD94"/>
    <s v="STORE16"/>
    <n v="3"/>
    <n v="517.98"/>
    <x v="10"/>
    <x v="1"/>
    <x v="0"/>
    <x v="7"/>
    <x v="0"/>
    <x v="32"/>
    <x v="2"/>
    <n v="358.47"/>
    <x v="1"/>
    <x v="1"/>
    <x v="1247"/>
    <n v="54"/>
  </r>
  <r>
    <s v="SALE1250"/>
    <x v="597"/>
    <s v="CUST1036"/>
    <s v="PROD6"/>
    <s v="STORE8"/>
    <n v="1"/>
    <n v="98.27"/>
    <x v="3"/>
    <x v="1"/>
    <x v="1"/>
    <x v="36"/>
    <x v="0"/>
    <x v="96"/>
    <x v="2"/>
    <n v="312.8"/>
    <x v="1"/>
    <x v="2"/>
    <x v="1248"/>
    <n v="20"/>
  </r>
  <r>
    <s v="SALE1251"/>
    <x v="0"/>
    <s v="CUST1251"/>
    <s v="PROD48"/>
    <s v="STORE11"/>
    <n v="2"/>
    <n v="875.2"/>
    <x v="5"/>
    <x v="0"/>
    <x v="0"/>
    <x v="4"/>
    <x v="2"/>
    <x v="70"/>
    <x v="1"/>
    <n v="177.98"/>
    <x v="2"/>
    <x v="2"/>
    <x v="1249"/>
    <n v="64"/>
  </r>
  <r>
    <s v="SALE1252"/>
    <x v="593"/>
    <s v="CUST1305"/>
    <s v="PROD86"/>
    <s v="STORE0"/>
    <n v="1"/>
    <n v="227.35"/>
    <x v="22"/>
    <x v="2"/>
    <x v="0"/>
    <x v="7"/>
    <x v="1"/>
    <x v="56"/>
    <x v="3"/>
    <n v="176.07"/>
    <x v="3"/>
    <x v="1"/>
    <x v="1250"/>
    <n v="64"/>
  </r>
  <r>
    <s v="SALE1253"/>
    <x v="163"/>
    <s v="CUST1210"/>
    <s v="PROD74"/>
    <s v="STORE1"/>
    <n v="1"/>
    <n v="842.46"/>
    <x v="28"/>
    <x v="2"/>
    <x v="0"/>
    <x v="36"/>
    <x v="2"/>
    <x v="1"/>
    <x v="1"/>
    <n v="403.71"/>
    <x v="0"/>
    <x v="1"/>
    <x v="1251"/>
    <n v="48"/>
  </r>
  <r>
    <s v="SALE1254"/>
    <x v="525"/>
    <s v="CUST1212"/>
    <s v="PROD36"/>
    <s v="STORE11"/>
    <n v="3"/>
    <n v="120.67"/>
    <x v="16"/>
    <x v="2"/>
    <x v="1"/>
    <x v="7"/>
    <x v="1"/>
    <x v="14"/>
    <x v="4"/>
    <n v="223.43"/>
    <x v="2"/>
    <x v="2"/>
    <x v="1252"/>
    <n v="63"/>
  </r>
  <r>
    <s v="SALE1255"/>
    <x v="598"/>
    <s v="CUST1497"/>
    <s v="PROD20"/>
    <s v="STORE3"/>
    <n v="4"/>
    <n v="176.13"/>
    <x v="1"/>
    <x v="1"/>
    <x v="1"/>
    <x v="14"/>
    <x v="0"/>
    <x v="42"/>
    <x v="0"/>
    <n v="131.51"/>
    <x v="0"/>
    <x v="0"/>
    <x v="1253"/>
    <n v="47"/>
  </r>
  <r>
    <s v="SALE1256"/>
    <x v="202"/>
    <s v="CUST1450"/>
    <s v="PROD63"/>
    <s v="STORE11"/>
    <n v="4"/>
    <n v="592.68"/>
    <x v="15"/>
    <x v="0"/>
    <x v="0"/>
    <x v="48"/>
    <x v="3"/>
    <x v="81"/>
    <x v="2"/>
    <n v="266.86"/>
    <x v="2"/>
    <x v="2"/>
    <x v="1254"/>
    <n v="59"/>
  </r>
  <r>
    <s v="SALE1257"/>
    <x v="581"/>
    <s v="CUST1176"/>
    <s v="PROD70"/>
    <s v="STORE4"/>
    <n v="4"/>
    <n v="662.43"/>
    <x v="24"/>
    <x v="1"/>
    <x v="0"/>
    <x v="1"/>
    <x v="2"/>
    <x v="7"/>
    <x v="3"/>
    <n v="138.05"/>
    <x v="2"/>
    <x v="2"/>
    <x v="1255"/>
    <n v="48"/>
  </r>
  <r>
    <s v="SALE1258"/>
    <x v="599"/>
    <s v="CUST1128"/>
    <s v="PROD43"/>
    <s v="STORE8"/>
    <n v="3"/>
    <n v="518.35"/>
    <x v="34"/>
    <x v="2"/>
    <x v="0"/>
    <x v="13"/>
    <x v="2"/>
    <x v="19"/>
    <x v="1"/>
    <n v="253.33"/>
    <x v="1"/>
    <x v="2"/>
    <x v="1256"/>
    <n v="45"/>
  </r>
  <r>
    <s v="SALE1259"/>
    <x v="574"/>
    <s v="CUST1310"/>
    <s v="PROD61"/>
    <s v="STORE5"/>
    <n v="1"/>
    <n v="85.58"/>
    <x v="30"/>
    <x v="2"/>
    <x v="0"/>
    <x v="1"/>
    <x v="2"/>
    <x v="86"/>
    <x v="0"/>
    <n v="103.45"/>
    <x v="0"/>
    <x v="0"/>
    <x v="1257"/>
    <n v="20"/>
  </r>
  <r>
    <s v="SALE1260"/>
    <x v="100"/>
    <s v="CUST1363"/>
    <s v="PROD87"/>
    <s v="STORE1"/>
    <n v="4"/>
    <n v="800"/>
    <x v="29"/>
    <x v="0"/>
    <x v="0"/>
    <x v="31"/>
    <x v="3"/>
    <x v="72"/>
    <x v="3"/>
    <n v="371.38"/>
    <x v="0"/>
    <x v="1"/>
    <x v="1258"/>
    <n v="23"/>
  </r>
  <r>
    <s v="SALE1261"/>
    <x v="69"/>
    <s v="CUST1155"/>
    <s v="PROD60"/>
    <s v="STORE10"/>
    <n v="3"/>
    <n v="118.25"/>
    <x v="25"/>
    <x v="1"/>
    <x v="1"/>
    <x v="9"/>
    <x v="0"/>
    <x v="17"/>
    <x v="2"/>
    <n v="482.75"/>
    <x v="3"/>
    <x v="2"/>
    <x v="1259"/>
    <n v="60"/>
  </r>
  <r>
    <s v="SALE1262"/>
    <x v="205"/>
    <s v="CUST1421"/>
    <s v="PROD32"/>
    <s v="STORE15"/>
    <n v="1"/>
    <n v="223.25"/>
    <x v="12"/>
    <x v="0"/>
    <x v="1"/>
    <x v="7"/>
    <x v="1"/>
    <x v="79"/>
    <x v="2"/>
    <n v="283.83"/>
    <x v="0"/>
    <x v="1"/>
    <x v="1260"/>
    <n v="45"/>
  </r>
  <r>
    <s v="SALE1263"/>
    <x v="89"/>
    <s v="CUST1427"/>
    <s v="PROD32"/>
    <s v="STORE4"/>
    <n v="3"/>
    <n v="918.76"/>
    <x v="29"/>
    <x v="1"/>
    <x v="1"/>
    <x v="17"/>
    <x v="0"/>
    <x v="79"/>
    <x v="2"/>
    <n v="283.83"/>
    <x v="2"/>
    <x v="2"/>
    <x v="1261"/>
    <n v="18"/>
  </r>
  <r>
    <s v="SALE1264"/>
    <x v="600"/>
    <s v="CUST1280"/>
    <s v="PROD84"/>
    <s v="STORE13"/>
    <n v="2"/>
    <n v="905.26"/>
    <x v="6"/>
    <x v="2"/>
    <x v="0"/>
    <x v="22"/>
    <x v="3"/>
    <x v="94"/>
    <x v="3"/>
    <n v="388.46"/>
    <x v="3"/>
    <x v="1"/>
    <x v="1262"/>
    <n v="48"/>
  </r>
  <r>
    <s v="SALE1265"/>
    <x v="312"/>
    <s v="CUST1312"/>
    <s v="PROD16"/>
    <s v="STORE19"/>
    <n v="4"/>
    <n v="295.4"/>
    <x v="7"/>
    <x v="1"/>
    <x v="1"/>
    <x v="37"/>
    <x v="2"/>
    <x v="30"/>
    <x v="2"/>
    <n v="337.42"/>
    <x v="3"/>
    <x v="2"/>
    <x v="1263"/>
    <n v="47"/>
  </r>
  <r>
    <s v="SALE1266"/>
    <x v="206"/>
    <s v="CUST1087"/>
    <s v="PROD94"/>
    <s v="STORE5"/>
    <n v="1"/>
    <n v="252.18"/>
    <x v="7"/>
    <x v="1"/>
    <x v="1"/>
    <x v="42"/>
    <x v="3"/>
    <x v="32"/>
    <x v="2"/>
    <n v="358.47"/>
    <x v="0"/>
    <x v="0"/>
    <x v="1264"/>
    <n v="58"/>
  </r>
  <r>
    <s v="SALE1267"/>
    <x v="35"/>
    <s v="CUST1152"/>
    <s v="PROD97"/>
    <s v="STORE12"/>
    <n v="4"/>
    <n v="792.1"/>
    <x v="5"/>
    <x v="2"/>
    <x v="1"/>
    <x v="6"/>
    <x v="1"/>
    <x v="0"/>
    <x v="0"/>
    <n v="245.98"/>
    <x v="0"/>
    <x v="2"/>
    <x v="1265"/>
    <n v="41"/>
  </r>
  <r>
    <s v="SALE1268"/>
    <x v="601"/>
    <s v="CUST1076"/>
    <s v="PROD88"/>
    <s v="STORE14"/>
    <n v="1"/>
    <n v="883.36"/>
    <x v="32"/>
    <x v="1"/>
    <x v="0"/>
    <x v="15"/>
    <x v="0"/>
    <x v="12"/>
    <x v="0"/>
    <n v="131.24"/>
    <x v="2"/>
    <x v="0"/>
    <x v="1266"/>
    <n v="37"/>
  </r>
  <r>
    <s v="SALE1269"/>
    <x v="602"/>
    <s v="CUST1276"/>
    <s v="PROD69"/>
    <s v="STORE0"/>
    <n v="4"/>
    <n v="305.95"/>
    <x v="16"/>
    <x v="1"/>
    <x v="0"/>
    <x v="8"/>
    <x v="0"/>
    <x v="20"/>
    <x v="4"/>
    <n v="218.22"/>
    <x v="3"/>
    <x v="1"/>
    <x v="1267"/>
    <n v="38"/>
  </r>
  <r>
    <s v="SALE1270"/>
    <x v="75"/>
    <s v="CUST1401"/>
    <s v="PROD58"/>
    <s v="STORE7"/>
    <n v="3"/>
    <n v="742.45"/>
    <x v="7"/>
    <x v="2"/>
    <x v="1"/>
    <x v="8"/>
    <x v="1"/>
    <x v="87"/>
    <x v="4"/>
    <n v="113.83"/>
    <x v="2"/>
    <x v="2"/>
    <x v="1268"/>
    <n v="51"/>
  </r>
  <r>
    <s v="SALE1271"/>
    <x v="130"/>
    <s v="CUST1355"/>
    <s v="PROD25"/>
    <s v="STORE18"/>
    <n v="3"/>
    <n v="336.1"/>
    <x v="27"/>
    <x v="2"/>
    <x v="0"/>
    <x v="7"/>
    <x v="0"/>
    <x v="60"/>
    <x v="4"/>
    <n v="174.02"/>
    <x v="3"/>
    <x v="1"/>
    <x v="1269"/>
    <n v="20"/>
  </r>
  <r>
    <s v="SALE1272"/>
    <x v="213"/>
    <s v="CUST1412"/>
    <s v="PROD29"/>
    <s v="STORE7"/>
    <n v="3"/>
    <n v="310.36"/>
    <x v="17"/>
    <x v="2"/>
    <x v="1"/>
    <x v="20"/>
    <x v="0"/>
    <x v="35"/>
    <x v="3"/>
    <n v="218.48"/>
    <x v="2"/>
    <x v="2"/>
    <x v="1270"/>
    <n v="23"/>
  </r>
  <r>
    <s v="SALE1273"/>
    <x v="359"/>
    <s v="CUST1279"/>
    <s v="PROD98"/>
    <s v="STORE8"/>
    <n v="3"/>
    <n v="992.81"/>
    <x v="13"/>
    <x v="1"/>
    <x v="1"/>
    <x v="31"/>
    <x v="3"/>
    <x v="24"/>
    <x v="1"/>
    <n v="431.67"/>
    <x v="1"/>
    <x v="2"/>
    <x v="1271"/>
    <n v="21"/>
  </r>
  <r>
    <s v="SALE1274"/>
    <x v="30"/>
    <s v="CUST1198"/>
    <s v="PROD60"/>
    <s v="STORE11"/>
    <n v="3"/>
    <n v="257.11"/>
    <x v="25"/>
    <x v="2"/>
    <x v="0"/>
    <x v="1"/>
    <x v="3"/>
    <x v="17"/>
    <x v="2"/>
    <n v="482.75"/>
    <x v="2"/>
    <x v="2"/>
    <x v="1272"/>
    <n v="54"/>
  </r>
  <r>
    <s v="SALE1275"/>
    <x v="603"/>
    <s v="CUST1220"/>
    <s v="PROD95"/>
    <s v="STORE12"/>
    <n v="4"/>
    <n v="816.29"/>
    <x v="24"/>
    <x v="1"/>
    <x v="1"/>
    <x v="43"/>
    <x v="3"/>
    <x v="98"/>
    <x v="0"/>
    <n v="60.65"/>
    <x v="0"/>
    <x v="2"/>
    <x v="1273"/>
    <n v="50"/>
  </r>
  <r>
    <s v="SALE1276"/>
    <x v="539"/>
    <s v="CUST1122"/>
    <s v="PROD60"/>
    <s v="STORE12"/>
    <n v="4"/>
    <n v="755.82"/>
    <x v="14"/>
    <x v="2"/>
    <x v="0"/>
    <x v="29"/>
    <x v="1"/>
    <x v="17"/>
    <x v="2"/>
    <n v="482.75"/>
    <x v="0"/>
    <x v="2"/>
    <x v="1274"/>
    <n v="50"/>
  </r>
  <r>
    <s v="SALE1277"/>
    <x v="414"/>
    <s v="CUST1003"/>
    <s v="PROD0"/>
    <s v="STORE14"/>
    <n v="1"/>
    <n v="449.6"/>
    <x v="10"/>
    <x v="1"/>
    <x v="1"/>
    <x v="31"/>
    <x v="3"/>
    <x v="90"/>
    <x v="1"/>
    <n v="112.42"/>
    <x v="2"/>
    <x v="0"/>
    <x v="1275"/>
    <n v="59"/>
  </r>
  <r>
    <s v="SALE1278"/>
    <x v="540"/>
    <s v="CUST1351"/>
    <s v="PROD14"/>
    <s v="STORE0"/>
    <n v="2"/>
    <n v="779.29"/>
    <x v="27"/>
    <x v="2"/>
    <x v="1"/>
    <x v="48"/>
    <x v="3"/>
    <x v="66"/>
    <x v="3"/>
    <n v="48.01"/>
    <x v="3"/>
    <x v="1"/>
    <x v="1276"/>
    <n v="25"/>
  </r>
  <r>
    <s v="SALE1279"/>
    <x v="157"/>
    <s v="CUST1464"/>
    <s v="PROD77"/>
    <s v="STORE17"/>
    <n v="1"/>
    <n v="748.75"/>
    <x v="30"/>
    <x v="2"/>
    <x v="1"/>
    <x v="7"/>
    <x v="1"/>
    <x v="25"/>
    <x v="1"/>
    <n v="480.9"/>
    <x v="0"/>
    <x v="1"/>
    <x v="1277"/>
    <n v="45"/>
  </r>
  <r>
    <s v="SALE1280"/>
    <x v="604"/>
    <s v="CUST1181"/>
    <s v="PROD89"/>
    <s v="STORE0"/>
    <n v="2"/>
    <n v="121.67"/>
    <x v="16"/>
    <x v="2"/>
    <x v="0"/>
    <x v="14"/>
    <x v="3"/>
    <x v="41"/>
    <x v="2"/>
    <n v="183.04"/>
    <x v="3"/>
    <x v="1"/>
    <x v="1278"/>
    <n v="60"/>
  </r>
  <r>
    <s v="SALE1281"/>
    <x v="605"/>
    <s v="CUST1492"/>
    <s v="PROD49"/>
    <s v="STORE15"/>
    <n v="3"/>
    <n v="225.14"/>
    <x v="6"/>
    <x v="2"/>
    <x v="1"/>
    <x v="26"/>
    <x v="1"/>
    <x v="2"/>
    <x v="2"/>
    <n v="43.29"/>
    <x v="0"/>
    <x v="1"/>
    <x v="1279"/>
    <n v="59"/>
  </r>
  <r>
    <s v="SALE1282"/>
    <x v="213"/>
    <s v="CUST1321"/>
    <s v="PROD29"/>
    <s v="STORE19"/>
    <n v="1"/>
    <n v="654.18"/>
    <x v="5"/>
    <x v="1"/>
    <x v="1"/>
    <x v="3"/>
    <x v="3"/>
    <x v="35"/>
    <x v="3"/>
    <n v="218.48"/>
    <x v="3"/>
    <x v="2"/>
    <x v="1280"/>
    <n v="21"/>
  </r>
  <r>
    <s v="SALE1283"/>
    <x v="25"/>
    <s v="CUST1058"/>
    <s v="PROD71"/>
    <s v="STORE5"/>
    <n v="2"/>
    <n v="504.98"/>
    <x v="16"/>
    <x v="2"/>
    <x v="0"/>
    <x v="33"/>
    <x v="1"/>
    <x v="51"/>
    <x v="2"/>
    <n v="214.32"/>
    <x v="0"/>
    <x v="0"/>
    <x v="1281"/>
    <n v="51"/>
  </r>
  <r>
    <s v="SALE1284"/>
    <x v="260"/>
    <s v="CUST1378"/>
    <s v="PROD54"/>
    <s v="STORE8"/>
    <n v="2"/>
    <n v="623.2"/>
    <x v="17"/>
    <x v="2"/>
    <x v="1"/>
    <x v="37"/>
    <x v="3"/>
    <x v="59"/>
    <x v="0"/>
    <n v="434.84"/>
    <x v="1"/>
    <x v="2"/>
    <x v="1282"/>
    <n v="44"/>
  </r>
  <r>
    <s v="SALE1285"/>
    <x v="587"/>
    <s v="CUST1325"/>
    <s v="PROD5"/>
    <s v="STORE16"/>
    <n v="2"/>
    <n v="530.54"/>
    <x v="23"/>
    <x v="2"/>
    <x v="0"/>
    <x v="18"/>
    <x v="3"/>
    <x v="23"/>
    <x v="4"/>
    <n v="261"/>
    <x v="1"/>
    <x v="1"/>
    <x v="1283"/>
    <n v="60"/>
  </r>
  <r>
    <s v="SALE1286"/>
    <x v="402"/>
    <s v="CUST1365"/>
    <s v="PROD0"/>
    <s v="STORE16"/>
    <n v="3"/>
    <n v="279.45"/>
    <x v="6"/>
    <x v="2"/>
    <x v="1"/>
    <x v="41"/>
    <x v="1"/>
    <x v="90"/>
    <x v="1"/>
    <n v="112.42"/>
    <x v="1"/>
    <x v="1"/>
    <x v="1284"/>
    <n v="63"/>
  </r>
  <r>
    <s v="SALE1287"/>
    <x v="606"/>
    <s v="CUST1266"/>
    <s v="PROD12"/>
    <s v="STORE8"/>
    <n v="3"/>
    <n v="906.99"/>
    <x v="25"/>
    <x v="2"/>
    <x v="1"/>
    <x v="27"/>
    <x v="3"/>
    <x v="21"/>
    <x v="2"/>
    <n v="115.82"/>
    <x v="1"/>
    <x v="2"/>
    <x v="1285"/>
    <n v="32"/>
  </r>
  <r>
    <s v="SALE1288"/>
    <x v="513"/>
    <s v="CUST1070"/>
    <s v="PROD80"/>
    <s v="STORE17"/>
    <n v="4"/>
    <n v="408.76"/>
    <x v="27"/>
    <x v="2"/>
    <x v="1"/>
    <x v="23"/>
    <x v="0"/>
    <x v="61"/>
    <x v="3"/>
    <n v="143.43"/>
    <x v="0"/>
    <x v="1"/>
    <x v="1286"/>
    <n v="29"/>
  </r>
  <r>
    <s v="SALE1289"/>
    <x v="607"/>
    <s v="CUST1177"/>
    <s v="PROD36"/>
    <s v="STORE9"/>
    <n v="2"/>
    <n v="117.34"/>
    <x v="0"/>
    <x v="1"/>
    <x v="0"/>
    <x v="27"/>
    <x v="1"/>
    <x v="14"/>
    <x v="4"/>
    <n v="223.43"/>
    <x v="2"/>
    <x v="1"/>
    <x v="1287"/>
    <n v="55"/>
  </r>
  <r>
    <s v="SALE1290"/>
    <x v="490"/>
    <s v="CUST1168"/>
    <s v="PROD91"/>
    <s v="STORE14"/>
    <n v="3"/>
    <n v="690.27"/>
    <x v="8"/>
    <x v="1"/>
    <x v="1"/>
    <x v="26"/>
    <x v="1"/>
    <x v="52"/>
    <x v="4"/>
    <n v="438.25"/>
    <x v="2"/>
    <x v="0"/>
    <x v="1288"/>
    <n v="36"/>
  </r>
  <r>
    <s v="SALE1291"/>
    <x v="326"/>
    <s v="CUST1108"/>
    <s v="PROD28"/>
    <s v="STORE17"/>
    <n v="4"/>
    <n v="377.18"/>
    <x v="24"/>
    <x v="1"/>
    <x v="0"/>
    <x v="21"/>
    <x v="3"/>
    <x v="77"/>
    <x v="0"/>
    <n v="38.76"/>
    <x v="0"/>
    <x v="1"/>
    <x v="1289"/>
    <n v="38"/>
  </r>
  <r>
    <s v="SALE1292"/>
    <x v="2"/>
    <s v="CUST1112"/>
    <s v="PROD40"/>
    <s v="STORE0"/>
    <n v="1"/>
    <n v="70.52"/>
    <x v="16"/>
    <x v="2"/>
    <x v="1"/>
    <x v="20"/>
    <x v="2"/>
    <x v="43"/>
    <x v="1"/>
    <n v="38.52"/>
    <x v="3"/>
    <x v="1"/>
    <x v="1290"/>
    <n v="27"/>
  </r>
  <r>
    <s v="SALE1293"/>
    <x v="97"/>
    <s v="CUST1275"/>
    <s v="PROD38"/>
    <s v="STORE9"/>
    <n v="1"/>
    <n v="40.25"/>
    <x v="30"/>
    <x v="1"/>
    <x v="0"/>
    <x v="27"/>
    <x v="0"/>
    <x v="48"/>
    <x v="0"/>
    <n v="135.61"/>
    <x v="2"/>
    <x v="1"/>
    <x v="1291"/>
    <n v="22"/>
  </r>
  <r>
    <s v="SALE1294"/>
    <x v="432"/>
    <s v="CUST1232"/>
    <s v="PROD89"/>
    <s v="STORE11"/>
    <n v="3"/>
    <n v="539.44"/>
    <x v="28"/>
    <x v="2"/>
    <x v="1"/>
    <x v="19"/>
    <x v="1"/>
    <x v="41"/>
    <x v="2"/>
    <n v="183.04"/>
    <x v="2"/>
    <x v="2"/>
    <x v="1292"/>
    <n v="27"/>
  </r>
  <r>
    <s v="SALE1295"/>
    <x v="154"/>
    <s v="CUST1247"/>
    <s v="PROD60"/>
    <s v="STORE4"/>
    <n v="3"/>
    <n v="543.49"/>
    <x v="28"/>
    <x v="1"/>
    <x v="0"/>
    <x v="21"/>
    <x v="1"/>
    <x v="17"/>
    <x v="2"/>
    <n v="482.75"/>
    <x v="2"/>
    <x v="2"/>
    <x v="1293"/>
    <n v="32"/>
  </r>
  <r>
    <s v="SALE1296"/>
    <x v="608"/>
    <s v="CUST1324"/>
    <s v="PROD7"/>
    <s v="STORE6"/>
    <n v="4"/>
    <n v="547.21"/>
    <x v="30"/>
    <x v="2"/>
    <x v="0"/>
    <x v="15"/>
    <x v="3"/>
    <x v="84"/>
    <x v="3"/>
    <n v="218.86"/>
    <x v="3"/>
    <x v="2"/>
    <x v="1294"/>
    <n v="58"/>
  </r>
  <r>
    <s v="SALE1297"/>
    <x v="500"/>
    <s v="CUST1241"/>
    <s v="PROD65"/>
    <s v="STORE1"/>
    <n v="2"/>
    <n v="892.46"/>
    <x v="8"/>
    <x v="1"/>
    <x v="0"/>
    <x v="45"/>
    <x v="1"/>
    <x v="15"/>
    <x v="0"/>
    <n v="240.63"/>
    <x v="0"/>
    <x v="1"/>
    <x v="1295"/>
    <n v="31"/>
  </r>
  <r>
    <s v="SALE1298"/>
    <x v="363"/>
    <s v="CUST1387"/>
    <s v="PROD26"/>
    <s v="STORE8"/>
    <n v="2"/>
    <n v="853.41"/>
    <x v="2"/>
    <x v="0"/>
    <x v="1"/>
    <x v="19"/>
    <x v="2"/>
    <x v="33"/>
    <x v="1"/>
    <n v="322.41"/>
    <x v="1"/>
    <x v="2"/>
    <x v="1296"/>
    <n v="28"/>
  </r>
  <r>
    <s v="SALE1299"/>
    <x v="470"/>
    <s v="CUST1110"/>
    <s v="PROD82"/>
    <s v="STORE7"/>
    <n v="1"/>
    <n v="162.14"/>
    <x v="8"/>
    <x v="1"/>
    <x v="1"/>
    <x v="33"/>
    <x v="0"/>
    <x v="74"/>
    <x v="0"/>
    <n v="152.92"/>
    <x v="2"/>
    <x v="2"/>
    <x v="1297"/>
    <n v="40"/>
  </r>
  <r>
    <s v="SALE1300"/>
    <x v="270"/>
    <s v="CUST1147"/>
    <s v="PROD96"/>
    <s v="STORE16"/>
    <n v="1"/>
    <n v="893.14"/>
    <x v="0"/>
    <x v="0"/>
    <x v="1"/>
    <x v="41"/>
    <x v="1"/>
    <x v="99"/>
    <x v="4"/>
    <n v="358.47"/>
    <x v="1"/>
    <x v="1"/>
    <x v="1298"/>
    <n v="49"/>
  </r>
  <r>
    <s v="SALE1301"/>
    <x v="12"/>
    <s v="CUST1103"/>
    <s v="PROD34"/>
    <s v="STORE8"/>
    <n v="4"/>
    <n v="349.07"/>
    <x v="23"/>
    <x v="0"/>
    <x v="0"/>
    <x v="40"/>
    <x v="3"/>
    <x v="13"/>
    <x v="1"/>
    <n v="419.28"/>
    <x v="1"/>
    <x v="2"/>
    <x v="1299"/>
    <n v="21"/>
  </r>
  <r>
    <s v="SALE1302"/>
    <x v="150"/>
    <s v="CUST1283"/>
    <s v="PROD81"/>
    <s v="STORE13"/>
    <n v="1"/>
    <n v="747.9"/>
    <x v="34"/>
    <x v="2"/>
    <x v="1"/>
    <x v="0"/>
    <x v="2"/>
    <x v="82"/>
    <x v="0"/>
    <n v="285.54"/>
    <x v="3"/>
    <x v="1"/>
    <x v="1300"/>
    <n v="54"/>
  </r>
  <r>
    <s v="SALE1303"/>
    <x v="270"/>
    <s v="CUST1031"/>
    <s v="PROD81"/>
    <s v="STORE6"/>
    <n v="3"/>
    <n v="438.92"/>
    <x v="34"/>
    <x v="0"/>
    <x v="0"/>
    <x v="47"/>
    <x v="2"/>
    <x v="82"/>
    <x v="0"/>
    <n v="285.54"/>
    <x v="3"/>
    <x v="2"/>
    <x v="1301"/>
    <n v="41"/>
  </r>
  <r>
    <s v="SALE1304"/>
    <x v="444"/>
    <s v="CUST1123"/>
    <s v="PROD77"/>
    <s v="STORE4"/>
    <n v="4"/>
    <n v="665.38"/>
    <x v="4"/>
    <x v="0"/>
    <x v="0"/>
    <x v="9"/>
    <x v="2"/>
    <x v="25"/>
    <x v="1"/>
    <n v="480.9"/>
    <x v="2"/>
    <x v="2"/>
    <x v="1302"/>
    <n v="40"/>
  </r>
  <r>
    <s v="SALE1305"/>
    <x v="78"/>
    <s v="CUST1003"/>
    <s v="PROD60"/>
    <s v="STORE18"/>
    <n v="1"/>
    <n v="146.49"/>
    <x v="23"/>
    <x v="0"/>
    <x v="1"/>
    <x v="31"/>
    <x v="3"/>
    <x v="17"/>
    <x v="2"/>
    <n v="482.75"/>
    <x v="3"/>
    <x v="1"/>
    <x v="1303"/>
    <n v="59"/>
  </r>
  <r>
    <s v="SALE1306"/>
    <x v="367"/>
    <s v="CUST1139"/>
    <s v="PROD38"/>
    <s v="STORE15"/>
    <n v="2"/>
    <n v="235.39"/>
    <x v="1"/>
    <x v="2"/>
    <x v="0"/>
    <x v="39"/>
    <x v="3"/>
    <x v="48"/>
    <x v="0"/>
    <n v="135.61"/>
    <x v="0"/>
    <x v="1"/>
    <x v="1304"/>
    <n v="32"/>
  </r>
  <r>
    <s v="SALE1307"/>
    <x v="609"/>
    <s v="CUST1028"/>
    <s v="PROD61"/>
    <s v="STORE5"/>
    <n v="3"/>
    <n v="38.07"/>
    <x v="0"/>
    <x v="1"/>
    <x v="1"/>
    <x v="19"/>
    <x v="1"/>
    <x v="86"/>
    <x v="0"/>
    <n v="103.45"/>
    <x v="0"/>
    <x v="0"/>
    <x v="1305"/>
    <n v="27"/>
  </r>
  <r>
    <s v="SALE1308"/>
    <x v="465"/>
    <s v="CUST1403"/>
    <s v="PROD34"/>
    <s v="STORE4"/>
    <n v="2"/>
    <n v="511.7"/>
    <x v="27"/>
    <x v="2"/>
    <x v="0"/>
    <x v="38"/>
    <x v="3"/>
    <x v="13"/>
    <x v="1"/>
    <n v="419.28"/>
    <x v="2"/>
    <x v="2"/>
    <x v="1306"/>
    <n v="34"/>
  </r>
  <r>
    <s v="SALE1309"/>
    <x v="410"/>
    <s v="CUST1092"/>
    <s v="PROD75"/>
    <s v="STORE8"/>
    <n v="4"/>
    <n v="488.72"/>
    <x v="7"/>
    <x v="1"/>
    <x v="1"/>
    <x v="3"/>
    <x v="1"/>
    <x v="28"/>
    <x v="4"/>
    <n v="158.14"/>
    <x v="1"/>
    <x v="2"/>
    <x v="1307"/>
    <n v="44"/>
  </r>
  <r>
    <s v="SALE1310"/>
    <x v="216"/>
    <s v="CUST1391"/>
    <s v="PROD50"/>
    <s v="STORE12"/>
    <n v="2"/>
    <n v="520.45"/>
    <x v="32"/>
    <x v="2"/>
    <x v="1"/>
    <x v="47"/>
    <x v="3"/>
    <x v="57"/>
    <x v="0"/>
    <n v="190.29"/>
    <x v="0"/>
    <x v="2"/>
    <x v="1308"/>
    <n v="40"/>
  </r>
  <r>
    <s v="SALE1311"/>
    <x v="490"/>
    <s v="CUST1432"/>
    <s v="PROD48"/>
    <s v="STORE5"/>
    <n v="1"/>
    <n v="340.9"/>
    <x v="12"/>
    <x v="0"/>
    <x v="0"/>
    <x v="19"/>
    <x v="3"/>
    <x v="70"/>
    <x v="1"/>
    <n v="177.98"/>
    <x v="0"/>
    <x v="0"/>
    <x v="1309"/>
    <n v="37"/>
  </r>
  <r>
    <s v="SALE1312"/>
    <x v="311"/>
    <s v="CUST1346"/>
    <s v="PROD31"/>
    <s v="STORE8"/>
    <n v="3"/>
    <n v="653.59"/>
    <x v="9"/>
    <x v="2"/>
    <x v="1"/>
    <x v="3"/>
    <x v="1"/>
    <x v="45"/>
    <x v="0"/>
    <n v="204.39"/>
    <x v="1"/>
    <x v="2"/>
    <x v="1310"/>
    <n v="58"/>
  </r>
  <r>
    <s v="SALE1313"/>
    <x v="332"/>
    <s v="CUST1021"/>
    <s v="PROD26"/>
    <s v="STORE18"/>
    <n v="1"/>
    <n v="179.77"/>
    <x v="7"/>
    <x v="2"/>
    <x v="1"/>
    <x v="15"/>
    <x v="0"/>
    <x v="33"/>
    <x v="1"/>
    <n v="322.41"/>
    <x v="3"/>
    <x v="1"/>
    <x v="1311"/>
    <n v="36"/>
  </r>
  <r>
    <s v="SALE1314"/>
    <x v="91"/>
    <s v="CUST1008"/>
    <s v="PROD0"/>
    <s v="STORE9"/>
    <n v="2"/>
    <n v="943.8"/>
    <x v="22"/>
    <x v="0"/>
    <x v="1"/>
    <x v="21"/>
    <x v="0"/>
    <x v="90"/>
    <x v="1"/>
    <n v="112.42"/>
    <x v="2"/>
    <x v="1"/>
    <x v="1312"/>
    <n v="53"/>
  </r>
  <r>
    <s v="SALE1315"/>
    <x v="610"/>
    <s v="CUST1409"/>
    <s v="PROD71"/>
    <s v="STORE15"/>
    <n v="2"/>
    <n v="985"/>
    <x v="2"/>
    <x v="0"/>
    <x v="0"/>
    <x v="0"/>
    <x v="0"/>
    <x v="51"/>
    <x v="2"/>
    <n v="214.32"/>
    <x v="0"/>
    <x v="1"/>
    <x v="1313"/>
    <n v="55"/>
  </r>
  <r>
    <s v="SALE1316"/>
    <x v="111"/>
    <s v="CUST1485"/>
    <s v="PROD88"/>
    <s v="STORE10"/>
    <n v="4"/>
    <n v="216.81"/>
    <x v="12"/>
    <x v="0"/>
    <x v="1"/>
    <x v="45"/>
    <x v="3"/>
    <x v="12"/>
    <x v="0"/>
    <n v="131.24"/>
    <x v="3"/>
    <x v="2"/>
    <x v="1314"/>
    <n v="46"/>
  </r>
  <r>
    <s v="SALE1317"/>
    <x v="389"/>
    <s v="CUST1117"/>
    <s v="PROD64"/>
    <s v="STORE2"/>
    <n v="4"/>
    <n v="950.21"/>
    <x v="1"/>
    <x v="2"/>
    <x v="1"/>
    <x v="7"/>
    <x v="1"/>
    <x v="91"/>
    <x v="2"/>
    <n v="299.11"/>
    <x v="2"/>
    <x v="0"/>
    <x v="1315"/>
    <n v="21"/>
  </r>
  <r>
    <s v="SALE1318"/>
    <x v="611"/>
    <s v="CUST1256"/>
    <s v="PROD48"/>
    <s v="STORE7"/>
    <n v="2"/>
    <n v="271.4"/>
    <x v="9"/>
    <x v="1"/>
    <x v="0"/>
    <x v="13"/>
    <x v="1"/>
    <x v="70"/>
    <x v="1"/>
    <n v="177.98"/>
    <x v="2"/>
    <x v="2"/>
    <x v="1316"/>
    <n v="57"/>
  </r>
  <r>
    <s v="SALE1319"/>
    <x v="144"/>
    <s v="CUST1168"/>
    <s v="PROD39"/>
    <s v="STORE8"/>
    <n v="4"/>
    <n v="708.19"/>
    <x v="30"/>
    <x v="1"/>
    <x v="1"/>
    <x v="26"/>
    <x v="1"/>
    <x v="11"/>
    <x v="1"/>
    <n v="326.06"/>
    <x v="1"/>
    <x v="2"/>
    <x v="1317"/>
    <n v="36"/>
  </r>
  <r>
    <s v="SALE1320"/>
    <x v="612"/>
    <s v="CUST1444"/>
    <s v="PROD54"/>
    <s v="STORE3"/>
    <n v="3"/>
    <n v="477.05"/>
    <x v="28"/>
    <x v="1"/>
    <x v="0"/>
    <x v="0"/>
    <x v="0"/>
    <x v="59"/>
    <x v="0"/>
    <n v="434.84"/>
    <x v="0"/>
    <x v="0"/>
    <x v="1318"/>
    <n v="19"/>
  </r>
  <r>
    <s v="SALE1321"/>
    <x v="613"/>
    <s v="CUST1307"/>
    <s v="PROD74"/>
    <s v="STORE9"/>
    <n v="3"/>
    <n v="627.29"/>
    <x v="1"/>
    <x v="2"/>
    <x v="1"/>
    <x v="4"/>
    <x v="3"/>
    <x v="1"/>
    <x v="1"/>
    <n v="403.71"/>
    <x v="2"/>
    <x v="1"/>
    <x v="1319"/>
    <n v="56"/>
  </r>
  <r>
    <s v="SALE1322"/>
    <x v="10"/>
    <s v="CUST1304"/>
    <s v="PROD94"/>
    <s v="STORE11"/>
    <n v="3"/>
    <n v="206.84"/>
    <x v="5"/>
    <x v="1"/>
    <x v="0"/>
    <x v="32"/>
    <x v="2"/>
    <x v="32"/>
    <x v="2"/>
    <n v="358.47"/>
    <x v="2"/>
    <x v="2"/>
    <x v="1320"/>
    <n v="41"/>
  </r>
  <r>
    <s v="SALE1323"/>
    <x v="288"/>
    <s v="CUST1251"/>
    <s v="PROD30"/>
    <s v="STORE1"/>
    <n v="4"/>
    <n v="629.05"/>
    <x v="25"/>
    <x v="0"/>
    <x v="0"/>
    <x v="4"/>
    <x v="2"/>
    <x v="37"/>
    <x v="3"/>
    <n v="19.52"/>
    <x v="0"/>
    <x v="1"/>
    <x v="1321"/>
    <n v="64"/>
  </r>
  <r>
    <s v="SALE1324"/>
    <x v="525"/>
    <s v="CUST1438"/>
    <s v="PROD74"/>
    <s v="STORE17"/>
    <n v="4"/>
    <n v="529.04"/>
    <x v="30"/>
    <x v="1"/>
    <x v="1"/>
    <x v="3"/>
    <x v="1"/>
    <x v="1"/>
    <x v="1"/>
    <n v="403.71"/>
    <x v="0"/>
    <x v="1"/>
    <x v="1322"/>
    <n v="59"/>
  </r>
  <r>
    <s v="SALE1325"/>
    <x v="387"/>
    <s v="CUST1349"/>
    <s v="PROD30"/>
    <s v="STORE17"/>
    <n v="1"/>
    <n v="350.67"/>
    <x v="14"/>
    <x v="1"/>
    <x v="0"/>
    <x v="41"/>
    <x v="3"/>
    <x v="37"/>
    <x v="3"/>
    <n v="19.52"/>
    <x v="0"/>
    <x v="1"/>
    <x v="1323"/>
    <n v="31"/>
  </r>
  <r>
    <s v="SALE1326"/>
    <x v="614"/>
    <s v="CUST1371"/>
    <s v="PROD95"/>
    <s v="STORE1"/>
    <n v="1"/>
    <n v="128.93"/>
    <x v="25"/>
    <x v="0"/>
    <x v="1"/>
    <x v="21"/>
    <x v="1"/>
    <x v="98"/>
    <x v="0"/>
    <n v="60.65"/>
    <x v="0"/>
    <x v="1"/>
    <x v="1324"/>
    <n v="21"/>
  </r>
  <r>
    <s v="SALE1327"/>
    <x v="128"/>
    <s v="CUST1145"/>
    <s v="PROD86"/>
    <s v="STORE15"/>
    <n v="2"/>
    <n v="384.92"/>
    <x v="0"/>
    <x v="0"/>
    <x v="0"/>
    <x v="30"/>
    <x v="1"/>
    <x v="56"/>
    <x v="3"/>
    <n v="176.07"/>
    <x v="0"/>
    <x v="1"/>
    <x v="1325"/>
    <n v="46"/>
  </r>
  <r>
    <s v="SALE1328"/>
    <x v="76"/>
    <s v="CUST1334"/>
    <s v="PROD5"/>
    <s v="STORE8"/>
    <n v="3"/>
    <n v="120.77"/>
    <x v="12"/>
    <x v="1"/>
    <x v="1"/>
    <x v="40"/>
    <x v="2"/>
    <x v="23"/>
    <x v="4"/>
    <n v="261"/>
    <x v="1"/>
    <x v="2"/>
    <x v="1326"/>
    <n v="50"/>
  </r>
  <r>
    <s v="SALE1329"/>
    <x v="317"/>
    <s v="CUST1222"/>
    <s v="PROD76"/>
    <s v="STORE17"/>
    <n v="4"/>
    <n v="661.39"/>
    <x v="8"/>
    <x v="0"/>
    <x v="0"/>
    <x v="23"/>
    <x v="1"/>
    <x v="3"/>
    <x v="1"/>
    <n v="392.89"/>
    <x v="0"/>
    <x v="1"/>
    <x v="1327"/>
    <n v="35"/>
  </r>
  <r>
    <s v="SALE1330"/>
    <x v="615"/>
    <s v="CUST1449"/>
    <s v="PROD62"/>
    <s v="STORE2"/>
    <n v="1"/>
    <n v="195.24"/>
    <x v="1"/>
    <x v="1"/>
    <x v="0"/>
    <x v="31"/>
    <x v="3"/>
    <x v="85"/>
    <x v="1"/>
    <n v="86.42"/>
    <x v="2"/>
    <x v="0"/>
    <x v="1328"/>
    <n v="29"/>
  </r>
  <r>
    <s v="SALE1331"/>
    <x v="305"/>
    <s v="CUST1004"/>
    <s v="PROD92"/>
    <s v="STORE18"/>
    <n v="2"/>
    <n v="177.4"/>
    <x v="5"/>
    <x v="1"/>
    <x v="1"/>
    <x v="24"/>
    <x v="2"/>
    <x v="80"/>
    <x v="3"/>
    <n v="447.43"/>
    <x v="3"/>
    <x v="1"/>
    <x v="1329"/>
    <n v="64"/>
  </r>
  <r>
    <s v="SALE1332"/>
    <x v="435"/>
    <s v="CUST1057"/>
    <s v="PROD98"/>
    <s v="STORE11"/>
    <n v="4"/>
    <n v="862.67"/>
    <x v="29"/>
    <x v="1"/>
    <x v="1"/>
    <x v="5"/>
    <x v="1"/>
    <x v="24"/>
    <x v="1"/>
    <n v="431.67"/>
    <x v="2"/>
    <x v="2"/>
    <x v="1330"/>
    <n v="43"/>
  </r>
  <r>
    <s v="SALE1333"/>
    <x v="338"/>
    <s v="CUST1444"/>
    <s v="PROD17"/>
    <s v="STORE6"/>
    <n v="1"/>
    <n v="55.04"/>
    <x v="10"/>
    <x v="2"/>
    <x v="0"/>
    <x v="0"/>
    <x v="0"/>
    <x v="53"/>
    <x v="0"/>
    <n v="144.53"/>
    <x v="3"/>
    <x v="2"/>
    <x v="1331"/>
    <n v="19"/>
  </r>
  <r>
    <s v="SALE1334"/>
    <x v="175"/>
    <s v="CUST1049"/>
    <s v="PROD45"/>
    <s v="STORE0"/>
    <n v="2"/>
    <n v="905.47"/>
    <x v="29"/>
    <x v="2"/>
    <x v="1"/>
    <x v="31"/>
    <x v="0"/>
    <x v="49"/>
    <x v="0"/>
    <n v="318.91"/>
    <x v="3"/>
    <x v="1"/>
    <x v="1332"/>
    <n v="45"/>
  </r>
  <r>
    <s v="SALE1335"/>
    <x v="401"/>
    <s v="CUST1461"/>
    <s v="PROD63"/>
    <s v="STORE13"/>
    <n v="3"/>
    <n v="217.13"/>
    <x v="23"/>
    <x v="0"/>
    <x v="1"/>
    <x v="32"/>
    <x v="2"/>
    <x v="81"/>
    <x v="2"/>
    <n v="266.86"/>
    <x v="3"/>
    <x v="1"/>
    <x v="1333"/>
    <n v="60"/>
  </r>
  <r>
    <s v="SALE1336"/>
    <x v="494"/>
    <s v="CUST1389"/>
    <s v="PROD75"/>
    <s v="STORE0"/>
    <n v="3"/>
    <n v="580.45"/>
    <x v="33"/>
    <x v="1"/>
    <x v="0"/>
    <x v="48"/>
    <x v="1"/>
    <x v="28"/>
    <x v="4"/>
    <n v="158.14"/>
    <x v="3"/>
    <x v="1"/>
    <x v="1334"/>
    <n v="50"/>
  </r>
  <r>
    <s v="SALE1337"/>
    <x v="58"/>
    <s v="CUST1103"/>
    <s v="PROD4"/>
    <s v="STORE17"/>
    <n v="2"/>
    <n v="892.88"/>
    <x v="9"/>
    <x v="1"/>
    <x v="0"/>
    <x v="40"/>
    <x v="3"/>
    <x v="83"/>
    <x v="4"/>
    <n v="306.46"/>
    <x v="0"/>
    <x v="1"/>
    <x v="1335"/>
    <n v="21"/>
  </r>
  <r>
    <s v="SALE1338"/>
    <x v="494"/>
    <s v="CUST1091"/>
    <s v="PROD40"/>
    <s v="STORE18"/>
    <n v="2"/>
    <n v="356.28"/>
    <x v="32"/>
    <x v="2"/>
    <x v="1"/>
    <x v="28"/>
    <x v="2"/>
    <x v="43"/>
    <x v="1"/>
    <n v="38.52"/>
    <x v="3"/>
    <x v="1"/>
    <x v="1336"/>
    <n v="29"/>
  </r>
  <r>
    <s v="SALE1339"/>
    <x v="275"/>
    <s v="CUST1384"/>
    <s v="PROD80"/>
    <s v="STORE2"/>
    <n v="4"/>
    <n v="806.99"/>
    <x v="22"/>
    <x v="0"/>
    <x v="1"/>
    <x v="9"/>
    <x v="3"/>
    <x v="61"/>
    <x v="3"/>
    <n v="143.43"/>
    <x v="2"/>
    <x v="0"/>
    <x v="1337"/>
    <n v="52"/>
  </r>
  <r>
    <s v="SALE1340"/>
    <x v="375"/>
    <s v="CUST1439"/>
    <s v="PROD20"/>
    <s v="STORE1"/>
    <n v="3"/>
    <n v="684.22"/>
    <x v="0"/>
    <x v="0"/>
    <x v="0"/>
    <x v="20"/>
    <x v="2"/>
    <x v="42"/>
    <x v="0"/>
    <n v="131.51"/>
    <x v="0"/>
    <x v="1"/>
    <x v="1338"/>
    <n v="53"/>
  </r>
  <r>
    <s v="SALE1341"/>
    <x v="315"/>
    <s v="CUST1443"/>
    <s v="PROD93"/>
    <s v="STORE7"/>
    <n v="4"/>
    <n v="763.34"/>
    <x v="8"/>
    <x v="1"/>
    <x v="0"/>
    <x v="11"/>
    <x v="2"/>
    <x v="47"/>
    <x v="1"/>
    <n v="377.52"/>
    <x v="2"/>
    <x v="2"/>
    <x v="1339"/>
    <n v="51"/>
  </r>
  <r>
    <s v="SALE1342"/>
    <x v="102"/>
    <s v="CUST1361"/>
    <s v="PROD50"/>
    <s v="STORE3"/>
    <n v="3"/>
    <n v="721.94"/>
    <x v="25"/>
    <x v="0"/>
    <x v="0"/>
    <x v="30"/>
    <x v="1"/>
    <x v="57"/>
    <x v="0"/>
    <n v="190.29"/>
    <x v="0"/>
    <x v="0"/>
    <x v="1340"/>
    <n v="64"/>
  </r>
  <r>
    <s v="SALE1343"/>
    <x v="100"/>
    <s v="CUST1406"/>
    <s v="PROD97"/>
    <s v="STORE1"/>
    <n v="3"/>
    <n v="760.38"/>
    <x v="33"/>
    <x v="2"/>
    <x v="1"/>
    <x v="18"/>
    <x v="0"/>
    <x v="0"/>
    <x v="0"/>
    <n v="245.98"/>
    <x v="0"/>
    <x v="1"/>
    <x v="1341"/>
    <n v="23"/>
  </r>
  <r>
    <s v="SALE1344"/>
    <x v="369"/>
    <s v="CUST1298"/>
    <s v="PROD97"/>
    <s v="STORE6"/>
    <n v="3"/>
    <n v="612.53"/>
    <x v="34"/>
    <x v="2"/>
    <x v="0"/>
    <x v="17"/>
    <x v="1"/>
    <x v="0"/>
    <x v="0"/>
    <n v="245.98"/>
    <x v="3"/>
    <x v="2"/>
    <x v="1342"/>
    <n v="64"/>
  </r>
  <r>
    <s v="SALE1345"/>
    <x v="128"/>
    <s v="CUST1041"/>
    <s v="PROD63"/>
    <s v="STORE16"/>
    <n v="3"/>
    <n v="841.37"/>
    <x v="12"/>
    <x v="1"/>
    <x v="0"/>
    <x v="41"/>
    <x v="1"/>
    <x v="81"/>
    <x v="2"/>
    <n v="266.86"/>
    <x v="1"/>
    <x v="1"/>
    <x v="1343"/>
    <n v="21"/>
  </r>
  <r>
    <s v="SALE1346"/>
    <x v="394"/>
    <s v="CUST1261"/>
    <s v="PROD48"/>
    <s v="STORE9"/>
    <n v="2"/>
    <n v="636.51"/>
    <x v="2"/>
    <x v="0"/>
    <x v="1"/>
    <x v="47"/>
    <x v="2"/>
    <x v="70"/>
    <x v="1"/>
    <n v="177.98"/>
    <x v="2"/>
    <x v="1"/>
    <x v="1344"/>
    <n v="27"/>
  </r>
  <r>
    <s v="SALE1347"/>
    <x v="616"/>
    <s v="CUST1091"/>
    <s v="PROD45"/>
    <s v="STORE8"/>
    <n v="2"/>
    <n v="732.37"/>
    <x v="14"/>
    <x v="2"/>
    <x v="1"/>
    <x v="28"/>
    <x v="2"/>
    <x v="49"/>
    <x v="0"/>
    <n v="318.91"/>
    <x v="1"/>
    <x v="2"/>
    <x v="951"/>
    <n v="29"/>
  </r>
  <r>
    <s v="SALE1348"/>
    <x v="61"/>
    <s v="CUST1164"/>
    <s v="PROD54"/>
    <s v="STORE16"/>
    <n v="3"/>
    <n v="183.44"/>
    <x v="23"/>
    <x v="2"/>
    <x v="1"/>
    <x v="36"/>
    <x v="2"/>
    <x v="59"/>
    <x v="0"/>
    <n v="434.84"/>
    <x v="1"/>
    <x v="1"/>
    <x v="1346"/>
    <n v="39"/>
  </r>
  <r>
    <s v="SALE1349"/>
    <x v="297"/>
    <s v="CUST1065"/>
    <s v="PROD11"/>
    <s v="STORE13"/>
    <n v="4"/>
    <n v="898.58"/>
    <x v="3"/>
    <x v="1"/>
    <x v="1"/>
    <x v="8"/>
    <x v="2"/>
    <x v="75"/>
    <x v="1"/>
    <n v="449.4"/>
    <x v="3"/>
    <x v="1"/>
    <x v="1347"/>
    <n v="21"/>
  </r>
  <r>
    <s v="SALE1350"/>
    <x v="617"/>
    <s v="CUST1390"/>
    <s v="PROD23"/>
    <s v="STORE2"/>
    <n v="3"/>
    <n v="152.41"/>
    <x v="2"/>
    <x v="0"/>
    <x v="0"/>
    <x v="13"/>
    <x v="2"/>
    <x v="34"/>
    <x v="4"/>
    <n v="248.821917808219"/>
    <x v="2"/>
    <x v="0"/>
    <x v="1348"/>
    <n v="56"/>
  </r>
  <r>
    <s v="SALE1351"/>
    <x v="618"/>
    <s v="CUST1223"/>
    <s v="PROD92"/>
    <s v="STORE14"/>
    <n v="3"/>
    <n v="972.58"/>
    <x v="23"/>
    <x v="2"/>
    <x v="0"/>
    <x v="9"/>
    <x v="1"/>
    <x v="80"/>
    <x v="3"/>
    <n v="447.43"/>
    <x v="2"/>
    <x v="0"/>
    <x v="1349"/>
    <n v="50"/>
  </r>
  <r>
    <s v="SALE1352"/>
    <x v="157"/>
    <s v="CUST1466"/>
    <s v="PROD69"/>
    <s v="STORE11"/>
    <n v="4"/>
    <n v="136.4"/>
    <x v="13"/>
    <x v="2"/>
    <x v="0"/>
    <x v="46"/>
    <x v="2"/>
    <x v="20"/>
    <x v="4"/>
    <n v="218.22"/>
    <x v="2"/>
    <x v="2"/>
    <x v="1350"/>
    <n v="18"/>
  </r>
  <r>
    <s v="SALE1353"/>
    <x v="51"/>
    <s v="CUST1400"/>
    <s v="PROD94"/>
    <s v="STORE15"/>
    <n v="1"/>
    <n v="509.63"/>
    <x v="1"/>
    <x v="2"/>
    <x v="1"/>
    <x v="15"/>
    <x v="1"/>
    <x v="32"/>
    <x v="2"/>
    <n v="358.47"/>
    <x v="0"/>
    <x v="1"/>
    <x v="1351"/>
    <n v="57"/>
  </r>
  <r>
    <s v="SALE1354"/>
    <x v="316"/>
    <s v="CUST1003"/>
    <s v="PROD97"/>
    <s v="STORE3"/>
    <n v="4"/>
    <n v="360.28"/>
    <x v="0"/>
    <x v="2"/>
    <x v="1"/>
    <x v="31"/>
    <x v="3"/>
    <x v="0"/>
    <x v="0"/>
    <n v="245.98"/>
    <x v="0"/>
    <x v="0"/>
    <x v="1352"/>
    <n v="59"/>
  </r>
  <r>
    <s v="SALE1355"/>
    <x v="126"/>
    <s v="CUST1080"/>
    <s v="PROD89"/>
    <s v="STORE15"/>
    <n v="3"/>
    <n v="882.05"/>
    <x v="22"/>
    <x v="1"/>
    <x v="1"/>
    <x v="23"/>
    <x v="3"/>
    <x v="41"/>
    <x v="2"/>
    <n v="183.04"/>
    <x v="0"/>
    <x v="1"/>
    <x v="1353"/>
    <n v="61"/>
  </r>
  <r>
    <s v="SALE1356"/>
    <x v="290"/>
    <s v="CUST1195"/>
    <s v="PROD79"/>
    <s v="STORE8"/>
    <n v="3"/>
    <n v="141.54"/>
    <x v="27"/>
    <x v="1"/>
    <x v="0"/>
    <x v="28"/>
    <x v="2"/>
    <x v="29"/>
    <x v="3"/>
    <n v="228.53"/>
    <x v="1"/>
    <x v="2"/>
    <x v="1354"/>
    <n v="60"/>
  </r>
  <r>
    <s v="SALE1357"/>
    <x v="552"/>
    <s v="CUST1043"/>
    <s v="PROD15"/>
    <s v="STORE4"/>
    <n v="3"/>
    <n v="83.5"/>
    <x v="7"/>
    <x v="2"/>
    <x v="0"/>
    <x v="1"/>
    <x v="0"/>
    <x v="5"/>
    <x v="1"/>
    <n v="465.34"/>
    <x v="2"/>
    <x v="2"/>
    <x v="1355"/>
    <n v="45"/>
  </r>
  <r>
    <s v="SALE1358"/>
    <x v="619"/>
    <s v="CUST1123"/>
    <s v="PROD14"/>
    <s v="STORE6"/>
    <n v="2"/>
    <n v="629.73"/>
    <x v="8"/>
    <x v="1"/>
    <x v="0"/>
    <x v="9"/>
    <x v="2"/>
    <x v="66"/>
    <x v="3"/>
    <n v="48.01"/>
    <x v="3"/>
    <x v="2"/>
    <x v="1356"/>
    <n v="40"/>
  </r>
  <r>
    <s v="SALE1359"/>
    <x v="541"/>
    <s v="CUST1012"/>
    <s v="PROD33"/>
    <s v="STORE6"/>
    <n v="2"/>
    <n v="159.93"/>
    <x v="29"/>
    <x v="2"/>
    <x v="1"/>
    <x v="32"/>
    <x v="1"/>
    <x v="9"/>
    <x v="3"/>
    <n v="179.77"/>
    <x v="3"/>
    <x v="2"/>
    <x v="1357"/>
    <n v="55"/>
  </r>
  <r>
    <s v="SALE1360"/>
    <x v="620"/>
    <s v="CUST1012"/>
    <s v="PROD45"/>
    <s v="STORE18"/>
    <n v="1"/>
    <n v="459.89"/>
    <x v="4"/>
    <x v="2"/>
    <x v="1"/>
    <x v="32"/>
    <x v="1"/>
    <x v="49"/>
    <x v="0"/>
    <n v="318.91"/>
    <x v="3"/>
    <x v="1"/>
    <x v="1358"/>
    <n v="55"/>
  </r>
  <r>
    <s v="SALE1361"/>
    <x v="486"/>
    <s v="CUST1188"/>
    <s v="PROD33"/>
    <s v="STORE19"/>
    <n v="4"/>
    <n v="885.57"/>
    <x v="1"/>
    <x v="0"/>
    <x v="0"/>
    <x v="23"/>
    <x v="2"/>
    <x v="9"/>
    <x v="3"/>
    <n v="179.77"/>
    <x v="3"/>
    <x v="2"/>
    <x v="1359"/>
    <n v="42"/>
  </r>
  <r>
    <s v="SALE1362"/>
    <x v="146"/>
    <s v="CUST1402"/>
    <s v="PROD54"/>
    <s v="STORE15"/>
    <n v="3"/>
    <n v="789.05"/>
    <x v="33"/>
    <x v="1"/>
    <x v="0"/>
    <x v="25"/>
    <x v="3"/>
    <x v="59"/>
    <x v="0"/>
    <n v="434.84"/>
    <x v="0"/>
    <x v="1"/>
    <x v="1360"/>
    <n v="31"/>
  </r>
  <r>
    <s v="SALE1363"/>
    <x v="313"/>
    <s v="CUST1154"/>
    <s v="PROD66"/>
    <s v="STORE0"/>
    <n v="1"/>
    <n v="570.52"/>
    <x v="33"/>
    <x v="1"/>
    <x v="1"/>
    <x v="1"/>
    <x v="0"/>
    <x v="73"/>
    <x v="2"/>
    <n v="340.39"/>
    <x v="3"/>
    <x v="1"/>
    <x v="1361"/>
    <n v="35"/>
  </r>
  <r>
    <s v="SALE1364"/>
    <x v="302"/>
    <s v="CUST1179"/>
    <s v="PROD27"/>
    <s v="STORE16"/>
    <n v="4"/>
    <n v="310.79"/>
    <x v="14"/>
    <x v="2"/>
    <x v="1"/>
    <x v="39"/>
    <x v="2"/>
    <x v="16"/>
    <x v="3"/>
    <n v="250.021571428571"/>
    <x v="1"/>
    <x v="1"/>
    <x v="1362"/>
    <n v="43"/>
  </r>
  <r>
    <s v="SALE1365"/>
    <x v="234"/>
    <s v="CUST1057"/>
    <s v="PROD68"/>
    <s v="STORE17"/>
    <n v="4"/>
    <n v="255.67"/>
    <x v="9"/>
    <x v="0"/>
    <x v="1"/>
    <x v="5"/>
    <x v="1"/>
    <x v="88"/>
    <x v="3"/>
    <n v="243.7"/>
    <x v="0"/>
    <x v="1"/>
    <x v="1363"/>
    <n v="43"/>
  </r>
  <r>
    <s v="SALE1366"/>
    <x v="433"/>
    <s v="CUST1129"/>
    <s v="PROD27"/>
    <s v="STORE16"/>
    <n v="2"/>
    <n v="270.66"/>
    <x v="30"/>
    <x v="2"/>
    <x v="1"/>
    <x v="34"/>
    <x v="2"/>
    <x v="16"/>
    <x v="3"/>
    <n v="250.021571428571"/>
    <x v="1"/>
    <x v="1"/>
    <x v="1364"/>
    <n v="43"/>
  </r>
  <r>
    <s v="SALE1367"/>
    <x v="62"/>
    <s v="CUST1299"/>
    <s v="PROD23"/>
    <s v="STORE17"/>
    <n v="3"/>
    <n v="373.35"/>
    <x v="29"/>
    <x v="2"/>
    <x v="1"/>
    <x v="38"/>
    <x v="1"/>
    <x v="34"/>
    <x v="4"/>
    <n v="248.821917808219"/>
    <x v="0"/>
    <x v="1"/>
    <x v="1365"/>
    <n v="48"/>
  </r>
  <r>
    <s v="SALE1368"/>
    <x v="542"/>
    <s v="CUST1036"/>
    <s v="PROD59"/>
    <s v="STORE11"/>
    <n v="2"/>
    <n v="23.58"/>
    <x v="31"/>
    <x v="1"/>
    <x v="1"/>
    <x v="36"/>
    <x v="0"/>
    <x v="4"/>
    <x v="2"/>
    <n v="17.31"/>
    <x v="2"/>
    <x v="2"/>
    <x v="1366"/>
    <n v="20"/>
  </r>
  <r>
    <s v="SALE1369"/>
    <x v="104"/>
    <s v="CUST1005"/>
    <s v="PROD35"/>
    <s v="STORE7"/>
    <n v="4"/>
    <n v="185.67"/>
    <x v="34"/>
    <x v="1"/>
    <x v="0"/>
    <x v="47"/>
    <x v="3"/>
    <x v="68"/>
    <x v="3"/>
    <n v="382.22"/>
    <x v="2"/>
    <x v="2"/>
    <x v="1367"/>
    <n v="24"/>
  </r>
  <r>
    <s v="SALE1370"/>
    <x v="523"/>
    <s v="CUST1120"/>
    <s v="PROD18"/>
    <s v="STORE13"/>
    <n v="3"/>
    <n v="928.74"/>
    <x v="1"/>
    <x v="1"/>
    <x v="1"/>
    <x v="2"/>
    <x v="1"/>
    <x v="97"/>
    <x v="4"/>
    <n v="245.778311688312"/>
    <x v="3"/>
    <x v="1"/>
    <x v="1368"/>
    <n v="44"/>
  </r>
  <r>
    <s v="SALE1371"/>
    <x v="163"/>
    <s v="CUST1029"/>
    <s v="PROD84"/>
    <s v="STORE5"/>
    <n v="3"/>
    <n v="923.38"/>
    <x v="8"/>
    <x v="2"/>
    <x v="1"/>
    <x v="24"/>
    <x v="2"/>
    <x v="94"/>
    <x v="3"/>
    <n v="388.46"/>
    <x v="0"/>
    <x v="0"/>
    <x v="1369"/>
    <n v="54"/>
  </r>
  <r>
    <s v="SALE1372"/>
    <x v="5"/>
    <s v="CUST1462"/>
    <s v="PROD4"/>
    <s v="STORE9"/>
    <n v="2"/>
    <n v="409.26"/>
    <x v="30"/>
    <x v="1"/>
    <x v="1"/>
    <x v="35"/>
    <x v="2"/>
    <x v="83"/>
    <x v="4"/>
    <n v="306.46"/>
    <x v="2"/>
    <x v="1"/>
    <x v="1370"/>
    <n v="34"/>
  </r>
  <r>
    <s v="SALE1373"/>
    <x v="539"/>
    <s v="CUST1254"/>
    <s v="PROD23"/>
    <s v="STORE7"/>
    <n v="2"/>
    <n v="608.46"/>
    <x v="3"/>
    <x v="0"/>
    <x v="0"/>
    <x v="41"/>
    <x v="2"/>
    <x v="34"/>
    <x v="4"/>
    <n v="248.821917808219"/>
    <x v="2"/>
    <x v="2"/>
    <x v="1371"/>
    <n v="34"/>
  </r>
  <r>
    <s v="SALE1374"/>
    <x v="101"/>
    <s v="CUST1212"/>
    <s v="PROD42"/>
    <s v="STORE19"/>
    <n v="4"/>
    <n v="150.48"/>
    <x v="0"/>
    <x v="0"/>
    <x v="1"/>
    <x v="7"/>
    <x v="1"/>
    <x v="63"/>
    <x v="1"/>
    <n v="450.71"/>
    <x v="3"/>
    <x v="2"/>
    <x v="1372"/>
    <n v="63"/>
  </r>
  <r>
    <s v="SALE1375"/>
    <x v="415"/>
    <s v="CUST1245"/>
    <s v="PROD68"/>
    <s v="STORE14"/>
    <n v="4"/>
    <n v="207.41"/>
    <x v="31"/>
    <x v="0"/>
    <x v="1"/>
    <x v="20"/>
    <x v="1"/>
    <x v="88"/>
    <x v="3"/>
    <n v="243.7"/>
    <x v="2"/>
    <x v="0"/>
    <x v="1373"/>
    <n v="57"/>
  </r>
  <r>
    <s v="SALE1376"/>
    <x v="225"/>
    <s v="CUST1172"/>
    <s v="PROD11"/>
    <s v="STORE6"/>
    <n v="1"/>
    <n v="56.59"/>
    <x v="6"/>
    <x v="1"/>
    <x v="1"/>
    <x v="35"/>
    <x v="3"/>
    <x v="75"/>
    <x v="1"/>
    <n v="449.4"/>
    <x v="3"/>
    <x v="2"/>
    <x v="1374"/>
    <n v="41"/>
  </r>
  <r>
    <s v="SALE1377"/>
    <x v="228"/>
    <s v="CUST1405"/>
    <s v="PROD39"/>
    <s v="STORE4"/>
    <n v="4"/>
    <n v="995.4"/>
    <x v="1"/>
    <x v="0"/>
    <x v="1"/>
    <x v="38"/>
    <x v="0"/>
    <x v="11"/>
    <x v="1"/>
    <n v="326.06"/>
    <x v="2"/>
    <x v="2"/>
    <x v="1375"/>
    <n v="18"/>
  </r>
  <r>
    <s v="SALE1378"/>
    <x v="361"/>
    <s v="CUST1064"/>
    <s v="PROD47"/>
    <s v="STORE12"/>
    <n v="2"/>
    <n v="591.33"/>
    <x v="24"/>
    <x v="0"/>
    <x v="0"/>
    <x v="28"/>
    <x v="0"/>
    <x v="44"/>
    <x v="2"/>
    <n v="255.049019607843"/>
    <x v="0"/>
    <x v="2"/>
    <x v="1376"/>
    <n v="33"/>
  </r>
  <r>
    <s v="SALE1379"/>
    <x v="9"/>
    <s v="CUST1378"/>
    <s v="PROD48"/>
    <s v="STORE17"/>
    <n v="2"/>
    <n v="204.89"/>
    <x v="24"/>
    <x v="0"/>
    <x v="1"/>
    <x v="37"/>
    <x v="3"/>
    <x v="70"/>
    <x v="1"/>
    <n v="177.98"/>
    <x v="0"/>
    <x v="1"/>
    <x v="1377"/>
    <n v="44"/>
  </r>
  <r>
    <s v="SALE1380"/>
    <x v="583"/>
    <s v="CUST1090"/>
    <s v="PROD65"/>
    <s v="STORE14"/>
    <n v="2"/>
    <n v="546.41"/>
    <x v="16"/>
    <x v="2"/>
    <x v="1"/>
    <x v="38"/>
    <x v="1"/>
    <x v="15"/>
    <x v="0"/>
    <n v="240.63"/>
    <x v="2"/>
    <x v="0"/>
    <x v="1378"/>
    <n v="58"/>
  </r>
  <r>
    <s v="SALE1381"/>
    <x v="199"/>
    <s v="CUST1056"/>
    <s v="PROD18"/>
    <s v="STORE12"/>
    <n v="4"/>
    <n v="455.49"/>
    <x v="9"/>
    <x v="0"/>
    <x v="1"/>
    <x v="2"/>
    <x v="0"/>
    <x v="97"/>
    <x v="4"/>
    <n v="245.778311688312"/>
    <x v="0"/>
    <x v="2"/>
    <x v="1379"/>
    <n v="49"/>
  </r>
  <r>
    <s v="SALE1382"/>
    <x v="621"/>
    <s v="CUST1422"/>
    <s v="PROD10"/>
    <s v="STORE16"/>
    <n v="2"/>
    <n v="700.27"/>
    <x v="3"/>
    <x v="0"/>
    <x v="1"/>
    <x v="32"/>
    <x v="1"/>
    <x v="31"/>
    <x v="3"/>
    <n v="298.86"/>
    <x v="1"/>
    <x v="1"/>
    <x v="1380"/>
    <n v="42"/>
  </r>
  <r>
    <s v="SALE1383"/>
    <x v="54"/>
    <s v="CUST1345"/>
    <s v="PROD82"/>
    <s v="STORE17"/>
    <n v="2"/>
    <n v="160.21"/>
    <x v="0"/>
    <x v="0"/>
    <x v="0"/>
    <x v="15"/>
    <x v="3"/>
    <x v="74"/>
    <x v="0"/>
    <n v="152.92"/>
    <x v="0"/>
    <x v="1"/>
    <x v="1381"/>
    <n v="33"/>
  </r>
  <r>
    <s v="SALE1384"/>
    <x v="177"/>
    <s v="CUST1031"/>
    <s v="PROD47"/>
    <s v="STORE11"/>
    <n v="1"/>
    <n v="713.63"/>
    <x v="23"/>
    <x v="2"/>
    <x v="0"/>
    <x v="47"/>
    <x v="2"/>
    <x v="44"/>
    <x v="2"/>
    <n v="255.049019607843"/>
    <x v="2"/>
    <x v="2"/>
    <x v="1382"/>
    <n v="41"/>
  </r>
  <r>
    <s v="SALE1385"/>
    <x v="21"/>
    <s v="CUST1227"/>
    <s v="PROD93"/>
    <s v="STORE7"/>
    <n v="2"/>
    <n v="224.69"/>
    <x v="29"/>
    <x v="2"/>
    <x v="1"/>
    <x v="32"/>
    <x v="0"/>
    <x v="47"/>
    <x v="1"/>
    <n v="377.52"/>
    <x v="2"/>
    <x v="2"/>
    <x v="1383"/>
    <n v="63"/>
  </r>
  <r>
    <s v="SALE1386"/>
    <x v="295"/>
    <s v="CUST1453"/>
    <s v="PROD20"/>
    <s v="STORE14"/>
    <n v="2"/>
    <n v="740.57"/>
    <x v="22"/>
    <x v="0"/>
    <x v="1"/>
    <x v="22"/>
    <x v="1"/>
    <x v="42"/>
    <x v="0"/>
    <n v="131.51"/>
    <x v="2"/>
    <x v="0"/>
    <x v="1384"/>
    <n v="62"/>
  </r>
  <r>
    <s v="SALE1387"/>
    <x v="297"/>
    <s v="CUST1142"/>
    <s v="PROD11"/>
    <s v="STORE3"/>
    <n v="3"/>
    <n v="250.14"/>
    <x v="7"/>
    <x v="1"/>
    <x v="0"/>
    <x v="10"/>
    <x v="3"/>
    <x v="75"/>
    <x v="1"/>
    <n v="449.4"/>
    <x v="0"/>
    <x v="0"/>
    <x v="1385"/>
    <n v="37"/>
  </r>
  <r>
    <s v="SALE1388"/>
    <x v="622"/>
    <s v="CUST1020"/>
    <s v="PROD98"/>
    <s v="STORE19"/>
    <n v="3"/>
    <n v="34.97"/>
    <x v="10"/>
    <x v="0"/>
    <x v="0"/>
    <x v="37"/>
    <x v="2"/>
    <x v="24"/>
    <x v="1"/>
    <n v="431.67"/>
    <x v="3"/>
    <x v="2"/>
    <x v="1386"/>
    <n v="59"/>
  </r>
  <r>
    <s v="SALE1389"/>
    <x v="233"/>
    <s v="CUST1304"/>
    <s v="PROD42"/>
    <s v="STORE16"/>
    <n v="1"/>
    <n v="653.91"/>
    <x v="11"/>
    <x v="1"/>
    <x v="0"/>
    <x v="32"/>
    <x v="2"/>
    <x v="63"/>
    <x v="1"/>
    <n v="450.71"/>
    <x v="1"/>
    <x v="1"/>
    <x v="1387"/>
    <n v="41"/>
  </r>
  <r>
    <s v="SALE1390"/>
    <x v="214"/>
    <s v="CUST1363"/>
    <s v="PROD66"/>
    <s v="STORE3"/>
    <n v="1"/>
    <n v="997.87"/>
    <x v="24"/>
    <x v="0"/>
    <x v="0"/>
    <x v="31"/>
    <x v="3"/>
    <x v="73"/>
    <x v="2"/>
    <n v="340.39"/>
    <x v="0"/>
    <x v="0"/>
    <x v="1388"/>
    <n v="23"/>
  </r>
  <r>
    <s v="SALE1391"/>
    <x v="209"/>
    <s v="CUST1208"/>
    <s v="PROD89"/>
    <s v="STORE14"/>
    <n v="1"/>
    <n v="174.27"/>
    <x v="1"/>
    <x v="2"/>
    <x v="0"/>
    <x v="38"/>
    <x v="1"/>
    <x v="41"/>
    <x v="2"/>
    <n v="183.04"/>
    <x v="2"/>
    <x v="0"/>
    <x v="1389"/>
    <n v="54"/>
  </r>
  <r>
    <s v="SALE1392"/>
    <x v="623"/>
    <s v="CUST1115"/>
    <s v="PROD49"/>
    <s v="STORE7"/>
    <n v="3"/>
    <n v="847.44"/>
    <x v="9"/>
    <x v="0"/>
    <x v="1"/>
    <x v="16"/>
    <x v="1"/>
    <x v="2"/>
    <x v="2"/>
    <n v="43.29"/>
    <x v="2"/>
    <x v="2"/>
    <x v="1390"/>
    <n v="53"/>
  </r>
  <r>
    <s v="SALE1393"/>
    <x v="463"/>
    <s v="CUST1428"/>
    <s v="PROD2"/>
    <s v="STORE2"/>
    <n v="1"/>
    <n v="493.45"/>
    <x v="0"/>
    <x v="0"/>
    <x v="1"/>
    <x v="38"/>
    <x v="3"/>
    <x v="95"/>
    <x v="4"/>
    <n v="254.620869565217"/>
    <x v="2"/>
    <x v="0"/>
    <x v="1391"/>
    <n v="27"/>
  </r>
  <r>
    <s v="SALE1394"/>
    <x v="85"/>
    <s v="CUST1232"/>
    <s v="PROD62"/>
    <s v="STORE2"/>
    <n v="4"/>
    <n v="111.66"/>
    <x v="17"/>
    <x v="0"/>
    <x v="1"/>
    <x v="19"/>
    <x v="1"/>
    <x v="85"/>
    <x v="1"/>
    <n v="86.42"/>
    <x v="2"/>
    <x v="0"/>
    <x v="1392"/>
    <n v="27"/>
  </r>
  <r>
    <s v="SALE1395"/>
    <x v="530"/>
    <s v="CUST1278"/>
    <s v="PROD90"/>
    <s v="STORE11"/>
    <n v="1"/>
    <n v="413.65"/>
    <x v="30"/>
    <x v="2"/>
    <x v="1"/>
    <x v="5"/>
    <x v="1"/>
    <x v="64"/>
    <x v="1"/>
    <n v="340.14"/>
    <x v="2"/>
    <x v="2"/>
    <x v="1393"/>
    <n v="42"/>
  </r>
  <r>
    <s v="SALE1396"/>
    <x v="299"/>
    <s v="CUST1475"/>
    <s v="PROD89"/>
    <s v="STORE9"/>
    <n v="1"/>
    <n v="317.15"/>
    <x v="24"/>
    <x v="2"/>
    <x v="1"/>
    <x v="1"/>
    <x v="1"/>
    <x v="41"/>
    <x v="2"/>
    <n v="183.04"/>
    <x v="2"/>
    <x v="1"/>
    <x v="1394"/>
    <n v="18"/>
  </r>
  <r>
    <s v="SALE1397"/>
    <x v="498"/>
    <s v="CUST1359"/>
    <s v="PROD88"/>
    <s v="STORE1"/>
    <n v="3"/>
    <n v="642.94"/>
    <x v="28"/>
    <x v="2"/>
    <x v="0"/>
    <x v="32"/>
    <x v="2"/>
    <x v="12"/>
    <x v="0"/>
    <n v="131.24"/>
    <x v="0"/>
    <x v="1"/>
    <x v="1395"/>
    <n v="32"/>
  </r>
  <r>
    <s v="SALE1398"/>
    <x v="145"/>
    <s v="CUST1133"/>
    <s v="PROD57"/>
    <s v="STORE10"/>
    <n v="4"/>
    <n v="559.59"/>
    <x v="5"/>
    <x v="2"/>
    <x v="1"/>
    <x v="26"/>
    <x v="3"/>
    <x v="71"/>
    <x v="0"/>
    <n v="30.62"/>
    <x v="3"/>
    <x v="2"/>
    <x v="1396"/>
    <n v="62"/>
  </r>
  <r>
    <s v="SALE1399"/>
    <x v="624"/>
    <s v="CUST1114"/>
    <s v="PROD29"/>
    <s v="STORE18"/>
    <n v="1"/>
    <n v="758.54"/>
    <x v="12"/>
    <x v="1"/>
    <x v="0"/>
    <x v="8"/>
    <x v="3"/>
    <x v="35"/>
    <x v="3"/>
    <n v="218.48"/>
    <x v="3"/>
    <x v="1"/>
    <x v="1397"/>
    <n v="30"/>
  </r>
  <r>
    <s v="SALE1400"/>
    <x v="42"/>
    <s v="CUST1462"/>
    <s v="PROD80"/>
    <s v="STORE15"/>
    <n v="4"/>
    <n v="643.96"/>
    <x v="3"/>
    <x v="1"/>
    <x v="1"/>
    <x v="35"/>
    <x v="2"/>
    <x v="61"/>
    <x v="3"/>
    <n v="143.43"/>
    <x v="0"/>
    <x v="1"/>
    <x v="1398"/>
    <n v="34"/>
  </r>
  <r>
    <s v="SALE1401"/>
    <x v="507"/>
    <s v="CUST1243"/>
    <s v="PROD24"/>
    <s v="STORE9"/>
    <n v="1"/>
    <n v="882.73"/>
    <x v="30"/>
    <x v="0"/>
    <x v="1"/>
    <x v="11"/>
    <x v="0"/>
    <x v="10"/>
    <x v="0"/>
    <n v="166.06"/>
    <x v="2"/>
    <x v="1"/>
    <x v="1399"/>
    <n v="56"/>
  </r>
  <r>
    <s v="SALE1402"/>
    <x v="38"/>
    <s v="CUST1325"/>
    <s v="PROD91"/>
    <s v="STORE19"/>
    <n v="2"/>
    <n v="600.03"/>
    <x v="25"/>
    <x v="1"/>
    <x v="0"/>
    <x v="18"/>
    <x v="3"/>
    <x v="52"/>
    <x v="4"/>
    <n v="438.25"/>
    <x v="3"/>
    <x v="2"/>
    <x v="1400"/>
    <n v="60"/>
  </r>
  <r>
    <s v="SALE1403"/>
    <x v="625"/>
    <s v="CUST1157"/>
    <s v="PROD54"/>
    <s v="STORE5"/>
    <n v="2"/>
    <n v="628.83"/>
    <x v="8"/>
    <x v="1"/>
    <x v="0"/>
    <x v="16"/>
    <x v="1"/>
    <x v="59"/>
    <x v="0"/>
    <n v="434.84"/>
    <x v="0"/>
    <x v="0"/>
    <x v="1401"/>
    <n v="59"/>
  </r>
  <r>
    <s v="SALE1404"/>
    <x v="477"/>
    <s v="CUST1175"/>
    <s v="PROD81"/>
    <s v="STORE9"/>
    <n v="3"/>
    <n v="113.87"/>
    <x v="34"/>
    <x v="2"/>
    <x v="0"/>
    <x v="22"/>
    <x v="1"/>
    <x v="82"/>
    <x v="0"/>
    <n v="285.54"/>
    <x v="2"/>
    <x v="1"/>
    <x v="1402"/>
    <n v="56"/>
  </r>
  <r>
    <s v="SALE1405"/>
    <x v="626"/>
    <s v="CUST1418"/>
    <s v="PROD72"/>
    <s v="STORE7"/>
    <n v="4"/>
    <n v="282.07"/>
    <x v="4"/>
    <x v="1"/>
    <x v="1"/>
    <x v="21"/>
    <x v="2"/>
    <x v="18"/>
    <x v="0"/>
    <n v="477.61"/>
    <x v="2"/>
    <x v="2"/>
    <x v="1403"/>
    <n v="60"/>
  </r>
  <r>
    <s v="SALE1406"/>
    <x v="63"/>
    <s v="CUST1156"/>
    <s v="PROD54"/>
    <s v="STORE6"/>
    <n v="3"/>
    <n v="676.77"/>
    <x v="9"/>
    <x v="1"/>
    <x v="0"/>
    <x v="16"/>
    <x v="3"/>
    <x v="59"/>
    <x v="0"/>
    <n v="434.84"/>
    <x v="3"/>
    <x v="2"/>
    <x v="1404"/>
    <n v="46"/>
  </r>
  <r>
    <s v="SALE1407"/>
    <x v="625"/>
    <s v="CUST1220"/>
    <s v="PROD7"/>
    <s v="STORE16"/>
    <n v="2"/>
    <n v="362.7"/>
    <x v="0"/>
    <x v="0"/>
    <x v="1"/>
    <x v="43"/>
    <x v="3"/>
    <x v="84"/>
    <x v="3"/>
    <n v="218.86"/>
    <x v="1"/>
    <x v="1"/>
    <x v="1405"/>
    <n v="50"/>
  </r>
  <r>
    <s v="SALE1408"/>
    <x v="252"/>
    <s v="CUST1135"/>
    <s v="PROD13"/>
    <s v="STORE2"/>
    <n v="1"/>
    <n v="908.5"/>
    <x v="29"/>
    <x v="2"/>
    <x v="1"/>
    <x v="20"/>
    <x v="1"/>
    <x v="26"/>
    <x v="1"/>
    <n v="242.23"/>
    <x v="2"/>
    <x v="0"/>
    <x v="1406"/>
    <n v="33"/>
  </r>
  <r>
    <s v="SALE1409"/>
    <x v="627"/>
    <s v="CUST1067"/>
    <s v="PROD25"/>
    <s v="STORE15"/>
    <n v="2"/>
    <n v="795.37"/>
    <x v="29"/>
    <x v="2"/>
    <x v="0"/>
    <x v="26"/>
    <x v="2"/>
    <x v="60"/>
    <x v="4"/>
    <n v="174.02"/>
    <x v="0"/>
    <x v="1"/>
    <x v="1407"/>
    <n v="58"/>
  </r>
  <r>
    <s v="SALE1410"/>
    <x v="451"/>
    <s v="CUST1144"/>
    <s v="PROD35"/>
    <s v="STORE4"/>
    <n v="2"/>
    <n v="326.85"/>
    <x v="9"/>
    <x v="2"/>
    <x v="1"/>
    <x v="8"/>
    <x v="3"/>
    <x v="68"/>
    <x v="3"/>
    <n v="382.22"/>
    <x v="2"/>
    <x v="2"/>
    <x v="1408"/>
    <n v="62"/>
  </r>
  <r>
    <s v="SALE1411"/>
    <x v="285"/>
    <s v="CUST1350"/>
    <s v="PROD56"/>
    <s v="STORE14"/>
    <n v="3"/>
    <n v="169.43"/>
    <x v="5"/>
    <x v="0"/>
    <x v="0"/>
    <x v="9"/>
    <x v="2"/>
    <x v="6"/>
    <x v="3"/>
    <n v="461.47"/>
    <x v="2"/>
    <x v="0"/>
    <x v="1409"/>
    <n v="26"/>
  </r>
  <r>
    <s v="SALE1412"/>
    <x v="106"/>
    <s v="CUST1163"/>
    <s v="PROD83"/>
    <s v="STORE6"/>
    <n v="1"/>
    <n v="254.47"/>
    <x v="30"/>
    <x v="0"/>
    <x v="0"/>
    <x v="49"/>
    <x v="3"/>
    <x v="50"/>
    <x v="2"/>
    <n v="289.359375"/>
    <x v="3"/>
    <x v="2"/>
    <x v="1410"/>
    <n v="21"/>
  </r>
  <r>
    <s v="SALE1413"/>
    <x v="582"/>
    <s v="CUST1418"/>
    <s v="PROD25"/>
    <s v="STORE16"/>
    <n v="4"/>
    <n v="627.73"/>
    <x v="32"/>
    <x v="2"/>
    <x v="1"/>
    <x v="21"/>
    <x v="2"/>
    <x v="60"/>
    <x v="4"/>
    <n v="174.02"/>
    <x v="1"/>
    <x v="1"/>
    <x v="1411"/>
    <n v="60"/>
  </r>
  <r>
    <s v="SALE1414"/>
    <x v="22"/>
    <s v="CUST1371"/>
    <s v="PROD31"/>
    <s v="STORE19"/>
    <n v="4"/>
    <n v="327.25"/>
    <x v="21"/>
    <x v="2"/>
    <x v="1"/>
    <x v="21"/>
    <x v="1"/>
    <x v="45"/>
    <x v="0"/>
    <n v="204.39"/>
    <x v="3"/>
    <x v="2"/>
    <x v="1412"/>
    <n v="21"/>
  </r>
  <r>
    <s v="SALE1415"/>
    <x v="82"/>
    <s v="CUST1145"/>
    <s v="PROD59"/>
    <s v="STORE11"/>
    <n v="4"/>
    <n v="511.43"/>
    <x v="4"/>
    <x v="2"/>
    <x v="0"/>
    <x v="30"/>
    <x v="1"/>
    <x v="4"/>
    <x v="2"/>
    <n v="17.31"/>
    <x v="2"/>
    <x v="2"/>
    <x v="1413"/>
    <n v="46"/>
  </r>
  <r>
    <s v="SALE1416"/>
    <x v="628"/>
    <s v="CUST1165"/>
    <s v="PROD63"/>
    <s v="STORE17"/>
    <n v="4"/>
    <n v="194.67"/>
    <x v="7"/>
    <x v="1"/>
    <x v="1"/>
    <x v="49"/>
    <x v="1"/>
    <x v="81"/>
    <x v="2"/>
    <n v="266.86"/>
    <x v="0"/>
    <x v="1"/>
    <x v="1414"/>
    <n v="47"/>
  </r>
  <r>
    <s v="SALE1417"/>
    <x v="288"/>
    <s v="CUST1059"/>
    <s v="PROD23"/>
    <s v="STORE1"/>
    <n v="2"/>
    <n v="54.51"/>
    <x v="8"/>
    <x v="0"/>
    <x v="0"/>
    <x v="10"/>
    <x v="1"/>
    <x v="34"/>
    <x v="4"/>
    <n v="248.821917808219"/>
    <x v="0"/>
    <x v="1"/>
    <x v="1415"/>
    <n v="53"/>
  </r>
  <r>
    <s v="SALE1418"/>
    <x v="278"/>
    <s v="CUST1076"/>
    <s v="PROD62"/>
    <s v="STORE11"/>
    <n v="4"/>
    <n v="964"/>
    <x v="17"/>
    <x v="1"/>
    <x v="0"/>
    <x v="15"/>
    <x v="0"/>
    <x v="85"/>
    <x v="1"/>
    <n v="86.42"/>
    <x v="2"/>
    <x v="2"/>
    <x v="1416"/>
    <n v="37"/>
  </r>
  <r>
    <s v="SALE1419"/>
    <x v="333"/>
    <s v="CUST1040"/>
    <s v="PROD89"/>
    <s v="STORE4"/>
    <n v="1"/>
    <n v="170.12"/>
    <x v="25"/>
    <x v="1"/>
    <x v="0"/>
    <x v="32"/>
    <x v="0"/>
    <x v="41"/>
    <x v="2"/>
    <n v="183.04"/>
    <x v="2"/>
    <x v="2"/>
    <x v="1417"/>
    <n v="50"/>
  </r>
  <r>
    <s v="SALE1420"/>
    <x v="13"/>
    <s v="CUST1152"/>
    <s v="PROD53"/>
    <s v="STORE19"/>
    <n v="2"/>
    <n v="664.5"/>
    <x v="7"/>
    <x v="0"/>
    <x v="1"/>
    <x v="6"/>
    <x v="1"/>
    <x v="27"/>
    <x v="4"/>
    <n v="386.56"/>
    <x v="3"/>
    <x v="2"/>
    <x v="1418"/>
    <n v="41"/>
  </r>
  <r>
    <s v="SALE1421"/>
    <x v="494"/>
    <s v="CUST1371"/>
    <s v="PROD45"/>
    <s v="STORE10"/>
    <n v="4"/>
    <n v="557.51"/>
    <x v="32"/>
    <x v="0"/>
    <x v="1"/>
    <x v="21"/>
    <x v="1"/>
    <x v="49"/>
    <x v="0"/>
    <n v="318.91"/>
    <x v="3"/>
    <x v="2"/>
    <x v="1419"/>
    <n v="21"/>
  </r>
  <r>
    <s v="SALE1422"/>
    <x v="185"/>
    <s v="CUST1397"/>
    <s v="PROD90"/>
    <s v="STORE1"/>
    <n v="2"/>
    <n v="410"/>
    <x v="21"/>
    <x v="2"/>
    <x v="1"/>
    <x v="32"/>
    <x v="1"/>
    <x v="64"/>
    <x v="1"/>
    <n v="340.14"/>
    <x v="0"/>
    <x v="1"/>
    <x v="1420"/>
    <n v="62"/>
  </r>
  <r>
    <s v="SALE1423"/>
    <x v="628"/>
    <s v="CUST1306"/>
    <s v="PROD83"/>
    <s v="STORE5"/>
    <n v="2"/>
    <n v="879.93"/>
    <x v="12"/>
    <x v="2"/>
    <x v="0"/>
    <x v="3"/>
    <x v="1"/>
    <x v="50"/>
    <x v="2"/>
    <n v="289.359375"/>
    <x v="0"/>
    <x v="0"/>
    <x v="1421"/>
    <n v="44"/>
  </r>
  <r>
    <s v="SALE1424"/>
    <x v="629"/>
    <s v="CUST1007"/>
    <s v="PROD13"/>
    <s v="STORE18"/>
    <n v="1"/>
    <n v="350.58"/>
    <x v="15"/>
    <x v="2"/>
    <x v="1"/>
    <x v="35"/>
    <x v="3"/>
    <x v="26"/>
    <x v="1"/>
    <n v="242.23"/>
    <x v="3"/>
    <x v="1"/>
    <x v="1422"/>
    <n v="29"/>
  </r>
  <r>
    <s v="SALE1425"/>
    <x v="56"/>
    <s v="CUST1350"/>
    <s v="PROD58"/>
    <s v="STORE3"/>
    <n v="4"/>
    <n v="348.58"/>
    <x v="3"/>
    <x v="0"/>
    <x v="0"/>
    <x v="9"/>
    <x v="2"/>
    <x v="87"/>
    <x v="4"/>
    <n v="113.83"/>
    <x v="0"/>
    <x v="0"/>
    <x v="1423"/>
    <n v="26"/>
  </r>
  <r>
    <s v="SALE1426"/>
    <x v="488"/>
    <s v="CUST1459"/>
    <s v="PROD25"/>
    <s v="STORE3"/>
    <n v="3"/>
    <n v="247.66"/>
    <x v="31"/>
    <x v="2"/>
    <x v="1"/>
    <x v="42"/>
    <x v="0"/>
    <x v="60"/>
    <x v="4"/>
    <n v="174.02"/>
    <x v="0"/>
    <x v="0"/>
    <x v="1424"/>
    <n v="29"/>
  </r>
  <r>
    <s v="SALE1427"/>
    <x v="313"/>
    <s v="CUST1388"/>
    <s v="PROD39"/>
    <s v="STORE15"/>
    <n v="3"/>
    <n v="836.27"/>
    <x v="3"/>
    <x v="0"/>
    <x v="0"/>
    <x v="6"/>
    <x v="1"/>
    <x v="11"/>
    <x v="1"/>
    <n v="326.06"/>
    <x v="0"/>
    <x v="1"/>
    <x v="1425"/>
    <n v="53"/>
  </r>
  <r>
    <s v="SALE1428"/>
    <x v="164"/>
    <s v="CUST1195"/>
    <s v="PROD14"/>
    <s v="STORE10"/>
    <n v="3"/>
    <n v="696.74"/>
    <x v="21"/>
    <x v="2"/>
    <x v="0"/>
    <x v="28"/>
    <x v="2"/>
    <x v="66"/>
    <x v="3"/>
    <n v="48.01"/>
    <x v="3"/>
    <x v="2"/>
    <x v="1426"/>
    <n v="60"/>
  </r>
  <r>
    <s v="SALE1429"/>
    <x v="391"/>
    <s v="CUST1245"/>
    <s v="PROD94"/>
    <s v="STORE13"/>
    <n v="2"/>
    <n v="822.59"/>
    <x v="14"/>
    <x v="1"/>
    <x v="1"/>
    <x v="20"/>
    <x v="1"/>
    <x v="32"/>
    <x v="2"/>
    <n v="358.47"/>
    <x v="3"/>
    <x v="1"/>
    <x v="1427"/>
    <n v="57"/>
  </r>
  <r>
    <s v="SALE1430"/>
    <x v="453"/>
    <s v="CUST1222"/>
    <s v="PROD79"/>
    <s v="STORE2"/>
    <n v="1"/>
    <n v="462.23"/>
    <x v="11"/>
    <x v="1"/>
    <x v="0"/>
    <x v="23"/>
    <x v="1"/>
    <x v="29"/>
    <x v="3"/>
    <n v="228.53"/>
    <x v="2"/>
    <x v="0"/>
    <x v="1428"/>
    <n v="35"/>
  </r>
  <r>
    <s v="SALE1431"/>
    <x v="332"/>
    <s v="CUST1447"/>
    <s v="PROD42"/>
    <s v="STORE17"/>
    <n v="1"/>
    <n v="361.09"/>
    <x v="22"/>
    <x v="1"/>
    <x v="0"/>
    <x v="29"/>
    <x v="0"/>
    <x v="63"/>
    <x v="1"/>
    <n v="450.71"/>
    <x v="0"/>
    <x v="1"/>
    <x v="1429"/>
    <n v="45"/>
  </r>
  <r>
    <s v="SALE1432"/>
    <x v="463"/>
    <s v="CUST1383"/>
    <s v="PROD73"/>
    <s v="STORE19"/>
    <n v="3"/>
    <n v="59.37"/>
    <x v="15"/>
    <x v="1"/>
    <x v="1"/>
    <x v="42"/>
    <x v="2"/>
    <x v="78"/>
    <x v="0"/>
    <n v="107.06"/>
    <x v="3"/>
    <x v="2"/>
    <x v="1430"/>
    <n v="27"/>
  </r>
  <r>
    <s v="SALE1433"/>
    <x v="165"/>
    <s v="CUST1036"/>
    <s v="PROD40"/>
    <s v="STORE1"/>
    <n v="3"/>
    <n v="765.21"/>
    <x v="17"/>
    <x v="2"/>
    <x v="1"/>
    <x v="36"/>
    <x v="0"/>
    <x v="43"/>
    <x v="1"/>
    <n v="38.52"/>
    <x v="0"/>
    <x v="1"/>
    <x v="1431"/>
    <n v="20"/>
  </r>
  <r>
    <s v="SALE1434"/>
    <x v="469"/>
    <s v="CUST1243"/>
    <s v="PROD32"/>
    <s v="STORE12"/>
    <n v="4"/>
    <n v="303.56"/>
    <x v="29"/>
    <x v="2"/>
    <x v="1"/>
    <x v="11"/>
    <x v="0"/>
    <x v="79"/>
    <x v="2"/>
    <n v="283.83"/>
    <x v="0"/>
    <x v="2"/>
    <x v="1432"/>
    <n v="56"/>
  </r>
  <r>
    <s v="SALE1435"/>
    <x v="559"/>
    <s v="CUST1443"/>
    <s v="PROD27"/>
    <s v="STORE0"/>
    <n v="1"/>
    <n v="640.93"/>
    <x v="5"/>
    <x v="1"/>
    <x v="0"/>
    <x v="11"/>
    <x v="2"/>
    <x v="16"/>
    <x v="3"/>
    <n v="250.021571428571"/>
    <x v="3"/>
    <x v="1"/>
    <x v="1433"/>
    <n v="51"/>
  </r>
  <r>
    <s v="SALE1436"/>
    <x v="630"/>
    <s v="CUST1174"/>
    <s v="PROD86"/>
    <s v="STORE10"/>
    <n v="2"/>
    <n v="611.25"/>
    <x v="14"/>
    <x v="0"/>
    <x v="1"/>
    <x v="1"/>
    <x v="0"/>
    <x v="56"/>
    <x v="3"/>
    <n v="176.07"/>
    <x v="3"/>
    <x v="2"/>
    <x v="1434"/>
    <n v="26"/>
  </r>
  <r>
    <s v="SALE1437"/>
    <x v="131"/>
    <s v="CUST1461"/>
    <s v="PROD66"/>
    <s v="STORE1"/>
    <n v="1"/>
    <n v="209.93"/>
    <x v="34"/>
    <x v="0"/>
    <x v="1"/>
    <x v="32"/>
    <x v="2"/>
    <x v="73"/>
    <x v="2"/>
    <n v="340.39"/>
    <x v="0"/>
    <x v="1"/>
    <x v="1435"/>
    <n v="60"/>
  </r>
  <r>
    <s v="SALE1438"/>
    <x v="597"/>
    <s v="CUST1110"/>
    <s v="PROD99"/>
    <s v="STORE10"/>
    <n v="3"/>
    <n v="130.39"/>
    <x v="24"/>
    <x v="1"/>
    <x v="1"/>
    <x v="33"/>
    <x v="0"/>
    <x v="8"/>
    <x v="3"/>
    <n v="201.41"/>
    <x v="3"/>
    <x v="2"/>
    <x v="1436"/>
    <n v="40"/>
  </r>
  <r>
    <s v="SALE1439"/>
    <x v="302"/>
    <s v="CUST1291"/>
    <s v="PROD93"/>
    <s v="STORE7"/>
    <n v="2"/>
    <n v="846.18"/>
    <x v="30"/>
    <x v="2"/>
    <x v="1"/>
    <x v="6"/>
    <x v="3"/>
    <x v="47"/>
    <x v="1"/>
    <n v="377.52"/>
    <x v="2"/>
    <x v="2"/>
    <x v="1437"/>
    <n v="40"/>
  </r>
  <r>
    <s v="SALE1440"/>
    <x v="14"/>
    <s v="CUST1354"/>
    <s v="PROD70"/>
    <s v="STORE14"/>
    <n v="2"/>
    <n v="424.53"/>
    <x v="17"/>
    <x v="2"/>
    <x v="0"/>
    <x v="40"/>
    <x v="2"/>
    <x v="7"/>
    <x v="3"/>
    <n v="138.05"/>
    <x v="2"/>
    <x v="0"/>
    <x v="1438"/>
    <n v="38"/>
  </r>
  <r>
    <s v="SALE1441"/>
    <x v="401"/>
    <s v="CUST1258"/>
    <s v="PROD88"/>
    <s v="STORE14"/>
    <n v="4"/>
    <n v="450.42"/>
    <x v="16"/>
    <x v="2"/>
    <x v="1"/>
    <x v="11"/>
    <x v="1"/>
    <x v="12"/>
    <x v="0"/>
    <n v="131.24"/>
    <x v="2"/>
    <x v="0"/>
    <x v="1439"/>
    <n v="24"/>
  </r>
  <r>
    <s v="SALE1442"/>
    <x v="534"/>
    <s v="CUST1156"/>
    <s v="PROD26"/>
    <s v="STORE9"/>
    <n v="4"/>
    <n v="896.91"/>
    <x v="30"/>
    <x v="0"/>
    <x v="0"/>
    <x v="16"/>
    <x v="3"/>
    <x v="33"/>
    <x v="1"/>
    <n v="322.41"/>
    <x v="2"/>
    <x v="1"/>
    <x v="1440"/>
    <n v="46"/>
  </r>
  <r>
    <s v="SALE1443"/>
    <x v="631"/>
    <s v="CUST1485"/>
    <s v="PROD97"/>
    <s v="STORE10"/>
    <n v="3"/>
    <n v="679.38"/>
    <x v="11"/>
    <x v="2"/>
    <x v="1"/>
    <x v="45"/>
    <x v="3"/>
    <x v="0"/>
    <x v="0"/>
    <n v="245.98"/>
    <x v="3"/>
    <x v="2"/>
    <x v="1441"/>
    <n v="46"/>
  </r>
  <r>
    <s v="SALE1444"/>
    <x v="506"/>
    <s v="CUST1016"/>
    <s v="PROD80"/>
    <s v="STORE16"/>
    <n v="3"/>
    <n v="483.63"/>
    <x v="33"/>
    <x v="0"/>
    <x v="1"/>
    <x v="2"/>
    <x v="3"/>
    <x v="61"/>
    <x v="3"/>
    <n v="143.43"/>
    <x v="1"/>
    <x v="1"/>
    <x v="1442"/>
    <n v="24"/>
  </r>
  <r>
    <s v="SALE1445"/>
    <x v="549"/>
    <s v="CUST1030"/>
    <s v="PROD39"/>
    <s v="STORE0"/>
    <n v="3"/>
    <n v="158.27"/>
    <x v="24"/>
    <x v="2"/>
    <x v="1"/>
    <x v="2"/>
    <x v="3"/>
    <x v="11"/>
    <x v="1"/>
    <n v="326.06"/>
    <x v="3"/>
    <x v="1"/>
    <x v="1443"/>
    <n v="64"/>
  </r>
  <r>
    <s v="SALE1446"/>
    <x v="543"/>
    <s v="CUST1115"/>
    <s v="PROD2"/>
    <s v="STORE15"/>
    <n v="4"/>
    <n v="601.5"/>
    <x v="4"/>
    <x v="0"/>
    <x v="1"/>
    <x v="16"/>
    <x v="1"/>
    <x v="95"/>
    <x v="4"/>
    <n v="254.620869565217"/>
    <x v="0"/>
    <x v="1"/>
    <x v="1444"/>
    <n v="53"/>
  </r>
  <r>
    <s v="SALE1447"/>
    <x v="326"/>
    <s v="CUST1069"/>
    <s v="PROD31"/>
    <s v="STORE18"/>
    <n v="2"/>
    <n v="46.39"/>
    <x v="8"/>
    <x v="0"/>
    <x v="1"/>
    <x v="19"/>
    <x v="1"/>
    <x v="45"/>
    <x v="0"/>
    <n v="204.39"/>
    <x v="3"/>
    <x v="1"/>
    <x v="1445"/>
    <n v="24"/>
  </r>
  <r>
    <s v="SALE1448"/>
    <x v="92"/>
    <s v="CUST1119"/>
    <s v="PROD82"/>
    <s v="STORE8"/>
    <n v="4"/>
    <n v="892.28"/>
    <x v="7"/>
    <x v="0"/>
    <x v="0"/>
    <x v="3"/>
    <x v="3"/>
    <x v="74"/>
    <x v="0"/>
    <n v="152.92"/>
    <x v="1"/>
    <x v="2"/>
    <x v="1446"/>
    <n v="40"/>
  </r>
  <r>
    <s v="SALE1449"/>
    <x v="143"/>
    <s v="CUST1221"/>
    <s v="PROD10"/>
    <s v="STORE7"/>
    <n v="2"/>
    <n v="164.23"/>
    <x v="9"/>
    <x v="0"/>
    <x v="0"/>
    <x v="36"/>
    <x v="1"/>
    <x v="31"/>
    <x v="3"/>
    <n v="298.86"/>
    <x v="2"/>
    <x v="2"/>
    <x v="1447"/>
    <n v="38"/>
  </r>
  <r>
    <s v="SALE1450"/>
    <x v="632"/>
    <s v="CUST1452"/>
    <s v="PROD9"/>
    <s v="STORE7"/>
    <n v="1"/>
    <n v="484.23"/>
    <x v="27"/>
    <x v="2"/>
    <x v="1"/>
    <x v="25"/>
    <x v="3"/>
    <x v="93"/>
    <x v="0"/>
    <n v="495.72"/>
    <x v="2"/>
    <x v="2"/>
    <x v="1448"/>
    <n v="60"/>
  </r>
  <r>
    <s v="SALE1451"/>
    <x v="613"/>
    <s v="CUST1005"/>
    <s v="PROD35"/>
    <s v="STORE18"/>
    <n v="3"/>
    <n v="341.51"/>
    <x v="14"/>
    <x v="2"/>
    <x v="0"/>
    <x v="47"/>
    <x v="3"/>
    <x v="68"/>
    <x v="3"/>
    <n v="382.22"/>
    <x v="3"/>
    <x v="1"/>
    <x v="1449"/>
    <n v="24"/>
  </r>
  <r>
    <s v="SALE1452"/>
    <x v="612"/>
    <s v="CUST1109"/>
    <s v="PROD98"/>
    <s v="STORE13"/>
    <n v="3"/>
    <n v="758.87"/>
    <x v="32"/>
    <x v="1"/>
    <x v="0"/>
    <x v="35"/>
    <x v="2"/>
    <x v="24"/>
    <x v="1"/>
    <n v="431.67"/>
    <x v="3"/>
    <x v="1"/>
    <x v="1450"/>
    <n v="27"/>
  </r>
  <r>
    <s v="SALE1453"/>
    <x v="375"/>
    <s v="CUST1470"/>
    <s v="PROD56"/>
    <s v="STORE12"/>
    <n v="3"/>
    <n v="560.52"/>
    <x v="9"/>
    <x v="0"/>
    <x v="1"/>
    <x v="21"/>
    <x v="0"/>
    <x v="6"/>
    <x v="3"/>
    <n v="461.47"/>
    <x v="0"/>
    <x v="2"/>
    <x v="1451"/>
    <n v="21"/>
  </r>
  <r>
    <s v="SALE1454"/>
    <x v="70"/>
    <s v="CUST1351"/>
    <s v="PROD96"/>
    <s v="STORE17"/>
    <n v="2"/>
    <n v="977.18"/>
    <x v="5"/>
    <x v="0"/>
    <x v="1"/>
    <x v="48"/>
    <x v="3"/>
    <x v="99"/>
    <x v="4"/>
    <n v="358.47"/>
    <x v="0"/>
    <x v="1"/>
    <x v="1452"/>
    <n v="25"/>
  </r>
  <r>
    <s v="SALE1455"/>
    <x v="171"/>
    <s v="CUST1236"/>
    <s v="PROD16"/>
    <s v="STORE14"/>
    <n v="4"/>
    <n v="761.35"/>
    <x v="16"/>
    <x v="0"/>
    <x v="1"/>
    <x v="45"/>
    <x v="3"/>
    <x v="30"/>
    <x v="2"/>
    <n v="337.42"/>
    <x v="2"/>
    <x v="0"/>
    <x v="1453"/>
    <n v="42"/>
  </r>
  <r>
    <s v="SALE1456"/>
    <x v="584"/>
    <s v="CUST1179"/>
    <s v="PROD67"/>
    <s v="STORE18"/>
    <n v="2"/>
    <n v="947.56"/>
    <x v="31"/>
    <x v="2"/>
    <x v="1"/>
    <x v="39"/>
    <x v="2"/>
    <x v="22"/>
    <x v="1"/>
    <n v="349.17"/>
    <x v="3"/>
    <x v="1"/>
    <x v="1454"/>
    <n v="43"/>
  </r>
  <r>
    <s v="SALE1457"/>
    <x v="186"/>
    <s v="CUST1238"/>
    <s v="PROD43"/>
    <s v="STORE18"/>
    <n v="4"/>
    <n v="975.47"/>
    <x v="13"/>
    <x v="0"/>
    <x v="0"/>
    <x v="35"/>
    <x v="1"/>
    <x v="19"/>
    <x v="1"/>
    <n v="253.33"/>
    <x v="3"/>
    <x v="1"/>
    <x v="1455"/>
    <n v="40"/>
  </r>
  <r>
    <s v="SALE1458"/>
    <x v="134"/>
    <s v="CUST1477"/>
    <s v="PROD13"/>
    <s v="STORE9"/>
    <n v="3"/>
    <n v="769.06"/>
    <x v="7"/>
    <x v="2"/>
    <x v="1"/>
    <x v="32"/>
    <x v="1"/>
    <x v="26"/>
    <x v="1"/>
    <n v="242.23"/>
    <x v="2"/>
    <x v="1"/>
    <x v="1456"/>
    <n v="41"/>
  </r>
  <r>
    <s v="SALE1459"/>
    <x v="308"/>
    <s v="CUST1486"/>
    <s v="PROD39"/>
    <s v="STORE2"/>
    <n v="3"/>
    <n v="824.75"/>
    <x v="7"/>
    <x v="0"/>
    <x v="1"/>
    <x v="1"/>
    <x v="3"/>
    <x v="11"/>
    <x v="1"/>
    <n v="326.06"/>
    <x v="2"/>
    <x v="0"/>
    <x v="1457"/>
    <n v="22"/>
  </r>
  <r>
    <s v="SALE1460"/>
    <x v="270"/>
    <s v="CUST1401"/>
    <s v="PROD68"/>
    <s v="STORE4"/>
    <n v="2"/>
    <n v="821.35"/>
    <x v="32"/>
    <x v="1"/>
    <x v="1"/>
    <x v="8"/>
    <x v="1"/>
    <x v="88"/>
    <x v="3"/>
    <n v="243.7"/>
    <x v="2"/>
    <x v="2"/>
    <x v="1458"/>
    <n v="51"/>
  </r>
  <r>
    <s v="SALE1461"/>
    <x v="122"/>
    <s v="CUST1405"/>
    <s v="PROD13"/>
    <s v="STORE10"/>
    <n v="1"/>
    <n v="120.57"/>
    <x v="22"/>
    <x v="1"/>
    <x v="1"/>
    <x v="38"/>
    <x v="0"/>
    <x v="26"/>
    <x v="1"/>
    <n v="242.23"/>
    <x v="3"/>
    <x v="2"/>
    <x v="1459"/>
    <n v="18"/>
  </r>
  <r>
    <s v="SALE1462"/>
    <x v="269"/>
    <s v="CUST1335"/>
    <s v="PROD89"/>
    <s v="STORE1"/>
    <n v="1"/>
    <n v="122.27"/>
    <x v="25"/>
    <x v="1"/>
    <x v="0"/>
    <x v="29"/>
    <x v="1"/>
    <x v="41"/>
    <x v="2"/>
    <n v="183.04"/>
    <x v="0"/>
    <x v="1"/>
    <x v="1460"/>
    <n v="37"/>
  </r>
  <r>
    <s v="SALE1463"/>
    <x v="271"/>
    <s v="CUST1170"/>
    <s v="PROD26"/>
    <s v="STORE2"/>
    <n v="2"/>
    <n v="182.89"/>
    <x v="32"/>
    <x v="0"/>
    <x v="0"/>
    <x v="6"/>
    <x v="0"/>
    <x v="33"/>
    <x v="1"/>
    <n v="322.41"/>
    <x v="2"/>
    <x v="0"/>
    <x v="1461"/>
    <n v="18"/>
  </r>
  <r>
    <s v="SALE1464"/>
    <x v="254"/>
    <s v="CUST1371"/>
    <s v="PROD46"/>
    <s v="STORE4"/>
    <n v="1"/>
    <n v="695.26"/>
    <x v="7"/>
    <x v="1"/>
    <x v="1"/>
    <x v="21"/>
    <x v="1"/>
    <x v="54"/>
    <x v="4"/>
    <n v="167.34"/>
    <x v="2"/>
    <x v="2"/>
    <x v="1462"/>
    <n v="21"/>
  </r>
  <r>
    <s v="SALE1465"/>
    <x v="371"/>
    <s v="CUST1027"/>
    <s v="PROD29"/>
    <s v="STORE6"/>
    <n v="2"/>
    <n v="408.8"/>
    <x v="9"/>
    <x v="2"/>
    <x v="0"/>
    <x v="39"/>
    <x v="4"/>
    <x v="35"/>
    <x v="3"/>
    <n v="218.48"/>
    <x v="3"/>
    <x v="2"/>
    <x v="1463"/>
    <n v="31"/>
  </r>
  <r>
    <s v="SALE1466"/>
    <x v="197"/>
    <s v="CUST1226"/>
    <s v="PROD49"/>
    <s v="STORE8"/>
    <n v="3"/>
    <n v="512.15"/>
    <x v="27"/>
    <x v="0"/>
    <x v="0"/>
    <x v="41"/>
    <x v="0"/>
    <x v="2"/>
    <x v="2"/>
    <n v="43.29"/>
    <x v="1"/>
    <x v="2"/>
    <x v="1464"/>
    <n v="54"/>
  </r>
  <r>
    <s v="SALE1467"/>
    <x v="352"/>
    <s v="CUST1409"/>
    <s v="PROD9"/>
    <s v="STORE8"/>
    <n v="3"/>
    <n v="136.4"/>
    <x v="6"/>
    <x v="1"/>
    <x v="0"/>
    <x v="0"/>
    <x v="0"/>
    <x v="93"/>
    <x v="0"/>
    <n v="495.72"/>
    <x v="1"/>
    <x v="2"/>
    <x v="1465"/>
    <n v="55"/>
  </r>
  <r>
    <s v="SALE1468"/>
    <x v="539"/>
    <s v="CUST1175"/>
    <s v="PROD6"/>
    <s v="STORE3"/>
    <n v="2"/>
    <n v="42.51"/>
    <x v="13"/>
    <x v="2"/>
    <x v="0"/>
    <x v="22"/>
    <x v="1"/>
    <x v="96"/>
    <x v="2"/>
    <n v="312.8"/>
    <x v="0"/>
    <x v="0"/>
    <x v="1466"/>
    <n v="56"/>
  </r>
  <r>
    <s v="SALE1469"/>
    <x v="132"/>
    <s v="CUST1359"/>
    <s v="PROD75"/>
    <s v="STORE7"/>
    <n v="3"/>
    <n v="582.1"/>
    <x v="27"/>
    <x v="1"/>
    <x v="0"/>
    <x v="32"/>
    <x v="2"/>
    <x v="28"/>
    <x v="4"/>
    <n v="158.14"/>
    <x v="2"/>
    <x v="2"/>
    <x v="1467"/>
    <n v="32"/>
  </r>
  <r>
    <s v="SALE1470"/>
    <x v="187"/>
    <s v="CUST1219"/>
    <s v="PROD82"/>
    <s v="STORE17"/>
    <n v="4"/>
    <n v="461.52"/>
    <x v="33"/>
    <x v="2"/>
    <x v="1"/>
    <x v="19"/>
    <x v="0"/>
    <x v="74"/>
    <x v="0"/>
    <n v="152.92"/>
    <x v="0"/>
    <x v="1"/>
    <x v="1468"/>
    <n v="47"/>
  </r>
  <r>
    <s v="SALE1471"/>
    <x v="25"/>
    <s v="CUST1496"/>
    <s v="PROD16"/>
    <s v="STORE11"/>
    <n v="1"/>
    <n v="558.42"/>
    <x v="15"/>
    <x v="0"/>
    <x v="0"/>
    <x v="31"/>
    <x v="3"/>
    <x v="30"/>
    <x v="2"/>
    <n v="337.42"/>
    <x v="2"/>
    <x v="2"/>
    <x v="1469"/>
    <n v="56"/>
  </r>
  <r>
    <s v="SALE1472"/>
    <x v="519"/>
    <s v="CUST1263"/>
    <s v="PROD12"/>
    <s v="STORE18"/>
    <n v="4"/>
    <n v="700.98"/>
    <x v="27"/>
    <x v="1"/>
    <x v="0"/>
    <x v="38"/>
    <x v="3"/>
    <x v="21"/>
    <x v="2"/>
    <n v="115.82"/>
    <x v="3"/>
    <x v="1"/>
    <x v="1470"/>
    <n v="50"/>
  </r>
  <r>
    <s v="SALE1473"/>
    <x v="421"/>
    <s v="CUST1405"/>
    <s v="PROD85"/>
    <s v="STORE18"/>
    <n v="2"/>
    <n v="227.97"/>
    <x v="16"/>
    <x v="2"/>
    <x v="1"/>
    <x v="38"/>
    <x v="0"/>
    <x v="65"/>
    <x v="4"/>
    <n v="119.57"/>
    <x v="3"/>
    <x v="1"/>
    <x v="1471"/>
    <n v="18"/>
  </r>
  <r>
    <s v="SALE1474"/>
    <x v="633"/>
    <s v="CUST1474"/>
    <s v="PROD39"/>
    <s v="STORE11"/>
    <n v="4"/>
    <n v="278.71"/>
    <x v="29"/>
    <x v="1"/>
    <x v="1"/>
    <x v="34"/>
    <x v="1"/>
    <x v="11"/>
    <x v="1"/>
    <n v="326.06"/>
    <x v="2"/>
    <x v="2"/>
    <x v="1472"/>
    <n v="32"/>
  </r>
  <r>
    <s v="SALE1475"/>
    <x v="411"/>
    <s v="CUST1259"/>
    <s v="PROD99"/>
    <s v="STORE8"/>
    <n v="2"/>
    <n v="916.12"/>
    <x v="28"/>
    <x v="1"/>
    <x v="1"/>
    <x v="15"/>
    <x v="2"/>
    <x v="8"/>
    <x v="3"/>
    <n v="201.41"/>
    <x v="1"/>
    <x v="2"/>
    <x v="1473"/>
    <n v="32"/>
  </r>
  <r>
    <s v="SALE1476"/>
    <x v="528"/>
    <s v="CUST1133"/>
    <s v="PROD10"/>
    <s v="STORE12"/>
    <n v="4"/>
    <n v="228.98"/>
    <x v="14"/>
    <x v="1"/>
    <x v="1"/>
    <x v="26"/>
    <x v="3"/>
    <x v="31"/>
    <x v="3"/>
    <n v="298.86"/>
    <x v="0"/>
    <x v="2"/>
    <x v="1474"/>
    <n v="62"/>
  </r>
  <r>
    <s v="SALE1477"/>
    <x v="438"/>
    <s v="CUST1234"/>
    <s v="PROD89"/>
    <s v="STORE15"/>
    <n v="4"/>
    <n v="904.82"/>
    <x v="0"/>
    <x v="1"/>
    <x v="1"/>
    <x v="32"/>
    <x v="0"/>
    <x v="41"/>
    <x v="2"/>
    <n v="183.04"/>
    <x v="0"/>
    <x v="1"/>
    <x v="1475"/>
    <n v="43"/>
  </r>
  <r>
    <s v="SALE1478"/>
    <x v="330"/>
    <s v="CUST1081"/>
    <s v="PROD23"/>
    <s v="STORE11"/>
    <n v="1"/>
    <n v="588.61"/>
    <x v="30"/>
    <x v="1"/>
    <x v="1"/>
    <x v="28"/>
    <x v="1"/>
    <x v="34"/>
    <x v="4"/>
    <n v="248.821917808219"/>
    <x v="2"/>
    <x v="2"/>
    <x v="1476"/>
    <n v="34"/>
  </r>
  <r>
    <s v="SALE1479"/>
    <x v="269"/>
    <s v="CUST1113"/>
    <s v="PROD33"/>
    <s v="STORE3"/>
    <n v="4"/>
    <n v="695.97"/>
    <x v="31"/>
    <x v="0"/>
    <x v="0"/>
    <x v="23"/>
    <x v="0"/>
    <x v="9"/>
    <x v="3"/>
    <n v="179.77"/>
    <x v="0"/>
    <x v="0"/>
    <x v="1477"/>
    <n v="51"/>
  </r>
  <r>
    <s v="SALE1480"/>
    <x v="273"/>
    <s v="CUST1301"/>
    <s v="PROD97"/>
    <s v="STORE11"/>
    <n v="2"/>
    <n v="181.42"/>
    <x v="16"/>
    <x v="1"/>
    <x v="0"/>
    <x v="45"/>
    <x v="0"/>
    <x v="0"/>
    <x v="0"/>
    <n v="245.98"/>
    <x v="2"/>
    <x v="2"/>
    <x v="1478"/>
    <n v="50"/>
  </r>
  <r>
    <s v="SALE1481"/>
    <x v="634"/>
    <s v="CUST1023"/>
    <s v="PROD97"/>
    <s v="STORE13"/>
    <n v="1"/>
    <n v="439.55"/>
    <x v="12"/>
    <x v="2"/>
    <x v="1"/>
    <x v="47"/>
    <x v="2"/>
    <x v="0"/>
    <x v="0"/>
    <n v="245.98"/>
    <x v="3"/>
    <x v="1"/>
    <x v="1479"/>
    <n v="52"/>
  </r>
  <r>
    <s v="SALE1482"/>
    <x v="295"/>
    <s v="CUST1114"/>
    <s v="PROD55"/>
    <s v="STORE18"/>
    <n v="3"/>
    <n v="471.27"/>
    <x v="1"/>
    <x v="2"/>
    <x v="0"/>
    <x v="8"/>
    <x v="3"/>
    <x v="76"/>
    <x v="3"/>
    <n v="81.75"/>
    <x v="3"/>
    <x v="1"/>
    <x v="1480"/>
    <n v="30"/>
  </r>
  <r>
    <s v="SALE1483"/>
    <x v="259"/>
    <s v="CUST1044"/>
    <s v="PROD59"/>
    <s v="STORE12"/>
    <n v="1"/>
    <n v="758.89"/>
    <x v="30"/>
    <x v="0"/>
    <x v="0"/>
    <x v="22"/>
    <x v="3"/>
    <x v="4"/>
    <x v="2"/>
    <n v="17.31"/>
    <x v="0"/>
    <x v="2"/>
    <x v="1481"/>
    <n v="34"/>
  </r>
  <r>
    <s v="SALE1484"/>
    <x v="342"/>
    <s v="CUST1485"/>
    <s v="PROD95"/>
    <s v="STORE15"/>
    <n v="4"/>
    <n v="918.1"/>
    <x v="5"/>
    <x v="2"/>
    <x v="1"/>
    <x v="45"/>
    <x v="3"/>
    <x v="98"/>
    <x v="0"/>
    <n v="60.65"/>
    <x v="0"/>
    <x v="1"/>
    <x v="1482"/>
    <n v="46"/>
  </r>
  <r>
    <s v="SALE1485"/>
    <x v="368"/>
    <s v="CUST1259"/>
    <s v="PROD94"/>
    <s v="STORE11"/>
    <n v="1"/>
    <n v="861.5"/>
    <x v="28"/>
    <x v="2"/>
    <x v="1"/>
    <x v="15"/>
    <x v="2"/>
    <x v="32"/>
    <x v="2"/>
    <n v="358.47"/>
    <x v="2"/>
    <x v="2"/>
    <x v="1483"/>
    <n v="32"/>
  </r>
  <r>
    <s v="SALE1486"/>
    <x v="629"/>
    <s v="CUST1462"/>
    <s v="PROD22"/>
    <s v="STORE14"/>
    <n v="1"/>
    <n v="588.3"/>
    <x v="25"/>
    <x v="2"/>
    <x v="1"/>
    <x v="35"/>
    <x v="2"/>
    <x v="62"/>
    <x v="0"/>
    <n v="484.62"/>
    <x v="2"/>
    <x v="0"/>
    <x v="1484"/>
    <n v="34"/>
  </r>
  <r>
    <s v="SALE1487"/>
    <x v="606"/>
    <s v="CUST1462"/>
    <s v="PROD55"/>
    <s v="STORE7"/>
    <n v="1"/>
    <n v="917.26"/>
    <x v="28"/>
    <x v="1"/>
    <x v="1"/>
    <x v="35"/>
    <x v="2"/>
    <x v="76"/>
    <x v="3"/>
    <n v="81.75"/>
    <x v="2"/>
    <x v="2"/>
    <x v="1485"/>
    <n v="34"/>
  </r>
  <r>
    <s v="SALE1488"/>
    <x v="635"/>
    <s v="CUST1233"/>
    <s v="PROD6"/>
    <s v="STORE18"/>
    <n v="4"/>
    <n v="96.78"/>
    <x v="32"/>
    <x v="1"/>
    <x v="0"/>
    <x v="35"/>
    <x v="2"/>
    <x v="96"/>
    <x v="2"/>
    <n v="312.8"/>
    <x v="3"/>
    <x v="1"/>
    <x v="1486"/>
    <n v="59"/>
  </r>
  <r>
    <s v="SALE1489"/>
    <x v="434"/>
    <s v="CUST1478"/>
    <s v="PROD28"/>
    <s v="STORE4"/>
    <n v="3"/>
    <n v="199.41"/>
    <x v="3"/>
    <x v="2"/>
    <x v="0"/>
    <x v="34"/>
    <x v="0"/>
    <x v="77"/>
    <x v="0"/>
    <n v="38.76"/>
    <x v="2"/>
    <x v="2"/>
    <x v="1487"/>
    <n v="59"/>
  </r>
  <r>
    <s v="SALE1490"/>
    <x v="603"/>
    <s v="CUST1019"/>
    <s v="PROD54"/>
    <s v="STORE9"/>
    <n v="1"/>
    <n v="687.91"/>
    <x v="2"/>
    <x v="0"/>
    <x v="1"/>
    <x v="19"/>
    <x v="1"/>
    <x v="59"/>
    <x v="0"/>
    <n v="434.84"/>
    <x v="2"/>
    <x v="1"/>
    <x v="1488"/>
    <n v="46"/>
  </r>
  <r>
    <s v="SALE1491"/>
    <x v="68"/>
    <s v="CUST1039"/>
    <s v="PROD71"/>
    <s v="STORE2"/>
    <n v="3"/>
    <n v="769.62"/>
    <x v="0"/>
    <x v="1"/>
    <x v="1"/>
    <x v="20"/>
    <x v="0"/>
    <x v="51"/>
    <x v="2"/>
    <n v="214.32"/>
    <x v="2"/>
    <x v="0"/>
    <x v="1489"/>
    <n v="55"/>
  </r>
  <r>
    <s v="SALE1492"/>
    <x v="636"/>
    <s v="CUST1220"/>
    <s v="PROD4"/>
    <s v="STORE3"/>
    <n v="1"/>
    <n v="492.05"/>
    <x v="1"/>
    <x v="0"/>
    <x v="1"/>
    <x v="43"/>
    <x v="3"/>
    <x v="83"/>
    <x v="4"/>
    <n v="306.46"/>
    <x v="0"/>
    <x v="0"/>
    <x v="1490"/>
    <n v="50"/>
  </r>
  <r>
    <s v="SALE1493"/>
    <x v="442"/>
    <s v="CUST1104"/>
    <s v="PROD17"/>
    <s v="STORE12"/>
    <n v="2"/>
    <n v="428.55"/>
    <x v="33"/>
    <x v="1"/>
    <x v="0"/>
    <x v="36"/>
    <x v="2"/>
    <x v="53"/>
    <x v="0"/>
    <n v="144.53"/>
    <x v="0"/>
    <x v="2"/>
    <x v="1491"/>
    <n v="64"/>
  </r>
  <r>
    <s v="SALE1494"/>
    <x v="378"/>
    <s v="CUST1229"/>
    <s v="PROD10"/>
    <s v="STORE15"/>
    <n v="4"/>
    <n v="316.18"/>
    <x v="27"/>
    <x v="0"/>
    <x v="1"/>
    <x v="33"/>
    <x v="3"/>
    <x v="31"/>
    <x v="3"/>
    <n v="298.86"/>
    <x v="0"/>
    <x v="1"/>
    <x v="1492"/>
    <n v="32"/>
  </r>
  <r>
    <s v="SALE1495"/>
    <x v="224"/>
    <s v="CUST1007"/>
    <s v="PROD13"/>
    <s v="STORE3"/>
    <n v="3"/>
    <n v="162.17"/>
    <x v="6"/>
    <x v="1"/>
    <x v="1"/>
    <x v="35"/>
    <x v="3"/>
    <x v="26"/>
    <x v="1"/>
    <n v="242.23"/>
    <x v="0"/>
    <x v="0"/>
    <x v="1493"/>
    <n v="29"/>
  </r>
  <r>
    <s v="SALE1496"/>
    <x v="562"/>
    <s v="CUST1331"/>
    <s v="PROD4"/>
    <s v="STORE3"/>
    <n v="3"/>
    <n v="698.14"/>
    <x v="13"/>
    <x v="1"/>
    <x v="1"/>
    <x v="10"/>
    <x v="3"/>
    <x v="83"/>
    <x v="4"/>
    <n v="306.46"/>
    <x v="0"/>
    <x v="0"/>
    <x v="1494"/>
    <n v="38"/>
  </r>
  <r>
    <s v="SALE1497"/>
    <x v="605"/>
    <s v="CUST1310"/>
    <s v="PROD74"/>
    <s v="STORE18"/>
    <n v="1"/>
    <n v="478.08"/>
    <x v="8"/>
    <x v="2"/>
    <x v="0"/>
    <x v="1"/>
    <x v="2"/>
    <x v="1"/>
    <x v="1"/>
    <n v="403.71"/>
    <x v="3"/>
    <x v="1"/>
    <x v="1495"/>
    <n v="20"/>
  </r>
  <r>
    <s v="SALE1498"/>
    <x v="384"/>
    <s v="CUST1208"/>
    <s v="PROD59"/>
    <s v="STORE7"/>
    <n v="2"/>
    <n v="958.64"/>
    <x v="29"/>
    <x v="1"/>
    <x v="0"/>
    <x v="38"/>
    <x v="1"/>
    <x v="4"/>
    <x v="2"/>
    <n v="17.31"/>
    <x v="2"/>
    <x v="2"/>
    <x v="1496"/>
    <n v="54"/>
  </r>
  <r>
    <s v="SALE1499"/>
    <x v="424"/>
    <s v="CUST1464"/>
    <s v="PROD41"/>
    <s v="STORE12"/>
    <n v="2"/>
    <n v="581.19"/>
    <x v="8"/>
    <x v="2"/>
    <x v="1"/>
    <x v="7"/>
    <x v="1"/>
    <x v="89"/>
    <x v="0"/>
    <n v="313.26"/>
    <x v="0"/>
    <x v="2"/>
    <x v="1497"/>
    <n v="45"/>
  </r>
  <r>
    <s v="SALE1500"/>
    <x v="172"/>
    <s v="CUST1112"/>
    <s v="PROD99"/>
    <s v="STORE11"/>
    <n v="1"/>
    <n v="736.54"/>
    <x v="3"/>
    <x v="1"/>
    <x v="1"/>
    <x v="20"/>
    <x v="2"/>
    <x v="8"/>
    <x v="3"/>
    <n v="201.41"/>
    <x v="2"/>
    <x v="2"/>
    <x v="1498"/>
    <n v="27"/>
  </r>
  <r>
    <s v="SALE1501"/>
    <x v="426"/>
    <s v="CUST1401"/>
    <s v="PROD65"/>
    <s v="STORE15"/>
    <n v="1"/>
    <n v="524"/>
    <x v="23"/>
    <x v="0"/>
    <x v="1"/>
    <x v="8"/>
    <x v="1"/>
    <x v="15"/>
    <x v="0"/>
    <n v="240.63"/>
    <x v="0"/>
    <x v="1"/>
    <x v="1499"/>
    <n v="51"/>
  </r>
  <r>
    <s v="SALE1502"/>
    <x v="488"/>
    <s v="CUST1046"/>
    <s v="PROD28"/>
    <s v="STORE3"/>
    <n v="4"/>
    <n v="566.09"/>
    <x v="23"/>
    <x v="2"/>
    <x v="1"/>
    <x v="31"/>
    <x v="1"/>
    <x v="77"/>
    <x v="0"/>
    <n v="38.76"/>
    <x v="0"/>
    <x v="0"/>
    <x v="1500"/>
    <n v="55"/>
  </r>
  <r>
    <s v="SALE1503"/>
    <x v="359"/>
    <s v="CUST1259"/>
    <s v="PROD21"/>
    <s v="STORE10"/>
    <n v="1"/>
    <n v="251.99"/>
    <x v="0"/>
    <x v="0"/>
    <x v="1"/>
    <x v="15"/>
    <x v="2"/>
    <x v="39"/>
    <x v="3"/>
    <n v="123.46"/>
    <x v="3"/>
    <x v="2"/>
    <x v="1501"/>
    <n v="32"/>
  </r>
  <r>
    <s v="SALE1504"/>
    <x v="191"/>
    <s v="CUST1221"/>
    <s v="PROD17"/>
    <s v="STORE19"/>
    <n v="1"/>
    <n v="259.2"/>
    <x v="1"/>
    <x v="2"/>
    <x v="0"/>
    <x v="36"/>
    <x v="1"/>
    <x v="53"/>
    <x v="0"/>
    <n v="144.53"/>
    <x v="3"/>
    <x v="2"/>
    <x v="1502"/>
    <n v="38"/>
  </r>
  <r>
    <s v="SALE1505"/>
    <x v="163"/>
    <s v="CUST1446"/>
    <s v="PROD59"/>
    <s v="STORE15"/>
    <n v="1"/>
    <n v="935.66"/>
    <x v="25"/>
    <x v="1"/>
    <x v="0"/>
    <x v="15"/>
    <x v="2"/>
    <x v="4"/>
    <x v="2"/>
    <n v="17.31"/>
    <x v="0"/>
    <x v="1"/>
    <x v="1503"/>
    <n v="35"/>
  </r>
  <r>
    <s v="SALE1506"/>
    <x v="342"/>
    <s v="CUST1469"/>
    <s v="PROD35"/>
    <s v="STORE8"/>
    <n v="4"/>
    <n v="480.75"/>
    <x v="31"/>
    <x v="0"/>
    <x v="0"/>
    <x v="39"/>
    <x v="0"/>
    <x v="68"/>
    <x v="3"/>
    <n v="382.22"/>
    <x v="1"/>
    <x v="2"/>
    <x v="1504"/>
    <n v="19"/>
  </r>
  <r>
    <s v="SALE1507"/>
    <x v="551"/>
    <s v="CUST1369"/>
    <s v="PROD81"/>
    <s v="STORE15"/>
    <n v="2"/>
    <n v="457.83"/>
    <x v="10"/>
    <x v="2"/>
    <x v="1"/>
    <x v="1"/>
    <x v="1"/>
    <x v="82"/>
    <x v="0"/>
    <n v="285.54"/>
    <x v="0"/>
    <x v="1"/>
    <x v="1505"/>
    <n v="20"/>
  </r>
  <r>
    <s v="SALE1508"/>
    <x v="591"/>
    <s v="CUST1164"/>
    <s v="PROD48"/>
    <s v="STORE14"/>
    <n v="1"/>
    <n v="994.63"/>
    <x v="23"/>
    <x v="0"/>
    <x v="1"/>
    <x v="36"/>
    <x v="2"/>
    <x v="70"/>
    <x v="1"/>
    <n v="177.98"/>
    <x v="2"/>
    <x v="0"/>
    <x v="1506"/>
    <n v="39"/>
  </r>
  <r>
    <s v="SALE1509"/>
    <x v="407"/>
    <s v="CUST1245"/>
    <s v="PROD90"/>
    <s v="STORE0"/>
    <n v="3"/>
    <n v="65.57"/>
    <x v="11"/>
    <x v="2"/>
    <x v="1"/>
    <x v="20"/>
    <x v="1"/>
    <x v="64"/>
    <x v="1"/>
    <n v="340.14"/>
    <x v="3"/>
    <x v="1"/>
    <x v="1507"/>
    <n v="57"/>
  </r>
  <r>
    <s v="SALE1510"/>
    <x v="468"/>
    <s v="CUST1160"/>
    <s v="PROD58"/>
    <s v="STORE17"/>
    <n v="3"/>
    <n v="622.98"/>
    <x v="23"/>
    <x v="1"/>
    <x v="1"/>
    <x v="29"/>
    <x v="1"/>
    <x v="87"/>
    <x v="4"/>
    <n v="113.83"/>
    <x v="0"/>
    <x v="1"/>
    <x v="1508"/>
    <n v="41"/>
  </r>
  <r>
    <s v="SALE1511"/>
    <x v="501"/>
    <s v="CUST1250"/>
    <s v="PROD55"/>
    <s v="STORE13"/>
    <n v="1"/>
    <n v="170.68"/>
    <x v="21"/>
    <x v="1"/>
    <x v="0"/>
    <x v="37"/>
    <x v="1"/>
    <x v="76"/>
    <x v="3"/>
    <n v="81.75"/>
    <x v="3"/>
    <x v="1"/>
    <x v="1509"/>
    <n v="48"/>
  </r>
  <r>
    <s v="SALE1512"/>
    <x v="321"/>
    <s v="CUST1096"/>
    <s v="PROD7"/>
    <s v="STORE8"/>
    <n v="4"/>
    <n v="797.83"/>
    <x v="16"/>
    <x v="0"/>
    <x v="1"/>
    <x v="38"/>
    <x v="1"/>
    <x v="84"/>
    <x v="3"/>
    <n v="218.86"/>
    <x v="1"/>
    <x v="2"/>
    <x v="1510"/>
    <n v="30"/>
  </r>
  <r>
    <s v="SALE1513"/>
    <x v="637"/>
    <s v="CUST1098"/>
    <s v="PROD2"/>
    <s v="STORE16"/>
    <n v="1"/>
    <n v="372.75"/>
    <x v="27"/>
    <x v="0"/>
    <x v="0"/>
    <x v="41"/>
    <x v="0"/>
    <x v="95"/>
    <x v="4"/>
    <n v="254.620869565217"/>
    <x v="1"/>
    <x v="1"/>
    <x v="1511"/>
    <n v="24"/>
  </r>
  <r>
    <s v="SALE1514"/>
    <x v="471"/>
    <s v="CUST1396"/>
    <s v="PROD61"/>
    <s v="STORE4"/>
    <n v="1"/>
    <n v="994.18"/>
    <x v="28"/>
    <x v="1"/>
    <x v="1"/>
    <x v="14"/>
    <x v="2"/>
    <x v="86"/>
    <x v="0"/>
    <n v="103.45"/>
    <x v="2"/>
    <x v="2"/>
    <x v="1512"/>
    <n v="25"/>
  </r>
  <r>
    <s v="SALE1515"/>
    <x v="255"/>
    <s v="CUST1422"/>
    <s v="PROD20"/>
    <s v="STORE13"/>
    <n v="1"/>
    <n v="136.12"/>
    <x v="8"/>
    <x v="0"/>
    <x v="1"/>
    <x v="32"/>
    <x v="1"/>
    <x v="42"/>
    <x v="0"/>
    <n v="131.51"/>
    <x v="3"/>
    <x v="1"/>
    <x v="1513"/>
    <n v="42"/>
  </r>
  <r>
    <s v="SALE1516"/>
    <x v="589"/>
    <s v="CUST1030"/>
    <s v="PROD52"/>
    <s v="STORE18"/>
    <n v="3"/>
    <n v="634.45"/>
    <x v="9"/>
    <x v="1"/>
    <x v="1"/>
    <x v="2"/>
    <x v="3"/>
    <x v="40"/>
    <x v="0"/>
    <n v="212.26"/>
    <x v="3"/>
    <x v="1"/>
    <x v="1514"/>
    <n v="64"/>
  </r>
  <r>
    <s v="SALE1517"/>
    <x v="140"/>
    <s v="CUST1329"/>
    <s v="PROD64"/>
    <s v="STORE0"/>
    <n v="4"/>
    <n v="179.62"/>
    <x v="28"/>
    <x v="0"/>
    <x v="1"/>
    <x v="46"/>
    <x v="3"/>
    <x v="91"/>
    <x v="2"/>
    <n v="299.11"/>
    <x v="3"/>
    <x v="1"/>
    <x v="1515"/>
    <n v="62"/>
  </r>
  <r>
    <s v="SALE1518"/>
    <x v="638"/>
    <s v="CUST1294"/>
    <s v="PROD20"/>
    <s v="STORE18"/>
    <n v="4"/>
    <n v="558.83"/>
    <x v="3"/>
    <x v="1"/>
    <x v="0"/>
    <x v="10"/>
    <x v="1"/>
    <x v="42"/>
    <x v="0"/>
    <n v="131.51"/>
    <x v="3"/>
    <x v="1"/>
    <x v="1516"/>
    <n v="29"/>
  </r>
  <r>
    <s v="SALE1519"/>
    <x v="629"/>
    <s v="CUST1171"/>
    <s v="PROD94"/>
    <s v="STORE6"/>
    <n v="2"/>
    <n v="859.74"/>
    <x v="2"/>
    <x v="2"/>
    <x v="1"/>
    <x v="30"/>
    <x v="1"/>
    <x v="32"/>
    <x v="2"/>
    <n v="358.47"/>
    <x v="3"/>
    <x v="2"/>
    <x v="1517"/>
    <n v="44"/>
  </r>
  <r>
    <s v="SALE1520"/>
    <x v="494"/>
    <s v="CUST1106"/>
    <s v="PROD65"/>
    <s v="STORE16"/>
    <n v="3"/>
    <n v="578.47"/>
    <x v="22"/>
    <x v="2"/>
    <x v="1"/>
    <x v="5"/>
    <x v="3"/>
    <x v="15"/>
    <x v="0"/>
    <n v="240.63"/>
    <x v="1"/>
    <x v="1"/>
    <x v="1518"/>
    <n v="53"/>
  </r>
  <r>
    <s v="SALE1521"/>
    <x v="431"/>
    <s v="CUST1055"/>
    <s v="PROD21"/>
    <s v="STORE12"/>
    <n v="1"/>
    <n v="440.48"/>
    <x v="32"/>
    <x v="2"/>
    <x v="1"/>
    <x v="46"/>
    <x v="3"/>
    <x v="39"/>
    <x v="3"/>
    <n v="123.46"/>
    <x v="0"/>
    <x v="2"/>
    <x v="1519"/>
    <n v="56"/>
  </r>
  <r>
    <s v="SALE1522"/>
    <x v="37"/>
    <s v="CUST1016"/>
    <s v="PROD16"/>
    <s v="STORE19"/>
    <n v="2"/>
    <n v="303.67"/>
    <x v="28"/>
    <x v="1"/>
    <x v="1"/>
    <x v="2"/>
    <x v="3"/>
    <x v="30"/>
    <x v="2"/>
    <n v="337.42"/>
    <x v="3"/>
    <x v="2"/>
    <x v="1520"/>
    <n v="24"/>
  </r>
  <r>
    <s v="SALE1523"/>
    <x v="371"/>
    <s v="CUST1336"/>
    <s v="PROD74"/>
    <s v="STORE14"/>
    <n v="2"/>
    <n v="611.21"/>
    <x v="14"/>
    <x v="2"/>
    <x v="1"/>
    <x v="47"/>
    <x v="2"/>
    <x v="1"/>
    <x v="1"/>
    <n v="403.71"/>
    <x v="2"/>
    <x v="0"/>
    <x v="1521"/>
    <n v="58"/>
  </r>
  <r>
    <s v="SALE1524"/>
    <x v="565"/>
    <s v="CUST1202"/>
    <s v="PROD39"/>
    <s v="STORE15"/>
    <n v="2"/>
    <n v="768.08"/>
    <x v="25"/>
    <x v="1"/>
    <x v="1"/>
    <x v="32"/>
    <x v="1"/>
    <x v="11"/>
    <x v="1"/>
    <n v="326.06"/>
    <x v="0"/>
    <x v="1"/>
    <x v="1522"/>
    <n v="37"/>
  </r>
  <r>
    <s v="SALE1525"/>
    <x v="627"/>
    <s v="CUST1296"/>
    <s v="PROD23"/>
    <s v="STORE18"/>
    <n v="1"/>
    <n v="616.82"/>
    <x v="24"/>
    <x v="0"/>
    <x v="1"/>
    <x v="35"/>
    <x v="3"/>
    <x v="34"/>
    <x v="4"/>
    <n v="248.821917808219"/>
    <x v="3"/>
    <x v="1"/>
    <x v="1523"/>
    <n v="28"/>
  </r>
  <r>
    <s v="SALE1526"/>
    <x v="265"/>
    <s v="CUST1183"/>
    <s v="PROD40"/>
    <s v="STORE18"/>
    <n v="1"/>
    <n v="470.34"/>
    <x v="4"/>
    <x v="2"/>
    <x v="0"/>
    <x v="14"/>
    <x v="1"/>
    <x v="43"/>
    <x v="1"/>
    <n v="38.52"/>
    <x v="3"/>
    <x v="1"/>
    <x v="1524"/>
    <n v="18"/>
  </r>
  <r>
    <s v="SALE1527"/>
    <x v="5"/>
    <s v="CUST1219"/>
    <s v="PROD53"/>
    <s v="STORE8"/>
    <n v="2"/>
    <n v="616.36"/>
    <x v="27"/>
    <x v="1"/>
    <x v="1"/>
    <x v="19"/>
    <x v="0"/>
    <x v="27"/>
    <x v="4"/>
    <n v="386.56"/>
    <x v="1"/>
    <x v="2"/>
    <x v="1525"/>
    <n v="47"/>
  </r>
  <r>
    <s v="SALE1528"/>
    <x v="244"/>
    <s v="CUST1082"/>
    <s v="PROD3"/>
    <s v="STORE9"/>
    <n v="3"/>
    <n v="657.24"/>
    <x v="4"/>
    <x v="1"/>
    <x v="0"/>
    <x v="26"/>
    <x v="3"/>
    <x v="58"/>
    <x v="4"/>
    <n v="364.67"/>
    <x v="2"/>
    <x v="1"/>
    <x v="1526"/>
    <n v="53"/>
  </r>
  <r>
    <s v="SALE1529"/>
    <x v="534"/>
    <s v="CUST1034"/>
    <s v="PROD41"/>
    <s v="STORE19"/>
    <n v="2"/>
    <n v="392.45"/>
    <x v="13"/>
    <x v="1"/>
    <x v="1"/>
    <x v="33"/>
    <x v="1"/>
    <x v="89"/>
    <x v="0"/>
    <n v="313.26"/>
    <x v="3"/>
    <x v="2"/>
    <x v="1527"/>
    <n v="27"/>
  </r>
  <r>
    <s v="SALE1530"/>
    <x v="360"/>
    <s v="CUST1245"/>
    <s v="PROD40"/>
    <s v="STORE14"/>
    <n v="3"/>
    <n v="62.03"/>
    <x v="10"/>
    <x v="2"/>
    <x v="1"/>
    <x v="20"/>
    <x v="1"/>
    <x v="43"/>
    <x v="1"/>
    <n v="38.52"/>
    <x v="2"/>
    <x v="0"/>
    <x v="1528"/>
    <n v="57"/>
  </r>
  <r>
    <s v="SALE1531"/>
    <x v="141"/>
    <s v="CUST1092"/>
    <s v="PROD96"/>
    <s v="STORE3"/>
    <n v="4"/>
    <n v="933.73"/>
    <x v="2"/>
    <x v="1"/>
    <x v="1"/>
    <x v="3"/>
    <x v="1"/>
    <x v="99"/>
    <x v="4"/>
    <n v="358.47"/>
    <x v="0"/>
    <x v="0"/>
    <x v="1529"/>
    <n v="44"/>
  </r>
  <r>
    <s v="SALE1532"/>
    <x v="639"/>
    <s v="CUST1155"/>
    <s v="PROD85"/>
    <s v="STORE16"/>
    <n v="3"/>
    <n v="615.31"/>
    <x v="17"/>
    <x v="1"/>
    <x v="1"/>
    <x v="9"/>
    <x v="0"/>
    <x v="65"/>
    <x v="4"/>
    <n v="119.57"/>
    <x v="1"/>
    <x v="1"/>
    <x v="1530"/>
    <n v="60"/>
  </r>
  <r>
    <s v="SALE1533"/>
    <x v="500"/>
    <s v="CUST1373"/>
    <s v="PROD59"/>
    <s v="STORE18"/>
    <n v="4"/>
    <n v="790.38"/>
    <x v="14"/>
    <x v="2"/>
    <x v="1"/>
    <x v="17"/>
    <x v="0"/>
    <x v="4"/>
    <x v="2"/>
    <n v="17.31"/>
    <x v="3"/>
    <x v="1"/>
    <x v="1531"/>
    <n v="37"/>
  </r>
  <r>
    <s v="SALE1534"/>
    <x v="70"/>
    <s v="CUST1269"/>
    <s v="PROD59"/>
    <s v="STORE17"/>
    <n v="2"/>
    <n v="102.85"/>
    <x v="16"/>
    <x v="1"/>
    <x v="1"/>
    <x v="24"/>
    <x v="2"/>
    <x v="4"/>
    <x v="2"/>
    <n v="17.31"/>
    <x v="0"/>
    <x v="1"/>
    <x v="1532"/>
    <n v="45"/>
  </r>
  <r>
    <s v="SALE1535"/>
    <x v="8"/>
    <s v="CUST1039"/>
    <s v="PROD11"/>
    <s v="STORE16"/>
    <n v="3"/>
    <n v="866.78"/>
    <x v="1"/>
    <x v="1"/>
    <x v="1"/>
    <x v="20"/>
    <x v="0"/>
    <x v="75"/>
    <x v="1"/>
    <n v="449.4"/>
    <x v="1"/>
    <x v="1"/>
    <x v="1533"/>
    <n v="55"/>
  </r>
  <r>
    <s v="SALE1536"/>
    <x v="38"/>
    <s v="CUST1208"/>
    <s v="PROD78"/>
    <s v="STORE16"/>
    <n v="3"/>
    <n v="392.84"/>
    <x v="1"/>
    <x v="1"/>
    <x v="0"/>
    <x v="38"/>
    <x v="1"/>
    <x v="36"/>
    <x v="3"/>
    <n v="325.26"/>
    <x v="1"/>
    <x v="1"/>
    <x v="1534"/>
    <n v="54"/>
  </r>
  <r>
    <s v="SALE1537"/>
    <x v="298"/>
    <s v="CUST1323"/>
    <s v="PROD9"/>
    <s v="STORE5"/>
    <n v="2"/>
    <n v="753.1"/>
    <x v="5"/>
    <x v="1"/>
    <x v="1"/>
    <x v="29"/>
    <x v="1"/>
    <x v="93"/>
    <x v="0"/>
    <n v="495.72"/>
    <x v="0"/>
    <x v="0"/>
    <x v="1535"/>
    <n v="64"/>
  </r>
  <r>
    <s v="SALE1538"/>
    <x v="61"/>
    <s v="CUST1007"/>
    <s v="PROD54"/>
    <s v="STORE17"/>
    <n v="2"/>
    <n v="700.91"/>
    <x v="30"/>
    <x v="1"/>
    <x v="1"/>
    <x v="35"/>
    <x v="3"/>
    <x v="59"/>
    <x v="0"/>
    <n v="434.84"/>
    <x v="0"/>
    <x v="1"/>
    <x v="1536"/>
    <n v="29"/>
  </r>
  <r>
    <s v="SALE1539"/>
    <x v="169"/>
    <s v="CUST1072"/>
    <s v="PROD15"/>
    <s v="STORE12"/>
    <n v="4"/>
    <n v="935.98"/>
    <x v="32"/>
    <x v="1"/>
    <x v="1"/>
    <x v="9"/>
    <x v="0"/>
    <x v="5"/>
    <x v="1"/>
    <n v="465.34"/>
    <x v="0"/>
    <x v="2"/>
    <x v="1537"/>
    <n v="39"/>
  </r>
  <r>
    <s v="SALE1540"/>
    <x v="68"/>
    <s v="CUST1485"/>
    <s v="PROD76"/>
    <s v="STORE16"/>
    <n v="1"/>
    <n v="539.9"/>
    <x v="8"/>
    <x v="0"/>
    <x v="1"/>
    <x v="45"/>
    <x v="3"/>
    <x v="3"/>
    <x v="1"/>
    <n v="392.89"/>
    <x v="1"/>
    <x v="1"/>
    <x v="1538"/>
    <n v="46"/>
  </r>
  <r>
    <s v="SALE1541"/>
    <x v="133"/>
    <s v="CUST1171"/>
    <s v="PROD40"/>
    <s v="STORE6"/>
    <n v="1"/>
    <n v="312.81"/>
    <x v="17"/>
    <x v="1"/>
    <x v="1"/>
    <x v="30"/>
    <x v="1"/>
    <x v="43"/>
    <x v="1"/>
    <n v="38.52"/>
    <x v="3"/>
    <x v="2"/>
    <x v="1539"/>
    <n v="44"/>
  </r>
  <r>
    <s v="SALE1542"/>
    <x v="187"/>
    <s v="CUST1249"/>
    <s v="PROD48"/>
    <s v="STORE7"/>
    <n v="3"/>
    <n v="855.96"/>
    <x v="12"/>
    <x v="2"/>
    <x v="1"/>
    <x v="14"/>
    <x v="0"/>
    <x v="70"/>
    <x v="1"/>
    <n v="177.98"/>
    <x v="2"/>
    <x v="2"/>
    <x v="1540"/>
    <n v="41"/>
  </r>
  <r>
    <s v="SALE1543"/>
    <x v="387"/>
    <s v="CUST1355"/>
    <s v="PROD1"/>
    <s v="STORE11"/>
    <n v="3"/>
    <n v="305"/>
    <x v="10"/>
    <x v="2"/>
    <x v="0"/>
    <x v="7"/>
    <x v="0"/>
    <x v="55"/>
    <x v="4"/>
    <n v="342.56"/>
    <x v="2"/>
    <x v="2"/>
    <x v="1541"/>
    <n v="20"/>
  </r>
  <r>
    <s v="SALE1544"/>
    <x v="191"/>
    <s v="CUST1468"/>
    <s v="PROD99"/>
    <s v="STORE12"/>
    <n v="3"/>
    <n v="831.15"/>
    <x v="5"/>
    <x v="0"/>
    <x v="0"/>
    <x v="1"/>
    <x v="3"/>
    <x v="8"/>
    <x v="3"/>
    <n v="201.41"/>
    <x v="0"/>
    <x v="2"/>
    <x v="1542"/>
    <n v="45"/>
  </r>
  <r>
    <s v="SALE1545"/>
    <x v="545"/>
    <s v="CUST1207"/>
    <s v="PROD96"/>
    <s v="STORE3"/>
    <n v="2"/>
    <n v="644.97"/>
    <x v="24"/>
    <x v="2"/>
    <x v="1"/>
    <x v="19"/>
    <x v="3"/>
    <x v="99"/>
    <x v="4"/>
    <n v="358.47"/>
    <x v="0"/>
    <x v="0"/>
    <x v="1543"/>
    <n v="28"/>
  </r>
  <r>
    <s v="SALE1546"/>
    <x v="640"/>
    <s v="CUST1095"/>
    <s v="PROD88"/>
    <s v="STORE1"/>
    <n v="1"/>
    <n v="149.56"/>
    <x v="0"/>
    <x v="0"/>
    <x v="1"/>
    <x v="14"/>
    <x v="1"/>
    <x v="12"/>
    <x v="0"/>
    <n v="131.24"/>
    <x v="0"/>
    <x v="1"/>
    <x v="1544"/>
    <n v="62"/>
  </r>
  <r>
    <s v="SALE1547"/>
    <x v="244"/>
    <s v="CUST1217"/>
    <s v="PROD43"/>
    <s v="STORE19"/>
    <n v="1"/>
    <n v="661.77"/>
    <x v="15"/>
    <x v="1"/>
    <x v="0"/>
    <x v="6"/>
    <x v="2"/>
    <x v="19"/>
    <x v="1"/>
    <n v="253.33"/>
    <x v="3"/>
    <x v="2"/>
    <x v="1545"/>
    <n v="42"/>
  </r>
  <r>
    <s v="SALE1548"/>
    <x v="641"/>
    <s v="CUST1108"/>
    <s v="PROD94"/>
    <s v="STORE7"/>
    <n v="3"/>
    <n v="99.67"/>
    <x v="9"/>
    <x v="0"/>
    <x v="0"/>
    <x v="21"/>
    <x v="3"/>
    <x v="32"/>
    <x v="2"/>
    <n v="358.47"/>
    <x v="2"/>
    <x v="2"/>
    <x v="1546"/>
    <n v="38"/>
  </r>
  <r>
    <s v="SALE1549"/>
    <x v="329"/>
    <s v="CUST1221"/>
    <s v="PROD62"/>
    <s v="STORE1"/>
    <n v="3"/>
    <n v="103.66"/>
    <x v="25"/>
    <x v="2"/>
    <x v="0"/>
    <x v="36"/>
    <x v="1"/>
    <x v="85"/>
    <x v="1"/>
    <n v="86.42"/>
    <x v="0"/>
    <x v="1"/>
    <x v="1547"/>
    <n v="38"/>
  </r>
  <r>
    <s v="SALE1550"/>
    <x v="619"/>
    <s v="CUST1436"/>
    <s v="PROD40"/>
    <s v="STORE2"/>
    <n v="4"/>
    <n v="54.4"/>
    <x v="14"/>
    <x v="0"/>
    <x v="0"/>
    <x v="34"/>
    <x v="0"/>
    <x v="43"/>
    <x v="1"/>
    <n v="38.52"/>
    <x v="2"/>
    <x v="0"/>
    <x v="1548"/>
    <n v="61"/>
  </r>
  <r>
    <s v="SALE1551"/>
    <x v="259"/>
    <s v="CUST1490"/>
    <s v="PROD84"/>
    <s v="STORE14"/>
    <n v="1"/>
    <n v="46.66"/>
    <x v="29"/>
    <x v="0"/>
    <x v="0"/>
    <x v="33"/>
    <x v="1"/>
    <x v="94"/>
    <x v="3"/>
    <n v="388.46"/>
    <x v="2"/>
    <x v="0"/>
    <x v="1549"/>
    <n v="23"/>
  </r>
  <r>
    <s v="SALE1552"/>
    <x v="21"/>
    <s v="CUST1007"/>
    <s v="PROD73"/>
    <s v="STORE11"/>
    <n v="4"/>
    <n v="871.2"/>
    <x v="12"/>
    <x v="0"/>
    <x v="1"/>
    <x v="35"/>
    <x v="3"/>
    <x v="78"/>
    <x v="0"/>
    <n v="107.06"/>
    <x v="2"/>
    <x v="2"/>
    <x v="1550"/>
    <n v="29"/>
  </r>
  <r>
    <s v="SALE1553"/>
    <x v="512"/>
    <s v="CUST1379"/>
    <s v="PROD18"/>
    <s v="STORE14"/>
    <n v="4"/>
    <n v="317.11"/>
    <x v="3"/>
    <x v="1"/>
    <x v="1"/>
    <x v="9"/>
    <x v="0"/>
    <x v="97"/>
    <x v="4"/>
    <n v="245.778311688312"/>
    <x v="2"/>
    <x v="0"/>
    <x v="1551"/>
    <n v="34"/>
  </r>
  <r>
    <s v="SALE1554"/>
    <x v="214"/>
    <s v="CUST1258"/>
    <s v="PROD25"/>
    <s v="STORE13"/>
    <n v="2"/>
    <n v="388.34"/>
    <x v="0"/>
    <x v="1"/>
    <x v="1"/>
    <x v="11"/>
    <x v="1"/>
    <x v="60"/>
    <x v="4"/>
    <n v="174.02"/>
    <x v="3"/>
    <x v="1"/>
    <x v="1552"/>
    <n v="24"/>
  </r>
  <r>
    <s v="SALE1555"/>
    <x v="336"/>
    <s v="CUST1319"/>
    <s v="PROD30"/>
    <s v="STORE6"/>
    <n v="4"/>
    <n v="998.2"/>
    <x v="6"/>
    <x v="0"/>
    <x v="0"/>
    <x v="25"/>
    <x v="1"/>
    <x v="37"/>
    <x v="3"/>
    <n v="19.52"/>
    <x v="3"/>
    <x v="2"/>
    <x v="1553"/>
    <n v="54"/>
  </r>
  <r>
    <s v="SALE1556"/>
    <x v="45"/>
    <s v="CUST1493"/>
    <s v="PROD36"/>
    <s v="STORE0"/>
    <n v="1"/>
    <n v="887.38"/>
    <x v="10"/>
    <x v="2"/>
    <x v="0"/>
    <x v="4"/>
    <x v="2"/>
    <x v="14"/>
    <x v="4"/>
    <n v="223.43"/>
    <x v="3"/>
    <x v="1"/>
    <x v="1554"/>
    <n v="28"/>
  </r>
  <r>
    <s v="SALE1557"/>
    <x v="414"/>
    <s v="CUST1312"/>
    <s v="PROD37"/>
    <s v="STORE12"/>
    <n v="4"/>
    <n v="332.97"/>
    <x v="23"/>
    <x v="0"/>
    <x v="1"/>
    <x v="37"/>
    <x v="2"/>
    <x v="92"/>
    <x v="4"/>
    <n v="353.47"/>
    <x v="0"/>
    <x v="2"/>
    <x v="1555"/>
    <n v="47"/>
  </r>
  <r>
    <s v="SALE1558"/>
    <x v="642"/>
    <s v="CUST1021"/>
    <s v="PROD46"/>
    <s v="STORE0"/>
    <n v="2"/>
    <n v="157.91"/>
    <x v="0"/>
    <x v="2"/>
    <x v="1"/>
    <x v="15"/>
    <x v="0"/>
    <x v="54"/>
    <x v="4"/>
    <n v="167.34"/>
    <x v="3"/>
    <x v="1"/>
    <x v="1556"/>
    <n v="36"/>
  </r>
  <r>
    <s v="SALE1559"/>
    <x v="401"/>
    <s v="CUST1356"/>
    <s v="PROD12"/>
    <s v="STORE18"/>
    <n v="1"/>
    <n v="548.15"/>
    <x v="32"/>
    <x v="0"/>
    <x v="0"/>
    <x v="45"/>
    <x v="3"/>
    <x v="21"/>
    <x v="2"/>
    <n v="115.82"/>
    <x v="3"/>
    <x v="1"/>
    <x v="1557"/>
    <n v="54"/>
  </r>
  <r>
    <s v="SALE1560"/>
    <x v="224"/>
    <s v="CUST1209"/>
    <s v="PROD48"/>
    <s v="STORE15"/>
    <n v="1"/>
    <n v="135.13"/>
    <x v="13"/>
    <x v="0"/>
    <x v="1"/>
    <x v="17"/>
    <x v="1"/>
    <x v="70"/>
    <x v="1"/>
    <n v="177.98"/>
    <x v="0"/>
    <x v="1"/>
    <x v="1558"/>
    <n v="50"/>
  </r>
  <r>
    <s v="SALE1561"/>
    <x v="374"/>
    <s v="CUST1219"/>
    <s v="PROD56"/>
    <s v="STORE3"/>
    <n v="3"/>
    <n v="579.26"/>
    <x v="5"/>
    <x v="0"/>
    <x v="1"/>
    <x v="19"/>
    <x v="0"/>
    <x v="6"/>
    <x v="3"/>
    <n v="461.47"/>
    <x v="0"/>
    <x v="0"/>
    <x v="1559"/>
    <n v="47"/>
  </r>
  <r>
    <s v="SALE1562"/>
    <x v="643"/>
    <s v="CUST1389"/>
    <s v="PROD17"/>
    <s v="STORE0"/>
    <n v="1"/>
    <n v="465.63"/>
    <x v="2"/>
    <x v="0"/>
    <x v="0"/>
    <x v="48"/>
    <x v="1"/>
    <x v="53"/>
    <x v="0"/>
    <n v="144.53"/>
    <x v="3"/>
    <x v="1"/>
    <x v="1560"/>
    <n v="50"/>
  </r>
  <r>
    <s v="SALE1563"/>
    <x v="364"/>
    <s v="CUST1047"/>
    <s v="PROD76"/>
    <s v="STORE16"/>
    <n v="2"/>
    <n v="675.61"/>
    <x v="16"/>
    <x v="2"/>
    <x v="1"/>
    <x v="8"/>
    <x v="2"/>
    <x v="3"/>
    <x v="1"/>
    <n v="392.89"/>
    <x v="1"/>
    <x v="1"/>
    <x v="1561"/>
    <n v="54"/>
  </r>
  <r>
    <s v="SALE1564"/>
    <x v="624"/>
    <s v="CUST1416"/>
    <s v="PROD33"/>
    <s v="STORE6"/>
    <n v="1"/>
    <n v="718.99"/>
    <x v="16"/>
    <x v="1"/>
    <x v="0"/>
    <x v="18"/>
    <x v="1"/>
    <x v="9"/>
    <x v="3"/>
    <n v="179.77"/>
    <x v="3"/>
    <x v="2"/>
    <x v="1562"/>
    <n v="46"/>
  </r>
  <r>
    <s v="SALE1565"/>
    <x v="186"/>
    <s v="CUST1376"/>
    <s v="PROD14"/>
    <s v="STORE10"/>
    <n v="2"/>
    <n v="675.65"/>
    <x v="29"/>
    <x v="2"/>
    <x v="0"/>
    <x v="40"/>
    <x v="3"/>
    <x v="66"/>
    <x v="3"/>
    <n v="48.01"/>
    <x v="3"/>
    <x v="2"/>
    <x v="1563"/>
    <n v="30"/>
  </r>
  <r>
    <s v="SALE1566"/>
    <x v="621"/>
    <s v="CUST1336"/>
    <s v="PROD95"/>
    <s v="STORE15"/>
    <n v="4"/>
    <n v="284.24"/>
    <x v="30"/>
    <x v="0"/>
    <x v="1"/>
    <x v="47"/>
    <x v="2"/>
    <x v="98"/>
    <x v="0"/>
    <n v="60.65"/>
    <x v="0"/>
    <x v="1"/>
    <x v="1564"/>
    <n v="58"/>
  </r>
  <r>
    <s v="SALE1567"/>
    <x v="621"/>
    <s v="CUST1213"/>
    <s v="PROD1"/>
    <s v="STORE3"/>
    <n v="1"/>
    <n v="94.26"/>
    <x v="4"/>
    <x v="1"/>
    <x v="1"/>
    <x v="16"/>
    <x v="1"/>
    <x v="55"/>
    <x v="4"/>
    <n v="342.56"/>
    <x v="0"/>
    <x v="0"/>
    <x v="1565"/>
    <n v="42"/>
  </r>
  <r>
    <s v="SALE1568"/>
    <x v="306"/>
    <s v="CUST1416"/>
    <s v="PROD6"/>
    <s v="STORE10"/>
    <n v="4"/>
    <n v="458.58"/>
    <x v="12"/>
    <x v="2"/>
    <x v="0"/>
    <x v="18"/>
    <x v="1"/>
    <x v="96"/>
    <x v="2"/>
    <n v="312.8"/>
    <x v="3"/>
    <x v="2"/>
    <x v="1566"/>
    <n v="46"/>
  </r>
  <r>
    <s v="SALE1569"/>
    <x v="644"/>
    <s v="CUST1113"/>
    <s v="PROD65"/>
    <s v="STORE10"/>
    <n v="4"/>
    <n v="704.49"/>
    <x v="28"/>
    <x v="2"/>
    <x v="0"/>
    <x v="23"/>
    <x v="0"/>
    <x v="15"/>
    <x v="0"/>
    <n v="240.63"/>
    <x v="3"/>
    <x v="2"/>
    <x v="1567"/>
    <n v="51"/>
  </r>
  <r>
    <s v="SALE1570"/>
    <x v="195"/>
    <s v="CUST1032"/>
    <s v="PROD27"/>
    <s v="STORE19"/>
    <n v="4"/>
    <n v="822.32"/>
    <x v="25"/>
    <x v="1"/>
    <x v="1"/>
    <x v="28"/>
    <x v="0"/>
    <x v="16"/>
    <x v="3"/>
    <n v="250.021571428571"/>
    <x v="3"/>
    <x v="2"/>
    <x v="1568"/>
    <n v="48"/>
  </r>
  <r>
    <s v="SALE1571"/>
    <x v="474"/>
    <s v="CUST1245"/>
    <s v="PROD3"/>
    <s v="STORE13"/>
    <n v="4"/>
    <n v="785.41"/>
    <x v="21"/>
    <x v="2"/>
    <x v="1"/>
    <x v="20"/>
    <x v="1"/>
    <x v="58"/>
    <x v="4"/>
    <n v="364.67"/>
    <x v="3"/>
    <x v="1"/>
    <x v="1569"/>
    <n v="57"/>
  </r>
  <r>
    <s v="SALE1572"/>
    <x v="180"/>
    <s v="CUST1031"/>
    <s v="PROD39"/>
    <s v="STORE14"/>
    <n v="1"/>
    <n v="405.8"/>
    <x v="32"/>
    <x v="1"/>
    <x v="0"/>
    <x v="47"/>
    <x v="2"/>
    <x v="11"/>
    <x v="1"/>
    <n v="326.06"/>
    <x v="2"/>
    <x v="0"/>
    <x v="1570"/>
    <n v="41"/>
  </r>
  <r>
    <s v="SALE1573"/>
    <x v="645"/>
    <s v="CUST1433"/>
    <s v="PROD91"/>
    <s v="STORE9"/>
    <n v="2"/>
    <n v="976.83"/>
    <x v="30"/>
    <x v="1"/>
    <x v="1"/>
    <x v="14"/>
    <x v="2"/>
    <x v="52"/>
    <x v="4"/>
    <n v="438.25"/>
    <x v="2"/>
    <x v="1"/>
    <x v="1571"/>
    <n v="51"/>
  </r>
  <r>
    <s v="SALE1574"/>
    <x v="469"/>
    <s v="CUST1273"/>
    <s v="PROD64"/>
    <s v="STORE2"/>
    <n v="1"/>
    <n v="644.15"/>
    <x v="22"/>
    <x v="0"/>
    <x v="0"/>
    <x v="25"/>
    <x v="3"/>
    <x v="91"/>
    <x v="2"/>
    <n v="299.11"/>
    <x v="2"/>
    <x v="0"/>
    <x v="1572"/>
    <n v="23"/>
  </r>
  <r>
    <s v="SALE1575"/>
    <x v="67"/>
    <s v="CUST1337"/>
    <s v="PROD67"/>
    <s v="STORE13"/>
    <n v="1"/>
    <n v="470.55"/>
    <x v="7"/>
    <x v="1"/>
    <x v="1"/>
    <x v="29"/>
    <x v="3"/>
    <x v="22"/>
    <x v="1"/>
    <n v="349.17"/>
    <x v="3"/>
    <x v="1"/>
    <x v="1573"/>
    <n v="40"/>
  </r>
  <r>
    <s v="SALE1576"/>
    <x v="41"/>
    <s v="CUST1478"/>
    <s v="PROD7"/>
    <s v="STORE6"/>
    <n v="3"/>
    <n v="598.82"/>
    <x v="5"/>
    <x v="2"/>
    <x v="0"/>
    <x v="34"/>
    <x v="0"/>
    <x v="84"/>
    <x v="3"/>
    <n v="218.86"/>
    <x v="3"/>
    <x v="2"/>
    <x v="1574"/>
    <n v="59"/>
  </r>
  <r>
    <s v="SALE1577"/>
    <x v="103"/>
    <s v="CUST1101"/>
    <s v="PROD20"/>
    <s v="STORE12"/>
    <n v="4"/>
    <n v="659.17"/>
    <x v="27"/>
    <x v="0"/>
    <x v="0"/>
    <x v="39"/>
    <x v="0"/>
    <x v="42"/>
    <x v="0"/>
    <n v="131.51"/>
    <x v="0"/>
    <x v="2"/>
    <x v="1575"/>
    <n v="29"/>
  </r>
  <r>
    <s v="SALE1578"/>
    <x v="423"/>
    <s v="CUST1104"/>
    <s v="PROD46"/>
    <s v="STORE1"/>
    <n v="2"/>
    <n v="216.02"/>
    <x v="2"/>
    <x v="0"/>
    <x v="0"/>
    <x v="36"/>
    <x v="2"/>
    <x v="54"/>
    <x v="4"/>
    <n v="167.34"/>
    <x v="0"/>
    <x v="1"/>
    <x v="1576"/>
    <n v="64"/>
  </r>
  <r>
    <s v="SALE1579"/>
    <x v="367"/>
    <s v="CUST1030"/>
    <s v="PROD31"/>
    <s v="STORE10"/>
    <n v="2"/>
    <n v="613.47"/>
    <x v="31"/>
    <x v="1"/>
    <x v="1"/>
    <x v="2"/>
    <x v="3"/>
    <x v="45"/>
    <x v="0"/>
    <n v="204.39"/>
    <x v="3"/>
    <x v="2"/>
    <x v="1577"/>
    <n v="64"/>
  </r>
  <r>
    <s v="SALE1580"/>
    <x v="275"/>
    <s v="CUST1098"/>
    <s v="PROD58"/>
    <s v="STORE12"/>
    <n v="2"/>
    <n v="485.17"/>
    <x v="32"/>
    <x v="1"/>
    <x v="0"/>
    <x v="41"/>
    <x v="0"/>
    <x v="87"/>
    <x v="4"/>
    <n v="113.83"/>
    <x v="0"/>
    <x v="2"/>
    <x v="1578"/>
    <n v="24"/>
  </r>
  <r>
    <s v="SALE1581"/>
    <x v="76"/>
    <s v="CUST1307"/>
    <s v="PROD46"/>
    <s v="STORE10"/>
    <n v="1"/>
    <n v="209.7"/>
    <x v="29"/>
    <x v="1"/>
    <x v="1"/>
    <x v="4"/>
    <x v="3"/>
    <x v="54"/>
    <x v="4"/>
    <n v="167.34"/>
    <x v="3"/>
    <x v="2"/>
    <x v="1579"/>
    <n v="56"/>
  </r>
  <r>
    <s v="SALE1582"/>
    <x v="598"/>
    <s v="CUST1326"/>
    <s v="PROD92"/>
    <s v="STORE0"/>
    <n v="1"/>
    <n v="681.47"/>
    <x v="6"/>
    <x v="0"/>
    <x v="1"/>
    <x v="5"/>
    <x v="0"/>
    <x v="80"/>
    <x v="3"/>
    <n v="447.43"/>
    <x v="3"/>
    <x v="1"/>
    <x v="1580"/>
    <n v="58"/>
  </r>
  <r>
    <s v="SALE1583"/>
    <x v="228"/>
    <s v="CUST1440"/>
    <s v="PROD76"/>
    <s v="STORE17"/>
    <n v="2"/>
    <n v="877.21"/>
    <x v="30"/>
    <x v="0"/>
    <x v="0"/>
    <x v="16"/>
    <x v="2"/>
    <x v="3"/>
    <x v="1"/>
    <n v="392.89"/>
    <x v="0"/>
    <x v="1"/>
    <x v="1581"/>
    <n v="60"/>
  </r>
  <r>
    <s v="SALE1584"/>
    <x v="465"/>
    <s v="CUST1318"/>
    <s v="PROD78"/>
    <s v="STORE5"/>
    <n v="2"/>
    <n v="479.77"/>
    <x v="34"/>
    <x v="1"/>
    <x v="0"/>
    <x v="32"/>
    <x v="1"/>
    <x v="36"/>
    <x v="3"/>
    <n v="325.26"/>
    <x v="0"/>
    <x v="0"/>
    <x v="1582"/>
    <n v="25"/>
  </r>
  <r>
    <s v="SALE1585"/>
    <x v="53"/>
    <s v="CUST1322"/>
    <s v="PROD83"/>
    <s v="STORE15"/>
    <n v="1"/>
    <n v="140.72"/>
    <x v="33"/>
    <x v="2"/>
    <x v="0"/>
    <x v="0"/>
    <x v="3"/>
    <x v="50"/>
    <x v="2"/>
    <n v="289.359375"/>
    <x v="0"/>
    <x v="1"/>
    <x v="1583"/>
    <n v="54"/>
  </r>
  <r>
    <s v="SALE1586"/>
    <x v="646"/>
    <s v="CUST1027"/>
    <s v="PROD19"/>
    <s v="STORE6"/>
    <n v="2"/>
    <n v="764.25"/>
    <x v="7"/>
    <x v="1"/>
    <x v="0"/>
    <x v="39"/>
    <x v="4"/>
    <x v="46"/>
    <x v="0"/>
    <n v="21.34"/>
    <x v="3"/>
    <x v="2"/>
    <x v="1584"/>
    <n v="31"/>
  </r>
  <r>
    <s v="SALE1587"/>
    <x v="217"/>
    <s v="CUST1222"/>
    <s v="PROD83"/>
    <s v="STORE5"/>
    <n v="3"/>
    <n v="107.8"/>
    <x v="12"/>
    <x v="1"/>
    <x v="0"/>
    <x v="23"/>
    <x v="1"/>
    <x v="50"/>
    <x v="2"/>
    <n v="289.359375"/>
    <x v="0"/>
    <x v="0"/>
    <x v="1585"/>
    <n v="35"/>
  </r>
  <r>
    <s v="SALE1588"/>
    <x v="234"/>
    <s v="CUST1147"/>
    <s v="PROD22"/>
    <s v="STORE8"/>
    <n v="4"/>
    <n v="565.37"/>
    <x v="8"/>
    <x v="1"/>
    <x v="1"/>
    <x v="41"/>
    <x v="1"/>
    <x v="62"/>
    <x v="0"/>
    <n v="484.62"/>
    <x v="1"/>
    <x v="2"/>
    <x v="1586"/>
    <n v="49"/>
  </r>
  <r>
    <s v="SALE1589"/>
    <x v="163"/>
    <s v="CUST1034"/>
    <s v="PROD36"/>
    <s v="STORE4"/>
    <n v="3"/>
    <n v="811.45"/>
    <x v="25"/>
    <x v="0"/>
    <x v="1"/>
    <x v="33"/>
    <x v="1"/>
    <x v="14"/>
    <x v="4"/>
    <n v="223.43"/>
    <x v="2"/>
    <x v="2"/>
    <x v="1587"/>
    <n v="27"/>
  </r>
  <r>
    <s v="SALE1590"/>
    <x v="513"/>
    <s v="CUST1410"/>
    <s v="PROD33"/>
    <s v="STORE19"/>
    <n v="4"/>
    <n v="62.25"/>
    <x v="32"/>
    <x v="1"/>
    <x v="1"/>
    <x v="19"/>
    <x v="3"/>
    <x v="9"/>
    <x v="3"/>
    <n v="179.77"/>
    <x v="3"/>
    <x v="2"/>
    <x v="1588"/>
    <n v="48"/>
  </r>
  <r>
    <s v="SALE1591"/>
    <x v="185"/>
    <s v="CUST1025"/>
    <s v="PROD95"/>
    <s v="STORE10"/>
    <n v="1"/>
    <n v="749.78"/>
    <x v="15"/>
    <x v="0"/>
    <x v="1"/>
    <x v="24"/>
    <x v="3"/>
    <x v="98"/>
    <x v="0"/>
    <n v="60.65"/>
    <x v="3"/>
    <x v="2"/>
    <x v="1589"/>
    <n v="59"/>
  </r>
  <r>
    <s v="SALE1592"/>
    <x v="647"/>
    <s v="CUST1350"/>
    <s v="PROD59"/>
    <s v="STORE5"/>
    <n v="3"/>
    <n v="630.28"/>
    <x v="8"/>
    <x v="2"/>
    <x v="0"/>
    <x v="9"/>
    <x v="2"/>
    <x v="4"/>
    <x v="2"/>
    <n v="17.31"/>
    <x v="0"/>
    <x v="0"/>
    <x v="1590"/>
    <n v="26"/>
  </r>
  <r>
    <s v="SALE1593"/>
    <x v="648"/>
    <s v="CUST1143"/>
    <s v="PROD30"/>
    <s v="STORE16"/>
    <n v="1"/>
    <n v="101.84"/>
    <x v="9"/>
    <x v="0"/>
    <x v="0"/>
    <x v="4"/>
    <x v="3"/>
    <x v="37"/>
    <x v="3"/>
    <n v="19.52"/>
    <x v="1"/>
    <x v="1"/>
    <x v="1591"/>
    <n v="46"/>
  </r>
  <r>
    <s v="SALE1594"/>
    <x v="386"/>
    <s v="CUST1055"/>
    <s v="PROD24"/>
    <s v="STORE18"/>
    <n v="4"/>
    <n v="641.45"/>
    <x v="3"/>
    <x v="2"/>
    <x v="1"/>
    <x v="46"/>
    <x v="3"/>
    <x v="10"/>
    <x v="0"/>
    <n v="166.06"/>
    <x v="3"/>
    <x v="1"/>
    <x v="1592"/>
    <n v="56"/>
  </r>
  <r>
    <s v="SALE1595"/>
    <x v="68"/>
    <s v="CUST1471"/>
    <s v="PROD43"/>
    <s v="STORE1"/>
    <n v="1"/>
    <n v="135.87"/>
    <x v="7"/>
    <x v="1"/>
    <x v="0"/>
    <x v="10"/>
    <x v="1"/>
    <x v="19"/>
    <x v="1"/>
    <n v="253.33"/>
    <x v="0"/>
    <x v="1"/>
    <x v="47"/>
    <n v="42"/>
  </r>
  <r>
    <s v="SALE1596"/>
    <x v="431"/>
    <s v="CUST1095"/>
    <s v="PROD21"/>
    <s v="STORE6"/>
    <n v="1"/>
    <n v="388.35"/>
    <x v="10"/>
    <x v="1"/>
    <x v="1"/>
    <x v="14"/>
    <x v="1"/>
    <x v="39"/>
    <x v="3"/>
    <n v="123.46"/>
    <x v="3"/>
    <x v="2"/>
    <x v="1593"/>
    <n v="62"/>
  </r>
  <r>
    <s v="SALE1597"/>
    <x v="581"/>
    <s v="CUST1486"/>
    <s v="PROD38"/>
    <s v="STORE9"/>
    <n v="2"/>
    <n v="999.08"/>
    <x v="11"/>
    <x v="1"/>
    <x v="1"/>
    <x v="1"/>
    <x v="3"/>
    <x v="48"/>
    <x v="0"/>
    <n v="135.61"/>
    <x v="2"/>
    <x v="1"/>
    <x v="1594"/>
    <n v="22"/>
  </r>
  <r>
    <s v="SALE1598"/>
    <x v="649"/>
    <s v="CUST1170"/>
    <s v="PROD38"/>
    <s v="STORE17"/>
    <n v="3"/>
    <n v="453.19"/>
    <x v="16"/>
    <x v="2"/>
    <x v="0"/>
    <x v="6"/>
    <x v="0"/>
    <x v="48"/>
    <x v="0"/>
    <n v="135.61"/>
    <x v="0"/>
    <x v="1"/>
    <x v="1595"/>
    <n v="18"/>
  </r>
  <r>
    <s v="SALE1599"/>
    <x v="528"/>
    <s v="CUST1235"/>
    <s v="PROD80"/>
    <s v="STORE10"/>
    <n v="2"/>
    <n v="61.31"/>
    <x v="6"/>
    <x v="2"/>
    <x v="1"/>
    <x v="37"/>
    <x v="3"/>
    <x v="61"/>
    <x v="3"/>
    <n v="143.43"/>
    <x v="3"/>
    <x v="2"/>
    <x v="1596"/>
    <n v="28"/>
  </r>
  <r>
    <s v="SALE1600"/>
    <x v="389"/>
    <s v="CUST1342"/>
    <s v="PROD81"/>
    <s v="STORE10"/>
    <n v="2"/>
    <n v="870.13"/>
    <x v="7"/>
    <x v="0"/>
    <x v="1"/>
    <x v="40"/>
    <x v="3"/>
    <x v="82"/>
    <x v="0"/>
    <n v="285.54"/>
    <x v="3"/>
    <x v="2"/>
    <x v="1597"/>
    <n v="30"/>
  </r>
  <r>
    <s v="SALE1601"/>
    <x v="629"/>
    <s v="CUST1067"/>
    <s v="PROD15"/>
    <s v="STORE19"/>
    <n v="1"/>
    <n v="336.51"/>
    <x v="32"/>
    <x v="1"/>
    <x v="0"/>
    <x v="26"/>
    <x v="2"/>
    <x v="5"/>
    <x v="1"/>
    <n v="465.34"/>
    <x v="3"/>
    <x v="2"/>
    <x v="1598"/>
    <n v="58"/>
  </r>
  <r>
    <s v="SALE1602"/>
    <x v="154"/>
    <s v="CUST1181"/>
    <s v="PROD67"/>
    <s v="STORE0"/>
    <n v="1"/>
    <n v="305.71"/>
    <x v="25"/>
    <x v="2"/>
    <x v="0"/>
    <x v="14"/>
    <x v="3"/>
    <x v="22"/>
    <x v="1"/>
    <n v="349.17"/>
    <x v="3"/>
    <x v="1"/>
    <x v="1599"/>
    <n v="60"/>
  </r>
  <r>
    <s v="SALE1603"/>
    <x v="183"/>
    <s v="CUST1121"/>
    <s v="PROD10"/>
    <s v="STORE18"/>
    <n v="2"/>
    <n v="635.39"/>
    <x v="12"/>
    <x v="2"/>
    <x v="0"/>
    <x v="22"/>
    <x v="1"/>
    <x v="31"/>
    <x v="3"/>
    <n v="298.86"/>
    <x v="3"/>
    <x v="1"/>
    <x v="1600"/>
    <n v="62"/>
  </r>
  <r>
    <s v="SALE1604"/>
    <x v="600"/>
    <s v="CUST1116"/>
    <s v="PROD92"/>
    <s v="STORE19"/>
    <n v="2"/>
    <n v="253.87"/>
    <x v="7"/>
    <x v="2"/>
    <x v="1"/>
    <x v="5"/>
    <x v="1"/>
    <x v="80"/>
    <x v="3"/>
    <n v="447.43"/>
    <x v="3"/>
    <x v="2"/>
    <x v="1601"/>
    <n v="18"/>
  </r>
  <r>
    <s v="SALE1605"/>
    <x v="469"/>
    <s v="CUST1484"/>
    <s v="PROD76"/>
    <s v="STORE17"/>
    <n v="3"/>
    <n v="915.81"/>
    <x v="9"/>
    <x v="2"/>
    <x v="0"/>
    <x v="43"/>
    <x v="3"/>
    <x v="3"/>
    <x v="1"/>
    <n v="392.89"/>
    <x v="0"/>
    <x v="1"/>
    <x v="1602"/>
    <n v="32"/>
  </r>
  <r>
    <s v="SALE1606"/>
    <x v="156"/>
    <s v="CUST1209"/>
    <s v="PROD42"/>
    <s v="STORE8"/>
    <n v="3"/>
    <n v="779.5"/>
    <x v="31"/>
    <x v="0"/>
    <x v="1"/>
    <x v="17"/>
    <x v="1"/>
    <x v="63"/>
    <x v="1"/>
    <n v="450.71"/>
    <x v="1"/>
    <x v="2"/>
    <x v="1603"/>
    <n v="50"/>
  </r>
  <r>
    <s v="SALE1607"/>
    <x v="462"/>
    <s v="CUST1469"/>
    <s v="PROD61"/>
    <s v="STORE16"/>
    <n v="2"/>
    <n v="780.57"/>
    <x v="25"/>
    <x v="0"/>
    <x v="0"/>
    <x v="39"/>
    <x v="0"/>
    <x v="86"/>
    <x v="0"/>
    <n v="103.45"/>
    <x v="1"/>
    <x v="1"/>
    <x v="1604"/>
    <n v="19"/>
  </r>
  <r>
    <s v="SALE1608"/>
    <x v="155"/>
    <s v="CUST1383"/>
    <s v="PROD95"/>
    <s v="STORE19"/>
    <n v="1"/>
    <n v="511.35"/>
    <x v="33"/>
    <x v="0"/>
    <x v="1"/>
    <x v="42"/>
    <x v="2"/>
    <x v="98"/>
    <x v="0"/>
    <n v="60.65"/>
    <x v="3"/>
    <x v="2"/>
    <x v="1605"/>
    <n v="27"/>
  </r>
  <r>
    <s v="SALE1609"/>
    <x v="225"/>
    <s v="CUST1016"/>
    <s v="PROD97"/>
    <s v="STORE3"/>
    <n v="4"/>
    <n v="44.07"/>
    <x v="12"/>
    <x v="2"/>
    <x v="1"/>
    <x v="2"/>
    <x v="3"/>
    <x v="0"/>
    <x v="0"/>
    <n v="245.98"/>
    <x v="0"/>
    <x v="0"/>
    <x v="1606"/>
    <n v="24"/>
  </r>
  <r>
    <s v="SALE1610"/>
    <x v="475"/>
    <s v="CUST1197"/>
    <s v="PROD69"/>
    <s v="STORE11"/>
    <n v="2"/>
    <n v="895.92"/>
    <x v="6"/>
    <x v="0"/>
    <x v="1"/>
    <x v="46"/>
    <x v="1"/>
    <x v="20"/>
    <x v="4"/>
    <n v="218.22"/>
    <x v="2"/>
    <x v="2"/>
    <x v="1607"/>
    <n v="45"/>
  </r>
  <r>
    <s v="SALE1611"/>
    <x v="500"/>
    <s v="CUST1305"/>
    <s v="PROD53"/>
    <s v="STORE2"/>
    <n v="4"/>
    <n v="456.32"/>
    <x v="14"/>
    <x v="2"/>
    <x v="0"/>
    <x v="7"/>
    <x v="1"/>
    <x v="27"/>
    <x v="4"/>
    <n v="386.56"/>
    <x v="2"/>
    <x v="0"/>
    <x v="1608"/>
    <n v="64"/>
  </r>
  <r>
    <s v="SALE1612"/>
    <x v="117"/>
    <s v="CUST1420"/>
    <s v="PROD34"/>
    <s v="STORE0"/>
    <n v="1"/>
    <n v="905.5"/>
    <x v="12"/>
    <x v="2"/>
    <x v="0"/>
    <x v="29"/>
    <x v="3"/>
    <x v="13"/>
    <x v="1"/>
    <n v="419.28"/>
    <x v="3"/>
    <x v="1"/>
    <x v="1609"/>
    <n v="60"/>
  </r>
  <r>
    <s v="SALE1613"/>
    <x v="91"/>
    <s v="CUST1204"/>
    <s v="PROD16"/>
    <s v="STORE13"/>
    <n v="3"/>
    <n v="63.19"/>
    <x v="16"/>
    <x v="0"/>
    <x v="0"/>
    <x v="45"/>
    <x v="1"/>
    <x v="30"/>
    <x v="2"/>
    <n v="337.42"/>
    <x v="3"/>
    <x v="1"/>
    <x v="1610"/>
    <n v="52"/>
  </r>
  <r>
    <s v="SALE1614"/>
    <x v="312"/>
    <s v="CUST1050"/>
    <s v="PROD70"/>
    <s v="STORE7"/>
    <n v="3"/>
    <n v="687.66"/>
    <x v="22"/>
    <x v="1"/>
    <x v="1"/>
    <x v="49"/>
    <x v="0"/>
    <x v="7"/>
    <x v="3"/>
    <n v="138.05"/>
    <x v="2"/>
    <x v="2"/>
    <x v="1611"/>
    <n v="61"/>
  </r>
  <r>
    <s v="SALE1615"/>
    <x v="177"/>
    <s v="CUST1219"/>
    <s v="PROD43"/>
    <s v="STORE9"/>
    <n v="4"/>
    <n v="639.06"/>
    <x v="27"/>
    <x v="1"/>
    <x v="1"/>
    <x v="19"/>
    <x v="0"/>
    <x v="19"/>
    <x v="1"/>
    <n v="253.33"/>
    <x v="2"/>
    <x v="1"/>
    <x v="1612"/>
    <n v="47"/>
  </r>
  <r>
    <s v="SALE1616"/>
    <x v="441"/>
    <s v="CUST1067"/>
    <s v="PROD71"/>
    <s v="STORE7"/>
    <n v="1"/>
    <n v="475.15"/>
    <x v="13"/>
    <x v="2"/>
    <x v="0"/>
    <x v="26"/>
    <x v="2"/>
    <x v="51"/>
    <x v="2"/>
    <n v="214.32"/>
    <x v="2"/>
    <x v="2"/>
    <x v="1613"/>
    <n v="58"/>
  </r>
  <r>
    <s v="SALE1617"/>
    <x v="415"/>
    <s v="CUST1190"/>
    <s v="PROD44"/>
    <s v="STORE6"/>
    <n v="1"/>
    <n v="62.38"/>
    <x v="16"/>
    <x v="2"/>
    <x v="0"/>
    <x v="14"/>
    <x v="3"/>
    <x v="38"/>
    <x v="0"/>
    <n v="167.12"/>
    <x v="3"/>
    <x v="2"/>
    <x v="1614"/>
    <n v="21"/>
  </r>
  <r>
    <s v="SALE1618"/>
    <x v="634"/>
    <s v="CUST1354"/>
    <s v="PROD15"/>
    <s v="STORE7"/>
    <n v="1"/>
    <n v="977.02"/>
    <x v="29"/>
    <x v="2"/>
    <x v="0"/>
    <x v="40"/>
    <x v="2"/>
    <x v="5"/>
    <x v="1"/>
    <n v="465.34"/>
    <x v="2"/>
    <x v="2"/>
    <x v="1615"/>
    <n v="38"/>
  </r>
  <r>
    <s v="SALE1619"/>
    <x v="460"/>
    <s v="CUST1074"/>
    <s v="PROD83"/>
    <s v="STORE4"/>
    <n v="2"/>
    <n v="898.81"/>
    <x v="2"/>
    <x v="0"/>
    <x v="0"/>
    <x v="44"/>
    <x v="3"/>
    <x v="50"/>
    <x v="2"/>
    <n v="289.359375"/>
    <x v="2"/>
    <x v="2"/>
    <x v="1616"/>
    <n v="58"/>
  </r>
  <r>
    <s v="SALE1620"/>
    <x v="406"/>
    <s v="CUST1351"/>
    <s v="PROD57"/>
    <s v="STORE3"/>
    <n v="2"/>
    <n v="422.13"/>
    <x v="23"/>
    <x v="0"/>
    <x v="1"/>
    <x v="48"/>
    <x v="3"/>
    <x v="71"/>
    <x v="0"/>
    <n v="30.62"/>
    <x v="0"/>
    <x v="0"/>
    <x v="1617"/>
    <n v="25"/>
  </r>
  <r>
    <s v="SALE1621"/>
    <x v="414"/>
    <s v="CUST1050"/>
    <s v="PROD34"/>
    <s v="STORE11"/>
    <n v="1"/>
    <n v="324.56"/>
    <x v="15"/>
    <x v="2"/>
    <x v="1"/>
    <x v="49"/>
    <x v="0"/>
    <x v="13"/>
    <x v="1"/>
    <n v="419.28"/>
    <x v="2"/>
    <x v="2"/>
    <x v="1618"/>
    <n v="61"/>
  </r>
  <r>
    <s v="SALE1622"/>
    <x v="429"/>
    <s v="CUST1468"/>
    <s v="PROD55"/>
    <s v="STORE16"/>
    <n v="4"/>
    <n v="570.38"/>
    <x v="25"/>
    <x v="1"/>
    <x v="0"/>
    <x v="1"/>
    <x v="3"/>
    <x v="76"/>
    <x v="3"/>
    <n v="81.75"/>
    <x v="1"/>
    <x v="1"/>
    <x v="1619"/>
    <n v="45"/>
  </r>
  <r>
    <s v="SALE1623"/>
    <x v="94"/>
    <s v="CUST1394"/>
    <s v="PROD34"/>
    <s v="STORE15"/>
    <n v="2"/>
    <n v="223.73"/>
    <x v="32"/>
    <x v="1"/>
    <x v="1"/>
    <x v="40"/>
    <x v="3"/>
    <x v="13"/>
    <x v="1"/>
    <n v="419.28"/>
    <x v="0"/>
    <x v="1"/>
    <x v="1620"/>
    <n v="43"/>
  </r>
  <r>
    <s v="SALE1624"/>
    <x v="233"/>
    <s v="CUST1351"/>
    <s v="PROD86"/>
    <s v="STORE16"/>
    <n v="4"/>
    <n v="164.93"/>
    <x v="32"/>
    <x v="0"/>
    <x v="1"/>
    <x v="48"/>
    <x v="3"/>
    <x v="56"/>
    <x v="3"/>
    <n v="176.07"/>
    <x v="1"/>
    <x v="1"/>
    <x v="1621"/>
    <n v="25"/>
  </r>
  <r>
    <s v="SALE1625"/>
    <x v="368"/>
    <s v="CUST1249"/>
    <s v="PROD15"/>
    <s v="STORE7"/>
    <n v="3"/>
    <n v="326.66"/>
    <x v="23"/>
    <x v="2"/>
    <x v="1"/>
    <x v="14"/>
    <x v="0"/>
    <x v="5"/>
    <x v="1"/>
    <n v="465.34"/>
    <x v="2"/>
    <x v="2"/>
    <x v="1622"/>
    <n v="41"/>
  </r>
  <r>
    <s v="SALE1626"/>
    <x v="408"/>
    <s v="CUST1182"/>
    <s v="PROD1"/>
    <s v="STORE15"/>
    <n v="2"/>
    <n v="462.93"/>
    <x v="9"/>
    <x v="1"/>
    <x v="1"/>
    <x v="15"/>
    <x v="2"/>
    <x v="55"/>
    <x v="4"/>
    <n v="342.56"/>
    <x v="0"/>
    <x v="1"/>
    <x v="1623"/>
    <n v="23"/>
  </r>
  <r>
    <s v="SALE1627"/>
    <x v="77"/>
    <s v="CUST1147"/>
    <s v="PROD0"/>
    <s v="STORE16"/>
    <n v="3"/>
    <n v="60.26"/>
    <x v="13"/>
    <x v="0"/>
    <x v="1"/>
    <x v="41"/>
    <x v="1"/>
    <x v="90"/>
    <x v="1"/>
    <n v="112.42"/>
    <x v="1"/>
    <x v="1"/>
    <x v="1624"/>
    <n v="49"/>
  </r>
  <r>
    <s v="SALE1628"/>
    <x v="14"/>
    <s v="CUST1071"/>
    <s v="PROD34"/>
    <s v="STORE9"/>
    <n v="3"/>
    <n v="109.5"/>
    <x v="22"/>
    <x v="2"/>
    <x v="1"/>
    <x v="23"/>
    <x v="0"/>
    <x v="13"/>
    <x v="1"/>
    <n v="419.28"/>
    <x v="2"/>
    <x v="1"/>
    <x v="1625"/>
    <n v="61"/>
  </r>
  <r>
    <s v="SALE1629"/>
    <x v="237"/>
    <s v="CUST1382"/>
    <s v="PROD70"/>
    <s v="STORE16"/>
    <n v="1"/>
    <n v="505.83"/>
    <x v="17"/>
    <x v="2"/>
    <x v="1"/>
    <x v="24"/>
    <x v="0"/>
    <x v="7"/>
    <x v="3"/>
    <n v="138.05"/>
    <x v="1"/>
    <x v="1"/>
    <x v="1626"/>
    <n v="20"/>
  </r>
  <r>
    <s v="SALE1630"/>
    <x v="650"/>
    <s v="CUST1163"/>
    <s v="PROD98"/>
    <s v="STORE10"/>
    <n v="2"/>
    <n v="443.15"/>
    <x v="1"/>
    <x v="1"/>
    <x v="0"/>
    <x v="49"/>
    <x v="3"/>
    <x v="24"/>
    <x v="1"/>
    <n v="431.67"/>
    <x v="3"/>
    <x v="2"/>
    <x v="1627"/>
    <n v="21"/>
  </r>
  <r>
    <s v="SALE1631"/>
    <x v="603"/>
    <s v="CUST1497"/>
    <s v="PROD7"/>
    <s v="STORE7"/>
    <n v="2"/>
    <n v="784.26"/>
    <x v="7"/>
    <x v="1"/>
    <x v="1"/>
    <x v="14"/>
    <x v="0"/>
    <x v="84"/>
    <x v="3"/>
    <n v="218.86"/>
    <x v="2"/>
    <x v="2"/>
    <x v="1628"/>
    <n v="47"/>
  </r>
  <r>
    <s v="SALE1632"/>
    <x v="70"/>
    <s v="CUST1455"/>
    <s v="PROD39"/>
    <s v="STORE11"/>
    <n v="3"/>
    <n v="590.31"/>
    <x v="9"/>
    <x v="1"/>
    <x v="0"/>
    <x v="49"/>
    <x v="0"/>
    <x v="11"/>
    <x v="1"/>
    <n v="326.06"/>
    <x v="2"/>
    <x v="2"/>
    <x v="1629"/>
    <n v="54"/>
  </r>
  <r>
    <s v="SALE1633"/>
    <x v="329"/>
    <s v="CUST1120"/>
    <s v="PROD69"/>
    <s v="STORE16"/>
    <n v="1"/>
    <n v="696.13"/>
    <x v="22"/>
    <x v="2"/>
    <x v="1"/>
    <x v="2"/>
    <x v="1"/>
    <x v="20"/>
    <x v="4"/>
    <n v="218.22"/>
    <x v="1"/>
    <x v="1"/>
    <x v="1630"/>
    <n v="44"/>
  </r>
  <r>
    <s v="SALE1634"/>
    <x v="464"/>
    <s v="CUST1104"/>
    <s v="PROD51"/>
    <s v="STORE6"/>
    <n v="4"/>
    <n v="194.39"/>
    <x v="2"/>
    <x v="0"/>
    <x v="0"/>
    <x v="36"/>
    <x v="2"/>
    <x v="69"/>
    <x v="1"/>
    <n v="88.49"/>
    <x v="3"/>
    <x v="2"/>
    <x v="1631"/>
    <n v="64"/>
  </r>
  <r>
    <s v="SALE1635"/>
    <x v="651"/>
    <s v="CUST1330"/>
    <s v="PROD33"/>
    <s v="STORE1"/>
    <n v="1"/>
    <n v="339.7"/>
    <x v="30"/>
    <x v="0"/>
    <x v="0"/>
    <x v="49"/>
    <x v="1"/>
    <x v="9"/>
    <x v="3"/>
    <n v="179.77"/>
    <x v="0"/>
    <x v="1"/>
    <x v="1632"/>
    <n v="54"/>
  </r>
  <r>
    <s v="SALE1636"/>
    <x v="340"/>
    <s v="CUST1048"/>
    <s v="PROD68"/>
    <s v="STORE13"/>
    <n v="4"/>
    <n v="463.16"/>
    <x v="1"/>
    <x v="1"/>
    <x v="0"/>
    <x v="29"/>
    <x v="1"/>
    <x v="88"/>
    <x v="3"/>
    <n v="243.7"/>
    <x v="3"/>
    <x v="1"/>
    <x v="1633"/>
    <n v="54"/>
  </r>
  <r>
    <s v="SALE1637"/>
    <x v="326"/>
    <s v="CUST1107"/>
    <s v="PROD5"/>
    <s v="STORE10"/>
    <n v="2"/>
    <n v="824.91"/>
    <x v="0"/>
    <x v="0"/>
    <x v="1"/>
    <x v="16"/>
    <x v="1"/>
    <x v="23"/>
    <x v="4"/>
    <n v="261"/>
    <x v="3"/>
    <x v="2"/>
    <x v="1634"/>
    <n v="62"/>
  </r>
  <r>
    <s v="SALE1638"/>
    <x v="296"/>
    <s v="CUST1070"/>
    <s v="PROD5"/>
    <s v="STORE2"/>
    <n v="4"/>
    <n v="796.89"/>
    <x v="9"/>
    <x v="0"/>
    <x v="1"/>
    <x v="23"/>
    <x v="0"/>
    <x v="23"/>
    <x v="4"/>
    <n v="261"/>
    <x v="2"/>
    <x v="0"/>
    <x v="1635"/>
    <n v="29"/>
  </r>
  <r>
    <s v="SALE1639"/>
    <x v="270"/>
    <s v="CUST1240"/>
    <s v="PROD26"/>
    <s v="STORE17"/>
    <n v="3"/>
    <n v="543.93"/>
    <x v="11"/>
    <x v="2"/>
    <x v="1"/>
    <x v="20"/>
    <x v="1"/>
    <x v="33"/>
    <x v="1"/>
    <n v="322.41"/>
    <x v="0"/>
    <x v="1"/>
    <x v="1636"/>
    <n v="59"/>
  </r>
  <r>
    <s v="SALE1640"/>
    <x v="647"/>
    <s v="CUST1173"/>
    <s v="PROD14"/>
    <s v="STORE7"/>
    <n v="2"/>
    <n v="44.65"/>
    <x v="15"/>
    <x v="1"/>
    <x v="1"/>
    <x v="9"/>
    <x v="1"/>
    <x v="66"/>
    <x v="3"/>
    <n v="48.01"/>
    <x v="2"/>
    <x v="2"/>
    <x v="1637"/>
    <n v="41"/>
  </r>
  <r>
    <s v="SALE1641"/>
    <x v="177"/>
    <s v="CUST1250"/>
    <s v="PROD56"/>
    <s v="STORE0"/>
    <n v="4"/>
    <n v="827.39"/>
    <x v="22"/>
    <x v="2"/>
    <x v="0"/>
    <x v="37"/>
    <x v="1"/>
    <x v="6"/>
    <x v="3"/>
    <n v="461.47"/>
    <x v="3"/>
    <x v="1"/>
    <x v="1638"/>
    <n v="48"/>
  </r>
  <r>
    <s v="SALE1642"/>
    <x v="445"/>
    <s v="CUST1308"/>
    <s v="PROD14"/>
    <s v="STORE12"/>
    <n v="2"/>
    <n v="403.2"/>
    <x v="34"/>
    <x v="1"/>
    <x v="1"/>
    <x v="9"/>
    <x v="0"/>
    <x v="66"/>
    <x v="3"/>
    <n v="48.01"/>
    <x v="0"/>
    <x v="2"/>
    <x v="1639"/>
    <n v="60"/>
  </r>
  <r>
    <s v="SALE1643"/>
    <x v="419"/>
    <s v="CUST1017"/>
    <s v="PROD86"/>
    <s v="STORE13"/>
    <n v="4"/>
    <n v="292.31"/>
    <x v="1"/>
    <x v="1"/>
    <x v="1"/>
    <x v="36"/>
    <x v="1"/>
    <x v="56"/>
    <x v="3"/>
    <n v="176.07"/>
    <x v="3"/>
    <x v="1"/>
    <x v="1640"/>
    <n v="60"/>
  </r>
  <r>
    <s v="SALE1644"/>
    <x v="330"/>
    <s v="CUST1492"/>
    <s v="PROD2"/>
    <s v="STORE10"/>
    <n v="1"/>
    <n v="948.33"/>
    <x v="32"/>
    <x v="0"/>
    <x v="1"/>
    <x v="26"/>
    <x v="1"/>
    <x v="95"/>
    <x v="4"/>
    <n v="254.620869565217"/>
    <x v="3"/>
    <x v="2"/>
    <x v="1641"/>
    <n v="59"/>
  </r>
  <r>
    <s v="SALE1645"/>
    <x v="26"/>
    <s v="CUST1343"/>
    <s v="PROD39"/>
    <s v="STORE5"/>
    <n v="1"/>
    <n v="702.27"/>
    <x v="9"/>
    <x v="2"/>
    <x v="0"/>
    <x v="45"/>
    <x v="3"/>
    <x v="11"/>
    <x v="1"/>
    <n v="326.06"/>
    <x v="0"/>
    <x v="0"/>
    <x v="1642"/>
    <n v="38"/>
  </r>
  <r>
    <s v="SALE1646"/>
    <x v="13"/>
    <s v="CUST1041"/>
    <s v="PROD30"/>
    <s v="STORE3"/>
    <n v="2"/>
    <n v="379.28"/>
    <x v="25"/>
    <x v="0"/>
    <x v="0"/>
    <x v="41"/>
    <x v="1"/>
    <x v="37"/>
    <x v="3"/>
    <n v="19.52"/>
    <x v="0"/>
    <x v="0"/>
    <x v="1643"/>
    <n v="21"/>
  </r>
  <r>
    <s v="SALE1647"/>
    <x v="595"/>
    <s v="CUST1132"/>
    <s v="PROD47"/>
    <s v="STORE0"/>
    <n v="4"/>
    <n v="92.35"/>
    <x v="6"/>
    <x v="0"/>
    <x v="1"/>
    <x v="31"/>
    <x v="0"/>
    <x v="44"/>
    <x v="2"/>
    <n v="255.049019607843"/>
    <x v="3"/>
    <x v="1"/>
    <x v="1644"/>
    <n v="57"/>
  </r>
  <r>
    <s v="SALE1648"/>
    <x v="45"/>
    <s v="CUST1219"/>
    <s v="PROD39"/>
    <s v="STORE12"/>
    <n v="4"/>
    <n v="721.54"/>
    <x v="34"/>
    <x v="0"/>
    <x v="1"/>
    <x v="19"/>
    <x v="0"/>
    <x v="11"/>
    <x v="1"/>
    <n v="326.06"/>
    <x v="0"/>
    <x v="2"/>
    <x v="1645"/>
    <n v="47"/>
  </r>
  <r>
    <s v="SALE1649"/>
    <x v="605"/>
    <s v="CUST1053"/>
    <s v="PROD38"/>
    <s v="STORE9"/>
    <n v="1"/>
    <n v="228.69"/>
    <x v="17"/>
    <x v="0"/>
    <x v="1"/>
    <x v="20"/>
    <x v="0"/>
    <x v="48"/>
    <x v="0"/>
    <n v="135.61"/>
    <x v="2"/>
    <x v="1"/>
    <x v="1646"/>
    <n v="37"/>
  </r>
  <r>
    <s v="SALE1650"/>
    <x v="308"/>
    <s v="CUST1355"/>
    <s v="PROD53"/>
    <s v="STORE10"/>
    <n v="1"/>
    <n v="899.09"/>
    <x v="29"/>
    <x v="1"/>
    <x v="0"/>
    <x v="7"/>
    <x v="0"/>
    <x v="27"/>
    <x v="4"/>
    <n v="386.56"/>
    <x v="3"/>
    <x v="2"/>
    <x v="1647"/>
    <n v="20"/>
  </r>
  <r>
    <s v="SALE1651"/>
    <x v="411"/>
    <s v="CUST1384"/>
    <s v="PROD8"/>
    <s v="STORE8"/>
    <n v="4"/>
    <n v="195.75"/>
    <x v="9"/>
    <x v="0"/>
    <x v="1"/>
    <x v="9"/>
    <x v="3"/>
    <x v="67"/>
    <x v="1"/>
    <n v="439.07"/>
    <x v="1"/>
    <x v="2"/>
    <x v="1648"/>
    <n v="52"/>
  </r>
  <r>
    <s v="SALE1652"/>
    <x v="486"/>
    <s v="CUST1426"/>
    <s v="PROD93"/>
    <s v="STORE15"/>
    <n v="3"/>
    <n v="199.13"/>
    <x v="24"/>
    <x v="0"/>
    <x v="0"/>
    <x v="29"/>
    <x v="1"/>
    <x v="47"/>
    <x v="1"/>
    <n v="377.52"/>
    <x v="0"/>
    <x v="1"/>
    <x v="1649"/>
    <n v="28"/>
  </r>
  <r>
    <s v="SALE1653"/>
    <x v="23"/>
    <s v="CUST1160"/>
    <s v="PROD22"/>
    <s v="STORE14"/>
    <n v="2"/>
    <n v="833.62"/>
    <x v="4"/>
    <x v="0"/>
    <x v="1"/>
    <x v="29"/>
    <x v="1"/>
    <x v="62"/>
    <x v="0"/>
    <n v="484.62"/>
    <x v="2"/>
    <x v="0"/>
    <x v="1650"/>
    <n v="41"/>
  </r>
  <r>
    <s v="SALE1654"/>
    <x v="511"/>
    <s v="CUST1484"/>
    <s v="PROD75"/>
    <s v="STORE0"/>
    <n v="1"/>
    <n v="676.26"/>
    <x v="17"/>
    <x v="0"/>
    <x v="0"/>
    <x v="43"/>
    <x v="3"/>
    <x v="28"/>
    <x v="4"/>
    <n v="158.14"/>
    <x v="3"/>
    <x v="1"/>
    <x v="1651"/>
    <n v="32"/>
  </r>
  <r>
    <s v="SALE1655"/>
    <x v="652"/>
    <s v="CUST1032"/>
    <s v="PROD60"/>
    <s v="STORE9"/>
    <n v="2"/>
    <n v="666.49"/>
    <x v="22"/>
    <x v="0"/>
    <x v="1"/>
    <x v="28"/>
    <x v="0"/>
    <x v="17"/>
    <x v="2"/>
    <n v="482.75"/>
    <x v="2"/>
    <x v="1"/>
    <x v="1652"/>
    <n v="48"/>
  </r>
  <r>
    <s v="SALE1656"/>
    <x v="226"/>
    <s v="CUST1460"/>
    <s v="PROD15"/>
    <s v="STORE4"/>
    <n v="3"/>
    <n v="471.19"/>
    <x v="23"/>
    <x v="2"/>
    <x v="0"/>
    <x v="9"/>
    <x v="0"/>
    <x v="5"/>
    <x v="1"/>
    <n v="465.34"/>
    <x v="2"/>
    <x v="2"/>
    <x v="1653"/>
    <n v="35"/>
  </r>
  <r>
    <s v="SALE1657"/>
    <x v="653"/>
    <s v="CUST1119"/>
    <s v="PROD8"/>
    <s v="STORE3"/>
    <n v="4"/>
    <n v="555.65"/>
    <x v="2"/>
    <x v="2"/>
    <x v="0"/>
    <x v="3"/>
    <x v="3"/>
    <x v="67"/>
    <x v="1"/>
    <n v="439.07"/>
    <x v="0"/>
    <x v="0"/>
    <x v="1654"/>
    <n v="40"/>
  </r>
  <r>
    <s v="SALE1658"/>
    <x v="54"/>
    <s v="CUST1035"/>
    <s v="PROD95"/>
    <s v="STORE14"/>
    <n v="2"/>
    <n v="100.42"/>
    <x v="22"/>
    <x v="0"/>
    <x v="0"/>
    <x v="16"/>
    <x v="2"/>
    <x v="98"/>
    <x v="0"/>
    <n v="60.65"/>
    <x v="2"/>
    <x v="0"/>
    <x v="1655"/>
    <n v="52"/>
  </r>
  <r>
    <s v="SALE1659"/>
    <x v="556"/>
    <s v="CUST1050"/>
    <s v="PROD98"/>
    <s v="STORE18"/>
    <n v="3"/>
    <n v="981.69"/>
    <x v="28"/>
    <x v="2"/>
    <x v="1"/>
    <x v="49"/>
    <x v="0"/>
    <x v="24"/>
    <x v="1"/>
    <n v="431.67"/>
    <x v="3"/>
    <x v="1"/>
    <x v="1656"/>
    <n v="61"/>
  </r>
  <r>
    <s v="SALE1660"/>
    <x v="489"/>
    <s v="CUST1327"/>
    <s v="PROD10"/>
    <s v="STORE16"/>
    <n v="2"/>
    <n v="848.87"/>
    <x v="0"/>
    <x v="2"/>
    <x v="1"/>
    <x v="14"/>
    <x v="3"/>
    <x v="31"/>
    <x v="3"/>
    <n v="298.86"/>
    <x v="1"/>
    <x v="1"/>
    <x v="1657"/>
    <n v="62"/>
  </r>
  <r>
    <s v="SALE1661"/>
    <x v="636"/>
    <s v="CUST1375"/>
    <s v="PROD96"/>
    <s v="STORE10"/>
    <n v="3"/>
    <n v="582.32"/>
    <x v="33"/>
    <x v="1"/>
    <x v="0"/>
    <x v="46"/>
    <x v="1"/>
    <x v="99"/>
    <x v="4"/>
    <n v="358.47"/>
    <x v="3"/>
    <x v="2"/>
    <x v="1658"/>
    <n v="26"/>
  </r>
  <r>
    <s v="SALE1662"/>
    <x v="464"/>
    <s v="CUST1171"/>
    <s v="PROD49"/>
    <s v="STORE17"/>
    <n v="2"/>
    <n v="869.43"/>
    <x v="24"/>
    <x v="2"/>
    <x v="1"/>
    <x v="30"/>
    <x v="1"/>
    <x v="2"/>
    <x v="2"/>
    <n v="43.29"/>
    <x v="0"/>
    <x v="1"/>
    <x v="1659"/>
    <n v="44"/>
  </r>
  <r>
    <s v="SALE1663"/>
    <x v="654"/>
    <s v="CUST1021"/>
    <s v="PROD54"/>
    <s v="STORE4"/>
    <n v="1"/>
    <n v="62.26"/>
    <x v="15"/>
    <x v="2"/>
    <x v="1"/>
    <x v="15"/>
    <x v="0"/>
    <x v="59"/>
    <x v="0"/>
    <n v="434.84"/>
    <x v="2"/>
    <x v="2"/>
    <x v="1660"/>
    <n v="36"/>
  </r>
  <r>
    <s v="SALE1664"/>
    <x v="104"/>
    <s v="CUST1152"/>
    <s v="PROD39"/>
    <s v="STORE14"/>
    <n v="3"/>
    <n v="343.97"/>
    <x v="13"/>
    <x v="2"/>
    <x v="1"/>
    <x v="6"/>
    <x v="1"/>
    <x v="11"/>
    <x v="1"/>
    <n v="326.06"/>
    <x v="2"/>
    <x v="0"/>
    <x v="1661"/>
    <n v="41"/>
  </r>
  <r>
    <s v="SALE1665"/>
    <x v="655"/>
    <s v="CUST1303"/>
    <s v="PROD24"/>
    <s v="STORE12"/>
    <n v="3"/>
    <n v="304.67"/>
    <x v="32"/>
    <x v="0"/>
    <x v="1"/>
    <x v="37"/>
    <x v="1"/>
    <x v="10"/>
    <x v="0"/>
    <n v="166.06"/>
    <x v="0"/>
    <x v="2"/>
    <x v="1662"/>
    <n v="23"/>
  </r>
  <r>
    <s v="SALE1666"/>
    <x v="627"/>
    <s v="CUST1365"/>
    <s v="PROD27"/>
    <s v="STORE9"/>
    <n v="4"/>
    <n v="208.34"/>
    <x v="10"/>
    <x v="1"/>
    <x v="1"/>
    <x v="41"/>
    <x v="1"/>
    <x v="16"/>
    <x v="3"/>
    <n v="250.021571428571"/>
    <x v="2"/>
    <x v="1"/>
    <x v="1663"/>
    <n v="63"/>
  </r>
  <r>
    <s v="SALE1667"/>
    <x v="321"/>
    <s v="CUST1312"/>
    <s v="PROD86"/>
    <s v="STORE1"/>
    <n v="1"/>
    <n v="119.04"/>
    <x v="21"/>
    <x v="2"/>
    <x v="1"/>
    <x v="37"/>
    <x v="2"/>
    <x v="56"/>
    <x v="3"/>
    <n v="176.07"/>
    <x v="0"/>
    <x v="1"/>
    <x v="1664"/>
    <n v="47"/>
  </r>
  <r>
    <s v="SALE1668"/>
    <x v="20"/>
    <s v="CUST1321"/>
    <s v="PROD44"/>
    <s v="STORE9"/>
    <n v="4"/>
    <n v="791.65"/>
    <x v="22"/>
    <x v="2"/>
    <x v="1"/>
    <x v="3"/>
    <x v="3"/>
    <x v="38"/>
    <x v="0"/>
    <n v="167.12"/>
    <x v="2"/>
    <x v="1"/>
    <x v="1665"/>
    <n v="21"/>
  </r>
  <r>
    <s v="SALE1669"/>
    <x v="589"/>
    <s v="CUST1052"/>
    <s v="PROD14"/>
    <s v="STORE2"/>
    <n v="2"/>
    <n v="414.86"/>
    <x v="7"/>
    <x v="0"/>
    <x v="0"/>
    <x v="46"/>
    <x v="3"/>
    <x v="66"/>
    <x v="3"/>
    <n v="48.01"/>
    <x v="2"/>
    <x v="0"/>
    <x v="1666"/>
    <n v="55"/>
  </r>
  <r>
    <s v="SALE1670"/>
    <x v="562"/>
    <s v="CUST1478"/>
    <s v="PROD38"/>
    <s v="STORE12"/>
    <n v="2"/>
    <n v="960.81"/>
    <x v="23"/>
    <x v="1"/>
    <x v="0"/>
    <x v="34"/>
    <x v="0"/>
    <x v="48"/>
    <x v="0"/>
    <n v="135.61"/>
    <x v="0"/>
    <x v="2"/>
    <x v="1667"/>
    <n v="59"/>
  </r>
  <r>
    <s v="SALE1671"/>
    <x v="646"/>
    <s v="CUST1212"/>
    <s v="PROD50"/>
    <s v="STORE4"/>
    <n v="4"/>
    <n v="943.36"/>
    <x v="4"/>
    <x v="1"/>
    <x v="1"/>
    <x v="7"/>
    <x v="1"/>
    <x v="57"/>
    <x v="0"/>
    <n v="190.29"/>
    <x v="2"/>
    <x v="2"/>
    <x v="1668"/>
    <n v="63"/>
  </r>
  <r>
    <s v="SALE1672"/>
    <x v="307"/>
    <s v="CUST1213"/>
    <s v="PROD3"/>
    <s v="STORE13"/>
    <n v="1"/>
    <n v="830.42"/>
    <x v="25"/>
    <x v="2"/>
    <x v="1"/>
    <x v="16"/>
    <x v="1"/>
    <x v="58"/>
    <x v="4"/>
    <n v="364.67"/>
    <x v="3"/>
    <x v="1"/>
    <x v="1669"/>
    <n v="42"/>
  </r>
  <r>
    <s v="SALE1673"/>
    <x v="17"/>
    <s v="CUST1353"/>
    <s v="PROD67"/>
    <s v="STORE17"/>
    <n v="1"/>
    <n v="762.55"/>
    <x v="5"/>
    <x v="0"/>
    <x v="1"/>
    <x v="47"/>
    <x v="1"/>
    <x v="22"/>
    <x v="1"/>
    <n v="349.17"/>
    <x v="0"/>
    <x v="1"/>
    <x v="1670"/>
    <n v="56"/>
  </r>
  <r>
    <s v="SALE1674"/>
    <x v="640"/>
    <s v="CUST1343"/>
    <s v="PROD74"/>
    <s v="STORE18"/>
    <n v="2"/>
    <n v="464.43"/>
    <x v="24"/>
    <x v="2"/>
    <x v="0"/>
    <x v="45"/>
    <x v="3"/>
    <x v="1"/>
    <x v="1"/>
    <n v="403.71"/>
    <x v="3"/>
    <x v="1"/>
    <x v="1671"/>
    <n v="38"/>
  </r>
  <r>
    <s v="SALE1675"/>
    <x v="103"/>
    <s v="CUST1016"/>
    <s v="PROD64"/>
    <s v="STORE18"/>
    <n v="1"/>
    <n v="711.08"/>
    <x v="24"/>
    <x v="1"/>
    <x v="1"/>
    <x v="2"/>
    <x v="3"/>
    <x v="91"/>
    <x v="2"/>
    <n v="299.11"/>
    <x v="3"/>
    <x v="1"/>
    <x v="1672"/>
    <n v="24"/>
  </r>
  <r>
    <s v="SALE1676"/>
    <x v="361"/>
    <s v="CUST1251"/>
    <s v="PROD45"/>
    <s v="STORE14"/>
    <n v="2"/>
    <n v="984.96"/>
    <x v="3"/>
    <x v="1"/>
    <x v="0"/>
    <x v="4"/>
    <x v="2"/>
    <x v="49"/>
    <x v="0"/>
    <n v="318.91"/>
    <x v="2"/>
    <x v="0"/>
    <x v="1673"/>
    <n v="64"/>
  </r>
  <r>
    <s v="SALE1677"/>
    <x v="472"/>
    <s v="CUST1343"/>
    <s v="PROD38"/>
    <s v="STORE12"/>
    <n v="1"/>
    <n v="21.14"/>
    <x v="22"/>
    <x v="2"/>
    <x v="0"/>
    <x v="45"/>
    <x v="3"/>
    <x v="48"/>
    <x v="0"/>
    <n v="135.61"/>
    <x v="0"/>
    <x v="2"/>
    <x v="1674"/>
    <n v="38"/>
  </r>
  <r>
    <s v="SALE1678"/>
    <x v="252"/>
    <s v="CUST1106"/>
    <s v="PROD98"/>
    <s v="STORE8"/>
    <n v="1"/>
    <n v="343.03"/>
    <x v="3"/>
    <x v="0"/>
    <x v="1"/>
    <x v="5"/>
    <x v="3"/>
    <x v="24"/>
    <x v="1"/>
    <n v="431.67"/>
    <x v="1"/>
    <x v="2"/>
    <x v="1675"/>
    <n v="53"/>
  </r>
  <r>
    <s v="SALE1679"/>
    <x v="653"/>
    <s v="CUST1247"/>
    <s v="PROD20"/>
    <s v="STORE18"/>
    <n v="3"/>
    <n v="94.83"/>
    <x v="3"/>
    <x v="2"/>
    <x v="0"/>
    <x v="21"/>
    <x v="1"/>
    <x v="42"/>
    <x v="0"/>
    <n v="131.51"/>
    <x v="3"/>
    <x v="1"/>
    <x v="1676"/>
    <n v="32"/>
  </r>
  <r>
    <s v="SALE1680"/>
    <x v="656"/>
    <s v="CUST1018"/>
    <s v="PROD69"/>
    <s v="STORE19"/>
    <n v="3"/>
    <n v="74.66"/>
    <x v="15"/>
    <x v="1"/>
    <x v="0"/>
    <x v="32"/>
    <x v="4"/>
    <x v="20"/>
    <x v="4"/>
    <n v="218.22"/>
    <x v="3"/>
    <x v="2"/>
    <x v="1677"/>
    <n v="43"/>
  </r>
  <r>
    <s v="SALE1681"/>
    <x v="76"/>
    <s v="CUST1136"/>
    <s v="PROD37"/>
    <s v="STORE15"/>
    <n v="3"/>
    <n v="281.96"/>
    <x v="10"/>
    <x v="2"/>
    <x v="0"/>
    <x v="48"/>
    <x v="2"/>
    <x v="92"/>
    <x v="4"/>
    <n v="353.47"/>
    <x v="0"/>
    <x v="1"/>
    <x v="1678"/>
    <n v="29"/>
  </r>
  <r>
    <s v="SALE1682"/>
    <x v="629"/>
    <s v="CUST1236"/>
    <s v="PROD71"/>
    <s v="STORE18"/>
    <n v="4"/>
    <n v="622.27"/>
    <x v="31"/>
    <x v="1"/>
    <x v="1"/>
    <x v="45"/>
    <x v="3"/>
    <x v="51"/>
    <x v="2"/>
    <n v="214.32"/>
    <x v="3"/>
    <x v="1"/>
    <x v="1679"/>
    <n v="42"/>
  </r>
  <r>
    <s v="SALE1683"/>
    <x v="235"/>
    <s v="CUST1102"/>
    <s v="PROD37"/>
    <s v="STORE7"/>
    <n v="2"/>
    <n v="78.27"/>
    <x v="12"/>
    <x v="2"/>
    <x v="1"/>
    <x v="2"/>
    <x v="3"/>
    <x v="92"/>
    <x v="4"/>
    <n v="353.47"/>
    <x v="2"/>
    <x v="2"/>
    <x v="1680"/>
    <n v="34"/>
  </r>
  <r>
    <s v="SALE1684"/>
    <x v="553"/>
    <s v="CUST1012"/>
    <s v="PROD62"/>
    <s v="STORE13"/>
    <n v="4"/>
    <n v="676.58"/>
    <x v="7"/>
    <x v="2"/>
    <x v="1"/>
    <x v="32"/>
    <x v="1"/>
    <x v="85"/>
    <x v="1"/>
    <n v="86.42"/>
    <x v="3"/>
    <x v="1"/>
    <x v="1681"/>
    <n v="55"/>
  </r>
  <r>
    <s v="SALE1685"/>
    <x v="2"/>
    <s v="CUST1486"/>
    <s v="PROD31"/>
    <s v="STORE1"/>
    <n v="2"/>
    <n v="938.6"/>
    <x v="13"/>
    <x v="1"/>
    <x v="1"/>
    <x v="1"/>
    <x v="3"/>
    <x v="45"/>
    <x v="0"/>
    <n v="204.39"/>
    <x v="0"/>
    <x v="1"/>
    <x v="1682"/>
    <n v="22"/>
  </r>
  <r>
    <s v="SALE1686"/>
    <x v="533"/>
    <s v="CUST1355"/>
    <s v="PROD13"/>
    <s v="STORE14"/>
    <n v="2"/>
    <n v="859.47"/>
    <x v="10"/>
    <x v="0"/>
    <x v="0"/>
    <x v="7"/>
    <x v="0"/>
    <x v="26"/>
    <x v="1"/>
    <n v="242.23"/>
    <x v="2"/>
    <x v="0"/>
    <x v="1683"/>
    <n v="20"/>
  </r>
  <r>
    <s v="SALE1687"/>
    <x v="657"/>
    <s v="CUST1057"/>
    <s v="PROD27"/>
    <s v="STORE14"/>
    <n v="3"/>
    <n v="672.98"/>
    <x v="7"/>
    <x v="1"/>
    <x v="1"/>
    <x v="5"/>
    <x v="1"/>
    <x v="16"/>
    <x v="3"/>
    <n v="250.021571428571"/>
    <x v="2"/>
    <x v="0"/>
    <x v="1684"/>
    <n v="43"/>
  </r>
  <r>
    <s v="SALE1688"/>
    <x v="109"/>
    <s v="CUST1206"/>
    <s v="PROD56"/>
    <s v="STORE18"/>
    <n v="1"/>
    <n v="75.8"/>
    <x v="12"/>
    <x v="1"/>
    <x v="1"/>
    <x v="3"/>
    <x v="2"/>
    <x v="6"/>
    <x v="3"/>
    <n v="461.47"/>
    <x v="3"/>
    <x v="1"/>
    <x v="1685"/>
    <n v="26"/>
  </r>
  <r>
    <s v="SALE1689"/>
    <x v="658"/>
    <s v="CUST1034"/>
    <s v="PROD17"/>
    <s v="STORE15"/>
    <n v="4"/>
    <n v="742.15"/>
    <x v="30"/>
    <x v="2"/>
    <x v="1"/>
    <x v="33"/>
    <x v="1"/>
    <x v="53"/>
    <x v="0"/>
    <n v="144.53"/>
    <x v="0"/>
    <x v="1"/>
    <x v="1686"/>
    <n v="27"/>
  </r>
  <r>
    <s v="SALE1690"/>
    <x v="181"/>
    <s v="CUST1072"/>
    <s v="PROD30"/>
    <s v="STORE7"/>
    <n v="1"/>
    <n v="637.39"/>
    <x v="14"/>
    <x v="1"/>
    <x v="1"/>
    <x v="9"/>
    <x v="0"/>
    <x v="37"/>
    <x v="3"/>
    <n v="19.52"/>
    <x v="2"/>
    <x v="2"/>
    <x v="1687"/>
    <n v="39"/>
  </r>
  <r>
    <s v="SALE1691"/>
    <x v="636"/>
    <s v="CUST1391"/>
    <s v="PROD6"/>
    <s v="STORE17"/>
    <n v="1"/>
    <n v="631"/>
    <x v="13"/>
    <x v="0"/>
    <x v="1"/>
    <x v="47"/>
    <x v="3"/>
    <x v="96"/>
    <x v="2"/>
    <n v="312.8"/>
    <x v="0"/>
    <x v="1"/>
    <x v="1688"/>
    <n v="40"/>
  </r>
  <r>
    <s v="SALE1692"/>
    <x v="120"/>
    <s v="CUST1393"/>
    <s v="PROD80"/>
    <s v="STORE3"/>
    <n v="4"/>
    <n v="983.98"/>
    <x v="32"/>
    <x v="2"/>
    <x v="0"/>
    <x v="39"/>
    <x v="3"/>
    <x v="61"/>
    <x v="3"/>
    <n v="143.43"/>
    <x v="0"/>
    <x v="0"/>
    <x v="1689"/>
    <n v="46"/>
  </r>
  <r>
    <s v="SALE1693"/>
    <x v="396"/>
    <s v="CUST1054"/>
    <s v="PROD55"/>
    <s v="STORE11"/>
    <n v="4"/>
    <n v="73.69"/>
    <x v="16"/>
    <x v="0"/>
    <x v="0"/>
    <x v="15"/>
    <x v="1"/>
    <x v="76"/>
    <x v="3"/>
    <n v="81.75"/>
    <x v="2"/>
    <x v="2"/>
    <x v="1690"/>
    <n v="24"/>
  </r>
  <r>
    <s v="SALE1694"/>
    <x v="412"/>
    <s v="CUST1433"/>
    <s v="PROD11"/>
    <s v="STORE7"/>
    <n v="3"/>
    <n v="110.99"/>
    <x v="34"/>
    <x v="0"/>
    <x v="1"/>
    <x v="14"/>
    <x v="2"/>
    <x v="75"/>
    <x v="1"/>
    <n v="449.4"/>
    <x v="2"/>
    <x v="2"/>
    <x v="1691"/>
    <n v="51"/>
  </r>
  <r>
    <s v="SALE1695"/>
    <x v="6"/>
    <s v="CUST1083"/>
    <s v="PROD10"/>
    <s v="STORE7"/>
    <n v="1"/>
    <n v="66.86"/>
    <x v="14"/>
    <x v="2"/>
    <x v="1"/>
    <x v="36"/>
    <x v="3"/>
    <x v="31"/>
    <x v="3"/>
    <n v="298.86"/>
    <x v="2"/>
    <x v="2"/>
    <x v="1692"/>
    <n v="48"/>
  </r>
  <r>
    <s v="SALE1696"/>
    <x v="60"/>
    <s v="CUST1417"/>
    <s v="PROD67"/>
    <s v="STORE18"/>
    <n v="1"/>
    <n v="980.26"/>
    <x v="17"/>
    <x v="1"/>
    <x v="1"/>
    <x v="29"/>
    <x v="3"/>
    <x v="22"/>
    <x v="1"/>
    <n v="349.17"/>
    <x v="3"/>
    <x v="1"/>
    <x v="1693"/>
    <n v="64"/>
  </r>
  <r>
    <s v="SALE1697"/>
    <x v="302"/>
    <s v="CUST1037"/>
    <s v="PROD18"/>
    <s v="STORE18"/>
    <n v="1"/>
    <n v="235.28"/>
    <x v="28"/>
    <x v="1"/>
    <x v="1"/>
    <x v="34"/>
    <x v="4"/>
    <x v="97"/>
    <x v="4"/>
    <n v="245.778311688312"/>
    <x v="3"/>
    <x v="1"/>
    <x v="1694"/>
    <n v="27"/>
  </r>
  <r>
    <s v="SALE1698"/>
    <x v="549"/>
    <s v="CUST1416"/>
    <s v="PROD0"/>
    <s v="STORE15"/>
    <n v="3"/>
    <n v="407.39"/>
    <x v="16"/>
    <x v="1"/>
    <x v="0"/>
    <x v="18"/>
    <x v="1"/>
    <x v="90"/>
    <x v="1"/>
    <n v="112.42"/>
    <x v="0"/>
    <x v="1"/>
    <x v="1695"/>
    <n v="46"/>
  </r>
  <r>
    <s v="SALE1699"/>
    <x v="659"/>
    <s v="CUST1068"/>
    <s v="PROD27"/>
    <s v="STORE14"/>
    <n v="4"/>
    <n v="459.83"/>
    <x v="27"/>
    <x v="2"/>
    <x v="1"/>
    <x v="30"/>
    <x v="2"/>
    <x v="16"/>
    <x v="3"/>
    <n v="250.021571428571"/>
    <x v="2"/>
    <x v="0"/>
    <x v="1696"/>
    <n v="24"/>
  </r>
  <r>
    <s v="SALE1700"/>
    <x v="348"/>
    <s v="CUST1147"/>
    <s v="PROD93"/>
    <s v="STORE4"/>
    <n v="3"/>
    <n v="706.6"/>
    <x v="9"/>
    <x v="1"/>
    <x v="1"/>
    <x v="41"/>
    <x v="1"/>
    <x v="47"/>
    <x v="1"/>
    <n v="377.52"/>
    <x v="2"/>
    <x v="2"/>
    <x v="1697"/>
    <n v="49"/>
  </r>
  <r>
    <s v="SALE1701"/>
    <x v="641"/>
    <s v="CUST1462"/>
    <s v="PROD91"/>
    <s v="STORE19"/>
    <n v="3"/>
    <n v="811.16"/>
    <x v="30"/>
    <x v="2"/>
    <x v="1"/>
    <x v="35"/>
    <x v="2"/>
    <x v="52"/>
    <x v="4"/>
    <n v="438.25"/>
    <x v="3"/>
    <x v="2"/>
    <x v="1698"/>
    <n v="34"/>
  </r>
  <r>
    <s v="SALE1702"/>
    <x v="76"/>
    <s v="CUST1217"/>
    <s v="PROD37"/>
    <s v="STORE7"/>
    <n v="2"/>
    <n v="985.79"/>
    <x v="13"/>
    <x v="1"/>
    <x v="0"/>
    <x v="6"/>
    <x v="2"/>
    <x v="92"/>
    <x v="4"/>
    <n v="353.47"/>
    <x v="2"/>
    <x v="2"/>
    <x v="1699"/>
    <n v="42"/>
  </r>
  <r>
    <s v="SALE1703"/>
    <x v="660"/>
    <s v="CUST1187"/>
    <s v="PROD33"/>
    <s v="STORE14"/>
    <n v="1"/>
    <n v="255.02"/>
    <x v="11"/>
    <x v="0"/>
    <x v="1"/>
    <x v="4"/>
    <x v="1"/>
    <x v="9"/>
    <x v="3"/>
    <n v="179.77"/>
    <x v="2"/>
    <x v="0"/>
    <x v="1700"/>
    <n v="60"/>
  </r>
  <r>
    <s v="SALE1704"/>
    <x v="227"/>
    <s v="CUST1095"/>
    <s v="PROD19"/>
    <s v="STORE8"/>
    <n v="1"/>
    <n v="153.57"/>
    <x v="10"/>
    <x v="1"/>
    <x v="1"/>
    <x v="14"/>
    <x v="1"/>
    <x v="46"/>
    <x v="0"/>
    <n v="21.34"/>
    <x v="1"/>
    <x v="2"/>
    <x v="1701"/>
    <n v="62"/>
  </r>
  <r>
    <s v="SALE1705"/>
    <x v="480"/>
    <s v="CUST1253"/>
    <s v="PROD43"/>
    <s v="STORE18"/>
    <n v="3"/>
    <n v="962.98"/>
    <x v="34"/>
    <x v="0"/>
    <x v="0"/>
    <x v="18"/>
    <x v="3"/>
    <x v="19"/>
    <x v="1"/>
    <n v="253.33"/>
    <x v="3"/>
    <x v="1"/>
    <x v="1702"/>
    <n v="32"/>
  </r>
  <r>
    <s v="SALE1706"/>
    <x v="532"/>
    <s v="CUST1057"/>
    <s v="PROD44"/>
    <s v="STORE8"/>
    <n v="3"/>
    <n v="884.46"/>
    <x v="2"/>
    <x v="0"/>
    <x v="1"/>
    <x v="5"/>
    <x v="1"/>
    <x v="38"/>
    <x v="0"/>
    <n v="167.12"/>
    <x v="1"/>
    <x v="2"/>
    <x v="1703"/>
    <n v="43"/>
  </r>
  <r>
    <s v="SALE1707"/>
    <x v="428"/>
    <s v="CUST1437"/>
    <s v="PROD67"/>
    <s v="STORE10"/>
    <n v="4"/>
    <n v="359.71"/>
    <x v="28"/>
    <x v="1"/>
    <x v="1"/>
    <x v="21"/>
    <x v="1"/>
    <x v="22"/>
    <x v="1"/>
    <n v="349.17"/>
    <x v="3"/>
    <x v="2"/>
    <x v="1704"/>
    <n v="47"/>
  </r>
  <r>
    <s v="SALE1708"/>
    <x v="388"/>
    <s v="CUST1051"/>
    <s v="PROD50"/>
    <s v="STORE4"/>
    <n v="3"/>
    <n v="766.47"/>
    <x v="4"/>
    <x v="0"/>
    <x v="1"/>
    <x v="35"/>
    <x v="0"/>
    <x v="57"/>
    <x v="0"/>
    <n v="190.29"/>
    <x v="2"/>
    <x v="2"/>
    <x v="1705"/>
    <n v="23"/>
  </r>
  <r>
    <s v="SALE1709"/>
    <x v="661"/>
    <s v="CUST1223"/>
    <s v="PROD56"/>
    <s v="STORE18"/>
    <n v="1"/>
    <n v="772.07"/>
    <x v="25"/>
    <x v="1"/>
    <x v="0"/>
    <x v="9"/>
    <x v="1"/>
    <x v="6"/>
    <x v="3"/>
    <n v="461.47"/>
    <x v="3"/>
    <x v="1"/>
    <x v="1706"/>
    <n v="50"/>
  </r>
  <r>
    <s v="SALE1710"/>
    <x v="442"/>
    <s v="CUST1277"/>
    <s v="PROD19"/>
    <s v="STORE5"/>
    <n v="3"/>
    <n v="108.31"/>
    <x v="25"/>
    <x v="2"/>
    <x v="1"/>
    <x v="44"/>
    <x v="1"/>
    <x v="46"/>
    <x v="0"/>
    <n v="21.34"/>
    <x v="0"/>
    <x v="0"/>
    <x v="1707"/>
    <n v="22"/>
  </r>
  <r>
    <s v="SALE1711"/>
    <x v="229"/>
    <s v="CUST1218"/>
    <s v="PROD79"/>
    <s v="STORE6"/>
    <n v="1"/>
    <n v="502.53"/>
    <x v="33"/>
    <x v="1"/>
    <x v="0"/>
    <x v="24"/>
    <x v="1"/>
    <x v="29"/>
    <x v="3"/>
    <n v="228.53"/>
    <x v="3"/>
    <x v="2"/>
    <x v="1708"/>
    <n v="46"/>
  </r>
  <r>
    <s v="SALE1712"/>
    <x v="488"/>
    <s v="CUST1076"/>
    <s v="PROD1"/>
    <s v="STORE16"/>
    <n v="2"/>
    <n v="508.52"/>
    <x v="32"/>
    <x v="2"/>
    <x v="0"/>
    <x v="15"/>
    <x v="0"/>
    <x v="55"/>
    <x v="4"/>
    <n v="342.56"/>
    <x v="1"/>
    <x v="1"/>
    <x v="1709"/>
    <n v="37"/>
  </r>
  <r>
    <s v="SALE1713"/>
    <x v="423"/>
    <s v="CUST1468"/>
    <s v="PROD74"/>
    <s v="STORE3"/>
    <n v="1"/>
    <n v="492"/>
    <x v="25"/>
    <x v="1"/>
    <x v="0"/>
    <x v="1"/>
    <x v="3"/>
    <x v="1"/>
    <x v="1"/>
    <n v="403.71"/>
    <x v="0"/>
    <x v="0"/>
    <x v="1710"/>
    <n v="45"/>
  </r>
  <r>
    <s v="SALE1714"/>
    <x v="121"/>
    <s v="CUST1485"/>
    <s v="PROD37"/>
    <s v="STORE14"/>
    <n v="4"/>
    <n v="746.36"/>
    <x v="31"/>
    <x v="0"/>
    <x v="1"/>
    <x v="45"/>
    <x v="3"/>
    <x v="92"/>
    <x v="4"/>
    <n v="353.47"/>
    <x v="2"/>
    <x v="0"/>
    <x v="1711"/>
    <n v="46"/>
  </r>
  <r>
    <s v="SALE1715"/>
    <x v="260"/>
    <s v="CUST1433"/>
    <s v="PROD12"/>
    <s v="STORE1"/>
    <n v="1"/>
    <n v="120.83"/>
    <x v="16"/>
    <x v="0"/>
    <x v="1"/>
    <x v="14"/>
    <x v="2"/>
    <x v="21"/>
    <x v="2"/>
    <n v="115.82"/>
    <x v="0"/>
    <x v="1"/>
    <x v="1712"/>
    <n v="51"/>
  </r>
  <r>
    <s v="SALE1716"/>
    <x v="22"/>
    <s v="CUST1399"/>
    <s v="PROD77"/>
    <s v="STORE18"/>
    <n v="2"/>
    <n v="68.31"/>
    <x v="12"/>
    <x v="2"/>
    <x v="0"/>
    <x v="17"/>
    <x v="3"/>
    <x v="25"/>
    <x v="1"/>
    <n v="480.9"/>
    <x v="3"/>
    <x v="1"/>
    <x v="1713"/>
    <n v="27"/>
  </r>
  <r>
    <s v="SALE1717"/>
    <x v="493"/>
    <s v="CUST1062"/>
    <s v="PROD22"/>
    <s v="STORE18"/>
    <n v="2"/>
    <n v="761.71"/>
    <x v="31"/>
    <x v="1"/>
    <x v="0"/>
    <x v="23"/>
    <x v="3"/>
    <x v="62"/>
    <x v="0"/>
    <n v="484.62"/>
    <x v="3"/>
    <x v="1"/>
    <x v="1714"/>
    <n v="50"/>
  </r>
  <r>
    <s v="SALE1718"/>
    <x v="615"/>
    <s v="CUST1066"/>
    <s v="PROD78"/>
    <s v="STORE3"/>
    <n v="4"/>
    <n v="346.37"/>
    <x v="4"/>
    <x v="2"/>
    <x v="1"/>
    <x v="21"/>
    <x v="2"/>
    <x v="36"/>
    <x v="3"/>
    <n v="325.26"/>
    <x v="0"/>
    <x v="0"/>
    <x v="1715"/>
    <n v="27"/>
  </r>
  <r>
    <s v="SALE1719"/>
    <x v="404"/>
    <s v="CUST1007"/>
    <s v="PROD55"/>
    <s v="STORE12"/>
    <n v="1"/>
    <n v="846.3"/>
    <x v="17"/>
    <x v="1"/>
    <x v="1"/>
    <x v="35"/>
    <x v="3"/>
    <x v="76"/>
    <x v="3"/>
    <n v="81.75"/>
    <x v="0"/>
    <x v="2"/>
    <x v="1716"/>
    <n v="29"/>
  </r>
  <r>
    <s v="SALE1720"/>
    <x v="248"/>
    <s v="CUST1432"/>
    <s v="PROD0"/>
    <s v="STORE19"/>
    <n v="1"/>
    <n v="458.97"/>
    <x v="30"/>
    <x v="1"/>
    <x v="0"/>
    <x v="19"/>
    <x v="3"/>
    <x v="90"/>
    <x v="1"/>
    <n v="112.42"/>
    <x v="3"/>
    <x v="2"/>
    <x v="1717"/>
    <n v="37"/>
  </r>
  <r>
    <s v="SALE1721"/>
    <x v="324"/>
    <s v="CUST1289"/>
    <s v="PROD43"/>
    <s v="STORE7"/>
    <n v="2"/>
    <n v="536.61"/>
    <x v="17"/>
    <x v="0"/>
    <x v="0"/>
    <x v="31"/>
    <x v="3"/>
    <x v="19"/>
    <x v="1"/>
    <n v="253.33"/>
    <x v="2"/>
    <x v="2"/>
    <x v="1718"/>
    <n v="45"/>
  </r>
  <r>
    <s v="SALE1722"/>
    <x v="326"/>
    <s v="CUST1420"/>
    <s v="PROD58"/>
    <s v="STORE0"/>
    <n v="3"/>
    <n v="130.41"/>
    <x v="17"/>
    <x v="1"/>
    <x v="0"/>
    <x v="29"/>
    <x v="3"/>
    <x v="87"/>
    <x v="4"/>
    <n v="113.83"/>
    <x v="3"/>
    <x v="1"/>
    <x v="1719"/>
    <n v="60"/>
  </r>
  <r>
    <s v="SALE1723"/>
    <x v="102"/>
    <s v="CUST1496"/>
    <s v="PROD89"/>
    <s v="STORE12"/>
    <n v="4"/>
    <n v="706.67"/>
    <x v="10"/>
    <x v="0"/>
    <x v="0"/>
    <x v="31"/>
    <x v="3"/>
    <x v="41"/>
    <x v="2"/>
    <n v="183.04"/>
    <x v="0"/>
    <x v="2"/>
    <x v="1720"/>
    <n v="56"/>
  </r>
  <r>
    <s v="SALE1724"/>
    <x v="662"/>
    <s v="CUST1392"/>
    <s v="PROD27"/>
    <s v="STORE3"/>
    <n v="3"/>
    <n v="523.45"/>
    <x v="9"/>
    <x v="0"/>
    <x v="0"/>
    <x v="6"/>
    <x v="0"/>
    <x v="16"/>
    <x v="3"/>
    <n v="250.021571428571"/>
    <x v="0"/>
    <x v="0"/>
    <x v="1721"/>
    <n v="46"/>
  </r>
  <r>
    <s v="SALE1725"/>
    <x v="437"/>
    <s v="CUST1009"/>
    <s v="PROD91"/>
    <s v="STORE18"/>
    <n v="3"/>
    <n v="482.2"/>
    <x v="7"/>
    <x v="2"/>
    <x v="0"/>
    <x v="2"/>
    <x v="1"/>
    <x v="52"/>
    <x v="4"/>
    <n v="438.25"/>
    <x v="3"/>
    <x v="1"/>
    <x v="1722"/>
    <n v="64"/>
  </r>
  <r>
    <s v="SALE1726"/>
    <x v="142"/>
    <s v="CUST1124"/>
    <s v="PROD63"/>
    <s v="STORE5"/>
    <n v="4"/>
    <n v="688.86"/>
    <x v="31"/>
    <x v="2"/>
    <x v="0"/>
    <x v="49"/>
    <x v="3"/>
    <x v="81"/>
    <x v="2"/>
    <n v="266.86"/>
    <x v="0"/>
    <x v="0"/>
    <x v="1723"/>
    <n v="26"/>
  </r>
  <r>
    <s v="SALE1727"/>
    <x v="98"/>
    <s v="CUST1023"/>
    <s v="PROD12"/>
    <s v="STORE0"/>
    <n v="1"/>
    <n v="145.48"/>
    <x v="30"/>
    <x v="2"/>
    <x v="1"/>
    <x v="47"/>
    <x v="2"/>
    <x v="21"/>
    <x v="2"/>
    <n v="115.82"/>
    <x v="3"/>
    <x v="1"/>
    <x v="1724"/>
    <n v="52"/>
  </r>
  <r>
    <s v="SALE1728"/>
    <x v="419"/>
    <s v="CUST1052"/>
    <s v="PROD31"/>
    <s v="STORE11"/>
    <n v="4"/>
    <n v="862.25"/>
    <x v="23"/>
    <x v="1"/>
    <x v="0"/>
    <x v="46"/>
    <x v="3"/>
    <x v="45"/>
    <x v="0"/>
    <n v="204.39"/>
    <x v="2"/>
    <x v="2"/>
    <x v="1725"/>
    <n v="55"/>
  </r>
  <r>
    <s v="SALE1729"/>
    <x v="627"/>
    <s v="CUST1292"/>
    <s v="PROD1"/>
    <s v="STORE14"/>
    <n v="4"/>
    <n v="146.12"/>
    <x v="27"/>
    <x v="2"/>
    <x v="0"/>
    <x v="46"/>
    <x v="2"/>
    <x v="55"/>
    <x v="4"/>
    <n v="342.56"/>
    <x v="2"/>
    <x v="0"/>
    <x v="1726"/>
    <n v="30"/>
  </r>
  <r>
    <s v="SALE1730"/>
    <x v="583"/>
    <s v="CUST1478"/>
    <s v="PROD31"/>
    <s v="STORE18"/>
    <n v="2"/>
    <n v="695.02"/>
    <x v="11"/>
    <x v="2"/>
    <x v="0"/>
    <x v="34"/>
    <x v="0"/>
    <x v="45"/>
    <x v="0"/>
    <n v="204.39"/>
    <x v="3"/>
    <x v="1"/>
    <x v="1727"/>
    <n v="59"/>
  </r>
  <r>
    <s v="SALE1731"/>
    <x v="602"/>
    <s v="CUST1219"/>
    <s v="PROD94"/>
    <s v="STORE10"/>
    <n v="2"/>
    <n v="886.67"/>
    <x v="24"/>
    <x v="1"/>
    <x v="1"/>
    <x v="19"/>
    <x v="0"/>
    <x v="32"/>
    <x v="2"/>
    <n v="358.47"/>
    <x v="3"/>
    <x v="2"/>
    <x v="1728"/>
    <n v="47"/>
  </r>
  <r>
    <s v="SALE1732"/>
    <x v="312"/>
    <s v="CUST1054"/>
    <s v="PROD66"/>
    <s v="STORE18"/>
    <n v="2"/>
    <n v="864.09"/>
    <x v="22"/>
    <x v="2"/>
    <x v="0"/>
    <x v="15"/>
    <x v="1"/>
    <x v="73"/>
    <x v="2"/>
    <n v="340.39"/>
    <x v="3"/>
    <x v="1"/>
    <x v="1729"/>
    <n v="24"/>
  </r>
  <r>
    <s v="SALE1733"/>
    <x v="589"/>
    <s v="CUST1003"/>
    <s v="PROD12"/>
    <s v="STORE9"/>
    <n v="1"/>
    <n v="437.65"/>
    <x v="31"/>
    <x v="1"/>
    <x v="1"/>
    <x v="31"/>
    <x v="3"/>
    <x v="21"/>
    <x v="2"/>
    <n v="115.82"/>
    <x v="2"/>
    <x v="1"/>
    <x v="1730"/>
    <n v="59"/>
  </r>
  <r>
    <s v="SALE1734"/>
    <x v="20"/>
    <s v="CUST1202"/>
    <s v="PROD36"/>
    <s v="STORE13"/>
    <n v="2"/>
    <n v="208.09"/>
    <x v="1"/>
    <x v="0"/>
    <x v="1"/>
    <x v="32"/>
    <x v="1"/>
    <x v="14"/>
    <x v="4"/>
    <n v="223.43"/>
    <x v="3"/>
    <x v="1"/>
    <x v="1731"/>
    <n v="37"/>
  </r>
  <r>
    <s v="SALE1735"/>
    <x v="107"/>
    <s v="CUST1054"/>
    <s v="PROD93"/>
    <s v="STORE17"/>
    <n v="4"/>
    <n v="825.78"/>
    <x v="31"/>
    <x v="0"/>
    <x v="0"/>
    <x v="15"/>
    <x v="1"/>
    <x v="47"/>
    <x v="1"/>
    <n v="377.52"/>
    <x v="0"/>
    <x v="1"/>
    <x v="1732"/>
    <n v="24"/>
  </r>
  <r>
    <s v="SALE1736"/>
    <x v="154"/>
    <s v="CUST1116"/>
    <s v="PROD25"/>
    <s v="STORE17"/>
    <n v="3"/>
    <n v="849.77"/>
    <x v="27"/>
    <x v="1"/>
    <x v="1"/>
    <x v="5"/>
    <x v="1"/>
    <x v="60"/>
    <x v="4"/>
    <n v="174.02"/>
    <x v="0"/>
    <x v="1"/>
    <x v="1733"/>
    <n v="18"/>
  </r>
  <r>
    <s v="SALE1737"/>
    <x v="158"/>
    <s v="CUST1344"/>
    <s v="PROD60"/>
    <s v="STORE4"/>
    <n v="1"/>
    <n v="88.78"/>
    <x v="4"/>
    <x v="0"/>
    <x v="0"/>
    <x v="23"/>
    <x v="0"/>
    <x v="17"/>
    <x v="2"/>
    <n v="482.75"/>
    <x v="2"/>
    <x v="2"/>
    <x v="1734"/>
    <n v="39"/>
  </r>
  <r>
    <s v="SALE1738"/>
    <x v="455"/>
    <s v="CUST1191"/>
    <s v="PROD78"/>
    <s v="STORE4"/>
    <n v="4"/>
    <n v="507.22"/>
    <x v="17"/>
    <x v="1"/>
    <x v="1"/>
    <x v="31"/>
    <x v="3"/>
    <x v="36"/>
    <x v="3"/>
    <n v="325.26"/>
    <x v="2"/>
    <x v="2"/>
    <x v="1735"/>
    <n v="29"/>
  </r>
  <r>
    <s v="SALE1739"/>
    <x v="649"/>
    <s v="CUST1316"/>
    <s v="PROD96"/>
    <s v="STORE0"/>
    <n v="3"/>
    <n v="330.98"/>
    <x v="32"/>
    <x v="0"/>
    <x v="0"/>
    <x v="33"/>
    <x v="0"/>
    <x v="99"/>
    <x v="4"/>
    <n v="358.47"/>
    <x v="3"/>
    <x v="1"/>
    <x v="1736"/>
    <n v="34"/>
  </r>
  <r>
    <s v="SALE1740"/>
    <x v="663"/>
    <s v="CUST1051"/>
    <s v="PROD37"/>
    <s v="STORE19"/>
    <n v="4"/>
    <n v="442.87"/>
    <x v="16"/>
    <x v="0"/>
    <x v="1"/>
    <x v="35"/>
    <x v="0"/>
    <x v="92"/>
    <x v="4"/>
    <n v="353.47"/>
    <x v="3"/>
    <x v="2"/>
    <x v="1737"/>
    <n v="23"/>
  </r>
  <r>
    <s v="SALE1741"/>
    <x v="200"/>
    <s v="CUST1009"/>
    <s v="PROD96"/>
    <s v="STORE2"/>
    <n v="2"/>
    <n v="939.66"/>
    <x v="17"/>
    <x v="1"/>
    <x v="0"/>
    <x v="2"/>
    <x v="1"/>
    <x v="99"/>
    <x v="4"/>
    <n v="358.47"/>
    <x v="2"/>
    <x v="0"/>
    <x v="1738"/>
    <n v="64"/>
  </r>
  <r>
    <s v="SALE1742"/>
    <x v="90"/>
    <s v="CUST1293"/>
    <s v="PROD73"/>
    <s v="STORE3"/>
    <n v="1"/>
    <n v="24.13"/>
    <x v="33"/>
    <x v="0"/>
    <x v="1"/>
    <x v="38"/>
    <x v="1"/>
    <x v="78"/>
    <x v="0"/>
    <n v="107.06"/>
    <x v="0"/>
    <x v="0"/>
    <x v="1739"/>
    <n v="56"/>
  </r>
  <r>
    <s v="SALE1743"/>
    <x v="648"/>
    <s v="CUST1364"/>
    <s v="PROD41"/>
    <s v="STORE3"/>
    <n v="3"/>
    <n v="239.54"/>
    <x v="12"/>
    <x v="2"/>
    <x v="0"/>
    <x v="28"/>
    <x v="3"/>
    <x v="89"/>
    <x v="0"/>
    <n v="313.26"/>
    <x v="0"/>
    <x v="0"/>
    <x v="1740"/>
    <n v="58"/>
  </r>
  <r>
    <s v="SALE1744"/>
    <x v="313"/>
    <s v="CUST1482"/>
    <s v="PROD46"/>
    <s v="STORE14"/>
    <n v="1"/>
    <n v="588.53"/>
    <x v="30"/>
    <x v="0"/>
    <x v="0"/>
    <x v="27"/>
    <x v="1"/>
    <x v="54"/>
    <x v="4"/>
    <n v="167.34"/>
    <x v="2"/>
    <x v="0"/>
    <x v="1741"/>
    <n v="26"/>
  </r>
  <r>
    <s v="SALE1745"/>
    <x v="198"/>
    <s v="CUST1288"/>
    <s v="PROD60"/>
    <s v="STORE15"/>
    <n v="1"/>
    <n v="145.96"/>
    <x v="11"/>
    <x v="0"/>
    <x v="0"/>
    <x v="40"/>
    <x v="0"/>
    <x v="17"/>
    <x v="2"/>
    <n v="482.75"/>
    <x v="0"/>
    <x v="1"/>
    <x v="1742"/>
    <n v="58"/>
  </r>
  <r>
    <s v="SALE1746"/>
    <x v="133"/>
    <s v="CUST1101"/>
    <s v="PROD70"/>
    <s v="STORE4"/>
    <n v="4"/>
    <n v="640.91"/>
    <x v="22"/>
    <x v="0"/>
    <x v="0"/>
    <x v="39"/>
    <x v="0"/>
    <x v="7"/>
    <x v="3"/>
    <n v="138.05"/>
    <x v="2"/>
    <x v="2"/>
    <x v="1743"/>
    <n v="29"/>
  </r>
  <r>
    <s v="SALE1747"/>
    <x v="420"/>
    <s v="CUST1042"/>
    <s v="PROD64"/>
    <s v="STORE11"/>
    <n v="3"/>
    <n v="773.86"/>
    <x v="14"/>
    <x v="0"/>
    <x v="0"/>
    <x v="40"/>
    <x v="1"/>
    <x v="91"/>
    <x v="2"/>
    <n v="299.11"/>
    <x v="2"/>
    <x v="2"/>
    <x v="1744"/>
    <n v="19"/>
  </r>
  <r>
    <s v="SALE1748"/>
    <x v="299"/>
    <s v="CUST1463"/>
    <s v="PROD31"/>
    <s v="STORE15"/>
    <n v="2"/>
    <n v="31.28"/>
    <x v="29"/>
    <x v="2"/>
    <x v="1"/>
    <x v="40"/>
    <x v="3"/>
    <x v="45"/>
    <x v="0"/>
    <n v="204.39"/>
    <x v="0"/>
    <x v="1"/>
    <x v="1745"/>
    <n v="36"/>
  </r>
  <r>
    <s v="SALE1749"/>
    <x v="253"/>
    <s v="CUST1373"/>
    <s v="PROD82"/>
    <s v="STORE6"/>
    <n v="4"/>
    <n v="389.22"/>
    <x v="4"/>
    <x v="0"/>
    <x v="1"/>
    <x v="17"/>
    <x v="0"/>
    <x v="74"/>
    <x v="0"/>
    <n v="152.92"/>
    <x v="3"/>
    <x v="2"/>
    <x v="1746"/>
    <n v="37"/>
  </r>
  <r>
    <s v="SALE1750"/>
    <x v="137"/>
    <s v="CUST1015"/>
    <s v="PROD64"/>
    <s v="STORE15"/>
    <n v="3"/>
    <n v="543.44"/>
    <x v="21"/>
    <x v="1"/>
    <x v="1"/>
    <x v="7"/>
    <x v="1"/>
    <x v="91"/>
    <x v="2"/>
    <n v="299.11"/>
    <x v="0"/>
    <x v="1"/>
    <x v="1747"/>
    <n v="49"/>
  </r>
  <r>
    <s v="SALE1751"/>
    <x v="627"/>
    <s v="CUST1257"/>
    <s v="PROD97"/>
    <s v="STORE19"/>
    <n v="4"/>
    <n v="715.42"/>
    <x v="12"/>
    <x v="1"/>
    <x v="0"/>
    <x v="43"/>
    <x v="2"/>
    <x v="0"/>
    <x v="0"/>
    <n v="245.98"/>
    <x v="3"/>
    <x v="2"/>
    <x v="1748"/>
    <n v="42"/>
  </r>
  <r>
    <s v="SALE1752"/>
    <x v="115"/>
    <s v="CUST1051"/>
    <s v="PROD12"/>
    <s v="STORE4"/>
    <n v="4"/>
    <n v="676.14"/>
    <x v="32"/>
    <x v="2"/>
    <x v="1"/>
    <x v="35"/>
    <x v="0"/>
    <x v="21"/>
    <x v="2"/>
    <n v="115.82"/>
    <x v="2"/>
    <x v="2"/>
    <x v="1749"/>
    <n v="23"/>
  </r>
  <r>
    <s v="SALE1753"/>
    <x v="664"/>
    <s v="CUST1089"/>
    <s v="PROD39"/>
    <s v="STORE1"/>
    <n v="4"/>
    <n v="352.72"/>
    <x v="2"/>
    <x v="0"/>
    <x v="0"/>
    <x v="18"/>
    <x v="1"/>
    <x v="11"/>
    <x v="1"/>
    <n v="326.06"/>
    <x v="0"/>
    <x v="1"/>
    <x v="1750"/>
    <n v="43"/>
  </r>
  <r>
    <s v="SALE1754"/>
    <x v="343"/>
    <s v="CUST1173"/>
    <s v="PROD11"/>
    <s v="STORE12"/>
    <n v="1"/>
    <n v="470.18"/>
    <x v="5"/>
    <x v="1"/>
    <x v="1"/>
    <x v="9"/>
    <x v="1"/>
    <x v="75"/>
    <x v="1"/>
    <n v="449.4"/>
    <x v="0"/>
    <x v="2"/>
    <x v="1751"/>
    <n v="41"/>
  </r>
  <r>
    <s v="SALE1755"/>
    <x v="665"/>
    <s v="CUST1230"/>
    <s v="PROD66"/>
    <s v="STORE11"/>
    <n v="1"/>
    <n v="891.79"/>
    <x v="15"/>
    <x v="0"/>
    <x v="0"/>
    <x v="26"/>
    <x v="3"/>
    <x v="73"/>
    <x v="2"/>
    <n v="340.39"/>
    <x v="2"/>
    <x v="2"/>
    <x v="1752"/>
    <n v="29"/>
  </r>
  <r>
    <s v="SALE1756"/>
    <x v="155"/>
    <s v="CUST1348"/>
    <s v="PROD89"/>
    <s v="STORE17"/>
    <n v="2"/>
    <n v="433.07"/>
    <x v="2"/>
    <x v="2"/>
    <x v="0"/>
    <x v="2"/>
    <x v="2"/>
    <x v="41"/>
    <x v="2"/>
    <n v="183.04"/>
    <x v="0"/>
    <x v="1"/>
    <x v="1753"/>
    <n v="55"/>
  </r>
  <r>
    <s v="SALE1757"/>
    <x v="648"/>
    <s v="CUST1012"/>
    <s v="PROD66"/>
    <s v="STORE19"/>
    <n v="3"/>
    <n v="626.71"/>
    <x v="8"/>
    <x v="2"/>
    <x v="1"/>
    <x v="32"/>
    <x v="1"/>
    <x v="73"/>
    <x v="2"/>
    <n v="340.39"/>
    <x v="3"/>
    <x v="2"/>
    <x v="1754"/>
    <n v="55"/>
  </r>
  <r>
    <s v="SALE1758"/>
    <x v="120"/>
    <s v="CUST1076"/>
    <s v="PROD36"/>
    <s v="STORE0"/>
    <n v="2"/>
    <n v="324.18"/>
    <x v="22"/>
    <x v="2"/>
    <x v="0"/>
    <x v="15"/>
    <x v="0"/>
    <x v="14"/>
    <x v="4"/>
    <n v="223.43"/>
    <x v="3"/>
    <x v="1"/>
    <x v="1755"/>
    <n v="37"/>
  </r>
  <r>
    <s v="SALE1759"/>
    <x v="134"/>
    <s v="CUST1013"/>
    <s v="PROD14"/>
    <s v="STORE17"/>
    <n v="4"/>
    <n v="839.74"/>
    <x v="21"/>
    <x v="1"/>
    <x v="1"/>
    <x v="10"/>
    <x v="2"/>
    <x v="66"/>
    <x v="3"/>
    <n v="48.01"/>
    <x v="0"/>
    <x v="1"/>
    <x v="1756"/>
    <n v="32"/>
  </r>
  <r>
    <s v="SALE1760"/>
    <x v="598"/>
    <s v="CUST1156"/>
    <s v="PROD62"/>
    <s v="STORE15"/>
    <n v="3"/>
    <n v="252.63"/>
    <x v="23"/>
    <x v="0"/>
    <x v="0"/>
    <x v="16"/>
    <x v="3"/>
    <x v="85"/>
    <x v="1"/>
    <n v="86.42"/>
    <x v="0"/>
    <x v="1"/>
    <x v="1757"/>
    <n v="46"/>
  </r>
  <r>
    <s v="SALE1761"/>
    <x v="436"/>
    <s v="CUST1255"/>
    <s v="PROD79"/>
    <s v="STORE19"/>
    <n v="2"/>
    <n v="60.53"/>
    <x v="4"/>
    <x v="0"/>
    <x v="0"/>
    <x v="31"/>
    <x v="0"/>
    <x v="29"/>
    <x v="3"/>
    <n v="228.53"/>
    <x v="3"/>
    <x v="2"/>
    <x v="1758"/>
    <n v="21"/>
  </r>
  <r>
    <s v="SALE1762"/>
    <x v="291"/>
    <s v="CUST1054"/>
    <s v="PROD84"/>
    <s v="STORE13"/>
    <n v="4"/>
    <n v="341.95"/>
    <x v="2"/>
    <x v="0"/>
    <x v="0"/>
    <x v="15"/>
    <x v="1"/>
    <x v="94"/>
    <x v="3"/>
    <n v="388.46"/>
    <x v="3"/>
    <x v="1"/>
    <x v="1759"/>
    <n v="24"/>
  </r>
  <r>
    <s v="SALE1763"/>
    <x v="240"/>
    <s v="CUST1283"/>
    <s v="PROD22"/>
    <s v="STORE16"/>
    <n v="4"/>
    <n v="300.12"/>
    <x v="28"/>
    <x v="1"/>
    <x v="1"/>
    <x v="0"/>
    <x v="2"/>
    <x v="62"/>
    <x v="0"/>
    <n v="484.62"/>
    <x v="1"/>
    <x v="1"/>
    <x v="1760"/>
    <n v="54"/>
  </r>
  <r>
    <s v="SALE1764"/>
    <x v="105"/>
    <s v="CUST1115"/>
    <s v="PROD28"/>
    <s v="STORE17"/>
    <n v="2"/>
    <n v="289.14"/>
    <x v="27"/>
    <x v="2"/>
    <x v="1"/>
    <x v="16"/>
    <x v="1"/>
    <x v="77"/>
    <x v="0"/>
    <n v="38.76"/>
    <x v="0"/>
    <x v="1"/>
    <x v="1761"/>
    <n v="53"/>
  </r>
  <r>
    <s v="SALE1765"/>
    <x v="379"/>
    <s v="CUST1045"/>
    <s v="PROD25"/>
    <s v="STORE0"/>
    <n v="2"/>
    <n v="596.84"/>
    <x v="10"/>
    <x v="1"/>
    <x v="0"/>
    <x v="28"/>
    <x v="0"/>
    <x v="60"/>
    <x v="4"/>
    <n v="174.02"/>
    <x v="3"/>
    <x v="1"/>
    <x v="1762"/>
    <n v="54"/>
  </r>
  <r>
    <s v="SALE1766"/>
    <x v="506"/>
    <s v="CUST1436"/>
    <s v="PROD19"/>
    <s v="STORE8"/>
    <n v="4"/>
    <n v="466.24"/>
    <x v="3"/>
    <x v="0"/>
    <x v="0"/>
    <x v="34"/>
    <x v="0"/>
    <x v="46"/>
    <x v="0"/>
    <n v="21.34"/>
    <x v="1"/>
    <x v="2"/>
    <x v="1763"/>
    <n v="61"/>
  </r>
  <r>
    <s v="SALE1767"/>
    <x v="128"/>
    <s v="CUST1252"/>
    <s v="PROD13"/>
    <s v="STORE16"/>
    <n v="2"/>
    <n v="330.59"/>
    <x v="17"/>
    <x v="0"/>
    <x v="0"/>
    <x v="34"/>
    <x v="2"/>
    <x v="26"/>
    <x v="1"/>
    <n v="242.23"/>
    <x v="1"/>
    <x v="1"/>
    <x v="1764"/>
    <n v="26"/>
  </r>
  <r>
    <s v="SALE1768"/>
    <x v="243"/>
    <s v="CUST1493"/>
    <s v="PROD22"/>
    <s v="STORE6"/>
    <n v="2"/>
    <n v="616.43"/>
    <x v="31"/>
    <x v="2"/>
    <x v="0"/>
    <x v="4"/>
    <x v="2"/>
    <x v="62"/>
    <x v="0"/>
    <n v="484.62"/>
    <x v="3"/>
    <x v="2"/>
    <x v="1765"/>
    <n v="28"/>
  </r>
  <r>
    <s v="SALE1769"/>
    <x v="53"/>
    <s v="CUST1403"/>
    <s v="PROD63"/>
    <s v="STORE6"/>
    <n v="3"/>
    <n v="195.89"/>
    <x v="3"/>
    <x v="1"/>
    <x v="0"/>
    <x v="38"/>
    <x v="3"/>
    <x v="81"/>
    <x v="2"/>
    <n v="266.86"/>
    <x v="3"/>
    <x v="2"/>
    <x v="1766"/>
    <n v="34"/>
  </r>
  <r>
    <s v="SALE1770"/>
    <x v="666"/>
    <s v="CUST1343"/>
    <s v="PROD7"/>
    <s v="STORE10"/>
    <n v="4"/>
    <n v="614.76"/>
    <x v="3"/>
    <x v="0"/>
    <x v="0"/>
    <x v="45"/>
    <x v="3"/>
    <x v="84"/>
    <x v="3"/>
    <n v="218.86"/>
    <x v="3"/>
    <x v="2"/>
    <x v="1767"/>
    <n v="38"/>
  </r>
  <r>
    <s v="SALE1771"/>
    <x v="150"/>
    <s v="CUST1404"/>
    <s v="PROD79"/>
    <s v="STORE7"/>
    <n v="1"/>
    <n v="224.49"/>
    <x v="32"/>
    <x v="1"/>
    <x v="1"/>
    <x v="13"/>
    <x v="2"/>
    <x v="29"/>
    <x v="3"/>
    <n v="228.53"/>
    <x v="2"/>
    <x v="2"/>
    <x v="1768"/>
    <n v="22"/>
  </r>
  <r>
    <s v="SALE1772"/>
    <x v="214"/>
    <s v="CUST1356"/>
    <s v="PROD55"/>
    <s v="STORE12"/>
    <n v="1"/>
    <n v="967.76"/>
    <x v="0"/>
    <x v="0"/>
    <x v="0"/>
    <x v="45"/>
    <x v="3"/>
    <x v="76"/>
    <x v="3"/>
    <n v="81.75"/>
    <x v="0"/>
    <x v="2"/>
    <x v="1769"/>
    <n v="54"/>
  </r>
  <r>
    <s v="SALE1773"/>
    <x v="390"/>
    <s v="CUST1067"/>
    <s v="PROD41"/>
    <s v="STORE19"/>
    <n v="2"/>
    <n v="56.52"/>
    <x v="9"/>
    <x v="1"/>
    <x v="0"/>
    <x v="26"/>
    <x v="2"/>
    <x v="89"/>
    <x v="0"/>
    <n v="313.26"/>
    <x v="3"/>
    <x v="2"/>
    <x v="1770"/>
    <n v="58"/>
  </r>
  <r>
    <s v="SALE1774"/>
    <x v="301"/>
    <s v="CUST1490"/>
    <s v="PROD67"/>
    <s v="STORE1"/>
    <n v="4"/>
    <n v="921.84"/>
    <x v="13"/>
    <x v="0"/>
    <x v="0"/>
    <x v="33"/>
    <x v="1"/>
    <x v="22"/>
    <x v="1"/>
    <n v="349.17"/>
    <x v="0"/>
    <x v="1"/>
    <x v="1771"/>
    <n v="23"/>
  </r>
  <r>
    <s v="SALE1775"/>
    <x v="667"/>
    <s v="CUST1328"/>
    <s v="PROD86"/>
    <s v="STORE16"/>
    <n v="3"/>
    <n v="738.47"/>
    <x v="23"/>
    <x v="0"/>
    <x v="0"/>
    <x v="46"/>
    <x v="1"/>
    <x v="56"/>
    <x v="3"/>
    <n v="176.07"/>
    <x v="1"/>
    <x v="1"/>
    <x v="1772"/>
    <n v="46"/>
  </r>
  <r>
    <s v="SALE1776"/>
    <x v="33"/>
    <s v="CUST1328"/>
    <s v="PROD5"/>
    <s v="STORE0"/>
    <n v="4"/>
    <n v="477.83"/>
    <x v="28"/>
    <x v="2"/>
    <x v="0"/>
    <x v="46"/>
    <x v="1"/>
    <x v="23"/>
    <x v="4"/>
    <n v="261"/>
    <x v="3"/>
    <x v="1"/>
    <x v="1773"/>
    <n v="46"/>
  </r>
  <r>
    <s v="SALE1777"/>
    <x v="668"/>
    <s v="CUST1168"/>
    <s v="PROD42"/>
    <s v="STORE12"/>
    <n v="3"/>
    <n v="605.83"/>
    <x v="23"/>
    <x v="2"/>
    <x v="1"/>
    <x v="26"/>
    <x v="1"/>
    <x v="63"/>
    <x v="1"/>
    <n v="450.71"/>
    <x v="0"/>
    <x v="2"/>
    <x v="1774"/>
    <n v="36"/>
  </r>
  <r>
    <s v="SALE1778"/>
    <x v="297"/>
    <s v="CUST1067"/>
    <s v="PROD43"/>
    <s v="STORE3"/>
    <n v="2"/>
    <n v="521.44"/>
    <x v="2"/>
    <x v="2"/>
    <x v="0"/>
    <x v="26"/>
    <x v="2"/>
    <x v="19"/>
    <x v="1"/>
    <n v="253.33"/>
    <x v="0"/>
    <x v="0"/>
    <x v="1775"/>
    <n v="58"/>
  </r>
  <r>
    <s v="SALE1779"/>
    <x v="198"/>
    <s v="CUST1373"/>
    <s v="PROD10"/>
    <s v="STORE7"/>
    <n v="4"/>
    <n v="499.02"/>
    <x v="22"/>
    <x v="0"/>
    <x v="1"/>
    <x v="17"/>
    <x v="0"/>
    <x v="31"/>
    <x v="3"/>
    <n v="298.86"/>
    <x v="2"/>
    <x v="2"/>
    <x v="1776"/>
    <n v="37"/>
  </r>
  <r>
    <s v="SALE1780"/>
    <x v="543"/>
    <s v="CUST1153"/>
    <s v="PROD4"/>
    <s v="STORE18"/>
    <n v="4"/>
    <n v="299.46"/>
    <x v="4"/>
    <x v="2"/>
    <x v="0"/>
    <x v="16"/>
    <x v="3"/>
    <x v="83"/>
    <x v="4"/>
    <n v="306.46"/>
    <x v="3"/>
    <x v="1"/>
    <x v="1777"/>
    <n v="31"/>
  </r>
  <r>
    <s v="SALE1781"/>
    <x v="1"/>
    <s v="CUST1457"/>
    <s v="PROD39"/>
    <s v="STORE0"/>
    <n v="1"/>
    <n v="609.29"/>
    <x v="6"/>
    <x v="0"/>
    <x v="0"/>
    <x v="27"/>
    <x v="1"/>
    <x v="11"/>
    <x v="1"/>
    <n v="326.06"/>
    <x v="3"/>
    <x v="1"/>
    <x v="1778"/>
    <n v="59"/>
  </r>
  <r>
    <s v="SALE1782"/>
    <x v="361"/>
    <s v="CUST1101"/>
    <s v="PROD2"/>
    <s v="STORE8"/>
    <n v="1"/>
    <n v="213.74"/>
    <x v="8"/>
    <x v="2"/>
    <x v="0"/>
    <x v="39"/>
    <x v="0"/>
    <x v="95"/>
    <x v="4"/>
    <n v="254.620869565217"/>
    <x v="1"/>
    <x v="2"/>
    <x v="1779"/>
    <n v="29"/>
  </r>
  <r>
    <s v="SALE1783"/>
    <x v="132"/>
    <s v="CUST1153"/>
    <s v="PROD55"/>
    <s v="STORE16"/>
    <n v="4"/>
    <n v="613.17"/>
    <x v="25"/>
    <x v="0"/>
    <x v="0"/>
    <x v="16"/>
    <x v="3"/>
    <x v="76"/>
    <x v="3"/>
    <n v="81.75"/>
    <x v="1"/>
    <x v="1"/>
    <x v="1780"/>
    <n v="31"/>
  </r>
  <r>
    <s v="SALE1784"/>
    <x v="655"/>
    <s v="CUST1357"/>
    <s v="PROD59"/>
    <s v="STORE11"/>
    <n v="2"/>
    <n v="687.36"/>
    <x v="8"/>
    <x v="2"/>
    <x v="0"/>
    <x v="3"/>
    <x v="0"/>
    <x v="4"/>
    <x v="2"/>
    <n v="17.31"/>
    <x v="2"/>
    <x v="2"/>
    <x v="1781"/>
    <n v="41"/>
  </r>
  <r>
    <s v="SALE1785"/>
    <x v="192"/>
    <s v="CUST1326"/>
    <s v="PROD67"/>
    <s v="STORE13"/>
    <n v="3"/>
    <n v="115.39"/>
    <x v="31"/>
    <x v="1"/>
    <x v="1"/>
    <x v="5"/>
    <x v="0"/>
    <x v="22"/>
    <x v="1"/>
    <n v="349.17"/>
    <x v="3"/>
    <x v="1"/>
    <x v="1782"/>
    <n v="58"/>
  </r>
  <r>
    <s v="SALE1786"/>
    <x v="669"/>
    <s v="CUST1179"/>
    <s v="PROD24"/>
    <s v="STORE12"/>
    <n v="2"/>
    <n v="722.06"/>
    <x v="8"/>
    <x v="0"/>
    <x v="1"/>
    <x v="39"/>
    <x v="2"/>
    <x v="10"/>
    <x v="0"/>
    <n v="166.06"/>
    <x v="0"/>
    <x v="2"/>
    <x v="1783"/>
    <n v="43"/>
  </r>
  <r>
    <s v="SALE1787"/>
    <x v="413"/>
    <s v="CUST1425"/>
    <s v="PROD7"/>
    <s v="STORE15"/>
    <n v="1"/>
    <n v="384.57"/>
    <x v="22"/>
    <x v="1"/>
    <x v="0"/>
    <x v="39"/>
    <x v="3"/>
    <x v="84"/>
    <x v="3"/>
    <n v="218.86"/>
    <x v="0"/>
    <x v="1"/>
    <x v="1784"/>
    <n v="40"/>
  </r>
  <r>
    <s v="SALE1788"/>
    <x v="226"/>
    <s v="CUST1210"/>
    <s v="PROD8"/>
    <s v="STORE13"/>
    <n v="2"/>
    <n v="194.09"/>
    <x v="4"/>
    <x v="1"/>
    <x v="0"/>
    <x v="36"/>
    <x v="2"/>
    <x v="67"/>
    <x v="1"/>
    <n v="439.07"/>
    <x v="3"/>
    <x v="1"/>
    <x v="1785"/>
    <n v="48"/>
  </r>
  <r>
    <s v="SALE1789"/>
    <x v="140"/>
    <s v="CUST1172"/>
    <s v="PROD88"/>
    <s v="STORE3"/>
    <n v="2"/>
    <n v="403.91"/>
    <x v="8"/>
    <x v="0"/>
    <x v="1"/>
    <x v="35"/>
    <x v="3"/>
    <x v="12"/>
    <x v="0"/>
    <n v="131.24"/>
    <x v="0"/>
    <x v="0"/>
    <x v="1786"/>
    <n v="41"/>
  </r>
  <r>
    <s v="SALE1790"/>
    <x v="237"/>
    <s v="CUST1076"/>
    <s v="PROD17"/>
    <s v="STORE14"/>
    <n v="1"/>
    <n v="878.69"/>
    <x v="11"/>
    <x v="1"/>
    <x v="0"/>
    <x v="15"/>
    <x v="0"/>
    <x v="53"/>
    <x v="0"/>
    <n v="144.53"/>
    <x v="2"/>
    <x v="0"/>
    <x v="1787"/>
    <n v="37"/>
  </r>
  <r>
    <s v="SALE1791"/>
    <x v="2"/>
    <s v="CUST1381"/>
    <s v="PROD33"/>
    <s v="STORE15"/>
    <n v="1"/>
    <n v="161.17"/>
    <x v="28"/>
    <x v="0"/>
    <x v="0"/>
    <x v="4"/>
    <x v="2"/>
    <x v="9"/>
    <x v="3"/>
    <n v="179.77"/>
    <x v="0"/>
    <x v="1"/>
    <x v="1788"/>
    <n v="50"/>
  </r>
  <r>
    <s v="SALE1792"/>
    <x v="570"/>
    <s v="CUST1214"/>
    <s v="PROD73"/>
    <s v="STORE14"/>
    <n v="2"/>
    <n v="720.15"/>
    <x v="14"/>
    <x v="2"/>
    <x v="0"/>
    <x v="10"/>
    <x v="0"/>
    <x v="78"/>
    <x v="0"/>
    <n v="107.06"/>
    <x v="2"/>
    <x v="0"/>
    <x v="1789"/>
    <n v="61"/>
  </r>
  <r>
    <s v="SALE1793"/>
    <x v="383"/>
    <s v="CUST1347"/>
    <s v="PROD26"/>
    <s v="STORE8"/>
    <n v="1"/>
    <n v="361.8"/>
    <x v="31"/>
    <x v="2"/>
    <x v="1"/>
    <x v="40"/>
    <x v="0"/>
    <x v="33"/>
    <x v="1"/>
    <n v="322.41"/>
    <x v="1"/>
    <x v="2"/>
    <x v="1790"/>
    <n v="39"/>
  </r>
  <r>
    <s v="SALE1794"/>
    <x v="598"/>
    <s v="CUST1230"/>
    <s v="PROD95"/>
    <s v="STORE6"/>
    <n v="1"/>
    <n v="779.84"/>
    <x v="12"/>
    <x v="1"/>
    <x v="0"/>
    <x v="26"/>
    <x v="3"/>
    <x v="98"/>
    <x v="0"/>
    <n v="60.65"/>
    <x v="3"/>
    <x v="2"/>
    <x v="1791"/>
    <n v="29"/>
  </r>
  <r>
    <s v="SALE1795"/>
    <x v="670"/>
    <s v="CUST1004"/>
    <s v="PROD96"/>
    <s v="STORE4"/>
    <n v="2"/>
    <n v="649.89"/>
    <x v="9"/>
    <x v="2"/>
    <x v="1"/>
    <x v="24"/>
    <x v="2"/>
    <x v="99"/>
    <x v="4"/>
    <n v="358.47"/>
    <x v="2"/>
    <x v="2"/>
    <x v="1792"/>
    <n v="64"/>
  </r>
  <r>
    <s v="SALE1796"/>
    <x v="485"/>
    <s v="CUST1204"/>
    <s v="PROD53"/>
    <s v="STORE6"/>
    <n v="1"/>
    <n v="952.73"/>
    <x v="9"/>
    <x v="0"/>
    <x v="0"/>
    <x v="45"/>
    <x v="1"/>
    <x v="27"/>
    <x v="4"/>
    <n v="386.56"/>
    <x v="3"/>
    <x v="2"/>
    <x v="1793"/>
    <n v="52"/>
  </r>
  <r>
    <s v="SALE1797"/>
    <x v="13"/>
    <s v="CUST1084"/>
    <s v="PROD99"/>
    <s v="STORE16"/>
    <n v="4"/>
    <n v="820.78"/>
    <x v="2"/>
    <x v="0"/>
    <x v="1"/>
    <x v="30"/>
    <x v="1"/>
    <x v="8"/>
    <x v="3"/>
    <n v="201.41"/>
    <x v="1"/>
    <x v="1"/>
    <x v="1794"/>
    <n v="26"/>
  </r>
  <r>
    <s v="SALE1798"/>
    <x v="397"/>
    <s v="CUST1342"/>
    <s v="PROD38"/>
    <s v="STORE3"/>
    <n v="4"/>
    <n v="247.55"/>
    <x v="28"/>
    <x v="0"/>
    <x v="1"/>
    <x v="40"/>
    <x v="3"/>
    <x v="48"/>
    <x v="0"/>
    <n v="135.61"/>
    <x v="0"/>
    <x v="0"/>
    <x v="1795"/>
    <n v="30"/>
  </r>
  <r>
    <s v="SALE1799"/>
    <x v="19"/>
    <s v="CUST1227"/>
    <s v="PROD99"/>
    <s v="STORE8"/>
    <n v="3"/>
    <n v="561.44"/>
    <x v="29"/>
    <x v="2"/>
    <x v="1"/>
    <x v="32"/>
    <x v="0"/>
    <x v="8"/>
    <x v="3"/>
    <n v="201.41"/>
    <x v="1"/>
    <x v="2"/>
    <x v="1796"/>
    <n v="63"/>
  </r>
  <r>
    <s v="SALE1800"/>
    <x v="394"/>
    <s v="CUST1281"/>
    <s v="PROD72"/>
    <s v="STORE8"/>
    <n v="4"/>
    <n v="214.37"/>
    <x v="32"/>
    <x v="2"/>
    <x v="0"/>
    <x v="40"/>
    <x v="1"/>
    <x v="18"/>
    <x v="0"/>
    <n v="477.61"/>
    <x v="1"/>
    <x v="2"/>
    <x v="1797"/>
    <n v="59"/>
  </r>
  <r>
    <s v="SALE1801"/>
    <x v="478"/>
    <s v="CUST1417"/>
    <s v="PROD17"/>
    <s v="STORE16"/>
    <n v="3"/>
    <n v="123.74"/>
    <x v="7"/>
    <x v="1"/>
    <x v="1"/>
    <x v="29"/>
    <x v="3"/>
    <x v="53"/>
    <x v="0"/>
    <n v="144.53"/>
    <x v="1"/>
    <x v="1"/>
    <x v="1798"/>
    <n v="64"/>
  </r>
  <r>
    <s v="SALE1802"/>
    <x v="80"/>
    <s v="CUST1013"/>
    <s v="PROD67"/>
    <s v="STORE11"/>
    <n v="4"/>
    <n v="645.71"/>
    <x v="30"/>
    <x v="1"/>
    <x v="1"/>
    <x v="10"/>
    <x v="2"/>
    <x v="22"/>
    <x v="1"/>
    <n v="349.17"/>
    <x v="2"/>
    <x v="2"/>
    <x v="1799"/>
    <n v="32"/>
  </r>
  <r>
    <s v="SALE1803"/>
    <x v="324"/>
    <s v="CUST1033"/>
    <s v="PROD21"/>
    <s v="STORE12"/>
    <n v="3"/>
    <n v="587.12"/>
    <x v="11"/>
    <x v="0"/>
    <x v="0"/>
    <x v="15"/>
    <x v="1"/>
    <x v="39"/>
    <x v="3"/>
    <n v="123.46"/>
    <x v="0"/>
    <x v="2"/>
    <x v="1800"/>
    <n v="25"/>
  </r>
  <r>
    <s v="SALE1804"/>
    <x v="458"/>
    <s v="CUST1241"/>
    <s v="PROD25"/>
    <s v="STORE18"/>
    <n v="1"/>
    <n v="401.18"/>
    <x v="6"/>
    <x v="2"/>
    <x v="0"/>
    <x v="45"/>
    <x v="1"/>
    <x v="60"/>
    <x v="4"/>
    <n v="174.02"/>
    <x v="3"/>
    <x v="1"/>
    <x v="1801"/>
    <n v="31"/>
  </r>
  <r>
    <s v="SALE1805"/>
    <x v="40"/>
    <s v="CUST1366"/>
    <s v="PROD58"/>
    <s v="STORE18"/>
    <n v="3"/>
    <n v="658.33"/>
    <x v="27"/>
    <x v="2"/>
    <x v="1"/>
    <x v="4"/>
    <x v="1"/>
    <x v="87"/>
    <x v="4"/>
    <n v="113.83"/>
    <x v="3"/>
    <x v="1"/>
    <x v="1802"/>
    <n v="40"/>
  </r>
  <r>
    <s v="SALE1806"/>
    <x v="452"/>
    <s v="CUST1201"/>
    <s v="PROD49"/>
    <s v="STORE11"/>
    <n v="4"/>
    <n v="450.3"/>
    <x v="31"/>
    <x v="0"/>
    <x v="1"/>
    <x v="20"/>
    <x v="3"/>
    <x v="2"/>
    <x v="2"/>
    <n v="43.29"/>
    <x v="2"/>
    <x v="2"/>
    <x v="1803"/>
    <n v="25"/>
  </r>
  <r>
    <s v="SALE1807"/>
    <x v="234"/>
    <s v="CUST1145"/>
    <s v="PROD94"/>
    <s v="STORE10"/>
    <n v="4"/>
    <n v="33.63"/>
    <x v="28"/>
    <x v="0"/>
    <x v="0"/>
    <x v="30"/>
    <x v="1"/>
    <x v="32"/>
    <x v="2"/>
    <n v="358.47"/>
    <x v="3"/>
    <x v="2"/>
    <x v="1804"/>
    <n v="46"/>
  </r>
  <r>
    <s v="SALE1808"/>
    <x v="235"/>
    <s v="CUST1035"/>
    <s v="PROD16"/>
    <s v="STORE0"/>
    <n v="3"/>
    <n v="168.89"/>
    <x v="15"/>
    <x v="2"/>
    <x v="0"/>
    <x v="16"/>
    <x v="2"/>
    <x v="30"/>
    <x v="2"/>
    <n v="337.42"/>
    <x v="3"/>
    <x v="1"/>
    <x v="1805"/>
    <n v="52"/>
  </r>
  <r>
    <s v="SALE1809"/>
    <x v="460"/>
    <s v="CUST1095"/>
    <s v="PROD60"/>
    <s v="STORE11"/>
    <n v="1"/>
    <n v="141.85"/>
    <x v="22"/>
    <x v="1"/>
    <x v="1"/>
    <x v="14"/>
    <x v="1"/>
    <x v="17"/>
    <x v="2"/>
    <n v="482.75"/>
    <x v="2"/>
    <x v="2"/>
    <x v="1806"/>
    <n v="62"/>
  </r>
  <r>
    <s v="SALE1810"/>
    <x v="296"/>
    <s v="CUST1306"/>
    <s v="PROD35"/>
    <s v="STORE7"/>
    <n v="1"/>
    <n v="617.4"/>
    <x v="34"/>
    <x v="0"/>
    <x v="0"/>
    <x v="3"/>
    <x v="1"/>
    <x v="68"/>
    <x v="3"/>
    <n v="382.22"/>
    <x v="2"/>
    <x v="2"/>
    <x v="1807"/>
    <n v="44"/>
  </r>
  <r>
    <s v="SALE1811"/>
    <x v="415"/>
    <s v="CUST1147"/>
    <s v="PROD53"/>
    <s v="STORE1"/>
    <n v="3"/>
    <n v="841.47"/>
    <x v="6"/>
    <x v="2"/>
    <x v="1"/>
    <x v="41"/>
    <x v="1"/>
    <x v="27"/>
    <x v="4"/>
    <n v="386.56"/>
    <x v="0"/>
    <x v="1"/>
    <x v="1808"/>
    <n v="49"/>
  </r>
  <r>
    <s v="SALE1812"/>
    <x v="427"/>
    <s v="CUST1059"/>
    <s v="PROD21"/>
    <s v="STORE13"/>
    <n v="2"/>
    <n v="960.41"/>
    <x v="4"/>
    <x v="0"/>
    <x v="0"/>
    <x v="10"/>
    <x v="1"/>
    <x v="39"/>
    <x v="3"/>
    <n v="123.46"/>
    <x v="3"/>
    <x v="1"/>
    <x v="1809"/>
    <n v="53"/>
  </r>
  <r>
    <s v="SALE1813"/>
    <x v="671"/>
    <s v="CUST1451"/>
    <s v="PROD75"/>
    <s v="STORE18"/>
    <n v="3"/>
    <n v="717.22"/>
    <x v="24"/>
    <x v="1"/>
    <x v="0"/>
    <x v="23"/>
    <x v="0"/>
    <x v="28"/>
    <x v="4"/>
    <n v="158.14"/>
    <x v="3"/>
    <x v="1"/>
    <x v="1810"/>
    <n v="46"/>
  </r>
  <r>
    <s v="SALE1814"/>
    <x v="448"/>
    <s v="CUST1115"/>
    <s v="PROD12"/>
    <s v="STORE0"/>
    <n v="1"/>
    <n v="281.83"/>
    <x v="3"/>
    <x v="2"/>
    <x v="1"/>
    <x v="16"/>
    <x v="1"/>
    <x v="21"/>
    <x v="2"/>
    <n v="115.82"/>
    <x v="3"/>
    <x v="1"/>
    <x v="1811"/>
    <n v="53"/>
  </r>
  <r>
    <s v="SALE1815"/>
    <x v="560"/>
    <s v="CUST1204"/>
    <s v="PROD59"/>
    <s v="STORE14"/>
    <n v="1"/>
    <n v="509.08"/>
    <x v="13"/>
    <x v="1"/>
    <x v="0"/>
    <x v="45"/>
    <x v="1"/>
    <x v="4"/>
    <x v="2"/>
    <n v="17.31"/>
    <x v="2"/>
    <x v="0"/>
    <x v="1812"/>
    <n v="52"/>
  </r>
  <r>
    <s v="SALE1816"/>
    <x v="516"/>
    <s v="CUST1400"/>
    <s v="PROD96"/>
    <s v="STORE2"/>
    <n v="4"/>
    <n v="827.09"/>
    <x v="11"/>
    <x v="0"/>
    <x v="1"/>
    <x v="15"/>
    <x v="1"/>
    <x v="99"/>
    <x v="4"/>
    <n v="358.47"/>
    <x v="2"/>
    <x v="0"/>
    <x v="1813"/>
    <n v="57"/>
  </r>
  <r>
    <s v="SALE1817"/>
    <x v="672"/>
    <s v="CUST1210"/>
    <s v="PROD29"/>
    <s v="STORE4"/>
    <n v="2"/>
    <n v="823.36"/>
    <x v="7"/>
    <x v="0"/>
    <x v="0"/>
    <x v="36"/>
    <x v="2"/>
    <x v="35"/>
    <x v="3"/>
    <n v="218.48"/>
    <x v="2"/>
    <x v="2"/>
    <x v="1814"/>
    <n v="48"/>
  </r>
  <r>
    <s v="SALE1818"/>
    <x v="631"/>
    <s v="CUST1137"/>
    <s v="PROD26"/>
    <s v="STORE5"/>
    <n v="4"/>
    <n v="282.18"/>
    <x v="21"/>
    <x v="2"/>
    <x v="1"/>
    <x v="31"/>
    <x v="1"/>
    <x v="33"/>
    <x v="1"/>
    <n v="322.41"/>
    <x v="0"/>
    <x v="0"/>
    <x v="1815"/>
    <n v="55"/>
  </r>
  <r>
    <s v="SALE1819"/>
    <x v="100"/>
    <s v="CUST1172"/>
    <s v="PROD21"/>
    <s v="STORE1"/>
    <n v="1"/>
    <n v="486.39"/>
    <x v="0"/>
    <x v="2"/>
    <x v="1"/>
    <x v="35"/>
    <x v="3"/>
    <x v="39"/>
    <x v="3"/>
    <n v="123.46"/>
    <x v="0"/>
    <x v="1"/>
    <x v="1816"/>
    <n v="41"/>
  </r>
  <r>
    <s v="SALE1820"/>
    <x v="86"/>
    <s v="CUST1044"/>
    <s v="PROD18"/>
    <s v="STORE3"/>
    <n v="2"/>
    <n v="603.62"/>
    <x v="4"/>
    <x v="2"/>
    <x v="0"/>
    <x v="22"/>
    <x v="3"/>
    <x v="97"/>
    <x v="4"/>
    <n v="245.778311688312"/>
    <x v="0"/>
    <x v="0"/>
    <x v="1817"/>
    <n v="34"/>
  </r>
  <r>
    <s v="SALE1821"/>
    <x v="110"/>
    <s v="CUST1147"/>
    <s v="PROD37"/>
    <s v="STORE8"/>
    <n v="3"/>
    <n v="204.17"/>
    <x v="30"/>
    <x v="1"/>
    <x v="1"/>
    <x v="41"/>
    <x v="1"/>
    <x v="92"/>
    <x v="4"/>
    <n v="353.47"/>
    <x v="1"/>
    <x v="2"/>
    <x v="1818"/>
    <n v="49"/>
  </r>
  <r>
    <s v="SALE1822"/>
    <x v="489"/>
    <s v="CUST1137"/>
    <s v="PROD8"/>
    <s v="STORE15"/>
    <n v="1"/>
    <n v="43.58"/>
    <x v="10"/>
    <x v="2"/>
    <x v="1"/>
    <x v="31"/>
    <x v="1"/>
    <x v="67"/>
    <x v="1"/>
    <n v="439.07"/>
    <x v="0"/>
    <x v="1"/>
    <x v="1819"/>
    <n v="55"/>
  </r>
  <r>
    <s v="SALE1823"/>
    <x v="139"/>
    <s v="CUST1332"/>
    <s v="PROD47"/>
    <s v="STORE2"/>
    <n v="3"/>
    <n v="469.33"/>
    <x v="17"/>
    <x v="1"/>
    <x v="1"/>
    <x v="22"/>
    <x v="3"/>
    <x v="44"/>
    <x v="2"/>
    <n v="255.049019607843"/>
    <x v="2"/>
    <x v="0"/>
    <x v="1820"/>
    <n v="34"/>
  </r>
  <r>
    <s v="SALE1824"/>
    <x v="263"/>
    <s v="CUST1209"/>
    <s v="PROD8"/>
    <s v="STORE8"/>
    <n v="4"/>
    <n v="836.23"/>
    <x v="27"/>
    <x v="0"/>
    <x v="1"/>
    <x v="17"/>
    <x v="1"/>
    <x v="67"/>
    <x v="1"/>
    <n v="439.07"/>
    <x v="1"/>
    <x v="2"/>
    <x v="1821"/>
    <n v="50"/>
  </r>
  <r>
    <s v="SALE1825"/>
    <x v="583"/>
    <s v="CUST1178"/>
    <s v="PROD67"/>
    <s v="STORE19"/>
    <n v="2"/>
    <n v="661.53"/>
    <x v="29"/>
    <x v="1"/>
    <x v="1"/>
    <x v="42"/>
    <x v="3"/>
    <x v="22"/>
    <x v="1"/>
    <n v="349.17"/>
    <x v="3"/>
    <x v="2"/>
    <x v="1822"/>
    <n v="33"/>
  </r>
  <r>
    <s v="SALE1826"/>
    <x v="673"/>
    <s v="CUST1118"/>
    <s v="PROD56"/>
    <s v="STORE16"/>
    <n v="3"/>
    <n v="753.47"/>
    <x v="2"/>
    <x v="1"/>
    <x v="0"/>
    <x v="48"/>
    <x v="1"/>
    <x v="6"/>
    <x v="3"/>
    <n v="461.47"/>
    <x v="1"/>
    <x v="1"/>
    <x v="1823"/>
    <n v="36"/>
  </r>
  <r>
    <s v="SALE1827"/>
    <x v="435"/>
    <s v="CUST1156"/>
    <s v="PROD64"/>
    <s v="STORE0"/>
    <n v="3"/>
    <n v="713.95"/>
    <x v="33"/>
    <x v="0"/>
    <x v="0"/>
    <x v="16"/>
    <x v="3"/>
    <x v="91"/>
    <x v="2"/>
    <n v="299.11"/>
    <x v="3"/>
    <x v="1"/>
    <x v="1824"/>
    <n v="46"/>
  </r>
  <r>
    <s v="SALE1828"/>
    <x v="511"/>
    <s v="CUST1099"/>
    <s v="PROD11"/>
    <s v="STORE5"/>
    <n v="3"/>
    <n v="596"/>
    <x v="23"/>
    <x v="2"/>
    <x v="0"/>
    <x v="3"/>
    <x v="2"/>
    <x v="75"/>
    <x v="1"/>
    <n v="449.4"/>
    <x v="0"/>
    <x v="0"/>
    <x v="1825"/>
    <n v="35"/>
  </r>
  <r>
    <s v="SALE1829"/>
    <x v="411"/>
    <s v="CUST1334"/>
    <s v="PROD9"/>
    <s v="STORE9"/>
    <n v="2"/>
    <n v="169.46"/>
    <x v="15"/>
    <x v="1"/>
    <x v="1"/>
    <x v="40"/>
    <x v="2"/>
    <x v="93"/>
    <x v="0"/>
    <n v="495.72"/>
    <x v="2"/>
    <x v="1"/>
    <x v="1826"/>
    <n v="50"/>
  </r>
  <r>
    <s v="SALE1830"/>
    <x v="321"/>
    <s v="CUST1300"/>
    <s v="PROD65"/>
    <s v="STORE14"/>
    <n v="4"/>
    <n v="611.92"/>
    <x v="29"/>
    <x v="1"/>
    <x v="0"/>
    <x v="47"/>
    <x v="2"/>
    <x v="15"/>
    <x v="0"/>
    <n v="240.63"/>
    <x v="2"/>
    <x v="0"/>
    <x v="1827"/>
    <n v="29"/>
  </r>
  <r>
    <s v="SALE1831"/>
    <x v="563"/>
    <s v="CUST1003"/>
    <s v="PROD74"/>
    <s v="STORE15"/>
    <n v="2"/>
    <n v="25.3"/>
    <x v="34"/>
    <x v="0"/>
    <x v="1"/>
    <x v="31"/>
    <x v="3"/>
    <x v="1"/>
    <x v="1"/>
    <n v="403.71"/>
    <x v="0"/>
    <x v="1"/>
    <x v="1828"/>
    <n v="59"/>
  </r>
  <r>
    <s v="SALE1832"/>
    <x v="179"/>
    <s v="CUST1433"/>
    <s v="PROD73"/>
    <s v="STORE10"/>
    <n v="4"/>
    <n v="166.93"/>
    <x v="31"/>
    <x v="1"/>
    <x v="1"/>
    <x v="14"/>
    <x v="2"/>
    <x v="78"/>
    <x v="0"/>
    <n v="107.06"/>
    <x v="3"/>
    <x v="2"/>
    <x v="1829"/>
    <n v="51"/>
  </r>
  <r>
    <s v="SALE1833"/>
    <x v="237"/>
    <s v="CUST1280"/>
    <s v="PROD60"/>
    <s v="STORE11"/>
    <n v="4"/>
    <n v="861.55"/>
    <x v="27"/>
    <x v="0"/>
    <x v="0"/>
    <x v="22"/>
    <x v="3"/>
    <x v="17"/>
    <x v="2"/>
    <n v="482.75"/>
    <x v="2"/>
    <x v="2"/>
    <x v="1830"/>
    <n v="48"/>
  </r>
  <r>
    <s v="SALE1834"/>
    <x v="253"/>
    <s v="CUST1360"/>
    <s v="PROD43"/>
    <s v="STORE5"/>
    <n v="3"/>
    <n v="56.17"/>
    <x v="10"/>
    <x v="2"/>
    <x v="0"/>
    <x v="13"/>
    <x v="1"/>
    <x v="19"/>
    <x v="1"/>
    <n v="253.33"/>
    <x v="0"/>
    <x v="0"/>
    <x v="1831"/>
    <n v="34"/>
  </r>
  <r>
    <s v="SALE1835"/>
    <x v="589"/>
    <s v="CUST1266"/>
    <s v="PROD15"/>
    <s v="STORE19"/>
    <n v="1"/>
    <n v="582.29"/>
    <x v="29"/>
    <x v="0"/>
    <x v="1"/>
    <x v="27"/>
    <x v="3"/>
    <x v="5"/>
    <x v="1"/>
    <n v="465.34"/>
    <x v="3"/>
    <x v="2"/>
    <x v="1832"/>
    <n v="32"/>
  </r>
  <r>
    <s v="SALE1836"/>
    <x v="551"/>
    <s v="CUST1261"/>
    <s v="PROD83"/>
    <s v="STORE0"/>
    <n v="3"/>
    <n v="63.96"/>
    <x v="31"/>
    <x v="0"/>
    <x v="1"/>
    <x v="47"/>
    <x v="2"/>
    <x v="50"/>
    <x v="2"/>
    <n v="289.359375"/>
    <x v="3"/>
    <x v="1"/>
    <x v="1833"/>
    <n v="27"/>
  </r>
  <r>
    <s v="SALE1837"/>
    <x v="130"/>
    <s v="CUST1065"/>
    <s v="PROD9"/>
    <s v="STORE12"/>
    <n v="1"/>
    <n v="829.83"/>
    <x v="25"/>
    <x v="2"/>
    <x v="1"/>
    <x v="8"/>
    <x v="2"/>
    <x v="93"/>
    <x v="0"/>
    <n v="495.72"/>
    <x v="0"/>
    <x v="2"/>
    <x v="1834"/>
    <n v="21"/>
  </r>
  <r>
    <s v="SALE1838"/>
    <x v="426"/>
    <s v="CUST1370"/>
    <s v="PROD34"/>
    <s v="STORE16"/>
    <n v="2"/>
    <n v="858.15"/>
    <x v="15"/>
    <x v="0"/>
    <x v="0"/>
    <x v="30"/>
    <x v="2"/>
    <x v="13"/>
    <x v="1"/>
    <n v="419.28"/>
    <x v="1"/>
    <x v="1"/>
    <x v="1835"/>
    <n v="45"/>
  </r>
  <r>
    <s v="SALE1839"/>
    <x v="481"/>
    <s v="CUST1359"/>
    <s v="PROD73"/>
    <s v="STORE13"/>
    <n v="3"/>
    <n v="717.32"/>
    <x v="7"/>
    <x v="2"/>
    <x v="0"/>
    <x v="32"/>
    <x v="2"/>
    <x v="78"/>
    <x v="0"/>
    <n v="107.06"/>
    <x v="3"/>
    <x v="1"/>
    <x v="1836"/>
    <n v="32"/>
  </r>
  <r>
    <s v="SALE1840"/>
    <x v="319"/>
    <s v="CUST1428"/>
    <s v="PROD83"/>
    <s v="STORE12"/>
    <n v="1"/>
    <n v="163.2"/>
    <x v="14"/>
    <x v="1"/>
    <x v="1"/>
    <x v="38"/>
    <x v="3"/>
    <x v="50"/>
    <x v="2"/>
    <n v="289.359375"/>
    <x v="0"/>
    <x v="2"/>
    <x v="1837"/>
    <n v="27"/>
  </r>
  <r>
    <s v="SALE1841"/>
    <x v="282"/>
    <s v="CUST1126"/>
    <s v="PROD81"/>
    <s v="STORE12"/>
    <n v="2"/>
    <n v="966.71"/>
    <x v="32"/>
    <x v="0"/>
    <x v="1"/>
    <x v="28"/>
    <x v="0"/>
    <x v="82"/>
    <x v="0"/>
    <n v="285.54"/>
    <x v="0"/>
    <x v="2"/>
    <x v="1838"/>
    <n v="62"/>
  </r>
  <r>
    <s v="SALE1842"/>
    <x v="533"/>
    <s v="CUST1348"/>
    <s v="PROD35"/>
    <s v="STORE13"/>
    <n v="2"/>
    <n v="873.94"/>
    <x v="17"/>
    <x v="2"/>
    <x v="0"/>
    <x v="2"/>
    <x v="2"/>
    <x v="68"/>
    <x v="3"/>
    <n v="382.22"/>
    <x v="3"/>
    <x v="1"/>
    <x v="1839"/>
    <n v="55"/>
  </r>
  <r>
    <s v="SALE1843"/>
    <x v="411"/>
    <s v="CUST1149"/>
    <s v="PROD0"/>
    <s v="STORE3"/>
    <n v="1"/>
    <n v="140.24"/>
    <x v="1"/>
    <x v="0"/>
    <x v="0"/>
    <x v="26"/>
    <x v="1"/>
    <x v="90"/>
    <x v="1"/>
    <n v="112.42"/>
    <x v="0"/>
    <x v="0"/>
    <x v="1840"/>
    <n v="33"/>
  </r>
  <r>
    <s v="SALE1844"/>
    <x v="59"/>
    <s v="CUST1201"/>
    <s v="PROD43"/>
    <s v="STORE5"/>
    <n v="2"/>
    <n v="549.92"/>
    <x v="23"/>
    <x v="0"/>
    <x v="1"/>
    <x v="20"/>
    <x v="3"/>
    <x v="19"/>
    <x v="1"/>
    <n v="253.33"/>
    <x v="0"/>
    <x v="0"/>
    <x v="1841"/>
    <n v="25"/>
  </r>
  <r>
    <s v="SALE1845"/>
    <x v="344"/>
    <s v="CUST1111"/>
    <s v="PROD17"/>
    <s v="STORE5"/>
    <n v="4"/>
    <n v="715.88"/>
    <x v="5"/>
    <x v="1"/>
    <x v="1"/>
    <x v="28"/>
    <x v="1"/>
    <x v="53"/>
    <x v="0"/>
    <n v="144.53"/>
    <x v="0"/>
    <x v="0"/>
    <x v="1842"/>
    <n v="18"/>
  </r>
  <r>
    <s v="SALE1846"/>
    <x v="385"/>
    <s v="CUST1371"/>
    <s v="PROD2"/>
    <s v="STORE8"/>
    <n v="3"/>
    <n v="591.9"/>
    <x v="1"/>
    <x v="0"/>
    <x v="1"/>
    <x v="21"/>
    <x v="1"/>
    <x v="95"/>
    <x v="4"/>
    <n v="254.620869565217"/>
    <x v="1"/>
    <x v="2"/>
    <x v="1843"/>
    <n v="21"/>
  </r>
  <r>
    <s v="SALE1847"/>
    <x v="144"/>
    <s v="CUST1375"/>
    <s v="PROD22"/>
    <s v="STORE10"/>
    <n v="2"/>
    <n v="523.14"/>
    <x v="21"/>
    <x v="1"/>
    <x v="0"/>
    <x v="46"/>
    <x v="1"/>
    <x v="62"/>
    <x v="0"/>
    <n v="484.62"/>
    <x v="3"/>
    <x v="2"/>
    <x v="1844"/>
    <n v="26"/>
  </r>
  <r>
    <s v="SALE1848"/>
    <x v="471"/>
    <s v="CUST1226"/>
    <s v="PROD69"/>
    <s v="STORE14"/>
    <n v="2"/>
    <n v="478.62"/>
    <x v="9"/>
    <x v="2"/>
    <x v="0"/>
    <x v="41"/>
    <x v="0"/>
    <x v="20"/>
    <x v="4"/>
    <n v="218.22"/>
    <x v="2"/>
    <x v="0"/>
    <x v="1845"/>
    <n v="54"/>
  </r>
  <r>
    <s v="SALE1849"/>
    <x v="90"/>
    <s v="CUST1299"/>
    <s v="PROD82"/>
    <s v="STORE1"/>
    <n v="4"/>
    <n v="740.5"/>
    <x v="9"/>
    <x v="1"/>
    <x v="1"/>
    <x v="38"/>
    <x v="1"/>
    <x v="74"/>
    <x v="0"/>
    <n v="152.92"/>
    <x v="0"/>
    <x v="1"/>
    <x v="1846"/>
    <n v="48"/>
  </r>
  <r>
    <s v="SALE1850"/>
    <x v="180"/>
    <s v="CUST1112"/>
    <s v="PROD46"/>
    <s v="STORE2"/>
    <n v="1"/>
    <n v="780.24"/>
    <x v="13"/>
    <x v="2"/>
    <x v="1"/>
    <x v="20"/>
    <x v="2"/>
    <x v="54"/>
    <x v="4"/>
    <n v="167.34"/>
    <x v="2"/>
    <x v="0"/>
    <x v="1847"/>
    <n v="27"/>
  </r>
  <r>
    <s v="SALE1851"/>
    <x v="25"/>
    <s v="CUST1107"/>
    <s v="PROD70"/>
    <s v="STORE16"/>
    <n v="4"/>
    <n v="579.24"/>
    <x v="13"/>
    <x v="2"/>
    <x v="1"/>
    <x v="16"/>
    <x v="1"/>
    <x v="7"/>
    <x v="3"/>
    <n v="138.05"/>
    <x v="1"/>
    <x v="1"/>
    <x v="1848"/>
    <n v="62"/>
  </r>
  <r>
    <s v="SALE1852"/>
    <x v="36"/>
    <s v="CUST1371"/>
    <s v="PROD1"/>
    <s v="STORE2"/>
    <n v="3"/>
    <n v="268.95"/>
    <x v="13"/>
    <x v="1"/>
    <x v="1"/>
    <x v="21"/>
    <x v="1"/>
    <x v="55"/>
    <x v="4"/>
    <n v="342.56"/>
    <x v="2"/>
    <x v="0"/>
    <x v="1849"/>
    <n v="21"/>
  </r>
  <r>
    <s v="SALE1853"/>
    <x v="459"/>
    <s v="CUST1305"/>
    <s v="PROD5"/>
    <s v="STORE4"/>
    <n v="1"/>
    <n v="47.47"/>
    <x v="23"/>
    <x v="0"/>
    <x v="0"/>
    <x v="7"/>
    <x v="1"/>
    <x v="23"/>
    <x v="4"/>
    <n v="261"/>
    <x v="2"/>
    <x v="2"/>
    <x v="1850"/>
    <n v="64"/>
  </r>
  <r>
    <s v="SALE1854"/>
    <x v="254"/>
    <s v="CUST1257"/>
    <s v="PROD33"/>
    <s v="STORE17"/>
    <n v="3"/>
    <n v="858.81"/>
    <x v="8"/>
    <x v="0"/>
    <x v="0"/>
    <x v="43"/>
    <x v="2"/>
    <x v="9"/>
    <x v="3"/>
    <n v="179.77"/>
    <x v="0"/>
    <x v="1"/>
    <x v="1851"/>
    <n v="42"/>
  </r>
  <r>
    <s v="SALE1855"/>
    <x v="27"/>
    <s v="CUST1310"/>
    <s v="PROD19"/>
    <s v="STORE10"/>
    <n v="3"/>
    <n v="569.98"/>
    <x v="28"/>
    <x v="0"/>
    <x v="0"/>
    <x v="1"/>
    <x v="2"/>
    <x v="46"/>
    <x v="0"/>
    <n v="21.34"/>
    <x v="3"/>
    <x v="2"/>
    <x v="1852"/>
    <n v="20"/>
  </r>
  <r>
    <s v="SALE1856"/>
    <x v="247"/>
    <s v="CUST1327"/>
    <s v="PROD74"/>
    <s v="STORE12"/>
    <n v="3"/>
    <n v="306.52"/>
    <x v="10"/>
    <x v="2"/>
    <x v="1"/>
    <x v="14"/>
    <x v="3"/>
    <x v="1"/>
    <x v="1"/>
    <n v="403.71"/>
    <x v="0"/>
    <x v="2"/>
    <x v="1853"/>
    <n v="62"/>
  </r>
  <r>
    <s v="SALE1857"/>
    <x v="166"/>
    <s v="CUST1064"/>
    <s v="PROD56"/>
    <s v="STORE13"/>
    <n v="3"/>
    <n v="184.67"/>
    <x v="15"/>
    <x v="2"/>
    <x v="0"/>
    <x v="28"/>
    <x v="0"/>
    <x v="6"/>
    <x v="3"/>
    <n v="461.47"/>
    <x v="3"/>
    <x v="1"/>
    <x v="1854"/>
    <n v="33"/>
  </r>
  <r>
    <s v="SALE1858"/>
    <x v="504"/>
    <s v="CUST1482"/>
    <s v="PROD26"/>
    <s v="STORE5"/>
    <n v="4"/>
    <n v="189.56"/>
    <x v="33"/>
    <x v="2"/>
    <x v="0"/>
    <x v="27"/>
    <x v="1"/>
    <x v="33"/>
    <x v="1"/>
    <n v="322.41"/>
    <x v="0"/>
    <x v="0"/>
    <x v="1855"/>
    <n v="26"/>
  </r>
  <r>
    <s v="SALE1859"/>
    <x v="650"/>
    <s v="CUST1208"/>
    <s v="PROD75"/>
    <s v="STORE5"/>
    <n v="1"/>
    <n v="805.24"/>
    <x v="13"/>
    <x v="1"/>
    <x v="0"/>
    <x v="38"/>
    <x v="1"/>
    <x v="28"/>
    <x v="4"/>
    <n v="158.14"/>
    <x v="0"/>
    <x v="0"/>
    <x v="1856"/>
    <n v="54"/>
  </r>
  <r>
    <s v="SALE1860"/>
    <x v="583"/>
    <s v="CUST1188"/>
    <s v="PROD54"/>
    <s v="STORE17"/>
    <n v="3"/>
    <n v="683.74"/>
    <x v="24"/>
    <x v="0"/>
    <x v="0"/>
    <x v="23"/>
    <x v="2"/>
    <x v="59"/>
    <x v="0"/>
    <n v="434.84"/>
    <x v="0"/>
    <x v="1"/>
    <x v="1857"/>
    <n v="42"/>
  </r>
  <r>
    <s v="SALE1861"/>
    <x v="133"/>
    <s v="CUST1210"/>
    <s v="PROD56"/>
    <s v="STORE18"/>
    <n v="3"/>
    <n v="439.21"/>
    <x v="23"/>
    <x v="2"/>
    <x v="0"/>
    <x v="36"/>
    <x v="2"/>
    <x v="6"/>
    <x v="3"/>
    <n v="461.47"/>
    <x v="3"/>
    <x v="1"/>
    <x v="1858"/>
    <n v="48"/>
  </r>
  <r>
    <s v="SALE1862"/>
    <x v="173"/>
    <s v="CUST1119"/>
    <s v="PROD66"/>
    <s v="STORE6"/>
    <n v="1"/>
    <n v="126.92"/>
    <x v="24"/>
    <x v="2"/>
    <x v="0"/>
    <x v="3"/>
    <x v="3"/>
    <x v="73"/>
    <x v="2"/>
    <n v="340.39"/>
    <x v="3"/>
    <x v="2"/>
    <x v="1859"/>
    <n v="40"/>
  </r>
  <r>
    <s v="SALE1863"/>
    <x v="282"/>
    <s v="CUST1004"/>
    <s v="PROD73"/>
    <s v="STORE4"/>
    <n v="4"/>
    <n v="834.7"/>
    <x v="17"/>
    <x v="0"/>
    <x v="1"/>
    <x v="24"/>
    <x v="2"/>
    <x v="78"/>
    <x v="0"/>
    <n v="107.06"/>
    <x v="2"/>
    <x v="2"/>
    <x v="1860"/>
    <n v="64"/>
  </r>
  <r>
    <s v="SALE1864"/>
    <x v="318"/>
    <s v="CUST1341"/>
    <s v="PROD42"/>
    <s v="STORE11"/>
    <n v="2"/>
    <n v="271.88"/>
    <x v="32"/>
    <x v="2"/>
    <x v="1"/>
    <x v="49"/>
    <x v="3"/>
    <x v="63"/>
    <x v="1"/>
    <n v="450.71"/>
    <x v="2"/>
    <x v="2"/>
    <x v="1861"/>
    <n v="56"/>
  </r>
  <r>
    <s v="SALE1865"/>
    <x v="554"/>
    <s v="CUST1480"/>
    <s v="PROD11"/>
    <s v="STORE1"/>
    <n v="4"/>
    <n v="972.14"/>
    <x v="2"/>
    <x v="0"/>
    <x v="0"/>
    <x v="26"/>
    <x v="3"/>
    <x v="75"/>
    <x v="1"/>
    <n v="449.4"/>
    <x v="0"/>
    <x v="1"/>
    <x v="1862"/>
    <n v="33"/>
  </r>
  <r>
    <s v="SALE1866"/>
    <x v="668"/>
    <s v="CUST1093"/>
    <s v="PROD43"/>
    <s v="STORE4"/>
    <n v="3"/>
    <n v="523.66"/>
    <x v="1"/>
    <x v="1"/>
    <x v="1"/>
    <x v="42"/>
    <x v="0"/>
    <x v="19"/>
    <x v="1"/>
    <n v="253.33"/>
    <x v="2"/>
    <x v="2"/>
    <x v="1863"/>
    <n v="28"/>
  </r>
  <r>
    <s v="SALE1867"/>
    <x v="392"/>
    <s v="CUST1148"/>
    <s v="PROD64"/>
    <s v="STORE2"/>
    <n v="4"/>
    <n v="838.99"/>
    <x v="3"/>
    <x v="0"/>
    <x v="1"/>
    <x v="18"/>
    <x v="3"/>
    <x v="91"/>
    <x v="2"/>
    <n v="299.11"/>
    <x v="2"/>
    <x v="0"/>
    <x v="1864"/>
    <n v="42"/>
  </r>
  <r>
    <s v="SALE1868"/>
    <x v="578"/>
    <s v="CUST1135"/>
    <s v="PROD11"/>
    <s v="STORE17"/>
    <n v="4"/>
    <n v="838.7"/>
    <x v="34"/>
    <x v="2"/>
    <x v="1"/>
    <x v="20"/>
    <x v="1"/>
    <x v="75"/>
    <x v="1"/>
    <n v="449.4"/>
    <x v="0"/>
    <x v="1"/>
    <x v="1865"/>
    <n v="33"/>
  </r>
  <r>
    <s v="SALE1869"/>
    <x v="473"/>
    <s v="CUST1420"/>
    <s v="PROD74"/>
    <s v="STORE8"/>
    <n v="3"/>
    <n v="943.24"/>
    <x v="34"/>
    <x v="0"/>
    <x v="0"/>
    <x v="29"/>
    <x v="3"/>
    <x v="1"/>
    <x v="1"/>
    <n v="403.71"/>
    <x v="1"/>
    <x v="2"/>
    <x v="1866"/>
    <n v="60"/>
  </r>
  <r>
    <s v="SALE1870"/>
    <x v="616"/>
    <s v="CUST1299"/>
    <s v="PROD0"/>
    <s v="STORE17"/>
    <n v="2"/>
    <n v="310.33"/>
    <x v="25"/>
    <x v="0"/>
    <x v="1"/>
    <x v="38"/>
    <x v="1"/>
    <x v="90"/>
    <x v="1"/>
    <n v="112.42"/>
    <x v="0"/>
    <x v="1"/>
    <x v="1867"/>
    <n v="48"/>
  </r>
  <r>
    <s v="SALE1871"/>
    <x v="286"/>
    <s v="CUST1346"/>
    <s v="PROD45"/>
    <s v="STORE0"/>
    <n v="3"/>
    <n v="201.05"/>
    <x v="7"/>
    <x v="1"/>
    <x v="1"/>
    <x v="3"/>
    <x v="1"/>
    <x v="49"/>
    <x v="0"/>
    <n v="318.91"/>
    <x v="3"/>
    <x v="1"/>
    <x v="1868"/>
    <n v="58"/>
  </r>
  <r>
    <s v="SALE1872"/>
    <x v="674"/>
    <s v="CUST1252"/>
    <s v="PROD58"/>
    <s v="STORE17"/>
    <n v="1"/>
    <n v="803.37"/>
    <x v="11"/>
    <x v="1"/>
    <x v="0"/>
    <x v="34"/>
    <x v="2"/>
    <x v="87"/>
    <x v="4"/>
    <n v="113.83"/>
    <x v="0"/>
    <x v="1"/>
    <x v="1869"/>
    <n v="26"/>
  </r>
  <r>
    <s v="SALE1873"/>
    <x v="115"/>
    <s v="CUST1036"/>
    <s v="PROD61"/>
    <s v="STORE15"/>
    <n v="3"/>
    <n v="259.98"/>
    <x v="8"/>
    <x v="2"/>
    <x v="1"/>
    <x v="36"/>
    <x v="0"/>
    <x v="86"/>
    <x v="0"/>
    <n v="103.45"/>
    <x v="0"/>
    <x v="1"/>
    <x v="1870"/>
    <n v="20"/>
  </r>
  <r>
    <s v="SALE1874"/>
    <x v="601"/>
    <s v="CUST1124"/>
    <s v="PROD2"/>
    <s v="STORE3"/>
    <n v="4"/>
    <n v="591.9"/>
    <x v="29"/>
    <x v="1"/>
    <x v="0"/>
    <x v="49"/>
    <x v="3"/>
    <x v="95"/>
    <x v="4"/>
    <n v="254.620869565217"/>
    <x v="0"/>
    <x v="0"/>
    <x v="1871"/>
    <n v="26"/>
  </r>
  <r>
    <s v="SALE1875"/>
    <x v="536"/>
    <s v="CUST1031"/>
    <s v="PROD60"/>
    <s v="STORE12"/>
    <n v="2"/>
    <n v="396.9"/>
    <x v="4"/>
    <x v="1"/>
    <x v="0"/>
    <x v="47"/>
    <x v="2"/>
    <x v="17"/>
    <x v="2"/>
    <n v="482.75"/>
    <x v="0"/>
    <x v="2"/>
    <x v="1872"/>
    <n v="41"/>
  </r>
  <r>
    <s v="SALE1876"/>
    <x v="201"/>
    <s v="CUST1453"/>
    <s v="PROD98"/>
    <s v="STORE2"/>
    <n v="1"/>
    <n v="176.84"/>
    <x v="5"/>
    <x v="0"/>
    <x v="1"/>
    <x v="22"/>
    <x v="1"/>
    <x v="24"/>
    <x v="1"/>
    <n v="431.67"/>
    <x v="2"/>
    <x v="0"/>
    <x v="1873"/>
    <n v="62"/>
  </r>
  <r>
    <s v="SALE1877"/>
    <x v="539"/>
    <s v="CUST1254"/>
    <s v="PROD26"/>
    <s v="STORE0"/>
    <n v="2"/>
    <n v="614.21"/>
    <x v="32"/>
    <x v="1"/>
    <x v="0"/>
    <x v="41"/>
    <x v="2"/>
    <x v="33"/>
    <x v="1"/>
    <n v="322.41"/>
    <x v="3"/>
    <x v="1"/>
    <x v="1874"/>
    <n v="34"/>
  </r>
  <r>
    <s v="SALE1878"/>
    <x v="675"/>
    <s v="CUST1108"/>
    <s v="PROD3"/>
    <s v="STORE7"/>
    <n v="3"/>
    <n v="604.66"/>
    <x v="4"/>
    <x v="2"/>
    <x v="0"/>
    <x v="21"/>
    <x v="3"/>
    <x v="58"/>
    <x v="4"/>
    <n v="364.67"/>
    <x v="2"/>
    <x v="2"/>
    <x v="1875"/>
    <n v="38"/>
  </r>
  <r>
    <s v="SALE1879"/>
    <x v="415"/>
    <s v="CUST1498"/>
    <s v="PROD2"/>
    <s v="STORE12"/>
    <n v="3"/>
    <n v="24.29"/>
    <x v="27"/>
    <x v="1"/>
    <x v="0"/>
    <x v="23"/>
    <x v="2"/>
    <x v="95"/>
    <x v="4"/>
    <n v="254.620869565217"/>
    <x v="0"/>
    <x v="2"/>
    <x v="1876"/>
    <n v="35"/>
  </r>
  <r>
    <s v="SALE1880"/>
    <x v="107"/>
    <s v="CUST1121"/>
    <s v="PROD63"/>
    <s v="STORE11"/>
    <n v="1"/>
    <n v="503.95"/>
    <x v="24"/>
    <x v="1"/>
    <x v="0"/>
    <x v="22"/>
    <x v="1"/>
    <x v="81"/>
    <x v="2"/>
    <n v="266.86"/>
    <x v="2"/>
    <x v="2"/>
    <x v="1877"/>
    <n v="62"/>
  </r>
  <r>
    <s v="SALE1881"/>
    <x v="235"/>
    <s v="CUST1319"/>
    <s v="PROD51"/>
    <s v="STORE14"/>
    <n v="4"/>
    <n v="860.78"/>
    <x v="15"/>
    <x v="0"/>
    <x v="0"/>
    <x v="25"/>
    <x v="1"/>
    <x v="69"/>
    <x v="1"/>
    <n v="88.49"/>
    <x v="2"/>
    <x v="0"/>
    <x v="1878"/>
    <n v="54"/>
  </r>
  <r>
    <s v="SALE1882"/>
    <x v="610"/>
    <s v="CUST1197"/>
    <s v="PROD42"/>
    <s v="STORE3"/>
    <n v="3"/>
    <n v="41.97"/>
    <x v="15"/>
    <x v="2"/>
    <x v="1"/>
    <x v="46"/>
    <x v="1"/>
    <x v="63"/>
    <x v="1"/>
    <n v="450.71"/>
    <x v="0"/>
    <x v="0"/>
    <x v="1879"/>
    <n v="45"/>
  </r>
  <r>
    <s v="SALE1883"/>
    <x v="433"/>
    <s v="CUST1033"/>
    <s v="PROD15"/>
    <s v="STORE5"/>
    <n v="1"/>
    <n v="649.59"/>
    <x v="27"/>
    <x v="2"/>
    <x v="0"/>
    <x v="15"/>
    <x v="1"/>
    <x v="5"/>
    <x v="1"/>
    <n v="465.34"/>
    <x v="0"/>
    <x v="0"/>
    <x v="1880"/>
    <n v="25"/>
  </r>
  <r>
    <s v="SALE1884"/>
    <x v="137"/>
    <s v="CUST1053"/>
    <s v="PROD63"/>
    <s v="STORE9"/>
    <n v="2"/>
    <n v="386.09"/>
    <x v="5"/>
    <x v="1"/>
    <x v="1"/>
    <x v="20"/>
    <x v="0"/>
    <x v="81"/>
    <x v="2"/>
    <n v="266.86"/>
    <x v="2"/>
    <x v="1"/>
    <x v="1881"/>
    <n v="37"/>
  </r>
  <r>
    <s v="SALE1885"/>
    <x v="350"/>
    <s v="CUST1099"/>
    <s v="PROD51"/>
    <s v="STORE12"/>
    <n v="1"/>
    <n v="891.62"/>
    <x v="22"/>
    <x v="1"/>
    <x v="0"/>
    <x v="3"/>
    <x v="2"/>
    <x v="69"/>
    <x v="1"/>
    <n v="88.49"/>
    <x v="0"/>
    <x v="2"/>
    <x v="1882"/>
    <n v="35"/>
  </r>
  <r>
    <s v="SALE1886"/>
    <x v="136"/>
    <s v="CUST1381"/>
    <s v="PROD64"/>
    <s v="STORE15"/>
    <n v="2"/>
    <n v="558.9"/>
    <x v="28"/>
    <x v="2"/>
    <x v="0"/>
    <x v="4"/>
    <x v="2"/>
    <x v="91"/>
    <x v="2"/>
    <n v="299.11"/>
    <x v="0"/>
    <x v="1"/>
    <x v="1883"/>
    <n v="50"/>
  </r>
  <r>
    <s v="SALE1887"/>
    <x v="343"/>
    <s v="CUST1352"/>
    <s v="PROD1"/>
    <s v="STORE3"/>
    <n v="2"/>
    <n v="99.04"/>
    <x v="25"/>
    <x v="2"/>
    <x v="1"/>
    <x v="18"/>
    <x v="2"/>
    <x v="55"/>
    <x v="4"/>
    <n v="342.56"/>
    <x v="0"/>
    <x v="0"/>
    <x v="1884"/>
    <n v="52"/>
  </r>
  <r>
    <s v="SALE1888"/>
    <x v="459"/>
    <s v="CUST1291"/>
    <s v="PROD3"/>
    <s v="STORE8"/>
    <n v="4"/>
    <n v="625.13"/>
    <x v="22"/>
    <x v="0"/>
    <x v="1"/>
    <x v="6"/>
    <x v="3"/>
    <x v="58"/>
    <x v="4"/>
    <n v="364.67"/>
    <x v="1"/>
    <x v="2"/>
    <x v="1885"/>
    <n v="40"/>
  </r>
  <r>
    <s v="SALE1889"/>
    <x v="317"/>
    <s v="CUST1036"/>
    <s v="PROD40"/>
    <s v="STORE18"/>
    <n v="4"/>
    <n v="38.38"/>
    <x v="3"/>
    <x v="2"/>
    <x v="1"/>
    <x v="36"/>
    <x v="0"/>
    <x v="43"/>
    <x v="1"/>
    <n v="38.52"/>
    <x v="3"/>
    <x v="1"/>
    <x v="1886"/>
    <n v="20"/>
  </r>
  <r>
    <s v="SALE1890"/>
    <x v="676"/>
    <s v="CUST1492"/>
    <s v="PROD94"/>
    <s v="STORE10"/>
    <n v="4"/>
    <n v="731.72"/>
    <x v="14"/>
    <x v="2"/>
    <x v="1"/>
    <x v="26"/>
    <x v="1"/>
    <x v="32"/>
    <x v="2"/>
    <n v="358.47"/>
    <x v="3"/>
    <x v="2"/>
    <x v="1887"/>
    <n v="59"/>
  </r>
  <r>
    <s v="SALE1891"/>
    <x v="120"/>
    <s v="CUST1457"/>
    <s v="PROD81"/>
    <s v="STORE19"/>
    <n v="3"/>
    <n v="825.33"/>
    <x v="34"/>
    <x v="0"/>
    <x v="0"/>
    <x v="27"/>
    <x v="1"/>
    <x v="82"/>
    <x v="0"/>
    <n v="285.54"/>
    <x v="3"/>
    <x v="2"/>
    <x v="1888"/>
    <n v="59"/>
  </r>
  <r>
    <s v="SALE1892"/>
    <x v="152"/>
    <s v="CUST1059"/>
    <s v="PROD70"/>
    <s v="STORE14"/>
    <n v="2"/>
    <n v="47.3"/>
    <x v="10"/>
    <x v="1"/>
    <x v="0"/>
    <x v="10"/>
    <x v="1"/>
    <x v="7"/>
    <x v="3"/>
    <n v="138.05"/>
    <x v="2"/>
    <x v="0"/>
    <x v="1889"/>
    <n v="53"/>
  </r>
  <r>
    <s v="SALE1893"/>
    <x v="508"/>
    <s v="CUST1171"/>
    <s v="PROD72"/>
    <s v="STORE17"/>
    <n v="1"/>
    <n v="389.12"/>
    <x v="4"/>
    <x v="1"/>
    <x v="1"/>
    <x v="30"/>
    <x v="1"/>
    <x v="18"/>
    <x v="0"/>
    <n v="477.61"/>
    <x v="0"/>
    <x v="1"/>
    <x v="1890"/>
    <n v="44"/>
  </r>
  <r>
    <s v="SALE1894"/>
    <x v="114"/>
    <s v="CUST1458"/>
    <s v="PROD82"/>
    <s v="STORE18"/>
    <n v="3"/>
    <n v="543.83"/>
    <x v="28"/>
    <x v="0"/>
    <x v="1"/>
    <x v="2"/>
    <x v="2"/>
    <x v="74"/>
    <x v="0"/>
    <n v="152.92"/>
    <x v="3"/>
    <x v="1"/>
    <x v="1891"/>
    <n v="62"/>
  </r>
  <r>
    <s v="SALE1895"/>
    <x v="677"/>
    <s v="CUST1024"/>
    <s v="PROD14"/>
    <s v="STORE1"/>
    <n v="2"/>
    <n v="660.27"/>
    <x v="10"/>
    <x v="1"/>
    <x v="0"/>
    <x v="12"/>
    <x v="1"/>
    <x v="66"/>
    <x v="3"/>
    <n v="48.01"/>
    <x v="0"/>
    <x v="1"/>
    <x v="1892"/>
    <n v="40"/>
  </r>
  <r>
    <s v="SALE1896"/>
    <x v="208"/>
    <s v="CUST1434"/>
    <s v="PROD13"/>
    <s v="STORE8"/>
    <n v="4"/>
    <n v="729.31"/>
    <x v="15"/>
    <x v="0"/>
    <x v="1"/>
    <x v="30"/>
    <x v="0"/>
    <x v="26"/>
    <x v="1"/>
    <n v="242.23"/>
    <x v="1"/>
    <x v="2"/>
    <x v="1893"/>
    <n v="48"/>
  </r>
  <r>
    <s v="SALE1897"/>
    <x v="593"/>
    <s v="CUST1421"/>
    <s v="PROD87"/>
    <s v="STORE6"/>
    <n v="2"/>
    <n v="152.91"/>
    <x v="24"/>
    <x v="1"/>
    <x v="1"/>
    <x v="7"/>
    <x v="1"/>
    <x v="72"/>
    <x v="3"/>
    <n v="371.38"/>
    <x v="3"/>
    <x v="2"/>
    <x v="1894"/>
    <n v="45"/>
  </r>
  <r>
    <s v="SALE1898"/>
    <x v="431"/>
    <s v="CUST1461"/>
    <s v="PROD74"/>
    <s v="STORE15"/>
    <n v="4"/>
    <n v="592.14"/>
    <x v="27"/>
    <x v="2"/>
    <x v="1"/>
    <x v="32"/>
    <x v="2"/>
    <x v="1"/>
    <x v="1"/>
    <n v="403.71"/>
    <x v="0"/>
    <x v="1"/>
    <x v="1895"/>
    <n v="60"/>
  </r>
  <r>
    <s v="SALE1899"/>
    <x v="492"/>
    <s v="CUST1062"/>
    <s v="PROD78"/>
    <s v="STORE12"/>
    <n v="1"/>
    <n v="984.37"/>
    <x v="33"/>
    <x v="1"/>
    <x v="0"/>
    <x v="23"/>
    <x v="3"/>
    <x v="36"/>
    <x v="3"/>
    <n v="325.26"/>
    <x v="0"/>
    <x v="2"/>
    <x v="1896"/>
    <n v="50"/>
  </r>
  <r>
    <s v="SALE1900"/>
    <x v="37"/>
    <s v="CUST1292"/>
    <s v="PROD1"/>
    <s v="STORE12"/>
    <n v="2"/>
    <n v="237.59"/>
    <x v="27"/>
    <x v="0"/>
    <x v="0"/>
    <x v="46"/>
    <x v="2"/>
    <x v="55"/>
    <x v="4"/>
    <n v="342.56"/>
    <x v="0"/>
    <x v="2"/>
    <x v="1897"/>
    <n v="30"/>
  </r>
  <r>
    <s v="SALE1901"/>
    <x v="400"/>
    <s v="CUST1431"/>
    <s v="PROD25"/>
    <s v="STORE8"/>
    <n v="1"/>
    <n v="52.06"/>
    <x v="1"/>
    <x v="2"/>
    <x v="0"/>
    <x v="24"/>
    <x v="1"/>
    <x v="60"/>
    <x v="4"/>
    <n v="174.02"/>
    <x v="1"/>
    <x v="2"/>
    <x v="1898"/>
    <n v="27"/>
  </r>
  <r>
    <s v="SALE1902"/>
    <x v="501"/>
    <s v="CUST1455"/>
    <s v="PROD3"/>
    <s v="STORE1"/>
    <n v="2"/>
    <n v="594.63"/>
    <x v="27"/>
    <x v="0"/>
    <x v="0"/>
    <x v="49"/>
    <x v="0"/>
    <x v="58"/>
    <x v="4"/>
    <n v="364.67"/>
    <x v="0"/>
    <x v="1"/>
    <x v="1899"/>
    <n v="54"/>
  </r>
  <r>
    <s v="SALE1903"/>
    <x v="350"/>
    <s v="CUST1167"/>
    <s v="PROD3"/>
    <s v="STORE0"/>
    <n v="3"/>
    <n v="476.1"/>
    <x v="28"/>
    <x v="2"/>
    <x v="1"/>
    <x v="3"/>
    <x v="0"/>
    <x v="58"/>
    <x v="4"/>
    <n v="364.67"/>
    <x v="3"/>
    <x v="1"/>
    <x v="1900"/>
    <n v="36"/>
  </r>
  <r>
    <s v="SALE1904"/>
    <x v="678"/>
    <s v="CUST1061"/>
    <s v="PROD61"/>
    <s v="STORE6"/>
    <n v="1"/>
    <n v="546.47"/>
    <x v="16"/>
    <x v="2"/>
    <x v="0"/>
    <x v="6"/>
    <x v="2"/>
    <x v="86"/>
    <x v="0"/>
    <n v="103.45"/>
    <x v="3"/>
    <x v="2"/>
    <x v="1901"/>
    <n v="23"/>
  </r>
  <r>
    <s v="SALE1905"/>
    <x v="451"/>
    <s v="CUST1176"/>
    <s v="PROD75"/>
    <s v="STORE12"/>
    <n v="1"/>
    <n v="979.49"/>
    <x v="5"/>
    <x v="2"/>
    <x v="0"/>
    <x v="1"/>
    <x v="2"/>
    <x v="28"/>
    <x v="4"/>
    <n v="158.14"/>
    <x v="0"/>
    <x v="2"/>
    <x v="1902"/>
    <n v="48"/>
  </r>
  <r>
    <s v="SALE1906"/>
    <x v="671"/>
    <s v="CUST1193"/>
    <s v="PROD17"/>
    <s v="STORE2"/>
    <n v="3"/>
    <n v="988.53"/>
    <x v="11"/>
    <x v="2"/>
    <x v="0"/>
    <x v="36"/>
    <x v="0"/>
    <x v="53"/>
    <x v="0"/>
    <n v="144.53"/>
    <x v="2"/>
    <x v="0"/>
    <x v="1903"/>
    <n v="38"/>
  </r>
  <r>
    <s v="SALE1907"/>
    <x v="563"/>
    <s v="CUST1255"/>
    <s v="PROD76"/>
    <s v="STORE3"/>
    <n v="4"/>
    <n v="849.29"/>
    <x v="25"/>
    <x v="0"/>
    <x v="0"/>
    <x v="31"/>
    <x v="0"/>
    <x v="3"/>
    <x v="1"/>
    <n v="392.89"/>
    <x v="0"/>
    <x v="0"/>
    <x v="1904"/>
    <n v="21"/>
  </r>
  <r>
    <s v="SALE1908"/>
    <x v="405"/>
    <s v="CUST1343"/>
    <s v="PROD95"/>
    <s v="STORE14"/>
    <n v="2"/>
    <n v="452.29"/>
    <x v="10"/>
    <x v="2"/>
    <x v="0"/>
    <x v="45"/>
    <x v="3"/>
    <x v="98"/>
    <x v="0"/>
    <n v="60.65"/>
    <x v="2"/>
    <x v="0"/>
    <x v="1905"/>
    <n v="38"/>
  </r>
  <r>
    <s v="SALE1909"/>
    <x v="123"/>
    <s v="CUST1445"/>
    <s v="PROD54"/>
    <s v="STORE18"/>
    <n v="2"/>
    <n v="810.81"/>
    <x v="32"/>
    <x v="2"/>
    <x v="1"/>
    <x v="45"/>
    <x v="1"/>
    <x v="59"/>
    <x v="0"/>
    <n v="434.84"/>
    <x v="3"/>
    <x v="1"/>
    <x v="1906"/>
    <n v="41"/>
  </r>
  <r>
    <s v="SALE1910"/>
    <x v="590"/>
    <s v="CUST1031"/>
    <s v="PROD61"/>
    <s v="STORE8"/>
    <n v="1"/>
    <n v="846.67"/>
    <x v="30"/>
    <x v="2"/>
    <x v="0"/>
    <x v="47"/>
    <x v="2"/>
    <x v="86"/>
    <x v="0"/>
    <n v="103.45"/>
    <x v="1"/>
    <x v="2"/>
    <x v="1907"/>
    <n v="41"/>
  </r>
  <r>
    <s v="SALE1911"/>
    <x v="581"/>
    <s v="CUST1017"/>
    <s v="PROD24"/>
    <s v="STORE6"/>
    <n v="4"/>
    <n v="73.55"/>
    <x v="24"/>
    <x v="2"/>
    <x v="1"/>
    <x v="36"/>
    <x v="1"/>
    <x v="10"/>
    <x v="0"/>
    <n v="166.06"/>
    <x v="3"/>
    <x v="2"/>
    <x v="1908"/>
    <n v="60"/>
  </r>
  <r>
    <s v="SALE1912"/>
    <x v="206"/>
    <s v="CUST1278"/>
    <s v="PROD92"/>
    <s v="STORE6"/>
    <n v="1"/>
    <n v="882.03"/>
    <x v="13"/>
    <x v="2"/>
    <x v="1"/>
    <x v="5"/>
    <x v="1"/>
    <x v="80"/>
    <x v="3"/>
    <n v="447.43"/>
    <x v="3"/>
    <x v="2"/>
    <x v="1909"/>
    <n v="42"/>
  </r>
  <r>
    <s v="SALE1913"/>
    <x v="53"/>
    <s v="CUST1008"/>
    <s v="PROD22"/>
    <s v="STORE14"/>
    <n v="1"/>
    <n v="958.44"/>
    <x v="34"/>
    <x v="0"/>
    <x v="1"/>
    <x v="21"/>
    <x v="0"/>
    <x v="62"/>
    <x v="0"/>
    <n v="484.62"/>
    <x v="2"/>
    <x v="0"/>
    <x v="1910"/>
    <n v="53"/>
  </r>
  <r>
    <s v="SALE1914"/>
    <x v="590"/>
    <s v="CUST1008"/>
    <s v="PROD99"/>
    <s v="STORE2"/>
    <n v="1"/>
    <n v="716.29"/>
    <x v="10"/>
    <x v="1"/>
    <x v="1"/>
    <x v="21"/>
    <x v="0"/>
    <x v="8"/>
    <x v="3"/>
    <n v="201.41"/>
    <x v="2"/>
    <x v="0"/>
    <x v="1911"/>
    <n v="53"/>
  </r>
  <r>
    <s v="SALE1915"/>
    <x v="674"/>
    <s v="CUST1323"/>
    <s v="PROD9"/>
    <s v="STORE16"/>
    <n v="2"/>
    <n v="409.14"/>
    <x v="10"/>
    <x v="1"/>
    <x v="1"/>
    <x v="29"/>
    <x v="1"/>
    <x v="93"/>
    <x v="0"/>
    <n v="495.72"/>
    <x v="1"/>
    <x v="1"/>
    <x v="1912"/>
    <n v="64"/>
  </r>
  <r>
    <s v="SALE1916"/>
    <x v="679"/>
    <s v="CUST1084"/>
    <s v="PROD99"/>
    <s v="STORE9"/>
    <n v="4"/>
    <n v="261.73"/>
    <x v="30"/>
    <x v="1"/>
    <x v="1"/>
    <x v="30"/>
    <x v="1"/>
    <x v="8"/>
    <x v="3"/>
    <n v="201.41"/>
    <x v="2"/>
    <x v="1"/>
    <x v="1913"/>
    <n v="26"/>
  </r>
  <r>
    <s v="SALE1917"/>
    <x v="232"/>
    <s v="CUST1466"/>
    <s v="PROD12"/>
    <s v="STORE0"/>
    <n v="2"/>
    <n v="687.35"/>
    <x v="29"/>
    <x v="2"/>
    <x v="0"/>
    <x v="46"/>
    <x v="2"/>
    <x v="21"/>
    <x v="2"/>
    <n v="115.82"/>
    <x v="3"/>
    <x v="1"/>
    <x v="1914"/>
    <n v="18"/>
  </r>
  <r>
    <s v="SALE1918"/>
    <x v="275"/>
    <s v="CUST1207"/>
    <s v="PROD84"/>
    <s v="STORE8"/>
    <n v="2"/>
    <n v="30.14"/>
    <x v="34"/>
    <x v="0"/>
    <x v="1"/>
    <x v="19"/>
    <x v="3"/>
    <x v="94"/>
    <x v="3"/>
    <n v="388.46"/>
    <x v="1"/>
    <x v="2"/>
    <x v="1915"/>
    <n v="28"/>
  </r>
  <r>
    <s v="SALE1919"/>
    <x v="609"/>
    <s v="CUST1099"/>
    <s v="PROD34"/>
    <s v="STORE8"/>
    <n v="3"/>
    <n v="570.12"/>
    <x v="27"/>
    <x v="1"/>
    <x v="0"/>
    <x v="3"/>
    <x v="2"/>
    <x v="13"/>
    <x v="1"/>
    <n v="419.28"/>
    <x v="1"/>
    <x v="2"/>
    <x v="1916"/>
    <n v="35"/>
  </r>
  <r>
    <s v="SALE1920"/>
    <x v="144"/>
    <s v="CUST1281"/>
    <s v="PROD77"/>
    <s v="STORE19"/>
    <n v="3"/>
    <n v="401.87"/>
    <x v="12"/>
    <x v="2"/>
    <x v="0"/>
    <x v="40"/>
    <x v="1"/>
    <x v="25"/>
    <x v="1"/>
    <n v="480.9"/>
    <x v="3"/>
    <x v="2"/>
    <x v="1917"/>
    <n v="59"/>
  </r>
  <r>
    <s v="SALE1921"/>
    <x v="248"/>
    <s v="CUST1496"/>
    <s v="PROD79"/>
    <s v="STORE12"/>
    <n v="4"/>
    <n v="619.35"/>
    <x v="11"/>
    <x v="0"/>
    <x v="0"/>
    <x v="31"/>
    <x v="3"/>
    <x v="29"/>
    <x v="3"/>
    <n v="228.53"/>
    <x v="0"/>
    <x v="2"/>
    <x v="1918"/>
    <n v="56"/>
  </r>
  <r>
    <s v="SALE1922"/>
    <x v="149"/>
    <s v="CUST1247"/>
    <s v="PROD46"/>
    <s v="STORE17"/>
    <n v="4"/>
    <n v="569.36"/>
    <x v="1"/>
    <x v="1"/>
    <x v="0"/>
    <x v="21"/>
    <x v="1"/>
    <x v="54"/>
    <x v="4"/>
    <n v="167.34"/>
    <x v="0"/>
    <x v="1"/>
    <x v="1919"/>
    <n v="32"/>
  </r>
  <r>
    <s v="SALE1923"/>
    <x v="431"/>
    <s v="CUST1476"/>
    <s v="PROD27"/>
    <s v="STORE4"/>
    <n v="2"/>
    <n v="846.35"/>
    <x v="11"/>
    <x v="2"/>
    <x v="1"/>
    <x v="15"/>
    <x v="0"/>
    <x v="16"/>
    <x v="3"/>
    <n v="250.021571428571"/>
    <x v="2"/>
    <x v="2"/>
    <x v="1920"/>
    <n v="33"/>
  </r>
  <r>
    <s v="SALE1924"/>
    <x v="68"/>
    <s v="CUST1434"/>
    <s v="PROD30"/>
    <s v="STORE2"/>
    <n v="1"/>
    <n v="788.45"/>
    <x v="12"/>
    <x v="1"/>
    <x v="1"/>
    <x v="30"/>
    <x v="0"/>
    <x v="37"/>
    <x v="3"/>
    <n v="19.52"/>
    <x v="2"/>
    <x v="0"/>
    <x v="1921"/>
    <n v="48"/>
  </r>
  <r>
    <s v="SALE1925"/>
    <x v="200"/>
    <s v="CUST1360"/>
    <s v="PROD35"/>
    <s v="STORE12"/>
    <n v="2"/>
    <n v="338.81"/>
    <x v="8"/>
    <x v="2"/>
    <x v="0"/>
    <x v="13"/>
    <x v="1"/>
    <x v="68"/>
    <x v="3"/>
    <n v="382.22"/>
    <x v="0"/>
    <x v="2"/>
    <x v="1922"/>
    <n v="34"/>
  </r>
  <r>
    <s v="SALE1926"/>
    <x v="96"/>
    <s v="CUST1026"/>
    <s v="PROD14"/>
    <s v="STORE5"/>
    <n v="4"/>
    <n v="94.48"/>
    <x v="22"/>
    <x v="2"/>
    <x v="1"/>
    <x v="6"/>
    <x v="0"/>
    <x v="66"/>
    <x v="3"/>
    <n v="48.01"/>
    <x v="0"/>
    <x v="0"/>
    <x v="1923"/>
    <n v="18"/>
  </r>
  <r>
    <s v="SALE1927"/>
    <x v="81"/>
    <s v="CUST1477"/>
    <s v="PROD19"/>
    <s v="STORE13"/>
    <n v="3"/>
    <n v="941.85"/>
    <x v="3"/>
    <x v="1"/>
    <x v="1"/>
    <x v="32"/>
    <x v="1"/>
    <x v="46"/>
    <x v="0"/>
    <n v="21.34"/>
    <x v="3"/>
    <x v="1"/>
    <x v="1924"/>
    <n v="41"/>
  </r>
  <r>
    <s v="SALE1928"/>
    <x v="57"/>
    <s v="CUST1161"/>
    <s v="PROD45"/>
    <s v="STORE5"/>
    <n v="2"/>
    <n v="336.97"/>
    <x v="17"/>
    <x v="1"/>
    <x v="1"/>
    <x v="28"/>
    <x v="2"/>
    <x v="49"/>
    <x v="0"/>
    <n v="318.91"/>
    <x v="0"/>
    <x v="0"/>
    <x v="1925"/>
    <n v="18"/>
  </r>
  <r>
    <s v="SALE1929"/>
    <x v="23"/>
    <s v="CUST1310"/>
    <s v="PROD5"/>
    <s v="STORE5"/>
    <n v="2"/>
    <n v="344.16"/>
    <x v="0"/>
    <x v="1"/>
    <x v="0"/>
    <x v="1"/>
    <x v="2"/>
    <x v="23"/>
    <x v="4"/>
    <n v="261"/>
    <x v="0"/>
    <x v="0"/>
    <x v="1926"/>
    <n v="20"/>
  </r>
  <r>
    <s v="SALE1930"/>
    <x v="597"/>
    <s v="CUST1300"/>
    <s v="PROD48"/>
    <s v="STORE9"/>
    <n v="1"/>
    <n v="841.53"/>
    <x v="6"/>
    <x v="0"/>
    <x v="0"/>
    <x v="47"/>
    <x v="2"/>
    <x v="70"/>
    <x v="1"/>
    <n v="177.98"/>
    <x v="2"/>
    <x v="1"/>
    <x v="1927"/>
    <n v="29"/>
  </r>
  <r>
    <s v="SALE1931"/>
    <x v="680"/>
    <s v="CUST1424"/>
    <s v="PROD83"/>
    <s v="STORE17"/>
    <n v="3"/>
    <n v="63.36"/>
    <x v="12"/>
    <x v="2"/>
    <x v="0"/>
    <x v="29"/>
    <x v="3"/>
    <x v="50"/>
    <x v="2"/>
    <n v="289.359375"/>
    <x v="0"/>
    <x v="1"/>
    <x v="1928"/>
    <n v="53"/>
  </r>
  <r>
    <s v="SALE1932"/>
    <x v="640"/>
    <s v="CUST1496"/>
    <s v="PROD78"/>
    <s v="STORE8"/>
    <n v="2"/>
    <n v="552.49"/>
    <x v="30"/>
    <x v="0"/>
    <x v="0"/>
    <x v="31"/>
    <x v="3"/>
    <x v="36"/>
    <x v="3"/>
    <n v="325.26"/>
    <x v="1"/>
    <x v="2"/>
    <x v="1929"/>
    <n v="56"/>
  </r>
  <r>
    <s v="SALE1933"/>
    <x v="554"/>
    <s v="CUST1236"/>
    <s v="PROD24"/>
    <s v="STORE6"/>
    <n v="3"/>
    <n v="447.38"/>
    <x v="15"/>
    <x v="0"/>
    <x v="1"/>
    <x v="45"/>
    <x v="3"/>
    <x v="10"/>
    <x v="0"/>
    <n v="166.06"/>
    <x v="3"/>
    <x v="2"/>
    <x v="1930"/>
    <n v="42"/>
  </r>
  <r>
    <s v="SALE1934"/>
    <x v="400"/>
    <s v="CUST1450"/>
    <s v="PROD73"/>
    <s v="STORE19"/>
    <n v="1"/>
    <n v="727.7"/>
    <x v="34"/>
    <x v="2"/>
    <x v="0"/>
    <x v="48"/>
    <x v="3"/>
    <x v="78"/>
    <x v="0"/>
    <n v="107.06"/>
    <x v="3"/>
    <x v="2"/>
    <x v="1931"/>
    <n v="59"/>
  </r>
  <r>
    <s v="SALE1935"/>
    <x v="619"/>
    <s v="CUST1436"/>
    <s v="PROD51"/>
    <s v="STORE7"/>
    <n v="4"/>
    <n v="581.34"/>
    <x v="16"/>
    <x v="0"/>
    <x v="0"/>
    <x v="34"/>
    <x v="0"/>
    <x v="69"/>
    <x v="1"/>
    <n v="88.49"/>
    <x v="2"/>
    <x v="2"/>
    <x v="1932"/>
    <n v="61"/>
  </r>
  <r>
    <s v="SALE1936"/>
    <x v="376"/>
    <s v="CUST1096"/>
    <s v="PROD66"/>
    <s v="STORE1"/>
    <n v="1"/>
    <n v="338.83"/>
    <x v="5"/>
    <x v="1"/>
    <x v="1"/>
    <x v="38"/>
    <x v="1"/>
    <x v="73"/>
    <x v="2"/>
    <n v="340.39"/>
    <x v="0"/>
    <x v="1"/>
    <x v="1933"/>
    <n v="30"/>
  </r>
  <r>
    <s v="SALE1937"/>
    <x v="493"/>
    <s v="CUST1285"/>
    <s v="PROD49"/>
    <s v="STORE13"/>
    <n v="4"/>
    <n v="568.81"/>
    <x v="2"/>
    <x v="0"/>
    <x v="1"/>
    <x v="43"/>
    <x v="2"/>
    <x v="2"/>
    <x v="2"/>
    <n v="43.29"/>
    <x v="3"/>
    <x v="1"/>
    <x v="1934"/>
    <n v="46"/>
  </r>
  <r>
    <s v="SALE1938"/>
    <x v="48"/>
    <s v="CUST1375"/>
    <s v="PROD61"/>
    <s v="STORE17"/>
    <n v="2"/>
    <n v="352.63"/>
    <x v="6"/>
    <x v="1"/>
    <x v="0"/>
    <x v="46"/>
    <x v="1"/>
    <x v="86"/>
    <x v="0"/>
    <n v="103.45"/>
    <x v="0"/>
    <x v="1"/>
    <x v="1935"/>
    <n v="26"/>
  </r>
  <r>
    <s v="SALE1939"/>
    <x v="408"/>
    <s v="CUST1156"/>
    <s v="PROD96"/>
    <s v="STORE13"/>
    <n v="2"/>
    <n v="629.86"/>
    <x v="6"/>
    <x v="1"/>
    <x v="0"/>
    <x v="16"/>
    <x v="3"/>
    <x v="99"/>
    <x v="4"/>
    <n v="358.47"/>
    <x v="3"/>
    <x v="1"/>
    <x v="1936"/>
    <n v="46"/>
  </r>
  <r>
    <s v="SALE1940"/>
    <x v="376"/>
    <s v="CUST1493"/>
    <s v="PROD98"/>
    <s v="STORE3"/>
    <n v="3"/>
    <n v="212.08"/>
    <x v="8"/>
    <x v="0"/>
    <x v="0"/>
    <x v="4"/>
    <x v="2"/>
    <x v="24"/>
    <x v="1"/>
    <n v="431.67"/>
    <x v="0"/>
    <x v="0"/>
    <x v="1937"/>
    <n v="28"/>
  </r>
  <r>
    <s v="SALE1941"/>
    <x v="424"/>
    <s v="CUST1161"/>
    <s v="PROD57"/>
    <s v="STORE2"/>
    <n v="3"/>
    <n v="878.62"/>
    <x v="28"/>
    <x v="1"/>
    <x v="1"/>
    <x v="28"/>
    <x v="2"/>
    <x v="71"/>
    <x v="0"/>
    <n v="30.62"/>
    <x v="2"/>
    <x v="0"/>
    <x v="1938"/>
    <n v="18"/>
  </r>
  <r>
    <s v="SALE1942"/>
    <x v="252"/>
    <s v="CUST1261"/>
    <s v="PROD80"/>
    <s v="STORE10"/>
    <n v="4"/>
    <n v="87.83"/>
    <x v="7"/>
    <x v="1"/>
    <x v="1"/>
    <x v="47"/>
    <x v="2"/>
    <x v="61"/>
    <x v="3"/>
    <n v="143.43"/>
    <x v="3"/>
    <x v="2"/>
    <x v="1939"/>
    <n v="27"/>
  </r>
  <r>
    <s v="SALE1943"/>
    <x v="631"/>
    <s v="CUST1275"/>
    <s v="PROD56"/>
    <s v="STORE9"/>
    <n v="3"/>
    <n v="442.64"/>
    <x v="6"/>
    <x v="2"/>
    <x v="0"/>
    <x v="27"/>
    <x v="0"/>
    <x v="6"/>
    <x v="3"/>
    <n v="461.47"/>
    <x v="2"/>
    <x v="1"/>
    <x v="1940"/>
    <n v="22"/>
  </r>
  <r>
    <s v="SALE1944"/>
    <x v="156"/>
    <s v="CUST1093"/>
    <s v="PROD38"/>
    <s v="STORE2"/>
    <n v="3"/>
    <n v="410.04"/>
    <x v="0"/>
    <x v="2"/>
    <x v="1"/>
    <x v="42"/>
    <x v="0"/>
    <x v="48"/>
    <x v="0"/>
    <n v="135.61"/>
    <x v="2"/>
    <x v="0"/>
    <x v="1941"/>
    <n v="28"/>
  </r>
  <r>
    <s v="SALE1945"/>
    <x v="343"/>
    <s v="CUST1133"/>
    <s v="PROD94"/>
    <s v="STORE17"/>
    <n v="1"/>
    <n v="355.31"/>
    <x v="1"/>
    <x v="0"/>
    <x v="1"/>
    <x v="26"/>
    <x v="3"/>
    <x v="32"/>
    <x v="2"/>
    <n v="358.47"/>
    <x v="0"/>
    <x v="1"/>
    <x v="1942"/>
    <n v="62"/>
  </r>
  <r>
    <s v="SALE1946"/>
    <x v="48"/>
    <s v="CUST1376"/>
    <s v="PROD9"/>
    <s v="STORE13"/>
    <n v="4"/>
    <n v="243.13"/>
    <x v="2"/>
    <x v="2"/>
    <x v="0"/>
    <x v="40"/>
    <x v="3"/>
    <x v="93"/>
    <x v="0"/>
    <n v="495.72"/>
    <x v="3"/>
    <x v="1"/>
    <x v="1943"/>
    <n v="30"/>
  </r>
  <r>
    <s v="SALE1947"/>
    <x v="339"/>
    <s v="CUST1229"/>
    <s v="PROD59"/>
    <s v="STORE11"/>
    <n v="2"/>
    <n v="410.63"/>
    <x v="23"/>
    <x v="2"/>
    <x v="1"/>
    <x v="33"/>
    <x v="3"/>
    <x v="4"/>
    <x v="2"/>
    <n v="17.31"/>
    <x v="2"/>
    <x v="2"/>
    <x v="1944"/>
    <n v="32"/>
  </r>
  <r>
    <s v="SALE1948"/>
    <x v="655"/>
    <s v="CUST1425"/>
    <s v="PROD94"/>
    <s v="STORE10"/>
    <n v="4"/>
    <n v="101.25"/>
    <x v="3"/>
    <x v="1"/>
    <x v="0"/>
    <x v="39"/>
    <x v="3"/>
    <x v="32"/>
    <x v="2"/>
    <n v="358.47"/>
    <x v="3"/>
    <x v="2"/>
    <x v="1945"/>
    <n v="40"/>
  </r>
  <r>
    <s v="SALE1949"/>
    <x v="445"/>
    <s v="CUST1226"/>
    <s v="PROD7"/>
    <s v="STORE17"/>
    <n v="4"/>
    <n v="716.39"/>
    <x v="15"/>
    <x v="1"/>
    <x v="0"/>
    <x v="41"/>
    <x v="0"/>
    <x v="84"/>
    <x v="3"/>
    <n v="218.86"/>
    <x v="0"/>
    <x v="1"/>
    <x v="1946"/>
    <n v="54"/>
  </r>
  <r>
    <s v="SALE1950"/>
    <x v="331"/>
    <s v="CUST1094"/>
    <s v="PROD73"/>
    <s v="STORE1"/>
    <n v="1"/>
    <n v="721.74"/>
    <x v="24"/>
    <x v="1"/>
    <x v="1"/>
    <x v="8"/>
    <x v="0"/>
    <x v="78"/>
    <x v="0"/>
    <n v="107.06"/>
    <x v="0"/>
    <x v="1"/>
    <x v="1947"/>
    <n v="43"/>
  </r>
  <r>
    <s v="SALE1951"/>
    <x v="404"/>
    <s v="CUST1054"/>
    <s v="PROD62"/>
    <s v="STORE11"/>
    <n v="2"/>
    <n v="527.91"/>
    <x v="31"/>
    <x v="0"/>
    <x v="0"/>
    <x v="15"/>
    <x v="1"/>
    <x v="85"/>
    <x v="1"/>
    <n v="86.42"/>
    <x v="2"/>
    <x v="2"/>
    <x v="1948"/>
    <n v="24"/>
  </r>
  <r>
    <s v="SALE1952"/>
    <x v="492"/>
    <s v="CUST1319"/>
    <s v="PROD52"/>
    <s v="STORE13"/>
    <n v="2"/>
    <n v="945.92"/>
    <x v="5"/>
    <x v="2"/>
    <x v="0"/>
    <x v="25"/>
    <x v="1"/>
    <x v="40"/>
    <x v="0"/>
    <n v="212.26"/>
    <x v="3"/>
    <x v="1"/>
    <x v="1949"/>
    <n v="54"/>
  </r>
  <r>
    <s v="SALE1953"/>
    <x v="208"/>
    <s v="CUST1081"/>
    <s v="PROD56"/>
    <s v="STORE17"/>
    <n v="2"/>
    <n v="981.35"/>
    <x v="3"/>
    <x v="1"/>
    <x v="1"/>
    <x v="28"/>
    <x v="1"/>
    <x v="6"/>
    <x v="3"/>
    <n v="461.47"/>
    <x v="0"/>
    <x v="1"/>
    <x v="1950"/>
    <n v="34"/>
  </r>
  <r>
    <s v="SALE1954"/>
    <x v="641"/>
    <s v="CUST1223"/>
    <s v="PROD59"/>
    <s v="STORE3"/>
    <n v="1"/>
    <n v="913.99"/>
    <x v="17"/>
    <x v="0"/>
    <x v="0"/>
    <x v="9"/>
    <x v="1"/>
    <x v="4"/>
    <x v="2"/>
    <n v="17.31"/>
    <x v="0"/>
    <x v="0"/>
    <x v="1951"/>
    <n v="50"/>
  </r>
  <r>
    <s v="SALE1955"/>
    <x v="198"/>
    <s v="CUST1011"/>
    <s v="PROD66"/>
    <s v="STORE8"/>
    <n v="4"/>
    <n v="270.69"/>
    <x v="4"/>
    <x v="1"/>
    <x v="1"/>
    <x v="14"/>
    <x v="0"/>
    <x v="73"/>
    <x v="2"/>
    <n v="340.39"/>
    <x v="1"/>
    <x v="2"/>
    <x v="1952"/>
    <n v="28"/>
  </r>
  <r>
    <s v="SALE1956"/>
    <x v="456"/>
    <s v="CUST1161"/>
    <s v="PROD77"/>
    <s v="STORE6"/>
    <n v="3"/>
    <n v="998.58"/>
    <x v="31"/>
    <x v="0"/>
    <x v="1"/>
    <x v="28"/>
    <x v="2"/>
    <x v="25"/>
    <x v="1"/>
    <n v="480.9"/>
    <x v="3"/>
    <x v="2"/>
    <x v="1953"/>
    <n v="18"/>
  </r>
  <r>
    <s v="SALE1957"/>
    <x v="330"/>
    <s v="CUST1456"/>
    <s v="PROD37"/>
    <s v="STORE9"/>
    <n v="3"/>
    <n v="765.12"/>
    <x v="4"/>
    <x v="0"/>
    <x v="1"/>
    <x v="13"/>
    <x v="0"/>
    <x v="92"/>
    <x v="4"/>
    <n v="353.47"/>
    <x v="2"/>
    <x v="1"/>
    <x v="1954"/>
    <n v="59"/>
  </r>
  <r>
    <s v="SALE1958"/>
    <x v="592"/>
    <s v="CUST1072"/>
    <s v="PROD64"/>
    <s v="STORE19"/>
    <n v="3"/>
    <n v="449.99"/>
    <x v="9"/>
    <x v="2"/>
    <x v="1"/>
    <x v="9"/>
    <x v="0"/>
    <x v="91"/>
    <x v="2"/>
    <n v="299.11"/>
    <x v="3"/>
    <x v="2"/>
    <x v="1955"/>
    <n v="39"/>
  </r>
  <r>
    <s v="SALE1959"/>
    <x v="236"/>
    <s v="CUST1252"/>
    <s v="PROD43"/>
    <s v="STORE11"/>
    <n v="2"/>
    <n v="249.02"/>
    <x v="10"/>
    <x v="2"/>
    <x v="0"/>
    <x v="34"/>
    <x v="2"/>
    <x v="19"/>
    <x v="1"/>
    <n v="253.33"/>
    <x v="2"/>
    <x v="2"/>
    <x v="1956"/>
    <n v="26"/>
  </r>
  <r>
    <s v="SALE1960"/>
    <x v="146"/>
    <s v="CUST1137"/>
    <s v="PROD57"/>
    <s v="STORE19"/>
    <n v="3"/>
    <n v="223.64"/>
    <x v="28"/>
    <x v="0"/>
    <x v="1"/>
    <x v="31"/>
    <x v="1"/>
    <x v="71"/>
    <x v="0"/>
    <n v="30.62"/>
    <x v="3"/>
    <x v="2"/>
    <x v="1957"/>
    <n v="55"/>
  </r>
  <r>
    <s v="SALE1961"/>
    <x v="642"/>
    <s v="CUST1106"/>
    <s v="PROD24"/>
    <s v="STORE4"/>
    <n v="2"/>
    <n v="92.94"/>
    <x v="27"/>
    <x v="0"/>
    <x v="1"/>
    <x v="5"/>
    <x v="3"/>
    <x v="10"/>
    <x v="0"/>
    <n v="166.06"/>
    <x v="2"/>
    <x v="2"/>
    <x v="1958"/>
    <n v="53"/>
  </r>
  <r>
    <s v="SALE1962"/>
    <x v="410"/>
    <s v="CUST1361"/>
    <s v="PROD16"/>
    <s v="STORE2"/>
    <n v="4"/>
    <n v="268.3"/>
    <x v="31"/>
    <x v="2"/>
    <x v="0"/>
    <x v="30"/>
    <x v="1"/>
    <x v="30"/>
    <x v="2"/>
    <n v="337.42"/>
    <x v="2"/>
    <x v="0"/>
    <x v="1959"/>
    <n v="64"/>
  </r>
  <r>
    <s v="SALE1963"/>
    <x v="505"/>
    <s v="CUST1442"/>
    <s v="PROD59"/>
    <s v="STORE19"/>
    <n v="4"/>
    <n v="835.61"/>
    <x v="15"/>
    <x v="0"/>
    <x v="1"/>
    <x v="47"/>
    <x v="3"/>
    <x v="4"/>
    <x v="2"/>
    <n v="17.31"/>
    <x v="3"/>
    <x v="2"/>
    <x v="1960"/>
    <n v="42"/>
  </r>
  <r>
    <s v="SALE1964"/>
    <x v="111"/>
    <s v="CUST1382"/>
    <s v="PROD68"/>
    <s v="STORE5"/>
    <n v="3"/>
    <n v="120.97"/>
    <x v="32"/>
    <x v="0"/>
    <x v="1"/>
    <x v="24"/>
    <x v="0"/>
    <x v="88"/>
    <x v="3"/>
    <n v="243.7"/>
    <x v="0"/>
    <x v="0"/>
    <x v="1961"/>
    <n v="20"/>
  </r>
  <r>
    <s v="SALE1965"/>
    <x v="557"/>
    <s v="CUST1030"/>
    <s v="PROD40"/>
    <s v="STORE9"/>
    <n v="2"/>
    <n v="26.36"/>
    <x v="15"/>
    <x v="2"/>
    <x v="1"/>
    <x v="2"/>
    <x v="3"/>
    <x v="43"/>
    <x v="1"/>
    <n v="38.52"/>
    <x v="2"/>
    <x v="1"/>
    <x v="1962"/>
    <n v="64"/>
  </r>
  <r>
    <s v="SALE1966"/>
    <x v="377"/>
    <s v="CUST1033"/>
    <s v="PROD77"/>
    <s v="STORE6"/>
    <n v="1"/>
    <n v="918.87"/>
    <x v="32"/>
    <x v="1"/>
    <x v="0"/>
    <x v="15"/>
    <x v="1"/>
    <x v="25"/>
    <x v="1"/>
    <n v="480.9"/>
    <x v="3"/>
    <x v="2"/>
    <x v="1963"/>
    <n v="25"/>
  </r>
  <r>
    <s v="SALE1967"/>
    <x v="473"/>
    <s v="CUST1031"/>
    <s v="PROD67"/>
    <s v="STORE11"/>
    <n v="2"/>
    <n v="924.73"/>
    <x v="12"/>
    <x v="1"/>
    <x v="0"/>
    <x v="47"/>
    <x v="2"/>
    <x v="22"/>
    <x v="1"/>
    <n v="349.17"/>
    <x v="2"/>
    <x v="2"/>
    <x v="1964"/>
    <n v="41"/>
  </r>
  <r>
    <s v="SALE1968"/>
    <x v="439"/>
    <s v="CUST1021"/>
    <s v="PROD12"/>
    <s v="STORE10"/>
    <n v="3"/>
    <n v="195.31"/>
    <x v="21"/>
    <x v="2"/>
    <x v="1"/>
    <x v="15"/>
    <x v="0"/>
    <x v="21"/>
    <x v="2"/>
    <n v="115.82"/>
    <x v="3"/>
    <x v="2"/>
    <x v="1965"/>
    <n v="36"/>
  </r>
  <r>
    <s v="SALE1969"/>
    <x v="376"/>
    <s v="CUST1142"/>
    <s v="PROD38"/>
    <s v="STORE8"/>
    <n v="1"/>
    <n v="91.38"/>
    <x v="17"/>
    <x v="0"/>
    <x v="0"/>
    <x v="10"/>
    <x v="3"/>
    <x v="48"/>
    <x v="0"/>
    <n v="135.61"/>
    <x v="1"/>
    <x v="2"/>
    <x v="1966"/>
    <n v="37"/>
  </r>
  <r>
    <s v="SALE1970"/>
    <x v="681"/>
    <s v="CUST1483"/>
    <s v="PROD86"/>
    <s v="STORE11"/>
    <n v="2"/>
    <n v="494.35"/>
    <x v="30"/>
    <x v="0"/>
    <x v="0"/>
    <x v="8"/>
    <x v="0"/>
    <x v="56"/>
    <x v="3"/>
    <n v="176.07"/>
    <x v="2"/>
    <x v="2"/>
    <x v="1967"/>
    <n v="48"/>
  </r>
  <r>
    <s v="SALE1971"/>
    <x v="85"/>
    <s v="CUST1255"/>
    <s v="PROD24"/>
    <s v="STORE10"/>
    <n v="1"/>
    <n v="412.2"/>
    <x v="32"/>
    <x v="0"/>
    <x v="0"/>
    <x v="31"/>
    <x v="0"/>
    <x v="10"/>
    <x v="0"/>
    <n v="166.06"/>
    <x v="3"/>
    <x v="2"/>
    <x v="1968"/>
    <n v="21"/>
  </r>
  <r>
    <s v="SALE1972"/>
    <x v="23"/>
    <s v="CUST1394"/>
    <s v="PROD79"/>
    <s v="STORE16"/>
    <n v="1"/>
    <n v="650.47"/>
    <x v="21"/>
    <x v="1"/>
    <x v="1"/>
    <x v="40"/>
    <x v="3"/>
    <x v="29"/>
    <x v="3"/>
    <n v="228.53"/>
    <x v="1"/>
    <x v="1"/>
    <x v="1969"/>
    <n v="43"/>
  </r>
  <r>
    <s v="SALE1973"/>
    <x v="386"/>
    <s v="CUST1155"/>
    <s v="PROD14"/>
    <s v="STORE12"/>
    <n v="1"/>
    <n v="68.21"/>
    <x v="28"/>
    <x v="1"/>
    <x v="1"/>
    <x v="9"/>
    <x v="0"/>
    <x v="66"/>
    <x v="3"/>
    <n v="48.01"/>
    <x v="0"/>
    <x v="2"/>
    <x v="1970"/>
    <n v="60"/>
  </r>
  <r>
    <s v="SALE1974"/>
    <x v="115"/>
    <s v="CUST1135"/>
    <s v="PROD53"/>
    <s v="STORE7"/>
    <n v="2"/>
    <n v="842.89"/>
    <x v="2"/>
    <x v="2"/>
    <x v="1"/>
    <x v="20"/>
    <x v="1"/>
    <x v="27"/>
    <x v="4"/>
    <n v="386.56"/>
    <x v="2"/>
    <x v="2"/>
    <x v="1971"/>
    <n v="33"/>
  </r>
  <r>
    <s v="SALE1975"/>
    <x v="155"/>
    <s v="CUST1300"/>
    <s v="PROD5"/>
    <s v="STORE4"/>
    <n v="2"/>
    <n v="227.95"/>
    <x v="24"/>
    <x v="2"/>
    <x v="0"/>
    <x v="47"/>
    <x v="2"/>
    <x v="23"/>
    <x v="4"/>
    <n v="261"/>
    <x v="2"/>
    <x v="2"/>
    <x v="1972"/>
    <n v="29"/>
  </r>
  <r>
    <s v="SALE1976"/>
    <x v="432"/>
    <s v="CUST1192"/>
    <s v="PROD66"/>
    <s v="STORE12"/>
    <n v="3"/>
    <n v="685.97"/>
    <x v="24"/>
    <x v="1"/>
    <x v="0"/>
    <x v="12"/>
    <x v="0"/>
    <x v="73"/>
    <x v="2"/>
    <n v="340.39"/>
    <x v="0"/>
    <x v="2"/>
    <x v="1973"/>
    <n v="26"/>
  </r>
  <r>
    <s v="SALE1977"/>
    <x v="376"/>
    <s v="CUST1365"/>
    <s v="PROD29"/>
    <s v="STORE2"/>
    <n v="1"/>
    <n v="722.57"/>
    <x v="4"/>
    <x v="0"/>
    <x v="1"/>
    <x v="41"/>
    <x v="1"/>
    <x v="35"/>
    <x v="3"/>
    <n v="218.48"/>
    <x v="2"/>
    <x v="0"/>
    <x v="1974"/>
    <n v="63"/>
  </r>
  <r>
    <s v="SALE1978"/>
    <x v="250"/>
    <s v="CUST1140"/>
    <s v="PROD35"/>
    <s v="STORE5"/>
    <n v="3"/>
    <n v="585.55"/>
    <x v="17"/>
    <x v="2"/>
    <x v="1"/>
    <x v="2"/>
    <x v="0"/>
    <x v="68"/>
    <x v="3"/>
    <n v="382.22"/>
    <x v="0"/>
    <x v="0"/>
    <x v="1975"/>
    <n v="63"/>
  </r>
  <r>
    <s v="SALE1979"/>
    <x v="193"/>
    <s v="CUST1309"/>
    <s v="PROD46"/>
    <s v="STORE13"/>
    <n v="2"/>
    <n v="635.81"/>
    <x v="21"/>
    <x v="1"/>
    <x v="1"/>
    <x v="24"/>
    <x v="3"/>
    <x v="54"/>
    <x v="4"/>
    <n v="167.34"/>
    <x v="3"/>
    <x v="1"/>
    <x v="1976"/>
    <n v="41"/>
  </r>
  <r>
    <s v="SALE1980"/>
    <x v="350"/>
    <s v="CUST1277"/>
    <s v="PROD14"/>
    <s v="STORE4"/>
    <n v="2"/>
    <n v="353.74"/>
    <x v="10"/>
    <x v="0"/>
    <x v="1"/>
    <x v="44"/>
    <x v="1"/>
    <x v="66"/>
    <x v="3"/>
    <n v="48.01"/>
    <x v="2"/>
    <x v="2"/>
    <x v="1977"/>
    <n v="22"/>
  </r>
  <r>
    <s v="SALE1981"/>
    <x v="221"/>
    <s v="CUST1264"/>
    <s v="PROD36"/>
    <s v="STORE7"/>
    <n v="1"/>
    <n v="377.52"/>
    <x v="6"/>
    <x v="0"/>
    <x v="0"/>
    <x v="0"/>
    <x v="0"/>
    <x v="14"/>
    <x v="4"/>
    <n v="223.43"/>
    <x v="2"/>
    <x v="2"/>
    <x v="1978"/>
    <n v="25"/>
  </r>
  <r>
    <s v="SALE1982"/>
    <x v="73"/>
    <s v="CUST1205"/>
    <s v="PROD68"/>
    <s v="STORE2"/>
    <n v="3"/>
    <n v="901.49"/>
    <x v="33"/>
    <x v="0"/>
    <x v="1"/>
    <x v="19"/>
    <x v="0"/>
    <x v="88"/>
    <x v="3"/>
    <n v="243.7"/>
    <x v="2"/>
    <x v="0"/>
    <x v="1979"/>
    <n v="44"/>
  </r>
  <r>
    <s v="SALE1983"/>
    <x v="330"/>
    <s v="CUST1200"/>
    <s v="PROD30"/>
    <s v="STORE5"/>
    <n v="1"/>
    <n v="563.01"/>
    <x v="30"/>
    <x v="0"/>
    <x v="0"/>
    <x v="17"/>
    <x v="1"/>
    <x v="37"/>
    <x v="3"/>
    <n v="19.52"/>
    <x v="0"/>
    <x v="0"/>
    <x v="1980"/>
    <n v="30"/>
  </r>
  <r>
    <s v="SALE1984"/>
    <x v="425"/>
    <s v="CUST1052"/>
    <s v="PROD70"/>
    <s v="STORE6"/>
    <n v="4"/>
    <n v="167.25"/>
    <x v="32"/>
    <x v="0"/>
    <x v="0"/>
    <x v="46"/>
    <x v="3"/>
    <x v="7"/>
    <x v="3"/>
    <n v="138.05"/>
    <x v="3"/>
    <x v="2"/>
    <x v="1981"/>
    <n v="55"/>
  </r>
  <r>
    <s v="SALE1985"/>
    <x v="365"/>
    <s v="CUST1454"/>
    <s v="PROD60"/>
    <s v="STORE18"/>
    <n v="3"/>
    <n v="345.43"/>
    <x v="16"/>
    <x v="2"/>
    <x v="0"/>
    <x v="15"/>
    <x v="0"/>
    <x v="17"/>
    <x v="2"/>
    <n v="482.75"/>
    <x v="3"/>
    <x v="1"/>
    <x v="1982"/>
    <n v="60"/>
  </r>
  <r>
    <s v="SALE1986"/>
    <x v="209"/>
    <s v="CUST1308"/>
    <s v="PROD82"/>
    <s v="STORE9"/>
    <n v="4"/>
    <n v="752.48"/>
    <x v="7"/>
    <x v="0"/>
    <x v="1"/>
    <x v="9"/>
    <x v="0"/>
    <x v="74"/>
    <x v="0"/>
    <n v="152.92"/>
    <x v="2"/>
    <x v="1"/>
    <x v="1983"/>
    <n v="60"/>
  </r>
  <r>
    <s v="SALE1987"/>
    <x v="115"/>
    <s v="CUST1449"/>
    <s v="PROD57"/>
    <s v="STORE19"/>
    <n v="1"/>
    <n v="120.02"/>
    <x v="25"/>
    <x v="0"/>
    <x v="0"/>
    <x v="31"/>
    <x v="3"/>
    <x v="71"/>
    <x v="0"/>
    <n v="30.62"/>
    <x v="3"/>
    <x v="2"/>
    <x v="1984"/>
    <n v="29"/>
  </r>
  <r>
    <s v="SALE1988"/>
    <x v="669"/>
    <s v="CUST1323"/>
    <s v="PROD41"/>
    <s v="STORE8"/>
    <n v="3"/>
    <n v="146.71"/>
    <x v="23"/>
    <x v="0"/>
    <x v="1"/>
    <x v="29"/>
    <x v="1"/>
    <x v="89"/>
    <x v="0"/>
    <n v="313.26"/>
    <x v="1"/>
    <x v="2"/>
    <x v="1985"/>
    <n v="64"/>
  </r>
  <r>
    <s v="SALE1989"/>
    <x v="536"/>
    <s v="CUST1082"/>
    <s v="PROD64"/>
    <s v="STORE0"/>
    <n v="2"/>
    <n v="358.87"/>
    <x v="24"/>
    <x v="0"/>
    <x v="0"/>
    <x v="26"/>
    <x v="3"/>
    <x v="91"/>
    <x v="2"/>
    <n v="299.11"/>
    <x v="3"/>
    <x v="1"/>
    <x v="1986"/>
    <n v="53"/>
  </r>
  <r>
    <s v="SALE1990"/>
    <x v="441"/>
    <s v="CUST1241"/>
    <s v="PROD52"/>
    <s v="STORE3"/>
    <n v="4"/>
    <n v="212.75"/>
    <x v="32"/>
    <x v="2"/>
    <x v="0"/>
    <x v="45"/>
    <x v="1"/>
    <x v="40"/>
    <x v="0"/>
    <n v="212.26"/>
    <x v="0"/>
    <x v="0"/>
    <x v="1987"/>
    <n v="31"/>
  </r>
  <r>
    <s v="SALE1991"/>
    <x v="682"/>
    <s v="CUST1327"/>
    <s v="PROD45"/>
    <s v="STORE11"/>
    <n v="1"/>
    <n v="183.47"/>
    <x v="9"/>
    <x v="1"/>
    <x v="1"/>
    <x v="14"/>
    <x v="3"/>
    <x v="49"/>
    <x v="0"/>
    <n v="318.91"/>
    <x v="2"/>
    <x v="2"/>
    <x v="1988"/>
    <n v="62"/>
  </r>
  <r>
    <s v="SALE1992"/>
    <x v="508"/>
    <s v="CUST1068"/>
    <s v="PROD89"/>
    <s v="STORE15"/>
    <n v="4"/>
    <n v="569.98"/>
    <x v="7"/>
    <x v="0"/>
    <x v="1"/>
    <x v="30"/>
    <x v="2"/>
    <x v="41"/>
    <x v="2"/>
    <n v="183.04"/>
    <x v="0"/>
    <x v="1"/>
    <x v="1989"/>
    <n v="24"/>
  </r>
  <r>
    <s v="SALE1993"/>
    <x v="113"/>
    <s v="CUST1472"/>
    <s v="PROD21"/>
    <s v="STORE12"/>
    <n v="3"/>
    <n v="984.12"/>
    <x v="1"/>
    <x v="0"/>
    <x v="0"/>
    <x v="43"/>
    <x v="2"/>
    <x v="39"/>
    <x v="3"/>
    <n v="123.46"/>
    <x v="0"/>
    <x v="2"/>
    <x v="1990"/>
    <n v="42"/>
  </r>
  <r>
    <s v="SALE1994"/>
    <x v="309"/>
    <s v="CUST1473"/>
    <s v="PROD84"/>
    <s v="STORE8"/>
    <n v="1"/>
    <n v="905.23"/>
    <x v="33"/>
    <x v="0"/>
    <x v="0"/>
    <x v="18"/>
    <x v="3"/>
    <x v="94"/>
    <x v="3"/>
    <n v="388.46"/>
    <x v="1"/>
    <x v="2"/>
    <x v="1991"/>
    <n v="53"/>
  </r>
  <r>
    <s v="SALE1995"/>
    <x v="39"/>
    <s v="CUST1186"/>
    <s v="PROD99"/>
    <s v="STORE19"/>
    <n v="3"/>
    <n v="112.77"/>
    <x v="5"/>
    <x v="0"/>
    <x v="0"/>
    <x v="6"/>
    <x v="2"/>
    <x v="8"/>
    <x v="3"/>
    <n v="201.41"/>
    <x v="3"/>
    <x v="2"/>
    <x v="1992"/>
    <n v="53"/>
  </r>
  <r>
    <s v="SALE1996"/>
    <x v="218"/>
    <s v="CUST1161"/>
    <s v="PROD35"/>
    <s v="STORE8"/>
    <n v="3"/>
    <n v="875.99"/>
    <x v="0"/>
    <x v="1"/>
    <x v="1"/>
    <x v="28"/>
    <x v="2"/>
    <x v="68"/>
    <x v="3"/>
    <n v="382.22"/>
    <x v="1"/>
    <x v="2"/>
    <x v="1993"/>
    <n v="18"/>
  </r>
  <r>
    <s v="SALE1997"/>
    <x v="325"/>
    <s v="CUST1128"/>
    <s v="PROD89"/>
    <s v="STORE10"/>
    <n v="2"/>
    <n v="685.31"/>
    <x v="25"/>
    <x v="1"/>
    <x v="0"/>
    <x v="13"/>
    <x v="2"/>
    <x v="41"/>
    <x v="2"/>
    <n v="183.04"/>
    <x v="3"/>
    <x v="2"/>
    <x v="1994"/>
    <n v="45"/>
  </r>
  <r>
    <s v="SALE1998"/>
    <x v="48"/>
    <s v="CUST1052"/>
    <s v="PROD61"/>
    <s v="STORE11"/>
    <n v="3"/>
    <n v="945.37"/>
    <x v="28"/>
    <x v="0"/>
    <x v="0"/>
    <x v="46"/>
    <x v="3"/>
    <x v="86"/>
    <x v="0"/>
    <n v="103.45"/>
    <x v="2"/>
    <x v="2"/>
    <x v="1995"/>
    <n v="55"/>
  </r>
  <r>
    <s v="SALE1999"/>
    <x v="157"/>
    <s v="CUST1023"/>
    <s v="PROD76"/>
    <s v="STORE19"/>
    <n v="3"/>
    <n v="68.45"/>
    <x v="9"/>
    <x v="1"/>
    <x v="1"/>
    <x v="47"/>
    <x v="2"/>
    <x v="3"/>
    <x v="1"/>
    <n v="392.89"/>
    <x v="3"/>
    <x v="2"/>
    <x v="1996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colGrandTotals="0" createdVersion="7" indent="0" outline="1" outlineData="1" multipleFieldFilters="0" chartFormat="3">
  <location ref="A3:E8" firstHeaderRow="1" firstDataRow="2" firstDataCol="1"/>
  <pivotFields count="18">
    <pivotField showAll="0"/>
    <pivotField numFmtId="164" showAll="0"/>
    <pivotField showAll="0"/>
    <pivotField showAll="0"/>
    <pivotField showAll="0"/>
    <pivotField showAll="0"/>
    <pivotField numFmtId="166" showAll="0"/>
    <pivotField numFmtId="2" showAll="0"/>
    <pivotField showAll="0"/>
    <pivotField showAll="0"/>
    <pivotField showAll="0">
      <items count="51">
        <item x="4"/>
        <item x="41"/>
        <item x="28"/>
        <item x="13"/>
        <item x="24"/>
        <item x="44"/>
        <item x="40"/>
        <item x="37"/>
        <item x="26"/>
        <item x="36"/>
        <item x="22"/>
        <item x="12"/>
        <item x="49"/>
        <item x="30"/>
        <item x="9"/>
        <item x="32"/>
        <item x="27"/>
        <item x="38"/>
        <item x="17"/>
        <item x="33"/>
        <item x="43"/>
        <item x="20"/>
        <item x="46"/>
        <item x="25"/>
        <item x="6"/>
        <item x="10"/>
        <item x="48"/>
        <item x="8"/>
        <item x="21"/>
        <item x="19"/>
        <item x="23"/>
        <item x="14"/>
        <item x="29"/>
        <item x="16"/>
        <item x="31"/>
        <item x="15"/>
        <item x="47"/>
        <item x="2"/>
        <item x="5"/>
        <item x="42"/>
        <item x="34"/>
        <item x="3"/>
        <item x="11"/>
        <item x="39"/>
        <item x="1"/>
        <item x="45"/>
        <item x="7"/>
        <item x="35"/>
        <item x="18"/>
        <item x="0"/>
        <item t="default"/>
      </items>
    </pivotField>
    <pivotField showAll="0"/>
    <pivotField showAll="0"/>
    <pivotField showAll="0">
      <items count="6">
        <item x="2"/>
        <item x="4"/>
        <item x="1"/>
        <item x="3"/>
        <item x="0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dataField="1" numFmtId="165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Sum of Total_Amount" fld="17" baseField="16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7" cacheId="1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3">
  <location ref="A3:B19" firstHeaderRow="1" firstDataRow="1" firstDataCol="1"/>
  <pivotFields count="21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6" showAll="0"/>
    <pivotField numFmtId="2" showAll="0">
      <items count="37">
        <item x="33"/>
        <item x="10"/>
        <item x="31"/>
        <item x="15"/>
        <item x="13"/>
        <item x="28"/>
        <item x="22"/>
        <item x="8"/>
        <item x="16"/>
        <item x="0"/>
        <item x="30"/>
        <item x="32"/>
        <item x="27"/>
        <item x="21"/>
        <item x="17"/>
        <item x="26"/>
        <item x="18"/>
        <item x="19"/>
        <item x="35"/>
        <item x="20"/>
        <item x="6"/>
        <item x="3"/>
        <item x="9"/>
        <item x="4"/>
        <item x="5"/>
        <item x="29"/>
        <item x="34"/>
        <item x="14"/>
        <item x="7"/>
        <item x="24"/>
        <item x="2"/>
        <item x="25"/>
        <item x="1"/>
        <item x="23"/>
        <item x="12"/>
        <item x="1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51">
        <item x="4"/>
        <item x="41"/>
        <item x="28"/>
        <item x="13"/>
        <item x="24"/>
        <item x="44"/>
        <item x="40"/>
        <item x="37"/>
        <item x="26"/>
        <item x="36"/>
        <item x="22"/>
        <item x="12"/>
        <item x="49"/>
        <item x="30"/>
        <item x="9"/>
        <item x="32"/>
        <item x="27"/>
        <item x="38"/>
        <item x="17"/>
        <item x="33"/>
        <item x="43"/>
        <item x="20"/>
        <item x="46"/>
        <item x="25"/>
        <item x="6"/>
        <item x="10"/>
        <item x="48"/>
        <item x="8"/>
        <item x="21"/>
        <item x="19"/>
        <item x="23"/>
        <item x="14"/>
        <item x="29"/>
        <item x="16"/>
        <item x="31"/>
        <item x="15"/>
        <item x="47"/>
        <item x="2"/>
        <item x="5"/>
        <item x="42"/>
        <item x="34"/>
        <item x="3"/>
        <item x="11"/>
        <item x="39"/>
        <item x="1"/>
        <item x="45"/>
        <item x="7"/>
        <item x="35"/>
        <item x="18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5" showAll="0">
      <items count="1998">
        <item x="1674"/>
        <item x="1739"/>
        <item x="923"/>
        <item x="829"/>
        <item x="473"/>
        <item x="722"/>
        <item x="1030"/>
        <item x="584"/>
        <item x="827"/>
        <item x="895"/>
        <item x="1226"/>
        <item x="1291"/>
        <item x="1153"/>
        <item x="1211"/>
        <item x="1819"/>
        <item x="884"/>
        <item x="400"/>
        <item x="1549"/>
        <item x="1366"/>
        <item x="1850"/>
        <item x="1828"/>
        <item x="1898"/>
        <item x="1962"/>
        <item x="1331"/>
        <item x="1374"/>
        <item x="528"/>
        <item x="1915"/>
        <item x="605"/>
        <item x="1745"/>
        <item x="1660"/>
        <item x="1614"/>
        <item x="919"/>
        <item x="506"/>
        <item x="578"/>
        <item x="988"/>
        <item x="1071"/>
        <item x="1692"/>
        <item x="1970"/>
        <item x="955"/>
        <item x="1290"/>
        <item x="594"/>
        <item x="1876"/>
        <item x="1026"/>
        <item x="1162"/>
        <item x="677"/>
        <item x="1685"/>
        <item x="331"/>
        <item x="177"/>
        <item x="665"/>
        <item x="157"/>
        <item x="1118"/>
        <item x="465"/>
        <item x="681"/>
        <item x="1466"/>
        <item x="1257"/>
        <item x="522"/>
        <item x="726"/>
        <item x="1183"/>
        <item x="413"/>
        <item x="124"/>
        <item x="1734"/>
        <item x="313"/>
        <item x="998"/>
        <item x="1637"/>
        <item x="1164"/>
        <item x="1966"/>
        <item x="629"/>
        <item x="1445"/>
        <item x="799"/>
        <item x="1565"/>
        <item x="1889"/>
        <item x="1125"/>
        <item x="329"/>
        <item x="1248"/>
        <item x="1094"/>
        <item x="1591"/>
        <item x="1386"/>
        <item x="750"/>
        <item x="727"/>
        <item x="415"/>
        <item x="1415"/>
        <item x="1770"/>
        <item x="897"/>
        <item x="382"/>
        <item x="1305"/>
        <item x="600"/>
        <item x="1664"/>
        <item x="1984"/>
        <item x="1459"/>
        <item x="1758"/>
        <item x="1712"/>
        <item x="158"/>
        <item x="1460"/>
        <item x="1596"/>
        <item x="974"/>
        <item x="337"/>
        <item x="635"/>
        <item x="1879"/>
        <item x="747"/>
        <item x="1859"/>
        <item x="207"/>
        <item x="921"/>
        <item x="1324"/>
        <item x="433"/>
        <item x="934"/>
        <item x="1804"/>
        <item x="1141"/>
        <item x="1558"/>
        <item x="47"/>
        <item x="1713"/>
        <item x="1513"/>
        <item x="95"/>
        <item x="83"/>
        <item x="869"/>
        <item x="1840"/>
        <item x="1583"/>
        <item x="383"/>
        <item x="1806"/>
        <item x="901"/>
        <item x="256"/>
        <item x="1047"/>
        <item x="516"/>
        <item x="1724"/>
        <item x="1742"/>
        <item x="1303"/>
        <item x="1062"/>
        <item x="1244"/>
        <item x="28"/>
        <item x="420"/>
        <item x="1544"/>
        <item x="1049"/>
        <item x="170"/>
        <item x="1886"/>
        <item x="1701"/>
        <item x="1680"/>
        <item x="583"/>
        <item x="1788"/>
        <item x="181"/>
        <item x="1241"/>
        <item x="740"/>
        <item x="1297"/>
        <item x="1837"/>
        <item x="1066"/>
        <item x="118"/>
        <item x="1166"/>
        <item x="1831"/>
        <item x="515"/>
        <item x="1417"/>
        <item x="348"/>
        <item x="490"/>
        <item x="1509"/>
        <item x="644"/>
        <item x="1132"/>
        <item x="1389"/>
        <item x="1606"/>
        <item x="1873"/>
        <item x="1430"/>
        <item x="1311"/>
        <item x="1624"/>
        <item x="938"/>
        <item x="1988"/>
        <item x="74"/>
        <item x="1013"/>
        <item x="1958"/>
        <item x="1528"/>
        <item x="900"/>
        <item x="1928"/>
        <item x="1610"/>
        <item x="508"/>
        <item x="1833"/>
        <item x="281"/>
        <item x="1328"/>
        <item x="1507"/>
        <item x="1884"/>
        <item x="365"/>
        <item x="60"/>
        <item x="1655"/>
        <item x="758"/>
        <item x="289"/>
        <item x="1996"/>
        <item x="1532"/>
        <item x="422"/>
        <item x="719"/>
        <item x="1045"/>
        <item x="1579"/>
        <item x="1435"/>
        <item x="271"/>
        <item x="1098"/>
        <item x="889"/>
        <item x="364"/>
        <item x="721"/>
        <item x="1779"/>
        <item x="1225"/>
        <item x="1548"/>
        <item x="152"/>
        <item x="0"/>
        <item x="847"/>
        <item x="908"/>
        <item x="676"/>
        <item x="258"/>
        <item x="319"/>
        <item x="1260"/>
        <item x="1677"/>
        <item x="1768"/>
        <item x="1008"/>
        <item x="1078"/>
        <item x="1250"/>
        <item x="1646"/>
        <item x="51"/>
        <item x="735"/>
        <item x="502"/>
        <item x="24"/>
        <item x="1024"/>
        <item x="1287"/>
        <item x="1159"/>
        <item x="1694"/>
        <item x="1174"/>
        <item x="1020"/>
        <item x="715"/>
        <item x="647"/>
        <item x="667"/>
        <item x="63"/>
        <item x="1112"/>
        <item x="1278"/>
        <item x="368"/>
        <item x="159"/>
        <item x="1105"/>
        <item x="137"/>
        <item x="318"/>
        <item x="298"/>
        <item x="1588"/>
        <item x="68"/>
        <item x="1355"/>
        <item x="50"/>
        <item x="588"/>
        <item x="1239"/>
        <item x="1501"/>
        <item x="1264"/>
        <item x="1410"/>
        <item x="1700"/>
        <item x="1212"/>
        <item x="1502"/>
        <item x="444"/>
        <item x="246"/>
        <item x="670"/>
        <item x="643"/>
        <item x="1157"/>
        <item x="775"/>
        <item x="874"/>
        <item x="193"/>
        <item x="327"/>
        <item x="239"/>
        <item x="70"/>
        <item x="310"/>
        <item x="10"/>
        <item x="1811"/>
        <item x="113"/>
        <item x="912"/>
        <item x="1676"/>
        <item x="1139"/>
        <item x="812"/>
        <item x="669"/>
        <item x="475"/>
        <item x="134"/>
        <item x="1908"/>
        <item x="1690"/>
        <item x="31"/>
        <item x="1546"/>
        <item x="314"/>
        <item x="1185"/>
        <item x="693"/>
        <item x="505"/>
        <item x="219"/>
        <item x="119"/>
        <item x="632"/>
        <item x="768"/>
        <item x="1213"/>
        <item x="1894"/>
        <item x="1599"/>
        <item x="375"/>
        <item x="391"/>
        <item x="1547"/>
        <item x="1"/>
        <item x="1539"/>
        <item x="614"/>
        <item x="582"/>
        <item x="945"/>
        <item x="1556"/>
        <item x="1394"/>
        <item x="780"/>
        <item x="1357"/>
        <item x="1381"/>
        <item x="660"/>
        <item x="1585"/>
        <item x="841"/>
        <item x="1707"/>
        <item x="1618"/>
        <item x="171"/>
        <item x="1447"/>
        <item x="1029"/>
        <item x="1625"/>
        <item x="280"/>
        <item x="1023"/>
        <item x="678"/>
        <item x="1186"/>
        <item x="1691"/>
        <item x="217"/>
        <item x="1598"/>
        <item x="393"/>
        <item x="1992"/>
        <item x="1933"/>
        <item x="1826"/>
        <item x="1632"/>
        <item x="1309"/>
        <item x="1402"/>
        <item x="79"/>
        <item x="1011"/>
        <item x="633"/>
        <item x="1675"/>
        <item x="154"/>
        <item x="843"/>
        <item x="1782"/>
        <item x="1939"/>
        <item x="1323"/>
        <item x="1422"/>
        <item x="547"/>
        <item x="1259"/>
        <item x="1329"/>
        <item x="1942"/>
        <item x="625"/>
        <item x="545"/>
        <item x="1429"/>
        <item x="1326"/>
        <item x="1252"/>
        <item x="1790"/>
        <item x="1961"/>
        <item x="638"/>
        <item x="1478"/>
        <item x="81"/>
        <item x="37"/>
        <item x="341"/>
        <item x="1461"/>
        <item x="917"/>
        <item x="1644"/>
        <item x="968"/>
        <item x="1798"/>
        <item x="759"/>
        <item x="1511"/>
        <item x="634"/>
        <item x="61"/>
        <item x="822"/>
        <item x="510"/>
        <item x="338"/>
        <item x="1232"/>
        <item x="1978"/>
        <item x="1923"/>
        <item x="781"/>
        <item x="1784"/>
        <item x="1486"/>
        <item x="764"/>
        <item x="1785"/>
        <item x="1593"/>
        <item x="1890"/>
        <item x="645"/>
        <item x="1436"/>
        <item x="1719"/>
        <item x="1167"/>
        <item x="242"/>
        <item x="1007"/>
        <item x="122"/>
        <item x="1055"/>
        <item x="1801"/>
        <item x="971"/>
        <item x="283"/>
        <item x="486"/>
        <item x="1945"/>
        <item x="1146"/>
        <item x="1570"/>
        <item x="274"/>
        <item x="307"/>
        <item x="91"/>
        <item x="796"/>
        <item x="1465"/>
        <item x="876"/>
        <item x="1032"/>
        <item x="1377"/>
        <item x="746"/>
        <item x="1968"/>
        <item x="551"/>
        <item x="1393"/>
        <item x="497"/>
        <item x="1731"/>
        <item x="927"/>
        <item x="44"/>
        <item x="46"/>
        <item x="372"/>
        <item x="425"/>
        <item x="798"/>
        <item x="1087"/>
        <item x="1354"/>
        <item x="216"/>
        <item x="1168"/>
        <item x="894"/>
        <item x="500"/>
        <item x="738"/>
        <item x="782"/>
        <item x="690"/>
        <item x="1187"/>
        <item x="30"/>
        <item x="891"/>
        <item x="1576"/>
        <item x="741"/>
        <item x="866"/>
        <item x="296"/>
        <item x="1215"/>
        <item x="88"/>
        <item x="1102"/>
        <item x="674"/>
        <item x="35"/>
        <item x="954"/>
        <item x="1730"/>
        <item x="1131"/>
        <item x="1479"/>
        <item x="1985"/>
        <item x="484"/>
        <item x="1519"/>
        <item x="5"/>
        <item x="80"/>
        <item x="542"/>
        <item x="701"/>
        <item x="1392"/>
        <item x="234"/>
        <item x="1620"/>
        <item x="1383"/>
        <item x="1275"/>
        <item x="811"/>
        <item x="440"/>
        <item x="1135"/>
        <item x="198"/>
        <item x="1972"/>
        <item x="1471"/>
        <item x="1348"/>
        <item x="1221"/>
        <item x="1165"/>
        <item x="1717"/>
        <item x="317"/>
        <item x="777"/>
        <item x="1358"/>
        <item x="294"/>
        <item x="1016"/>
        <item x="1428"/>
        <item x="1560"/>
        <item x="965"/>
        <item x="1015"/>
        <item x="62"/>
        <item x="1751"/>
        <item x="1524"/>
        <item x="1304"/>
        <item x="1573"/>
        <item x="1443"/>
        <item x="1897"/>
        <item x="1613"/>
        <item x="357"/>
        <item x="1495"/>
        <item x="1022"/>
        <item x="212"/>
        <item x="253"/>
        <item x="161"/>
        <item x="205"/>
        <item x="1448"/>
        <item x="1493"/>
        <item x="1816"/>
        <item x="163"/>
        <item x="537"/>
        <item x="787"/>
        <item x="1710"/>
        <item x="1490"/>
        <item x="1391"/>
        <item x="407"/>
        <item x="374"/>
        <item x="1956"/>
        <item x="732"/>
        <item x="1169"/>
        <item x="559"/>
        <item x="650"/>
        <item x="1708"/>
        <item x="141"/>
        <item x="1877"/>
        <item x="512"/>
        <item x="1626"/>
        <item x="725"/>
        <item x="795"/>
        <item x="1805"/>
        <item x="1601"/>
        <item x="85"/>
        <item x="1409"/>
        <item x="1812"/>
        <item x="1351"/>
        <item x="1079"/>
        <item x="797"/>
        <item x="1605"/>
        <item x="792"/>
        <item x="470"/>
        <item x="1180"/>
        <item x="1137"/>
        <item x="1036"/>
        <item x="756"/>
        <item x="322"/>
        <item x="48"/>
        <item x="871"/>
        <item x="265"/>
        <item x="903"/>
        <item x="284"/>
        <item x="730"/>
        <item x="463"/>
        <item x="1003"/>
        <item x="549"/>
        <item x="882"/>
        <item x="1499"/>
        <item x="496"/>
        <item x="845"/>
        <item x="1052"/>
        <item x="986"/>
        <item x="926"/>
        <item x="892"/>
        <item x="544"/>
        <item x="133"/>
        <item x="668"/>
        <item x="959"/>
        <item x="707"/>
        <item x="828"/>
        <item x="1538"/>
        <item x="529"/>
        <item x="1364"/>
        <item x="197"/>
        <item x="1134"/>
        <item x="1316"/>
        <item x="1861"/>
        <item x="1350"/>
        <item x="471"/>
        <item x="1901"/>
        <item x="183"/>
        <item x="610"/>
        <item x="987"/>
        <item x="1557"/>
        <item x="252"/>
        <item x="1346"/>
        <item x="918"/>
        <item x="878"/>
        <item x="72"/>
        <item x="1854"/>
        <item x="1014"/>
        <item x="820"/>
        <item x="1469"/>
        <item x="293"/>
        <item x="347"/>
        <item x="1980"/>
        <item x="637"/>
        <item x="321"/>
        <item x="648"/>
        <item x="1230"/>
        <item x="1361"/>
        <item x="441"/>
        <item x="213"/>
        <item x="1092"/>
        <item x="1761"/>
        <item x="956"/>
        <item x="189"/>
        <item x="1832"/>
        <item x="462"/>
        <item x="1726"/>
        <item x="1965"/>
        <item x="1766"/>
        <item x="1484"/>
        <item x="1741"/>
        <item x="1476"/>
        <item x="928"/>
        <item x="21"/>
        <item x="905"/>
        <item x="1201"/>
        <item x="238"/>
        <item x="1181"/>
        <item x="442"/>
        <item x="1649"/>
        <item x="1487"/>
        <item x="429"/>
        <item x="1372"/>
        <item x="1868"/>
        <item x="1039"/>
        <item x="275"/>
        <item x="1520"/>
        <item x="1778"/>
        <item x="1818"/>
        <item x="711"/>
        <item x="1086"/>
        <item x="481"/>
        <item x="1207"/>
        <item x="1523"/>
        <item x="398"/>
        <item x="1807"/>
        <item x="916"/>
        <item x="1320"/>
        <item x="1867"/>
        <item x="209"/>
        <item x="222"/>
        <item x="753"/>
        <item x="26"/>
        <item x="1037"/>
        <item x="993"/>
        <item x="366"/>
        <item x="1136"/>
        <item x="807"/>
        <item x="1688"/>
        <item x="13"/>
        <item x="573"/>
        <item x="1937"/>
        <item x="1687"/>
        <item x="772"/>
        <item x="704"/>
        <item x="922"/>
        <item x="291"/>
        <item x="1433"/>
        <item x="1572"/>
        <item x="915"/>
        <item x="361"/>
        <item x="624"/>
        <item x="1755"/>
        <item x="863"/>
        <item x="1880"/>
        <item x="1969"/>
        <item x="1333"/>
        <item x="712"/>
        <item x="763"/>
        <item x="148"/>
        <item x="1408"/>
        <item x="1387"/>
        <item x="147"/>
        <item x="1280"/>
        <item x="1236"/>
        <item x="93"/>
        <item x="164"/>
        <item x="445"/>
        <item x="499"/>
        <item x="1621"/>
        <item x="940"/>
        <item x="601"/>
        <item x="1764"/>
        <item x="408"/>
        <item x="1545"/>
        <item x="1101"/>
        <item x="388"/>
        <item x="745"/>
        <item x="802"/>
        <item x="1829"/>
        <item x="1981"/>
        <item x="363"/>
        <item x="696"/>
        <item x="1957"/>
        <item x="835"/>
        <item x="501"/>
        <item x="1925"/>
        <item x="1279"/>
        <item x="1651"/>
        <item x="1922"/>
        <item x="370"/>
        <item x="821"/>
        <item x="930"/>
        <item x="1580"/>
        <item x="1057"/>
        <item x="169"/>
        <item x="77"/>
        <item x="1488"/>
        <item x="1926"/>
        <item x="356"/>
        <item x="689"/>
        <item x="1462"/>
        <item x="649"/>
        <item x="1630"/>
        <item x="92"/>
        <item x="285"/>
        <item x="90"/>
        <item x="1642"/>
        <item x="292"/>
        <item x="618"/>
        <item x="353"/>
        <item x="1253"/>
        <item x="1935"/>
        <item x="1154"/>
        <item x="1977"/>
        <item x="914"/>
        <item x="729"/>
        <item x="477"/>
        <item x="259"/>
        <item x="503"/>
        <item x="1672"/>
        <item x="144"/>
        <item x="1336"/>
        <item x="138"/>
        <item x="1382"/>
        <item x="1911"/>
        <item x="1010"/>
        <item x="533"/>
        <item x="1986"/>
        <item x="1740"/>
        <item x="946"/>
        <item x="1515"/>
        <item x="1562"/>
        <item x="23"/>
        <item x="819"/>
        <item x="837"/>
        <item x="957"/>
        <item x="1947"/>
        <item x="1974"/>
        <item x="1124"/>
        <item x="1116"/>
        <item x="1405"/>
        <item x="1191"/>
        <item x="1931"/>
        <item x="526"/>
        <item x="1234"/>
        <item x="769"/>
        <item x="858"/>
        <item x="1498"/>
        <item x="825"/>
        <item x="734"/>
        <item x="1367"/>
        <item x="854"/>
        <item x="1424"/>
        <item x="1198"/>
        <item x="765"/>
        <item x="1096"/>
        <item x="480"/>
        <item x="405"/>
        <item x="663"/>
        <item x="1300"/>
        <item x="1095"/>
        <item x="1277"/>
        <item x="1385"/>
        <item x="1589"/>
        <item x="89"/>
        <item x="371"/>
        <item x="402"/>
        <item x="245"/>
        <item x="1043"/>
        <item x="1021"/>
        <item x="964"/>
        <item x="1757"/>
        <item x="1643"/>
        <item x="1855"/>
        <item x="1397"/>
        <item x="1481"/>
        <item x="864"/>
        <item x="1670"/>
        <item x="543"/>
        <item x="1156"/>
        <item x="514"/>
        <item x="771"/>
        <item x="49"/>
        <item x="1077"/>
        <item x="1325"/>
        <item x="1272"/>
        <item x="411"/>
        <item x="483"/>
        <item x="1881"/>
        <item x="1706"/>
        <item x="873"/>
        <item x="84"/>
        <item x="1150"/>
        <item x="214"/>
        <item x="1552"/>
        <item x="1631"/>
        <item x="880"/>
        <item x="1414"/>
        <item x="592"/>
        <item x="1791"/>
        <item x="1870"/>
        <item x="565"/>
        <item x="1847"/>
        <item x="662"/>
        <item x="1648"/>
        <item x="1004"/>
        <item x="129"/>
        <item x="1097"/>
        <item x="1527"/>
        <item x="703"/>
        <item x="1921"/>
        <item x="619"/>
        <item x="184"/>
        <item x="478"/>
        <item x="535"/>
        <item x="1161"/>
        <item x="1080"/>
        <item x="1872"/>
        <item x="199"/>
        <item x="617"/>
        <item x="100"/>
        <item x="1869"/>
        <item x="191"/>
        <item x="1126"/>
        <item x="1856"/>
        <item x="1639"/>
        <item x="518"/>
        <item x="330"/>
        <item x="1849"/>
        <item x="1786"/>
        <item x="902"/>
        <item x="461"/>
        <item x="247"/>
        <item x="1129"/>
        <item x="1009"/>
        <item x="495"/>
        <item x="1046"/>
        <item x="525"/>
        <item x="423"/>
        <item x="1044"/>
        <item x="1463"/>
        <item x="485"/>
        <item x="1912"/>
        <item x="1370"/>
        <item x="524"/>
        <item x="562"/>
        <item x="1420"/>
        <item x="1944"/>
        <item x="1235"/>
        <item x="210"/>
        <item x="424"/>
        <item x="962"/>
        <item x="767"/>
        <item x="906"/>
        <item x="1666"/>
        <item x="1373"/>
        <item x="1834"/>
        <item x="1669"/>
        <item x="1663"/>
        <item x="1114"/>
        <item x="896"/>
        <item x="105"/>
        <item x="1284"/>
        <item x="691"/>
        <item x="1927"/>
        <item x="1251"/>
        <item x="96"/>
        <item x="1617"/>
        <item x="1678"/>
        <item x="706"/>
        <item x="1716"/>
        <item x="125"/>
        <item x="1907"/>
        <item x="572"/>
        <item x="1173"/>
        <item x="406"/>
        <item x="1438"/>
        <item x="1082"/>
        <item x="452"/>
        <item x="464"/>
        <item x="1987"/>
        <item x="816"/>
        <item x="513"/>
        <item x="1797"/>
        <item x="176"/>
        <item x="1491"/>
        <item x="1027"/>
        <item x="1240"/>
        <item x="1483"/>
        <item x="448"/>
        <item x="430"/>
        <item x="1753"/>
        <item x="1314"/>
        <item x="836"/>
        <item x="907"/>
        <item x="1222"/>
        <item x="273"/>
        <item x="1122"/>
        <item x="783"/>
        <item x="608"/>
        <item x="1238"/>
        <item x="1787"/>
        <item x="541"/>
        <item x="468"/>
        <item x="1219"/>
        <item x="1909"/>
        <item x="1399"/>
        <item x="1266"/>
        <item x="636"/>
        <item x="201"/>
        <item x="1627"/>
        <item x="791"/>
        <item x="1554"/>
        <item x="651"/>
        <item x="195"/>
        <item x="1882"/>
        <item x="1752"/>
        <item x="1298"/>
        <item x="131"/>
        <item x="8"/>
        <item x="1647"/>
        <item x="53"/>
        <item x="702"/>
        <item x="898"/>
        <item x="29"/>
        <item x="16"/>
        <item x="1905"/>
        <item x="990"/>
        <item x="1609"/>
        <item x="1991"/>
        <item x="1093"/>
        <item x="344"/>
        <item x="1406"/>
        <item x="1065"/>
        <item x="1121"/>
        <item x="1662"/>
        <item x="856"/>
        <item x="1951"/>
        <item x="784"/>
        <item x="1541"/>
        <item x="1474"/>
        <item x="1505"/>
        <item x="494"/>
        <item x="1485"/>
        <item x="1963"/>
        <item x="1853"/>
        <item x="679"/>
        <item x="3"/>
        <item x="511"/>
        <item x="241"/>
        <item x="1623"/>
        <item x="1123"/>
        <item x="1671"/>
        <item x="762"/>
        <item x="1270"/>
        <item x="417"/>
        <item x="975"/>
        <item x="323"/>
        <item x="267"/>
        <item x="1503"/>
        <item x="850"/>
        <item x="1109"/>
        <item x="130"/>
        <item x="102"/>
        <item x="1152"/>
        <item x="673"/>
        <item x="235"/>
        <item x="1641"/>
        <item x="1793"/>
        <item x="1204"/>
        <item x="215"/>
        <item x="1845"/>
        <item x="140"/>
        <item x="1910"/>
        <item x="110"/>
        <item x="1582"/>
        <item x="586"/>
        <item x="1019"/>
        <item x="842"/>
        <item x="378"/>
        <item x="1769"/>
        <item x="628"/>
        <item x="1040"/>
        <item x="1578"/>
        <item x="1943"/>
        <item x="534"/>
        <item x="1099"/>
        <item x="808"/>
        <item x="571"/>
        <item x="493"/>
        <item x="1100"/>
        <item x="1615"/>
        <item x="833"/>
        <item x="1104"/>
        <item x="687"/>
        <item x="1622"/>
        <item x="1902"/>
        <item x="1693"/>
        <item x="909"/>
        <item x="1896"/>
        <item x="868"/>
        <item x="737"/>
        <item x="653"/>
        <item x="1967"/>
        <item x="67"/>
        <item x="560"/>
        <item x="233"/>
        <item x="1795"/>
        <item x="885"/>
        <item x="1736"/>
        <item x="1512"/>
        <item x="1506"/>
        <item x="377"/>
        <item x="59"/>
        <item x="126"/>
        <item x="1388"/>
        <item x="168"/>
        <item x="813"/>
        <item x="123"/>
        <item x="17"/>
        <item x="1269"/>
        <item x="1038"/>
        <item x="997"/>
        <item x="186"/>
        <item x="1281"/>
        <item x="579"/>
        <item x="641"/>
        <item x="1709"/>
        <item x="743"/>
        <item x="1143"/>
        <item x="700"/>
        <item x="1073"/>
        <item x="1363"/>
        <item x="1306"/>
        <item x="1449"/>
        <item x="41"/>
        <item x="804"/>
        <item x="1661"/>
        <item x="1982"/>
        <item x="570"/>
        <item x="1192"/>
        <item x="698"/>
        <item x="1308"/>
        <item x="1775"/>
        <item x="179"/>
        <item x="1844"/>
        <item x="1913"/>
        <item x="603"/>
        <item x="438"/>
        <item x="688"/>
        <item x="446"/>
        <item x="1948"/>
        <item x="972"/>
        <item x="1283"/>
        <item x="852"/>
        <item x="540"/>
        <item x="1130"/>
        <item x="1718"/>
        <item x="1959"/>
        <item x="145"/>
        <item x="369"/>
        <item x="101"/>
        <item x="1188"/>
        <item x="853"/>
        <item x="1952"/>
        <item x="1006"/>
        <item x="449"/>
        <item x="325"/>
        <item x="1208"/>
        <item x="192"/>
        <item x="392"/>
        <item x="1378"/>
        <item x="315"/>
        <item x="557"/>
        <item x="187"/>
        <item x="1841"/>
        <item x="1113"/>
        <item x="395"/>
        <item x="1929"/>
        <item x="597"/>
        <item x="162"/>
        <item x="826"/>
        <item x="723"/>
        <item x="73"/>
        <item x="546"/>
        <item x="1472"/>
        <item x="1883"/>
        <item x="18"/>
        <item x="55"/>
        <item x="1365"/>
        <item x="575"/>
        <item x="757"/>
        <item x="548"/>
        <item x="349"/>
        <item x="1403"/>
        <item x="1815"/>
        <item x="872"/>
        <item x="109"/>
        <item x="567"/>
        <item x="1220"/>
        <item x="754"/>
        <item x="1564"/>
        <item x="507"/>
        <item x="1128"/>
        <item x="487"/>
        <item x="94"/>
        <item x="278"/>
        <item x="950"/>
        <item x="428"/>
        <item x="11"/>
        <item x=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    <item x="626"/>
        <item x="1534"/>
        <item x="1263"/>
        <item x="1376"/>
        <item x="173"/>
        <item x="1899"/>
        <item x="203"/>
        <item x="1762"/>
        <item x="1777"/>
        <item x="332"/>
        <item x="1400"/>
        <item x="1760"/>
        <item x="39"/>
        <item x="82"/>
        <item x="683"/>
        <item x="793"/>
        <item x="1917"/>
        <item x="1233"/>
        <item x="1817"/>
        <item x="1067"/>
        <item x="1084"/>
        <item x="1432"/>
        <item x="801"/>
        <item x="1371"/>
        <item x="326"/>
        <item x="1695"/>
        <item x="1521"/>
        <item x="1434"/>
        <item x="1267"/>
        <item x="334"/>
        <item x="1577"/>
        <item x="1874"/>
        <item x="1941"/>
        <item x="1525"/>
        <item x="1765"/>
        <item x="509"/>
        <item x="620"/>
        <item x="838"/>
        <item x="1175"/>
        <item x="779"/>
        <item x="1362"/>
        <item x="1282"/>
        <item x="160"/>
        <item x="472"/>
        <item x="1243"/>
        <item x="32"/>
        <item x="1401"/>
        <item x="1356"/>
        <item x="1936"/>
        <item x="456"/>
        <item x="1492"/>
        <item x="1551"/>
        <item x="1197"/>
        <item x="713"/>
        <item x="1600"/>
        <item x="1976"/>
        <item x="1344"/>
        <item x="656"/>
        <item x="237"/>
        <item x="1110"/>
        <item x="1543"/>
        <item x="276"/>
        <item x="121"/>
        <item x="576"/>
        <item x="1792"/>
        <item x="220"/>
        <item x="879"/>
        <item x="1081"/>
        <item x="1060"/>
        <item x="1412"/>
        <item x="1209"/>
        <item x="381"/>
        <item x="742"/>
        <item x="849"/>
        <item x="1301"/>
        <item x="1858"/>
        <item x="1892"/>
        <item x="345"/>
        <item x="1822"/>
        <item x="778"/>
        <item x="1940"/>
        <item x="1418"/>
        <item x="1555"/>
        <item x="1652"/>
        <item x="190"/>
        <item x="867"/>
        <item x="71"/>
        <item x="697"/>
        <item x="1930"/>
        <item x="755"/>
        <item x="749"/>
        <item x="859"/>
        <item x="652"/>
        <item x="230"/>
        <item x="1955"/>
        <item x="1563"/>
        <item x="1561"/>
        <item x="556"/>
        <item x="622"/>
        <item x="257"/>
        <item x="1595"/>
        <item x="57"/>
        <item x="1223"/>
        <item x="1759"/>
        <item x="333"/>
        <item x="7"/>
        <item x="1994"/>
        <item x="76"/>
        <item x="1914"/>
        <item x="1781"/>
        <item x="339"/>
        <item x="870"/>
        <item x="985"/>
        <item x="1140"/>
        <item x="1033"/>
        <item x="1715"/>
        <item x="342"/>
        <item x="887"/>
        <item x="943"/>
        <item x="1727"/>
        <item x="1242"/>
        <item x="1138"/>
        <item x="1423"/>
        <item x="815"/>
        <item x="1299"/>
        <item x="886"/>
        <item x="1170"/>
        <item x="818"/>
        <item x="410"/>
        <item x="1380"/>
        <item x="1120"/>
        <item x="1536"/>
        <item x="694"/>
        <item x="761"/>
        <item x="1820"/>
        <item x="243"/>
        <item x="1750"/>
        <item x="805"/>
        <item x="890"/>
        <item x="1063"/>
        <item x="1653"/>
        <item x="1480"/>
        <item x="1053"/>
        <item x="297"/>
        <item x="175"/>
        <item x="566"/>
        <item x="834"/>
        <item x="539"/>
        <item x="384"/>
        <item x="150"/>
        <item x="1089"/>
        <item x="1900"/>
        <item x="881"/>
        <item x="185"/>
        <item x="1318"/>
        <item x="1178"/>
        <item x="33"/>
        <item x="117"/>
        <item x="1704"/>
        <item x="1789"/>
        <item x="994"/>
        <item x="1054"/>
        <item x="64"/>
        <item x="1352"/>
        <item x="491"/>
        <item x="1783"/>
        <item x="309"/>
        <item x="1722"/>
        <item x="432"/>
        <item x="1158"/>
        <item x="602"/>
        <item x="128"/>
        <item x="206"/>
        <item x="1442"/>
        <item x="1227"/>
        <item x="803"/>
        <item x="114"/>
        <item x="1345"/>
        <item x="951"/>
        <item x="893"/>
        <item x="399"/>
        <item x="991"/>
        <item x="459"/>
        <item x="639"/>
        <item x="519"/>
        <item x="373"/>
        <item x="1384"/>
        <item x="568"/>
        <item x="857"/>
        <item x="409"/>
        <item x="949"/>
        <item x="814"/>
        <item x="911"/>
        <item x="248"/>
        <item x="1535"/>
        <item x="1083"/>
        <item x="1289"/>
        <item x="1042"/>
        <item x="482"/>
        <item x="931"/>
        <item x="458"/>
        <item x="1034"/>
        <item x="412"/>
        <item x="1714"/>
        <item x="1584"/>
        <item x="231"/>
        <item x="1522"/>
        <item x="1464"/>
        <item x="1088"/>
        <item x="149"/>
        <item x="52"/>
        <item x="268"/>
        <item x="223"/>
        <item x="414"/>
        <item x="616"/>
        <item x="1025"/>
        <item x="1247"/>
        <item x="1256"/>
        <item x="1746"/>
        <item x="574"/>
        <item x="1276"/>
        <item x="455"/>
        <item x="1604"/>
        <item x="832"/>
        <item x="419"/>
        <item x="421"/>
        <item x="1628"/>
        <item x="1721"/>
        <item x="1863"/>
        <item x="6"/>
        <item x="789"/>
        <item x="621"/>
        <item x="308"/>
        <item x="966"/>
        <item x="996"/>
        <item x="1407"/>
        <item x="692"/>
        <item x="809"/>
        <item x="773"/>
        <item x="1171"/>
        <item x="14"/>
        <item x="790"/>
        <item x="1292"/>
        <item x="457"/>
        <item x="1906"/>
        <item x="99"/>
        <item x="561"/>
        <item x="554"/>
        <item x="1747"/>
        <item x="1293"/>
        <item x="1636"/>
        <item x="202"/>
        <item x="1891"/>
        <item x="1059"/>
        <item x="861"/>
        <item x="1286"/>
        <item x="288"/>
        <item x="255"/>
        <item x="1458"/>
        <item x="224"/>
        <item x="1427"/>
        <item x="599"/>
        <item x="1814"/>
        <item x="655"/>
        <item x="953"/>
        <item x="1634"/>
        <item x="1018"/>
        <item x="1245"/>
        <item x="437"/>
        <item x="695"/>
        <item x="106"/>
        <item x="172"/>
        <item x="350"/>
        <item x="585"/>
        <item x="262"/>
        <item x="823"/>
        <item x="942"/>
        <item x="553"/>
        <item x="1650"/>
        <item x="56"/>
        <item x="306"/>
        <item x="1058"/>
        <item x="751"/>
        <item x="416"/>
        <item x="36"/>
        <item x="1451"/>
        <item x="1796"/>
        <item x="1971"/>
        <item x="167"/>
        <item x="1145"/>
        <item x="1091"/>
        <item x="111"/>
        <item x="1920"/>
        <item x="1437"/>
        <item x="346"/>
        <item x="1657"/>
        <item x="228"/>
        <item x="904"/>
        <item x="431"/>
        <item x="1176"/>
        <item x="1296"/>
        <item x="982"/>
        <item x="1852"/>
        <item x="1916"/>
        <item x="958"/>
        <item x="54"/>
        <item x="65"/>
        <item x="1835"/>
        <item x="328"/>
        <item x="1683"/>
        <item x="1517"/>
        <item x="1076"/>
        <item x="43"/>
        <item x="1729"/>
        <item x="630"/>
        <item x="135"/>
        <item x="302"/>
        <item x="1518"/>
        <item x="1559"/>
        <item x="1659"/>
        <item x="1597"/>
        <item x="1334"/>
        <item x="15"/>
        <item x="1179"/>
        <item x="1206"/>
        <item x="120"/>
        <item x="9"/>
        <item x="1467"/>
        <item x="299"/>
        <item x="34"/>
        <item x="1658"/>
        <item x="846"/>
        <item x="40"/>
        <item x="1839"/>
        <item x="1249"/>
        <item x="1196"/>
        <item x="146"/>
        <item x="1581"/>
        <item x="254"/>
        <item x="1975"/>
        <item x="104"/>
        <item x="1421"/>
        <item x="1800"/>
        <item x="434"/>
        <item x="658"/>
        <item x="684"/>
        <item x="1629"/>
        <item x="1737"/>
        <item x="1728"/>
        <item x="1843"/>
        <item x="153"/>
        <item x="1214"/>
        <item x="1017"/>
        <item x="877"/>
        <item x="1072"/>
        <item x="920"/>
        <item x="1295"/>
        <item x="1335"/>
        <item x="1825"/>
        <item x="249"/>
        <item x="1607"/>
        <item x="1205"/>
        <item x="1574"/>
        <item x="1216"/>
        <item x="1616"/>
        <item x="682"/>
        <item x="355"/>
        <item x="143"/>
        <item x="78"/>
        <item x="569"/>
        <item x="1803"/>
        <item x="1439"/>
        <item x="1218"/>
        <item x="320"/>
        <item x="685"/>
        <item x="263"/>
        <item x="244"/>
        <item x="1262"/>
        <item x="1332"/>
        <item x="717"/>
        <item x="1875"/>
        <item x="1774"/>
        <item x="999"/>
        <item x="1379"/>
        <item x="453"/>
        <item x="1608"/>
        <item x="1160"/>
        <item x="785"/>
        <item x="42"/>
        <item x="272"/>
        <item x="1473"/>
        <item x="303"/>
        <item x="1566"/>
        <item x="1342"/>
        <item x="1696"/>
        <item x="156"/>
        <item x="978"/>
        <item x="1530"/>
        <item x="1468"/>
        <item x="270"/>
        <item x="1964"/>
        <item x="631"/>
        <item x="1633"/>
        <item x="277"/>
        <item x="899"/>
        <item x="913"/>
        <item x="188"/>
        <item x="983"/>
        <item x="1763"/>
        <item x="362"/>
        <item x="591"/>
        <item x="1508"/>
        <item x="527"/>
        <item x="1075"/>
        <item x="1682"/>
        <item x="236"/>
        <item x="1738"/>
        <item x="1754"/>
        <item x="1319"/>
        <item x="447"/>
        <item x="710"/>
        <item x="980"/>
        <item x="1312"/>
        <item x="1111"/>
        <item x="1590"/>
        <item x="1949"/>
        <item x="1108"/>
        <item x="1454"/>
        <item x="1228"/>
        <item x="1514"/>
        <item x="1051"/>
        <item x="98"/>
        <item x="479"/>
        <item x="800"/>
        <item x="967"/>
        <item x="379"/>
        <item x="1190"/>
        <item x="492"/>
        <item x="1773"/>
        <item x="992"/>
        <item x="609"/>
        <item x="1496"/>
        <item x="1809"/>
        <item x="1667"/>
        <item x="1163"/>
        <item x="1504"/>
        <item x="1117"/>
        <item x="394"/>
        <item x="389"/>
        <item x="1395"/>
        <item x="1838"/>
        <item x="1005"/>
        <item x="680"/>
        <item x="699"/>
        <item x="1200"/>
        <item x="718"/>
        <item x="466"/>
        <item x="932"/>
        <item x="142"/>
        <item x="1182"/>
        <item x="352"/>
        <item x="1571"/>
        <item x="1307"/>
        <item x="1452"/>
        <item x="1310"/>
        <item x="1950"/>
        <item x="806"/>
        <item x="1313"/>
        <item x="1673"/>
        <item x="736"/>
        <item x="969"/>
        <item x="1526"/>
        <item x="1699"/>
        <item x="933"/>
        <item x="290"/>
        <item x="1802"/>
        <item x="489"/>
        <item x="577"/>
        <item x="952"/>
        <item x="1064"/>
        <item x="888"/>
        <item x="1031"/>
        <item x="1229"/>
        <item x="1776"/>
        <item x="1594"/>
        <item x="474"/>
        <item x="227"/>
        <item x="672"/>
        <item x="1684"/>
        <item x="855"/>
        <item x="1735"/>
        <item x="1404"/>
        <item x="977"/>
        <item x="1441"/>
        <item x="520"/>
        <item x="581"/>
        <item x="211"/>
        <item x="720"/>
        <item x="1413"/>
        <item x="1857"/>
        <item x="1338"/>
        <item x="19"/>
        <item x="1973"/>
        <item x="1611"/>
        <item x="1035"/>
        <item x="1288"/>
        <item x="555"/>
        <item x="839"/>
        <item x="1426"/>
        <item x="282"/>
        <item x="1494"/>
        <item x="830"/>
        <item x="598"/>
        <item x="107"/>
        <item x="1061"/>
        <item x="831"/>
        <item x="1322"/>
        <item x="1697"/>
        <item x="657"/>
        <item x="1199"/>
        <item x="165"/>
        <item x="151"/>
        <item x="1824"/>
        <item x="358"/>
        <item x="1810"/>
        <item x="1836"/>
        <item x="1085"/>
        <item x="659"/>
        <item x="981"/>
        <item x="558"/>
        <item x="976"/>
        <item x="1340"/>
        <item x="204"/>
        <item x="1224"/>
        <item x="563"/>
        <item x="686"/>
        <item x="1294"/>
        <item x="324"/>
        <item x="1041"/>
        <item x="1772"/>
        <item x="1654"/>
        <item x="240"/>
        <item x="1268"/>
        <item x="1419"/>
        <item x="1155"/>
        <item x="1516"/>
        <item x="4"/>
        <item x="1396"/>
        <item x="69"/>
        <item x="200"/>
        <item x="97"/>
        <item x="1823"/>
        <item x="1586"/>
        <item x="1202"/>
        <item x="1231"/>
        <item x="1500"/>
        <item x="1934"/>
        <item x="948"/>
        <item x="1450"/>
        <item x="1919"/>
        <item x="1989"/>
        <item x="1619"/>
        <item x="1341"/>
        <item x="786"/>
        <item x="450"/>
        <item x="883"/>
        <item x="590"/>
        <item x="1954"/>
        <item x="1431"/>
        <item x="1705"/>
        <item x="1456"/>
        <item x="229"/>
        <item x="1489"/>
        <item x="250"/>
        <item x="359"/>
        <item x="1848"/>
        <item x="961"/>
        <item x="1744"/>
        <item x="1932"/>
        <item x="947"/>
        <item x="1603"/>
        <item x="226"/>
        <item x="404"/>
        <item x="521"/>
        <item x="304"/>
        <item x="538"/>
        <item x="1871"/>
        <item x="1360"/>
        <item x="1895"/>
        <item x="1254"/>
        <item x="844"/>
        <item x="1000"/>
        <item x="1144"/>
        <item x="343"/>
        <item x="851"/>
        <item x="973"/>
        <item x="1444"/>
        <item x="748"/>
        <item x="1142"/>
        <item x="301"/>
        <item x="380"/>
        <item x="716"/>
        <item x="1074"/>
        <item x="286"/>
        <item x="1106"/>
        <item x="1698"/>
        <item x="1587"/>
        <item x="454"/>
        <item x="661"/>
        <item x="766"/>
        <item x="469"/>
        <item x="260"/>
        <item x="108"/>
        <item x="27"/>
        <item x="1827"/>
        <item x="1149"/>
        <item x="1780"/>
        <item x="1767"/>
        <item x="963"/>
        <item x="1119"/>
        <item x="1457"/>
        <item x="739"/>
        <item x="1888"/>
        <item x="1918"/>
        <item x="305"/>
        <item x="1107"/>
        <item x="606"/>
        <item x="1679"/>
        <item x="1542"/>
        <item x="1885"/>
        <item x="295"/>
        <item x="1425"/>
        <item x="564"/>
        <item x="1411"/>
        <item x="1321"/>
        <item x="1133"/>
        <item x="1343"/>
        <item x="1808"/>
        <item x="1090"/>
        <item x="504"/>
        <item x="1193"/>
        <item x="794"/>
        <item x="774"/>
        <item x="386"/>
        <item x="1390"/>
        <item x="1127"/>
        <item x="136"/>
        <item x="1733"/>
        <item x="178"/>
        <item x="1612"/>
        <item x="770"/>
        <item x="642"/>
        <item x="264"/>
        <item x="1743"/>
        <item x="218"/>
        <item x="1592"/>
        <item x="1540"/>
        <item x="1217"/>
        <item x="1398"/>
        <item x="1851"/>
        <item x="12"/>
        <item x="1799"/>
        <item x="552"/>
        <item x="646"/>
        <item x="979"/>
        <item x="1533"/>
        <item x="401"/>
        <item x="221"/>
        <item x="817"/>
        <item x="1177"/>
        <item x="1993"/>
        <item x="351"/>
        <item x="613"/>
        <item x="1938"/>
        <item x="1575"/>
        <item x="1327"/>
        <item x="1353"/>
        <item x="589"/>
        <item x="1255"/>
        <item x="1703"/>
        <item x="336"/>
        <item x="1302"/>
        <item x="86"/>
        <item x="1056"/>
        <item x="1749"/>
        <item x="1979"/>
        <item x="1681"/>
        <item x="360"/>
        <item x="1068"/>
        <item x="936"/>
        <item x="860"/>
        <item x="1285"/>
        <item x="708"/>
        <item x="1001"/>
        <item x="776"/>
        <item x="671"/>
        <item x="1602"/>
        <item x="666"/>
        <item x="960"/>
        <item x="1723"/>
        <item x="1261"/>
        <item x="196"/>
        <item x="612"/>
        <item x="937"/>
        <item x="1147"/>
        <item x="1369"/>
        <item x="865"/>
        <item x="376"/>
        <item x="1069"/>
        <item x="607"/>
        <item x="225"/>
        <item x="1477"/>
        <item x="1368"/>
        <item x="75"/>
        <item x="460"/>
        <item x="664"/>
        <item x="1470"/>
        <item x="939"/>
        <item x="1567"/>
        <item x="1184"/>
        <item x="615"/>
        <item x="1924"/>
        <item x="1720"/>
        <item x="1866"/>
        <item x="1317"/>
        <item x="367"/>
        <item x="1995"/>
        <item x="112"/>
        <item x="127"/>
        <item x="640"/>
        <item x="166"/>
        <item x="550"/>
        <item x="1748"/>
        <item x="935"/>
        <item x="180"/>
        <item x="139"/>
        <item x="1842"/>
        <item x="1946"/>
        <item x="989"/>
        <item x="194"/>
        <item x="1050"/>
        <item x="1645"/>
        <item x="1702"/>
        <item x="87"/>
        <item x="709"/>
        <item x="1115"/>
        <item x="731"/>
        <item x="925"/>
        <item x="418"/>
        <item x="531"/>
        <item x="604"/>
        <item x="1349"/>
        <item x="1893"/>
        <item x="760"/>
        <item x="1887"/>
        <item x="397"/>
        <item x="316"/>
        <item x="58"/>
        <item x="22"/>
        <item x="38"/>
        <item x="1656"/>
        <item x="1990"/>
        <item x="20"/>
        <item x="1846"/>
        <item x="1903"/>
        <item x="311"/>
        <item x="182"/>
        <item x="1686"/>
        <item x="396"/>
        <item x="1271"/>
        <item x="611"/>
        <item x="1711"/>
        <item x="279"/>
        <item x="269"/>
        <item x="436"/>
        <item x="340"/>
        <item x="1953"/>
        <item x="1194"/>
        <item x="840"/>
        <item x="1983"/>
        <item x="788"/>
        <item x="443"/>
        <item x="1070"/>
        <item x="1274"/>
        <item x="174"/>
        <item x="623"/>
        <item x="705"/>
        <item x="733"/>
        <item x="435"/>
        <item x="1453"/>
        <item x="1028"/>
        <item x="875"/>
        <item x="1339"/>
        <item x="287"/>
        <item x="862"/>
        <item x="116"/>
        <item x="387"/>
        <item x="266"/>
        <item x="824"/>
        <item x="1569"/>
        <item x="1531"/>
        <item x="1665"/>
        <item x="1265"/>
        <item x="232"/>
        <item x="1635"/>
        <item x="1510"/>
        <item x="1258"/>
        <item x="724"/>
        <item x="1337"/>
        <item x="66"/>
        <item x="1273"/>
        <item x="530"/>
        <item x="532"/>
        <item x="1794"/>
        <item x="1568"/>
        <item x="1732"/>
        <item x="995"/>
        <item x="1813"/>
        <item x="1638"/>
        <item x="517"/>
        <item x="451"/>
        <item x="1860"/>
        <item x="1960"/>
        <item x="1821"/>
        <item x="1048"/>
        <item x="1865"/>
        <item x="1864"/>
        <item x="536"/>
        <item x="1756"/>
        <item x="675"/>
        <item x="744"/>
        <item x="1904"/>
        <item x="403"/>
        <item x="261"/>
        <item x="25"/>
        <item x="970"/>
        <item x="523"/>
        <item x="1878"/>
        <item x="1830"/>
        <item x="1725"/>
        <item x="1330"/>
        <item x="810"/>
        <item x="1148"/>
        <item x="752"/>
        <item x="596"/>
        <item x="1550"/>
        <item x="439"/>
        <item x="984"/>
        <item x="848"/>
        <item x="1210"/>
        <item x="1359"/>
        <item x="300"/>
        <item x="1446"/>
        <item x="595"/>
        <item x="1440"/>
        <item x="426"/>
        <item x="1347"/>
        <item x="1475"/>
        <item x="714"/>
        <item x="2"/>
        <item x="587"/>
        <item x="1482"/>
        <item x="1103"/>
        <item x="1771"/>
        <item x="488"/>
        <item x="910"/>
        <item x="103"/>
        <item x="427"/>
        <item x="1012"/>
        <item x="1237"/>
        <item x="115"/>
        <item x="208"/>
        <item x="1529"/>
        <item x="1172"/>
        <item x="467"/>
        <item x="1537"/>
        <item x="1246"/>
        <item x="476"/>
        <item x="1668"/>
        <item x="132"/>
        <item x="1315"/>
        <item x="593"/>
        <item x="924"/>
        <item x="385"/>
        <item x="1416"/>
        <item x="580"/>
        <item x="627"/>
        <item x="335"/>
        <item x="1862"/>
        <item x="944"/>
        <item x="1455"/>
        <item x="251"/>
        <item x="1203"/>
        <item x="1689"/>
        <item x="155"/>
        <item x="654"/>
        <item x="1375"/>
        <item x="390"/>
        <item x="1002"/>
        <item x="155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9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Sum of Total_Amount" fld="17" baseField="0" baseItem="0"/>
  </dataFields>
  <formats count="13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3" type="button" dataOnly="0" labelOnly="1" outline="0" axis="axisRow" fieldPosition="0"/>
    </format>
    <format dxfId="34">
      <pivotArea dataOnly="0" labelOnly="1" fieldPosition="0">
        <references count="1">
          <reference field="1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9" count="0"/>
          <reference field="13" count="1" selected="0">
            <x v="0"/>
          </reference>
        </references>
      </pivotArea>
    </format>
    <format dxfId="31">
      <pivotArea dataOnly="0" labelOnly="1" fieldPosition="0">
        <references count="2">
          <reference field="9" count="0"/>
          <reference field="13" count="1" selected="0">
            <x v="1"/>
          </reference>
        </references>
      </pivotArea>
    </format>
    <format dxfId="30">
      <pivotArea dataOnly="0" labelOnly="1" fieldPosition="0">
        <references count="2">
          <reference field="9" count="0"/>
          <reference field="13" count="1" selected="0">
            <x v="2"/>
          </reference>
        </references>
      </pivotArea>
    </format>
    <format dxfId="29">
      <pivotArea dataOnly="0" labelOnly="1" fieldPosition="0">
        <references count="2">
          <reference field="9" count="0"/>
          <reference field="13" count="1" selected="0">
            <x v="3"/>
          </reference>
        </references>
      </pivotArea>
    </format>
    <format dxfId="28">
      <pivotArea dataOnly="0" labelOnly="1" fieldPosition="0">
        <references count="2">
          <reference field="9" count="0"/>
          <reference field="13" count="1" selected="0">
            <x v="4"/>
          </reference>
        </references>
      </pivotArea>
    </format>
    <format dxfId="27">
      <pivotArea dataOnly="0" labelOnly="1" outline="0" axis="axisValues" fieldPosition="0"/>
    </format>
    <format dxfId="26">
      <pivotArea field="13" type="button" dataOnly="0" labelOnly="1" outline="0" axis="axisRow" fieldPosition="0"/>
    </format>
    <format dxfId="2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9" cacheId="1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3">
  <location ref="A3:B9" firstHeaderRow="1" firstDataRow="1" firstDataCol="1" rowPageCount="1" colPageCount="1"/>
  <pivotFields count="21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6" showAll="0"/>
    <pivotField numFmtId="2" showAll="0">
      <items count="37">
        <item x="33"/>
        <item x="10"/>
        <item x="31"/>
        <item x="15"/>
        <item x="13"/>
        <item x="28"/>
        <item x="22"/>
        <item x="8"/>
        <item x="16"/>
        <item x="0"/>
        <item x="30"/>
        <item x="32"/>
        <item x="27"/>
        <item x="21"/>
        <item x="17"/>
        <item x="26"/>
        <item x="18"/>
        <item x="19"/>
        <item x="35"/>
        <item x="20"/>
        <item x="6"/>
        <item x="3"/>
        <item x="9"/>
        <item x="4"/>
        <item x="5"/>
        <item x="29"/>
        <item x="34"/>
        <item x="14"/>
        <item x="7"/>
        <item x="24"/>
        <item x="2"/>
        <item x="25"/>
        <item x="1"/>
        <item x="23"/>
        <item x="12"/>
        <item x="1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Page"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5" showAll="0">
      <items count="1998">
        <item x="1674"/>
        <item x="1739"/>
        <item x="923"/>
        <item x="829"/>
        <item x="473"/>
        <item x="722"/>
        <item x="1030"/>
        <item x="584"/>
        <item x="827"/>
        <item x="895"/>
        <item x="1226"/>
        <item x="1291"/>
        <item x="1153"/>
        <item x="1211"/>
        <item x="1819"/>
        <item x="884"/>
        <item x="400"/>
        <item x="1549"/>
        <item x="1366"/>
        <item x="1850"/>
        <item x="1828"/>
        <item x="1898"/>
        <item x="1962"/>
        <item x="1331"/>
        <item x="1374"/>
        <item x="528"/>
        <item x="1915"/>
        <item x="605"/>
        <item x="1745"/>
        <item x="1660"/>
        <item x="1614"/>
        <item x="919"/>
        <item x="506"/>
        <item x="578"/>
        <item x="988"/>
        <item x="1071"/>
        <item x="1692"/>
        <item x="1970"/>
        <item x="955"/>
        <item x="1290"/>
        <item x="594"/>
        <item x="1876"/>
        <item x="1026"/>
        <item x="1162"/>
        <item x="677"/>
        <item x="1685"/>
        <item x="331"/>
        <item x="177"/>
        <item x="665"/>
        <item x="157"/>
        <item x="1118"/>
        <item x="465"/>
        <item x="681"/>
        <item x="1466"/>
        <item x="1257"/>
        <item x="522"/>
        <item x="726"/>
        <item x="1183"/>
        <item x="413"/>
        <item x="124"/>
        <item x="1734"/>
        <item x="313"/>
        <item x="998"/>
        <item x="1637"/>
        <item x="1164"/>
        <item x="1966"/>
        <item x="629"/>
        <item x="1445"/>
        <item x="799"/>
        <item x="1565"/>
        <item x="1889"/>
        <item x="1125"/>
        <item x="329"/>
        <item x="1248"/>
        <item x="1094"/>
        <item x="1591"/>
        <item x="1386"/>
        <item x="750"/>
        <item x="727"/>
        <item x="415"/>
        <item x="1415"/>
        <item x="1770"/>
        <item x="897"/>
        <item x="382"/>
        <item x="1305"/>
        <item x="600"/>
        <item x="1664"/>
        <item x="1984"/>
        <item x="1459"/>
        <item x="1758"/>
        <item x="1712"/>
        <item x="158"/>
        <item x="1460"/>
        <item x="1596"/>
        <item x="974"/>
        <item x="337"/>
        <item x="635"/>
        <item x="1879"/>
        <item x="747"/>
        <item x="1859"/>
        <item x="207"/>
        <item x="921"/>
        <item x="1324"/>
        <item x="433"/>
        <item x="934"/>
        <item x="1804"/>
        <item x="1141"/>
        <item x="1558"/>
        <item x="47"/>
        <item x="1713"/>
        <item x="1513"/>
        <item x="95"/>
        <item x="83"/>
        <item x="869"/>
        <item x="1840"/>
        <item x="1583"/>
        <item x="383"/>
        <item x="1806"/>
        <item x="901"/>
        <item x="256"/>
        <item x="1047"/>
        <item x="516"/>
        <item x="1724"/>
        <item x="1742"/>
        <item x="1303"/>
        <item x="1062"/>
        <item x="1244"/>
        <item x="28"/>
        <item x="420"/>
        <item x="1544"/>
        <item x="1049"/>
        <item x="170"/>
        <item x="1886"/>
        <item x="1701"/>
        <item x="1680"/>
        <item x="583"/>
        <item x="1788"/>
        <item x="181"/>
        <item x="1241"/>
        <item x="740"/>
        <item x="1297"/>
        <item x="1837"/>
        <item x="1066"/>
        <item x="118"/>
        <item x="1166"/>
        <item x="1831"/>
        <item x="515"/>
        <item x="1417"/>
        <item x="348"/>
        <item x="490"/>
        <item x="1509"/>
        <item x="644"/>
        <item x="1132"/>
        <item x="1389"/>
        <item x="1606"/>
        <item x="1873"/>
        <item x="1430"/>
        <item x="1311"/>
        <item x="1624"/>
        <item x="938"/>
        <item x="1988"/>
        <item x="74"/>
        <item x="1013"/>
        <item x="1958"/>
        <item x="1528"/>
        <item x="900"/>
        <item x="1928"/>
        <item x="1610"/>
        <item x="508"/>
        <item x="1833"/>
        <item x="281"/>
        <item x="1328"/>
        <item x="1507"/>
        <item x="1884"/>
        <item x="365"/>
        <item x="60"/>
        <item x="1655"/>
        <item x="758"/>
        <item x="289"/>
        <item x="1996"/>
        <item x="1532"/>
        <item x="422"/>
        <item x="719"/>
        <item x="1045"/>
        <item x="1579"/>
        <item x="1435"/>
        <item x="271"/>
        <item x="1098"/>
        <item x="889"/>
        <item x="364"/>
        <item x="721"/>
        <item x="1779"/>
        <item x="1225"/>
        <item x="1548"/>
        <item x="152"/>
        <item x="0"/>
        <item x="847"/>
        <item x="908"/>
        <item x="676"/>
        <item x="258"/>
        <item x="319"/>
        <item x="1260"/>
        <item x="1677"/>
        <item x="1768"/>
        <item x="1008"/>
        <item x="1078"/>
        <item x="1250"/>
        <item x="1646"/>
        <item x="51"/>
        <item x="735"/>
        <item x="502"/>
        <item x="24"/>
        <item x="1024"/>
        <item x="1287"/>
        <item x="1159"/>
        <item x="1694"/>
        <item x="1174"/>
        <item x="1020"/>
        <item x="715"/>
        <item x="647"/>
        <item x="667"/>
        <item x="63"/>
        <item x="1112"/>
        <item x="1278"/>
        <item x="368"/>
        <item x="159"/>
        <item x="1105"/>
        <item x="137"/>
        <item x="318"/>
        <item x="298"/>
        <item x="1588"/>
        <item x="68"/>
        <item x="1355"/>
        <item x="50"/>
        <item x="588"/>
        <item x="1239"/>
        <item x="1501"/>
        <item x="1264"/>
        <item x="1410"/>
        <item x="1700"/>
        <item x="1212"/>
        <item x="1502"/>
        <item x="444"/>
        <item x="246"/>
        <item x="670"/>
        <item x="643"/>
        <item x="1157"/>
        <item x="775"/>
        <item x="874"/>
        <item x="193"/>
        <item x="327"/>
        <item x="239"/>
        <item x="70"/>
        <item x="310"/>
        <item x="10"/>
        <item x="1811"/>
        <item x="113"/>
        <item x="912"/>
        <item x="1676"/>
        <item x="1139"/>
        <item x="812"/>
        <item x="669"/>
        <item x="475"/>
        <item x="134"/>
        <item x="1908"/>
        <item x="1690"/>
        <item x="31"/>
        <item x="1546"/>
        <item x="314"/>
        <item x="1185"/>
        <item x="693"/>
        <item x="505"/>
        <item x="219"/>
        <item x="119"/>
        <item x="632"/>
        <item x="768"/>
        <item x="1213"/>
        <item x="1894"/>
        <item x="1599"/>
        <item x="375"/>
        <item x="391"/>
        <item x="1547"/>
        <item x="1"/>
        <item x="1539"/>
        <item x="614"/>
        <item x="582"/>
        <item x="945"/>
        <item x="1556"/>
        <item x="1394"/>
        <item x="780"/>
        <item x="1357"/>
        <item x="1381"/>
        <item x="660"/>
        <item x="1585"/>
        <item x="841"/>
        <item x="1707"/>
        <item x="1618"/>
        <item x="171"/>
        <item x="1447"/>
        <item x="1029"/>
        <item x="1625"/>
        <item x="280"/>
        <item x="1023"/>
        <item x="678"/>
        <item x="1186"/>
        <item x="1691"/>
        <item x="217"/>
        <item x="1598"/>
        <item x="393"/>
        <item x="1992"/>
        <item x="1933"/>
        <item x="1826"/>
        <item x="1632"/>
        <item x="1309"/>
        <item x="1402"/>
        <item x="79"/>
        <item x="1011"/>
        <item x="633"/>
        <item x="1675"/>
        <item x="154"/>
        <item x="843"/>
        <item x="1782"/>
        <item x="1939"/>
        <item x="1323"/>
        <item x="1422"/>
        <item x="547"/>
        <item x="1259"/>
        <item x="1329"/>
        <item x="1942"/>
        <item x="625"/>
        <item x="545"/>
        <item x="1429"/>
        <item x="1326"/>
        <item x="1252"/>
        <item x="1790"/>
        <item x="1961"/>
        <item x="638"/>
        <item x="1478"/>
        <item x="81"/>
        <item x="37"/>
        <item x="341"/>
        <item x="1461"/>
        <item x="917"/>
        <item x="1644"/>
        <item x="968"/>
        <item x="1798"/>
        <item x="759"/>
        <item x="1511"/>
        <item x="634"/>
        <item x="61"/>
        <item x="822"/>
        <item x="510"/>
        <item x="338"/>
        <item x="1232"/>
        <item x="1978"/>
        <item x="1923"/>
        <item x="781"/>
        <item x="1784"/>
        <item x="1486"/>
        <item x="764"/>
        <item x="1785"/>
        <item x="1593"/>
        <item x="1890"/>
        <item x="645"/>
        <item x="1436"/>
        <item x="1719"/>
        <item x="1167"/>
        <item x="242"/>
        <item x="1007"/>
        <item x="122"/>
        <item x="1055"/>
        <item x="1801"/>
        <item x="971"/>
        <item x="283"/>
        <item x="486"/>
        <item x="1945"/>
        <item x="1146"/>
        <item x="1570"/>
        <item x="274"/>
        <item x="307"/>
        <item x="91"/>
        <item x="796"/>
        <item x="1465"/>
        <item x="876"/>
        <item x="1032"/>
        <item x="1377"/>
        <item x="746"/>
        <item x="1968"/>
        <item x="551"/>
        <item x="1393"/>
        <item x="497"/>
        <item x="1731"/>
        <item x="927"/>
        <item x="44"/>
        <item x="46"/>
        <item x="372"/>
        <item x="425"/>
        <item x="798"/>
        <item x="1087"/>
        <item x="1354"/>
        <item x="216"/>
        <item x="1168"/>
        <item x="894"/>
        <item x="500"/>
        <item x="738"/>
        <item x="782"/>
        <item x="690"/>
        <item x="1187"/>
        <item x="30"/>
        <item x="891"/>
        <item x="1576"/>
        <item x="741"/>
        <item x="866"/>
        <item x="296"/>
        <item x="1215"/>
        <item x="88"/>
        <item x="1102"/>
        <item x="674"/>
        <item x="35"/>
        <item x="954"/>
        <item x="1730"/>
        <item x="1131"/>
        <item x="1479"/>
        <item x="1985"/>
        <item x="484"/>
        <item x="1519"/>
        <item x="5"/>
        <item x="80"/>
        <item x="542"/>
        <item x="701"/>
        <item x="1392"/>
        <item x="234"/>
        <item x="1620"/>
        <item x="1383"/>
        <item x="1275"/>
        <item x="811"/>
        <item x="440"/>
        <item x="1135"/>
        <item x="198"/>
        <item x="1972"/>
        <item x="1471"/>
        <item x="1348"/>
        <item x="1221"/>
        <item x="1165"/>
        <item x="1717"/>
        <item x="317"/>
        <item x="777"/>
        <item x="1358"/>
        <item x="294"/>
        <item x="1016"/>
        <item x="1428"/>
        <item x="1560"/>
        <item x="965"/>
        <item x="1015"/>
        <item x="62"/>
        <item x="1751"/>
        <item x="1524"/>
        <item x="1304"/>
        <item x="1573"/>
        <item x="1443"/>
        <item x="1897"/>
        <item x="1613"/>
        <item x="357"/>
        <item x="1495"/>
        <item x="1022"/>
        <item x="212"/>
        <item x="253"/>
        <item x="161"/>
        <item x="205"/>
        <item x="1448"/>
        <item x="1493"/>
        <item x="1816"/>
        <item x="163"/>
        <item x="537"/>
        <item x="787"/>
        <item x="1710"/>
        <item x="1490"/>
        <item x="1391"/>
        <item x="407"/>
        <item x="374"/>
        <item x="1956"/>
        <item x="732"/>
        <item x="1169"/>
        <item x="559"/>
        <item x="650"/>
        <item x="1708"/>
        <item x="141"/>
        <item x="1877"/>
        <item x="512"/>
        <item x="1626"/>
        <item x="725"/>
        <item x="795"/>
        <item x="1805"/>
        <item x="1601"/>
        <item x="85"/>
        <item x="1409"/>
        <item x="1812"/>
        <item x="1351"/>
        <item x="1079"/>
        <item x="797"/>
        <item x="1605"/>
        <item x="792"/>
        <item x="470"/>
        <item x="1180"/>
        <item x="1137"/>
        <item x="1036"/>
        <item x="756"/>
        <item x="322"/>
        <item x="48"/>
        <item x="871"/>
        <item x="265"/>
        <item x="903"/>
        <item x="284"/>
        <item x="730"/>
        <item x="463"/>
        <item x="1003"/>
        <item x="549"/>
        <item x="882"/>
        <item x="1499"/>
        <item x="496"/>
        <item x="845"/>
        <item x="1052"/>
        <item x="986"/>
        <item x="926"/>
        <item x="892"/>
        <item x="544"/>
        <item x="133"/>
        <item x="668"/>
        <item x="959"/>
        <item x="707"/>
        <item x="828"/>
        <item x="1538"/>
        <item x="529"/>
        <item x="1364"/>
        <item x="197"/>
        <item x="1134"/>
        <item x="1316"/>
        <item x="1861"/>
        <item x="1350"/>
        <item x="471"/>
        <item x="1901"/>
        <item x="183"/>
        <item x="610"/>
        <item x="987"/>
        <item x="1557"/>
        <item x="252"/>
        <item x="1346"/>
        <item x="918"/>
        <item x="878"/>
        <item x="72"/>
        <item x="1854"/>
        <item x="1014"/>
        <item x="820"/>
        <item x="1469"/>
        <item x="293"/>
        <item x="347"/>
        <item x="1980"/>
        <item x="637"/>
        <item x="321"/>
        <item x="648"/>
        <item x="1230"/>
        <item x="1361"/>
        <item x="441"/>
        <item x="213"/>
        <item x="1092"/>
        <item x="1761"/>
        <item x="956"/>
        <item x="189"/>
        <item x="1832"/>
        <item x="462"/>
        <item x="1726"/>
        <item x="1965"/>
        <item x="1766"/>
        <item x="1484"/>
        <item x="1741"/>
        <item x="1476"/>
        <item x="928"/>
        <item x="21"/>
        <item x="905"/>
        <item x="1201"/>
        <item x="238"/>
        <item x="1181"/>
        <item x="442"/>
        <item x="1649"/>
        <item x="1487"/>
        <item x="429"/>
        <item x="1372"/>
        <item x="1868"/>
        <item x="1039"/>
        <item x="275"/>
        <item x="1520"/>
        <item x="1778"/>
        <item x="1818"/>
        <item x="711"/>
        <item x="1086"/>
        <item x="481"/>
        <item x="1207"/>
        <item x="1523"/>
        <item x="398"/>
        <item x="1807"/>
        <item x="916"/>
        <item x="1320"/>
        <item x="1867"/>
        <item x="209"/>
        <item x="222"/>
        <item x="753"/>
        <item x="26"/>
        <item x="1037"/>
        <item x="993"/>
        <item x="366"/>
        <item x="1136"/>
        <item x="807"/>
        <item x="1688"/>
        <item x="13"/>
        <item x="573"/>
        <item x="1937"/>
        <item x="1687"/>
        <item x="772"/>
        <item x="704"/>
        <item x="922"/>
        <item x="291"/>
        <item x="1433"/>
        <item x="1572"/>
        <item x="915"/>
        <item x="361"/>
        <item x="624"/>
        <item x="1755"/>
        <item x="863"/>
        <item x="1880"/>
        <item x="1969"/>
        <item x="1333"/>
        <item x="712"/>
        <item x="763"/>
        <item x="148"/>
        <item x="1408"/>
        <item x="1387"/>
        <item x="147"/>
        <item x="1280"/>
        <item x="1236"/>
        <item x="93"/>
        <item x="164"/>
        <item x="445"/>
        <item x="499"/>
        <item x="1621"/>
        <item x="940"/>
        <item x="601"/>
        <item x="1764"/>
        <item x="408"/>
        <item x="1545"/>
        <item x="1101"/>
        <item x="388"/>
        <item x="745"/>
        <item x="802"/>
        <item x="1829"/>
        <item x="1981"/>
        <item x="363"/>
        <item x="696"/>
        <item x="1957"/>
        <item x="835"/>
        <item x="501"/>
        <item x="1925"/>
        <item x="1279"/>
        <item x="1651"/>
        <item x="1922"/>
        <item x="370"/>
        <item x="821"/>
        <item x="930"/>
        <item x="1580"/>
        <item x="1057"/>
        <item x="169"/>
        <item x="77"/>
        <item x="1488"/>
        <item x="1926"/>
        <item x="356"/>
        <item x="689"/>
        <item x="1462"/>
        <item x="649"/>
        <item x="1630"/>
        <item x="92"/>
        <item x="285"/>
        <item x="90"/>
        <item x="1642"/>
        <item x="292"/>
        <item x="618"/>
        <item x="353"/>
        <item x="1253"/>
        <item x="1935"/>
        <item x="1154"/>
        <item x="1977"/>
        <item x="914"/>
        <item x="729"/>
        <item x="477"/>
        <item x="259"/>
        <item x="503"/>
        <item x="1672"/>
        <item x="144"/>
        <item x="1336"/>
        <item x="138"/>
        <item x="1382"/>
        <item x="1911"/>
        <item x="1010"/>
        <item x="533"/>
        <item x="1986"/>
        <item x="1740"/>
        <item x="946"/>
        <item x="1515"/>
        <item x="1562"/>
        <item x="23"/>
        <item x="819"/>
        <item x="837"/>
        <item x="957"/>
        <item x="1947"/>
        <item x="1974"/>
        <item x="1124"/>
        <item x="1116"/>
        <item x="1405"/>
        <item x="1191"/>
        <item x="1931"/>
        <item x="526"/>
        <item x="1234"/>
        <item x="769"/>
        <item x="858"/>
        <item x="1498"/>
        <item x="825"/>
        <item x="734"/>
        <item x="1367"/>
        <item x="854"/>
        <item x="1424"/>
        <item x="1198"/>
        <item x="765"/>
        <item x="1096"/>
        <item x="480"/>
        <item x="405"/>
        <item x="663"/>
        <item x="1300"/>
        <item x="1095"/>
        <item x="1277"/>
        <item x="1385"/>
        <item x="1589"/>
        <item x="89"/>
        <item x="371"/>
        <item x="402"/>
        <item x="245"/>
        <item x="1043"/>
        <item x="1021"/>
        <item x="964"/>
        <item x="1757"/>
        <item x="1643"/>
        <item x="1855"/>
        <item x="1397"/>
        <item x="1481"/>
        <item x="864"/>
        <item x="1670"/>
        <item x="543"/>
        <item x="1156"/>
        <item x="514"/>
        <item x="771"/>
        <item x="49"/>
        <item x="1077"/>
        <item x="1325"/>
        <item x="1272"/>
        <item x="411"/>
        <item x="483"/>
        <item x="1881"/>
        <item x="1706"/>
        <item x="873"/>
        <item x="84"/>
        <item x="1150"/>
        <item x="214"/>
        <item x="1552"/>
        <item x="1631"/>
        <item x="880"/>
        <item x="1414"/>
        <item x="592"/>
        <item x="1791"/>
        <item x="1870"/>
        <item x="565"/>
        <item x="1847"/>
        <item x="662"/>
        <item x="1648"/>
        <item x="1004"/>
        <item x="129"/>
        <item x="1097"/>
        <item x="1527"/>
        <item x="703"/>
        <item x="1921"/>
        <item x="619"/>
        <item x="184"/>
        <item x="478"/>
        <item x="535"/>
        <item x="1161"/>
        <item x="1080"/>
        <item x="1872"/>
        <item x="199"/>
        <item x="617"/>
        <item x="100"/>
        <item x="1869"/>
        <item x="191"/>
        <item x="1126"/>
        <item x="1856"/>
        <item x="1639"/>
        <item x="518"/>
        <item x="330"/>
        <item x="1849"/>
        <item x="1786"/>
        <item x="902"/>
        <item x="461"/>
        <item x="247"/>
        <item x="1129"/>
        <item x="1009"/>
        <item x="495"/>
        <item x="1046"/>
        <item x="525"/>
        <item x="423"/>
        <item x="1044"/>
        <item x="1463"/>
        <item x="485"/>
        <item x="1912"/>
        <item x="1370"/>
        <item x="524"/>
        <item x="562"/>
        <item x="1420"/>
        <item x="1944"/>
        <item x="1235"/>
        <item x="210"/>
        <item x="424"/>
        <item x="962"/>
        <item x="767"/>
        <item x="906"/>
        <item x="1666"/>
        <item x="1373"/>
        <item x="1834"/>
        <item x="1669"/>
        <item x="1663"/>
        <item x="1114"/>
        <item x="896"/>
        <item x="105"/>
        <item x="1284"/>
        <item x="691"/>
        <item x="1927"/>
        <item x="1251"/>
        <item x="96"/>
        <item x="1617"/>
        <item x="1678"/>
        <item x="706"/>
        <item x="1716"/>
        <item x="125"/>
        <item x="1907"/>
        <item x="572"/>
        <item x="1173"/>
        <item x="406"/>
        <item x="1438"/>
        <item x="1082"/>
        <item x="452"/>
        <item x="464"/>
        <item x="1987"/>
        <item x="816"/>
        <item x="513"/>
        <item x="1797"/>
        <item x="176"/>
        <item x="1491"/>
        <item x="1027"/>
        <item x="1240"/>
        <item x="1483"/>
        <item x="448"/>
        <item x="430"/>
        <item x="1753"/>
        <item x="1314"/>
        <item x="836"/>
        <item x="907"/>
        <item x="1222"/>
        <item x="273"/>
        <item x="1122"/>
        <item x="783"/>
        <item x="608"/>
        <item x="1238"/>
        <item x="1787"/>
        <item x="541"/>
        <item x="468"/>
        <item x="1219"/>
        <item x="1909"/>
        <item x="1399"/>
        <item x="1266"/>
        <item x="636"/>
        <item x="201"/>
        <item x="1627"/>
        <item x="791"/>
        <item x="1554"/>
        <item x="651"/>
        <item x="195"/>
        <item x="1882"/>
        <item x="1752"/>
        <item x="1298"/>
        <item x="131"/>
        <item x="8"/>
        <item x="1647"/>
        <item x="53"/>
        <item x="702"/>
        <item x="898"/>
        <item x="29"/>
        <item x="16"/>
        <item x="1905"/>
        <item x="990"/>
        <item x="1609"/>
        <item x="1991"/>
        <item x="1093"/>
        <item x="344"/>
        <item x="1406"/>
        <item x="1065"/>
        <item x="1121"/>
        <item x="1662"/>
        <item x="856"/>
        <item x="1951"/>
        <item x="784"/>
        <item x="1541"/>
        <item x="1474"/>
        <item x="1505"/>
        <item x="494"/>
        <item x="1485"/>
        <item x="1963"/>
        <item x="1853"/>
        <item x="679"/>
        <item x="3"/>
        <item x="511"/>
        <item x="241"/>
        <item x="1623"/>
        <item x="1123"/>
        <item x="1671"/>
        <item x="762"/>
        <item x="1270"/>
        <item x="417"/>
        <item x="975"/>
        <item x="323"/>
        <item x="267"/>
        <item x="1503"/>
        <item x="850"/>
        <item x="1109"/>
        <item x="130"/>
        <item x="102"/>
        <item x="1152"/>
        <item x="673"/>
        <item x="235"/>
        <item x="1641"/>
        <item x="1793"/>
        <item x="1204"/>
        <item x="215"/>
        <item x="1845"/>
        <item x="140"/>
        <item x="1910"/>
        <item x="110"/>
        <item x="1582"/>
        <item x="586"/>
        <item x="1019"/>
        <item x="842"/>
        <item x="378"/>
        <item x="1769"/>
        <item x="628"/>
        <item x="1040"/>
        <item x="1578"/>
        <item x="1943"/>
        <item x="534"/>
        <item x="1099"/>
        <item x="808"/>
        <item x="571"/>
        <item x="493"/>
        <item x="1100"/>
        <item x="1615"/>
        <item x="833"/>
        <item x="1104"/>
        <item x="687"/>
        <item x="1622"/>
        <item x="1902"/>
        <item x="1693"/>
        <item x="909"/>
        <item x="1896"/>
        <item x="868"/>
        <item x="737"/>
        <item x="653"/>
        <item x="1967"/>
        <item x="67"/>
        <item x="560"/>
        <item x="233"/>
        <item x="1795"/>
        <item x="885"/>
        <item x="1736"/>
        <item x="1512"/>
        <item x="1506"/>
        <item x="377"/>
        <item x="59"/>
        <item x="126"/>
        <item x="1388"/>
        <item x="168"/>
        <item x="813"/>
        <item x="123"/>
        <item x="17"/>
        <item x="1269"/>
        <item x="1038"/>
        <item x="997"/>
        <item x="186"/>
        <item x="1281"/>
        <item x="579"/>
        <item x="641"/>
        <item x="1709"/>
        <item x="743"/>
        <item x="1143"/>
        <item x="700"/>
        <item x="1073"/>
        <item x="1363"/>
        <item x="1306"/>
        <item x="1449"/>
        <item x="41"/>
        <item x="804"/>
        <item x="1661"/>
        <item x="1982"/>
        <item x="570"/>
        <item x="1192"/>
        <item x="698"/>
        <item x="1308"/>
        <item x="1775"/>
        <item x="179"/>
        <item x="1844"/>
        <item x="1913"/>
        <item x="603"/>
        <item x="438"/>
        <item x="688"/>
        <item x="446"/>
        <item x="1948"/>
        <item x="972"/>
        <item x="1283"/>
        <item x="852"/>
        <item x="540"/>
        <item x="1130"/>
        <item x="1718"/>
        <item x="1959"/>
        <item x="145"/>
        <item x="369"/>
        <item x="101"/>
        <item x="1188"/>
        <item x="853"/>
        <item x="1952"/>
        <item x="1006"/>
        <item x="449"/>
        <item x="325"/>
        <item x="1208"/>
        <item x="192"/>
        <item x="392"/>
        <item x="1378"/>
        <item x="315"/>
        <item x="557"/>
        <item x="187"/>
        <item x="1841"/>
        <item x="1113"/>
        <item x="395"/>
        <item x="1929"/>
        <item x="597"/>
        <item x="162"/>
        <item x="826"/>
        <item x="723"/>
        <item x="73"/>
        <item x="546"/>
        <item x="1472"/>
        <item x="1883"/>
        <item x="18"/>
        <item x="55"/>
        <item x="1365"/>
        <item x="575"/>
        <item x="757"/>
        <item x="548"/>
        <item x="349"/>
        <item x="1403"/>
        <item x="1815"/>
        <item x="872"/>
        <item x="109"/>
        <item x="567"/>
        <item x="1220"/>
        <item x="754"/>
        <item x="1564"/>
        <item x="507"/>
        <item x="1128"/>
        <item x="487"/>
        <item x="94"/>
        <item x="278"/>
        <item x="950"/>
        <item x="428"/>
        <item x="11"/>
        <item x=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    <item x="626"/>
        <item x="1534"/>
        <item x="1263"/>
        <item x="1376"/>
        <item x="173"/>
        <item x="1899"/>
        <item x="203"/>
        <item x="1762"/>
        <item x="1777"/>
        <item x="332"/>
        <item x="1400"/>
        <item x="1760"/>
        <item x="39"/>
        <item x="82"/>
        <item x="683"/>
        <item x="793"/>
        <item x="1917"/>
        <item x="1233"/>
        <item x="1817"/>
        <item x="1067"/>
        <item x="1084"/>
        <item x="1432"/>
        <item x="801"/>
        <item x="1371"/>
        <item x="326"/>
        <item x="1695"/>
        <item x="1521"/>
        <item x="1434"/>
        <item x="1267"/>
        <item x="334"/>
        <item x="1577"/>
        <item x="1874"/>
        <item x="1941"/>
        <item x="1525"/>
        <item x="1765"/>
        <item x="509"/>
        <item x="620"/>
        <item x="838"/>
        <item x="1175"/>
        <item x="779"/>
        <item x="1362"/>
        <item x="1282"/>
        <item x="160"/>
        <item x="472"/>
        <item x="1243"/>
        <item x="32"/>
        <item x="1401"/>
        <item x="1356"/>
        <item x="1936"/>
        <item x="456"/>
        <item x="1492"/>
        <item x="1551"/>
        <item x="1197"/>
        <item x="713"/>
        <item x="1600"/>
        <item x="1976"/>
        <item x="1344"/>
        <item x="656"/>
        <item x="237"/>
        <item x="1110"/>
        <item x="1543"/>
        <item x="276"/>
        <item x="121"/>
        <item x="576"/>
        <item x="1792"/>
        <item x="220"/>
        <item x="879"/>
        <item x="1081"/>
        <item x="1060"/>
        <item x="1412"/>
        <item x="1209"/>
        <item x="381"/>
        <item x="742"/>
        <item x="849"/>
        <item x="1301"/>
        <item x="1858"/>
        <item x="1892"/>
        <item x="345"/>
        <item x="1822"/>
        <item x="778"/>
        <item x="1940"/>
        <item x="1418"/>
        <item x="1555"/>
        <item x="1652"/>
        <item x="190"/>
        <item x="867"/>
        <item x="71"/>
        <item x="697"/>
        <item x="1930"/>
        <item x="755"/>
        <item x="749"/>
        <item x="859"/>
        <item x="652"/>
        <item x="230"/>
        <item x="1955"/>
        <item x="1563"/>
        <item x="1561"/>
        <item x="556"/>
        <item x="622"/>
        <item x="257"/>
        <item x="1595"/>
        <item x="57"/>
        <item x="1223"/>
        <item x="1759"/>
        <item x="333"/>
        <item x="7"/>
        <item x="1994"/>
        <item x="76"/>
        <item x="1914"/>
        <item x="1781"/>
        <item x="339"/>
        <item x="870"/>
        <item x="985"/>
        <item x="1140"/>
        <item x="1033"/>
        <item x="1715"/>
        <item x="342"/>
        <item x="887"/>
        <item x="943"/>
        <item x="1727"/>
        <item x="1242"/>
        <item x="1138"/>
        <item x="1423"/>
        <item x="815"/>
        <item x="1299"/>
        <item x="886"/>
        <item x="1170"/>
        <item x="818"/>
        <item x="410"/>
        <item x="1380"/>
        <item x="1120"/>
        <item x="1536"/>
        <item x="694"/>
        <item x="761"/>
        <item x="1820"/>
        <item x="243"/>
        <item x="1750"/>
        <item x="805"/>
        <item x="890"/>
        <item x="1063"/>
        <item x="1653"/>
        <item x="1480"/>
        <item x="1053"/>
        <item x="297"/>
        <item x="175"/>
        <item x="566"/>
        <item x="834"/>
        <item x="539"/>
        <item x="384"/>
        <item x="150"/>
        <item x="1089"/>
        <item x="1900"/>
        <item x="881"/>
        <item x="185"/>
        <item x="1318"/>
        <item x="1178"/>
        <item x="33"/>
        <item x="117"/>
        <item x="1704"/>
        <item x="1789"/>
        <item x="994"/>
        <item x="1054"/>
        <item x="64"/>
        <item x="1352"/>
        <item x="491"/>
        <item x="1783"/>
        <item x="309"/>
        <item x="1722"/>
        <item x="432"/>
        <item x="1158"/>
        <item x="602"/>
        <item x="128"/>
        <item x="206"/>
        <item x="1442"/>
        <item x="1227"/>
        <item x="803"/>
        <item x="114"/>
        <item x="1345"/>
        <item x="951"/>
        <item x="893"/>
        <item x="399"/>
        <item x="991"/>
        <item x="459"/>
        <item x="639"/>
        <item x="519"/>
        <item x="373"/>
        <item x="1384"/>
        <item x="568"/>
        <item x="857"/>
        <item x="409"/>
        <item x="949"/>
        <item x="814"/>
        <item x="911"/>
        <item x="248"/>
        <item x="1535"/>
        <item x="1083"/>
        <item x="1289"/>
        <item x="1042"/>
        <item x="482"/>
        <item x="931"/>
        <item x="458"/>
        <item x="1034"/>
        <item x="412"/>
        <item x="1714"/>
        <item x="1584"/>
        <item x="231"/>
        <item x="1522"/>
        <item x="1464"/>
        <item x="1088"/>
        <item x="149"/>
        <item x="52"/>
        <item x="268"/>
        <item x="223"/>
        <item x="414"/>
        <item x="616"/>
        <item x="1025"/>
        <item x="1247"/>
        <item x="1256"/>
        <item x="1746"/>
        <item x="574"/>
        <item x="1276"/>
        <item x="455"/>
        <item x="1604"/>
        <item x="832"/>
        <item x="419"/>
        <item x="421"/>
        <item x="1628"/>
        <item x="1721"/>
        <item x="1863"/>
        <item x="6"/>
        <item x="789"/>
        <item x="621"/>
        <item x="308"/>
        <item x="966"/>
        <item x="996"/>
        <item x="1407"/>
        <item x="692"/>
        <item x="809"/>
        <item x="773"/>
        <item x="1171"/>
        <item x="14"/>
        <item x="790"/>
        <item x="1292"/>
        <item x="457"/>
        <item x="1906"/>
        <item x="99"/>
        <item x="561"/>
        <item x="554"/>
        <item x="1747"/>
        <item x="1293"/>
        <item x="1636"/>
        <item x="202"/>
        <item x="1891"/>
        <item x="1059"/>
        <item x="861"/>
        <item x="1286"/>
        <item x="288"/>
        <item x="255"/>
        <item x="1458"/>
        <item x="224"/>
        <item x="1427"/>
        <item x="599"/>
        <item x="1814"/>
        <item x="655"/>
        <item x="953"/>
        <item x="1634"/>
        <item x="1018"/>
        <item x="1245"/>
        <item x="437"/>
        <item x="695"/>
        <item x="106"/>
        <item x="172"/>
        <item x="350"/>
        <item x="585"/>
        <item x="262"/>
        <item x="823"/>
        <item x="942"/>
        <item x="553"/>
        <item x="1650"/>
        <item x="56"/>
        <item x="306"/>
        <item x="1058"/>
        <item x="751"/>
        <item x="416"/>
        <item x="36"/>
        <item x="1451"/>
        <item x="1796"/>
        <item x="1971"/>
        <item x="167"/>
        <item x="1145"/>
        <item x="1091"/>
        <item x="111"/>
        <item x="1920"/>
        <item x="1437"/>
        <item x="346"/>
        <item x="1657"/>
        <item x="228"/>
        <item x="904"/>
        <item x="431"/>
        <item x="1176"/>
        <item x="1296"/>
        <item x="982"/>
        <item x="1852"/>
        <item x="1916"/>
        <item x="958"/>
        <item x="54"/>
        <item x="65"/>
        <item x="1835"/>
        <item x="328"/>
        <item x="1683"/>
        <item x="1517"/>
        <item x="1076"/>
        <item x="43"/>
        <item x="1729"/>
        <item x="630"/>
        <item x="135"/>
        <item x="302"/>
        <item x="1518"/>
        <item x="1559"/>
        <item x="1659"/>
        <item x="1597"/>
        <item x="1334"/>
        <item x="15"/>
        <item x="1179"/>
        <item x="1206"/>
        <item x="120"/>
        <item x="9"/>
        <item x="1467"/>
        <item x="299"/>
        <item x="34"/>
        <item x="1658"/>
        <item x="846"/>
        <item x="40"/>
        <item x="1839"/>
        <item x="1249"/>
        <item x="1196"/>
        <item x="146"/>
        <item x="1581"/>
        <item x="254"/>
        <item x="1975"/>
        <item x="104"/>
        <item x="1421"/>
        <item x="1800"/>
        <item x="434"/>
        <item x="658"/>
        <item x="684"/>
        <item x="1629"/>
        <item x="1737"/>
        <item x="1728"/>
        <item x="1843"/>
        <item x="153"/>
        <item x="1214"/>
        <item x="1017"/>
        <item x="877"/>
        <item x="1072"/>
        <item x="920"/>
        <item x="1295"/>
        <item x="1335"/>
        <item x="1825"/>
        <item x="249"/>
        <item x="1607"/>
        <item x="1205"/>
        <item x="1574"/>
        <item x="1216"/>
        <item x="1616"/>
        <item x="682"/>
        <item x="355"/>
        <item x="143"/>
        <item x="78"/>
        <item x="569"/>
        <item x="1803"/>
        <item x="1439"/>
        <item x="1218"/>
        <item x="320"/>
        <item x="685"/>
        <item x="263"/>
        <item x="244"/>
        <item x="1262"/>
        <item x="1332"/>
        <item x="717"/>
        <item x="1875"/>
        <item x="1774"/>
        <item x="999"/>
        <item x="1379"/>
        <item x="453"/>
        <item x="1608"/>
        <item x="1160"/>
        <item x="785"/>
        <item x="42"/>
        <item x="272"/>
        <item x="1473"/>
        <item x="303"/>
        <item x="1566"/>
        <item x="1342"/>
        <item x="1696"/>
        <item x="156"/>
        <item x="978"/>
        <item x="1530"/>
        <item x="1468"/>
        <item x="270"/>
        <item x="1964"/>
        <item x="631"/>
        <item x="1633"/>
        <item x="277"/>
        <item x="899"/>
        <item x="913"/>
        <item x="188"/>
        <item x="983"/>
        <item x="1763"/>
        <item x="362"/>
        <item x="591"/>
        <item x="1508"/>
        <item x="527"/>
        <item x="1075"/>
        <item x="1682"/>
        <item x="236"/>
        <item x="1738"/>
        <item x="1754"/>
        <item x="1319"/>
        <item x="447"/>
        <item x="710"/>
        <item x="980"/>
        <item x="1312"/>
        <item x="1111"/>
        <item x="1590"/>
        <item x="1949"/>
        <item x="1108"/>
        <item x="1454"/>
        <item x="1228"/>
        <item x="1514"/>
        <item x="1051"/>
        <item x="98"/>
        <item x="479"/>
        <item x="800"/>
        <item x="967"/>
        <item x="379"/>
        <item x="1190"/>
        <item x="492"/>
        <item x="1773"/>
        <item x="992"/>
        <item x="609"/>
        <item x="1496"/>
        <item x="1809"/>
        <item x="1667"/>
        <item x="1163"/>
        <item x="1504"/>
        <item x="1117"/>
        <item x="394"/>
        <item x="389"/>
        <item x="1395"/>
        <item x="1838"/>
        <item x="1005"/>
        <item x="680"/>
        <item x="699"/>
        <item x="1200"/>
        <item x="718"/>
        <item x="466"/>
        <item x="932"/>
        <item x="142"/>
        <item x="1182"/>
        <item x="352"/>
        <item x="1571"/>
        <item x="1307"/>
        <item x="1452"/>
        <item x="1310"/>
        <item x="1950"/>
        <item x="806"/>
        <item x="1313"/>
        <item x="1673"/>
        <item x="736"/>
        <item x="969"/>
        <item x="1526"/>
        <item x="1699"/>
        <item x="933"/>
        <item x="290"/>
        <item x="1802"/>
        <item x="489"/>
        <item x="577"/>
        <item x="952"/>
        <item x="1064"/>
        <item x="888"/>
        <item x="1031"/>
        <item x="1229"/>
        <item x="1776"/>
        <item x="1594"/>
        <item x="474"/>
        <item x="227"/>
        <item x="672"/>
        <item x="1684"/>
        <item x="855"/>
        <item x="1735"/>
        <item x="1404"/>
        <item x="977"/>
        <item x="1441"/>
        <item x="520"/>
        <item x="581"/>
        <item x="211"/>
        <item x="720"/>
        <item x="1413"/>
        <item x="1857"/>
        <item x="1338"/>
        <item x="19"/>
        <item x="1973"/>
        <item x="1611"/>
        <item x="1035"/>
        <item x="1288"/>
        <item x="555"/>
        <item x="839"/>
        <item x="1426"/>
        <item x="282"/>
        <item x="1494"/>
        <item x="830"/>
        <item x="598"/>
        <item x="107"/>
        <item x="1061"/>
        <item x="831"/>
        <item x="1322"/>
        <item x="1697"/>
        <item x="657"/>
        <item x="1199"/>
        <item x="165"/>
        <item x="151"/>
        <item x="1824"/>
        <item x="358"/>
        <item x="1810"/>
        <item x="1836"/>
        <item x="1085"/>
        <item x="659"/>
        <item x="981"/>
        <item x="558"/>
        <item x="976"/>
        <item x="1340"/>
        <item x="204"/>
        <item x="1224"/>
        <item x="563"/>
        <item x="686"/>
        <item x="1294"/>
        <item x="324"/>
        <item x="1041"/>
        <item x="1772"/>
        <item x="1654"/>
        <item x="240"/>
        <item x="1268"/>
        <item x="1419"/>
        <item x="1155"/>
        <item x="1516"/>
        <item x="4"/>
        <item x="1396"/>
        <item x="69"/>
        <item x="200"/>
        <item x="97"/>
        <item x="1823"/>
        <item x="1586"/>
        <item x="1202"/>
        <item x="1231"/>
        <item x="1500"/>
        <item x="1934"/>
        <item x="948"/>
        <item x="1450"/>
        <item x="1919"/>
        <item x="1989"/>
        <item x="1619"/>
        <item x="1341"/>
        <item x="786"/>
        <item x="450"/>
        <item x="883"/>
        <item x="590"/>
        <item x="1954"/>
        <item x="1431"/>
        <item x="1705"/>
        <item x="1456"/>
        <item x="229"/>
        <item x="1489"/>
        <item x="250"/>
        <item x="359"/>
        <item x="1848"/>
        <item x="961"/>
        <item x="1744"/>
        <item x="1932"/>
        <item x="947"/>
        <item x="1603"/>
        <item x="226"/>
        <item x="404"/>
        <item x="521"/>
        <item x="304"/>
        <item x="538"/>
        <item x="1871"/>
        <item x="1360"/>
        <item x="1895"/>
        <item x="1254"/>
        <item x="844"/>
        <item x="1000"/>
        <item x="1144"/>
        <item x="343"/>
        <item x="851"/>
        <item x="973"/>
        <item x="1444"/>
        <item x="748"/>
        <item x="1142"/>
        <item x="301"/>
        <item x="380"/>
        <item x="716"/>
        <item x="1074"/>
        <item x="286"/>
        <item x="1106"/>
        <item x="1698"/>
        <item x="1587"/>
        <item x="454"/>
        <item x="661"/>
        <item x="766"/>
        <item x="469"/>
        <item x="260"/>
        <item x="108"/>
        <item x="27"/>
        <item x="1827"/>
        <item x="1149"/>
        <item x="1780"/>
        <item x="1767"/>
        <item x="963"/>
        <item x="1119"/>
        <item x="1457"/>
        <item x="739"/>
        <item x="1888"/>
        <item x="1918"/>
        <item x="305"/>
        <item x="1107"/>
        <item x="606"/>
        <item x="1679"/>
        <item x="1542"/>
        <item x="1885"/>
        <item x="295"/>
        <item x="1425"/>
        <item x="564"/>
        <item x="1411"/>
        <item x="1321"/>
        <item x="1133"/>
        <item x="1343"/>
        <item x="1808"/>
        <item x="1090"/>
        <item x="504"/>
        <item x="1193"/>
        <item x="794"/>
        <item x="774"/>
        <item x="386"/>
        <item x="1390"/>
        <item x="1127"/>
        <item x="136"/>
        <item x="1733"/>
        <item x="178"/>
        <item x="1612"/>
        <item x="770"/>
        <item x="642"/>
        <item x="264"/>
        <item x="1743"/>
        <item x="218"/>
        <item x="1592"/>
        <item x="1540"/>
        <item x="1217"/>
        <item x="1398"/>
        <item x="1851"/>
        <item x="12"/>
        <item x="1799"/>
        <item x="552"/>
        <item x="646"/>
        <item x="979"/>
        <item x="1533"/>
        <item x="401"/>
        <item x="221"/>
        <item x="817"/>
        <item x="1177"/>
        <item x="1993"/>
        <item x="351"/>
        <item x="613"/>
        <item x="1938"/>
        <item x="1575"/>
        <item x="1327"/>
        <item x="1353"/>
        <item x="589"/>
        <item x="1255"/>
        <item x="1703"/>
        <item x="336"/>
        <item x="1302"/>
        <item x="86"/>
        <item x="1056"/>
        <item x="1749"/>
        <item x="1979"/>
        <item x="1681"/>
        <item x="360"/>
        <item x="1068"/>
        <item x="936"/>
        <item x="860"/>
        <item x="1285"/>
        <item x="708"/>
        <item x="1001"/>
        <item x="776"/>
        <item x="671"/>
        <item x="1602"/>
        <item x="666"/>
        <item x="960"/>
        <item x="1723"/>
        <item x="1261"/>
        <item x="196"/>
        <item x="612"/>
        <item x="937"/>
        <item x="1147"/>
        <item x="1369"/>
        <item x="865"/>
        <item x="376"/>
        <item x="1069"/>
        <item x="607"/>
        <item x="225"/>
        <item x="1477"/>
        <item x="1368"/>
        <item x="75"/>
        <item x="460"/>
        <item x="664"/>
        <item x="1470"/>
        <item x="939"/>
        <item x="1567"/>
        <item x="1184"/>
        <item x="615"/>
        <item x="1924"/>
        <item x="1720"/>
        <item x="1866"/>
        <item x="1317"/>
        <item x="367"/>
        <item x="1995"/>
        <item x="112"/>
        <item x="127"/>
        <item x="640"/>
        <item x="166"/>
        <item x="550"/>
        <item x="1748"/>
        <item x="935"/>
        <item x="180"/>
        <item x="139"/>
        <item x="1842"/>
        <item x="1946"/>
        <item x="989"/>
        <item x="194"/>
        <item x="1050"/>
        <item x="1645"/>
        <item x="1702"/>
        <item x="87"/>
        <item x="709"/>
        <item x="1115"/>
        <item x="731"/>
        <item x="925"/>
        <item x="418"/>
        <item x="531"/>
        <item x="604"/>
        <item x="1349"/>
        <item x="1893"/>
        <item x="760"/>
        <item x="1887"/>
        <item x="397"/>
        <item x="316"/>
        <item x="58"/>
        <item x="22"/>
        <item x="38"/>
        <item x="1656"/>
        <item x="1990"/>
        <item x="20"/>
        <item x="1846"/>
        <item x="1903"/>
        <item x="311"/>
        <item x="182"/>
        <item x="1686"/>
        <item x="396"/>
        <item x="1271"/>
        <item x="611"/>
        <item x="1711"/>
        <item x="279"/>
        <item x="269"/>
        <item x="436"/>
        <item x="340"/>
        <item x="1953"/>
        <item x="1194"/>
        <item x="840"/>
        <item x="1983"/>
        <item x="788"/>
        <item x="443"/>
        <item x="1070"/>
        <item x="1274"/>
        <item x="174"/>
        <item x="623"/>
        <item x="705"/>
        <item x="733"/>
        <item x="435"/>
        <item x="1453"/>
        <item x="1028"/>
        <item x="875"/>
        <item x="1339"/>
        <item x="287"/>
        <item x="862"/>
        <item x="116"/>
        <item x="387"/>
        <item x="266"/>
        <item x="824"/>
        <item x="1569"/>
        <item x="1531"/>
        <item x="1665"/>
        <item x="1265"/>
        <item x="232"/>
        <item x="1635"/>
        <item x="1510"/>
        <item x="1258"/>
        <item x="724"/>
        <item x="1337"/>
        <item x="66"/>
        <item x="1273"/>
        <item x="530"/>
        <item x="532"/>
        <item x="1794"/>
        <item x="1568"/>
        <item x="1732"/>
        <item x="995"/>
        <item x="1813"/>
        <item x="1638"/>
        <item x="517"/>
        <item x="451"/>
        <item x="1860"/>
        <item x="1960"/>
        <item x="1821"/>
        <item x="1048"/>
        <item x="1865"/>
        <item x="1864"/>
        <item x="536"/>
        <item x="1756"/>
        <item x="675"/>
        <item x="744"/>
        <item x="1904"/>
        <item x="403"/>
        <item x="261"/>
        <item x="25"/>
        <item x="970"/>
        <item x="523"/>
        <item x="1878"/>
        <item x="1830"/>
        <item x="1725"/>
        <item x="1330"/>
        <item x="810"/>
        <item x="1148"/>
        <item x="752"/>
        <item x="596"/>
        <item x="1550"/>
        <item x="439"/>
        <item x="984"/>
        <item x="848"/>
        <item x="1210"/>
        <item x="1359"/>
        <item x="300"/>
        <item x="1446"/>
        <item x="595"/>
        <item x="1440"/>
        <item x="426"/>
        <item x="1347"/>
        <item x="1475"/>
        <item x="714"/>
        <item x="2"/>
        <item x="587"/>
        <item x="1482"/>
        <item x="1103"/>
        <item x="1771"/>
        <item x="488"/>
        <item x="910"/>
        <item x="103"/>
        <item x="427"/>
        <item x="1012"/>
        <item x="1237"/>
        <item x="115"/>
        <item x="208"/>
        <item x="1529"/>
        <item x="1172"/>
        <item x="467"/>
        <item x="1537"/>
        <item x="1246"/>
        <item x="476"/>
        <item x="1668"/>
        <item x="132"/>
        <item x="1315"/>
        <item x="593"/>
        <item x="924"/>
        <item x="385"/>
        <item x="1416"/>
        <item x="580"/>
        <item x="627"/>
        <item x="335"/>
        <item x="1862"/>
        <item x="944"/>
        <item x="1455"/>
        <item x="251"/>
        <item x="1203"/>
        <item x="1689"/>
        <item x="155"/>
        <item x="654"/>
        <item x="1375"/>
        <item x="390"/>
        <item x="1002"/>
        <item x="155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hier="0"/>
  </pageFields>
  <dataFields count="1">
    <dataField name="Sum of Total_Amount" fld="17" baseField="0" baseItem="0"/>
  </dataFields>
  <formats count="10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3" type="button" dataOnly="0" labelOnly="1" outline="0" axis="axisRow" fieldPosition="0"/>
    </format>
    <format dxfId="21">
      <pivotArea dataOnly="0" labelOnly="1" fieldPosition="0">
        <references count="1">
          <reference field="1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field="13" type="button" dataOnly="0" labelOnly="1" outline="0" axis="axisRow" fieldPosition="0"/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0" cacheId="1" applyNumberFormats="0" applyBorderFormats="0" applyFontFormats="0" applyPatternFormats="0" applyAlignmentFormats="0" applyWidthHeightFormats="1" dataCaption="Values" grandTotalCaption="Sum of Total Amount" updatedVersion="7" minRefreshableVersion="3" useAutoFormatting="1" createdVersion="7" indent="0" outline="1" outlineData="1" multipleFieldFilters="0" chartFormat="4" rowHeaderCaption="Year">
  <location ref="A3:G8" firstHeaderRow="1" firstDataRow="2" firstDataCol="1" rowPageCount="1" colPageCount="1"/>
  <pivotFields count="21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6" showAll="0"/>
    <pivotField numFmtId="2" showAll="0">
      <items count="37">
        <item x="33"/>
        <item x="10"/>
        <item x="31"/>
        <item x="15"/>
        <item x="13"/>
        <item x="28"/>
        <item x="22"/>
        <item x="8"/>
        <item x="16"/>
        <item x="0"/>
        <item x="30"/>
        <item x="32"/>
        <item x="27"/>
        <item x="21"/>
        <item x="17"/>
        <item x="26"/>
        <item x="18"/>
        <item x="19"/>
        <item x="35"/>
        <item x="20"/>
        <item x="6"/>
        <item x="3"/>
        <item x="9"/>
        <item x="4"/>
        <item x="5"/>
        <item x="29"/>
        <item x="34"/>
        <item x="14"/>
        <item x="7"/>
        <item x="24"/>
        <item x="2"/>
        <item x="25"/>
        <item x="1"/>
        <item x="23"/>
        <item x="12"/>
        <item x="11"/>
        <item t="default"/>
      </items>
    </pivotField>
    <pivotField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5" showAll="0">
      <items count="1998">
        <item x="1674"/>
        <item x="1739"/>
        <item x="923"/>
        <item x="829"/>
        <item x="473"/>
        <item x="722"/>
        <item x="1030"/>
        <item x="584"/>
        <item x="827"/>
        <item x="895"/>
        <item x="1226"/>
        <item x="1291"/>
        <item x="1153"/>
        <item x="1211"/>
        <item x="1819"/>
        <item x="884"/>
        <item x="400"/>
        <item x="1549"/>
        <item x="1366"/>
        <item x="1850"/>
        <item x="1828"/>
        <item x="1898"/>
        <item x="1962"/>
        <item x="1331"/>
        <item x="1374"/>
        <item x="528"/>
        <item x="1915"/>
        <item x="605"/>
        <item x="1745"/>
        <item x="1660"/>
        <item x="1614"/>
        <item x="919"/>
        <item x="506"/>
        <item x="578"/>
        <item x="988"/>
        <item x="1071"/>
        <item x="1692"/>
        <item x="1970"/>
        <item x="955"/>
        <item x="1290"/>
        <item x="594"/>
        <item x="1876"/>
        <item x="1026"/>
        <item x="1162"/>
        <item x="677"/>
        <item x="1685"/>
        <item x="331"/>
        <item x="177"/>
        <item x="665"/>
        <item x="157"/>
        <item x="1118"/>
        <item x="465"/>
        <item x="681"/>
        <item x="1466"/>
        <item x="1257"/>
        <item x="522"/>
        <item x="726"/>
        <item x="1183"/>
        <item x="413"/>
        <item x="124"/>
        <item x="1734"/>
        <item x="313"/>
        <item x="998"/>
        <item x="1637"/>
        <item x="1164"/>
        <item x="1966"/>
        <item x="629"/>
        <item x="1445"/>
        <item x="799"/>
        <item x="1565"/>
        <item x="1889"/>
        <item x="1125"/>
        <item x="329"/>
        <item x="1248"/>
        <item x="1094"/>
        <item x="1591"/>
        <item x="1386"/>
        <item x="750"/>
        <item x="727"/>
        <item x="415"/>
        <item x="1415"/>
        <item x="1770"/>
        <item x="897"/>
        <item x="382"/>
        <item x="1305"/>
        <item x="600"/>
        <item x="1664"/>
        <item x="1984"/>
        <item x="1459"/>
        <item x="1758"/>
        <item x="1712"/>
        <item x="158"/>
        <item x="1460"/>
        <item x="1596"/>
        <item x="974"/>
        <item x="337"/>
        <item x="635"/>
        <item x="1879"/>
        <item x="747"/>
        <item x="1859"/>
        <item x="207"/>
        <item x="921"/>
        <item x="1324"/>
        <item x="433"/>
        <item x="934"/>
        <item x="1804"/>
        <item x="1141"/>
        <item x="1558"/>
        <item x="47"/>
        <item x="1713"/>
        <item x="1513"/>
        <item x="95"/>
        <item x="83"/>
        <item x="869"/>
        <item x="1840"/>
        <item x="1583"/>
        <item x="383"/>
        <item x="1806"/>
        <item x="901"/>
        <item x="256"/>
        <item x="1047"/>
        <item x="516"/>
        <item x="1724"/>
        <item x="1742"/>
        <item x="1303"/>
        <item x="1062"/>
        <item x="1244"/>
        <item x="28"/>
        <item x="420"/>
        <item x="1544"/>
        <item x="1049"/>
        <item x="170"/>
        <item x="1886"/>
        <item x="1701"/>
        <item x="1680"/>
        <item x="583"/>
        <item x="1788"/>
        <item x="181"/>
        <item x="1241"/>
        <item x="740"/>
        <item x="1297"/>
        <item x="1837"/>
        <item x="1066"/>
        <item x="118"/>
        <item x="1166"/>
        <item x="1831"/>
        <item x="515"/>
        <item x="1417"/>
        <item x="348"/>
        <item x="490"/>
        <item x="1509"/>
        <item x="644"/>
        <item x="1132"/>
        <item x="1389"/>
        <item x="1606"/>
        <item x="1873"/>
        <item x="1430"/>
        <item x="1311"/>
        <item x="1624"/>
        <item x="938"/>
        <item x="1988"/>
        <item x="74"/>
        <item x="1013"/>
        <item x="1958"/>
        <item x="1528"/>
        <item x="900"/>
        <item x="1928"/>
        <item x="1610"/>
        <item x="508"/>
        <item x="1833"/>
        <item x="281"/>
        <item x="1328"/>
        <item x="1507"/>
        <item x="1884"/>
        <item x="365"/>
        <item x="60"/>
        <item x="1655"/>
        <item x="758"/>
        <item x="289"/>
        <item x="1996"/>
        <item x="1532"/>
        <item x="422"/>
        <item x="719"/>
        <item x="1045"/>
        <item x="1579"/>
        <item x="1435"/>
        <item x="271"/>
        <item x="1098"/>
        <item x="889"/>
        <item x="364"/>
        <item x="721"/>
        <item x="1779"/>
        <item x="1225"/>
        <item x="1548"/>
        <item x="152"/>
        <item x="0"/>
        <item x="847"/>
        <item x="908"/>
        <item x="676"/>
        <item x="258"/>
        <item x="319"/>
        <item x="1260"/>
        <item x="1677"/>
        <item x="1768"/>
        <item x="1008"/>
        <item x="1078"/>
        <item x="1250"/>
        <item x="1646"/>
        <item x="51"/>
        <item x="735"/>
        <item x="502"/>
        <item x="24"/>
        <item x="1024"/>
        <item x="1287"/>
        <item x="1159"/>
        <item x="1694"/>
        <item x="1174"/>
        <item x="1020"/>
        <item x="715"/>
        <item x="647"/>
        <item x="667"/>
        <item x="63"/>
        <item x="1112"/>
        <item x="1278"/>
        <item x="368"/>
        <item x="159"/>
        <item x="1105"/>
        <item x="137"/>
        <item x="318"/>
        <item x="298"/>
        <item x="1588"/>
        <item x="68"/>
        <item x="1355"/>
        <item x="50"/>
        <item x="588"/>
        <item x="1239"/>
        <item x="1501"/>
        <item x="1264"/>
        <item x="1410"/>
        <item x="1700"/>
        <item x="1212"/>
        <item x="1502"/>
        <item x="444"/>
        <item x="246"/>
        <item x="670"/>
        <item x="643"/>
        <item x="1157"/>
        <item x="775"/>
        <item x="874"/>
        <item x="193"/>
        <item x="327"/>
        <item x="239"/>
        <item x="70"/>
        <item x="310"/>
        <item x="10"/>
        <item x="1811"/>
        <item x="113"/>
        <item x="912"/>
        <item x="1676"/>
        <item x="1139"/>
        <item x="812"/>
        <item x="669"/>
        <item x="475"/>
        <item x="134"/>
        <item x="1908"/>
        <item x="1690"/>
        <item x="31"/>
        <item x="1546"/>
        <item x="314"/>
        <item x="1185"/>
        <item x="693"/>
        <item x="505"/>
        <item x="219"/>
        <item x="119"/>
        <item x="632"/>
        <item x="768"/>
        <item x="1213"/>
        <item x="1894"/>
        <item x="1599"/>
        <item x="375"/>
        <item x="391"/>
        <item x="1547"/>
        <item x="1"/>
        <item x="1539"/>
        <item x="614"/>
        <item x="582"/>
        <item x="945"/>
        <item x="1556"/>
        <item x="1394"/>
        <item x="780"/>
        <item x="1357"/>
        <item x="1381"/>
        <item x="660"/>
        <item x="1585"/>
        <item x="841"/>
        <item x="1707"/>
        <item x="1618"/>
        <item x="171"/>
        <item x="1447"/>
        <item x="1029"/>
        <item x="1625"/>
        <item x="280"/>
        <item x="1023"/>
        <item x="678"/>
        <item x="1186"/>
        <item x="1691"/>
        <item x="217"/>
        <item x="1598"/>
        <item x="393"/>
        <item x="1992"/>
        <item x="1933"/>
        <item x="1826"/>
        <item x="1632"/>
        <item x="1309"/>
        <item x="1402"/>
        <item x="79"/>
        <item x="1011"/>
        <item x="633"/>
        <item x="1675"/>
        <item x="154"/>
        <item x="843"/>
        <item x="1782"/>
        <item x="1939"/>
        <item x="1323"/>
        <item x="1422"/>
        <item x="547"/>
        <item x="1259"/>
        <item x="1329"/>
        <item x="1942"/>
        <item x="625"/>
        <item x="545"/>
        <item x="1429"/>
        <item x="1326"/>
        <item x="1252"/>
        <item x="1790"/>
        <item x="1961"/>
        <item x="638"/>
        <item x="1478"/>
        <item x="81"/>
        <item x="37"/>
        <item x="341"/>
        <item x="1461"/>
        <item x="917"/>
        <item x="1644"/>
        <item x="968"/>
        <item x="1798"/>
        <item x="759"/>
        <item x="1511"/>
        <item x="634"/>
        <item x="61"/>
        <item x="822"/>
        <item x="510"/>
        <item x="338"/>
        <item x="1232"/>
        <item x="1978"/>
        <item x="1923"/>
        <item x="781"/>
        <item x="1784"/>
        <item x="1486"/>
        <item x="764"/>
        <item x="1785"/>
        <item x="1593"/>
        <item x="1890"/>
        <item x="645"/>
        <item x="1436"/>
        <item x="1719"/>
        <item x="1167"/>
        <item x="242"/>
        <item x="1007"/>
        <item x="122"/>
        <item x="1055"/>
        <item x="1801"/>
        <item x="971"/>
        <item x="283"/>
        <item x="486"/>
        <item x="1945"/>
        <item x="1146"/>
        <item x="1570"/>
        <item x="274"/>
        <item x="307"/>
        <item x="91"/>
        <item x="796"/>
        <item x="1465"/>
        <item x="876"/>
        <item x="1032"/>
        <item x="1377"/>
        <item x="746"/>
        <item x="1968"/>
        <item x="551"/>
        <item x="1393"/>
        <item x="497"/>
        <item x="1731"/>
        <item x="927"/>
        <item x="44"/>
        <item x="46"/>
        <item x="372"/>
        <item x="425"/>
        <item x="798"/>
        <item x="1087"/>
        <item x="1354"/>
        <item x="216"/>
        <item x="1168"/>
        <item x="894"/>
        <item x="500"/>
        <item x="738"/>
        <item x="782"/>
        <item x="690"/>
        <item x="1187"/>
        <item x="30"/>
        <item x="891"/>
        <item x="1576"/>
        <item x="741"/>
        <item x="866"/>
        <item x="296"/>
        <item x="1215"/>
        <item x="88"/>
        <item x="1102"/>
        <item x="674"/>
        <item x="35"/>
        <item x="954"/>
        <item x="1730"/>
        <item x="1131"/>
        <item x="1479"/>
        <item x="1985"/>
        <item x="484"/>
        <item x="1519"/>
        <item x="5"/>
        <item x="80"/>
        <item x="542"/>
        <item x="701"/>
        <item x="1392"/>
        <item x="234"/>
        <item x="1620"/>
        <item x="1383"/>
        <item x="1275"/>
        <item x="811"/>
        <item x="440"/>
        <item x="1135"/>
        <item x="198"/>
        <item x="1972"/>
        <item x="1471"/>
        <item x="1348"/>
        <item x="1221"/>
        <item x="1165"/>
        <item x="1717"/>
        <item x="317"/>
        <item x="777"/>
        <item x="1358"/>
        <item x="294"/>
        <item x="1016"/>
        <item x="1428"/>
        <item x="1560"/>
        <item x="965"/>
        <item x="1015"/>
        <item x="62"/>
        <item x="1751"/>
        <item x="1524"/>
        <item x="1304"/>
        <item x="1573"/>
        <item x="1443"/>
        <item x="1897"/>
        <item x="1613"/>
        <item x="357"/>
        <item x="1495"/>
        <item x="1022"/>
        <item x="212"/>
        <item x="253"/>
        <item x="161"/>
        <item x="205"/>
        <item x="1448"/>
        <item x="1493"/>
        <item x="1816"/>
        <item x="163"/>
        <item x="537"/>
        <item x="787"/>
        <item x="1710"/>
        <item x="1490"/>
        <item x="1391"/>
        <item x="407"/>
        <item x="374"/>
        <item x="1956"/>
        <item x="732"/>
        <item x="1169"/>
        <item x="559"/>
        <item x="650"/>
        <item x="1708"/>
        <item x="141"/>
        <item x="1877"/>
        <item x="512"/>
        <item x="1626"/>
        <item x="725"/>
        <item x="795"/>
        <item x="1805"/>
        <item x="1601"/>
        <item x="85"/>
        <item x="1409"/>
        <item x="1812"/>
        <item x="1351"/>
        <item x="1079"/>
        <item x="797"/>
        <item x="1605"/>
        <item x="792"/>
        <item x="470"/>
        <item x="1180"/>
        <item x="1137"/>
        <item x="1036"/>
        <item x="756"/>
        <item x="322"/>
        <item x="48"/>
        <item x="871"/>
        <item x="265"/>
        <item x="903"/>
        <item x="284"/>
        <item x="730"/>
        <item x="463"/>
        <item x="1003"/>
        <item x="549"/>
        <item x="882"/>
        <item x="1499"/>
        <item x="496"/>
        <item x="845"/>
        <item x="1052"/>
        <item x="986"/>
        <item x="926"/>
        <item x="892"/>
        <item x="544"/>
        <item x="133"/>
        <item x="668"/>
        <item x="959"/>
        <item x="707"/>
        <item x="828"/>
        <item x="1538"/>
        <item x="529"/>
        <item x="1364"/>
        <item x="197"/>
        <item x="1134"/>
        <item x="1316"/>
        <item x="1861"/>
        <item x="1350"/>
        <item x="471"/>
        <item x="1901"/>
        <item x="183"/>
        <item x="610"/>
        <item x="987"/>
        <item x="1557"/>
        <item x="252"/>
        <item x="1346"/>
        <item x="918"/>
        <item x="878"/>
        <item x="72"/>
        <item x="1854"/>
        <item x="1014"/>
        <item x="820"/>
        <item x="1469"/>
        <item x="293"/>
        <item x="347"/>
        <item x="1980"/>
        <item x="637"/>
        <item x="321"/>
        <item x="648"/>
        <item x="1230"/>
        <item x="1361"/>
        <item x="441"/>
        <item x="213"/>
        <item x="1092"/>
        <item x="1761"/>
        <item x="956"/>
        <item x="189"/>
        <item x="1832"/>
        <item x="462"/>
        <item x="1726"/>
        <item x="1965"/>
        <item x="1766"/>
        <item x="1484"/>
        <item x="1741"/>
        <item x="1476"/>
        <item x="928"/>
        <item x="21"/>
        <item x="905"/>
        <item x="1201"/>
        <item x="238"/>
        <item x="1181"/>
        <item x="442"/>
        <item x="1649"/>
        <item x="1487"/>
        <item x="429"/>
        <item x="1372"/>
        <item x="1868"/>
        <item x="1039"/>
        <item x="275"/>
        <item x="1520"/>
        <item x="1778"/>
        <item x="1818"/>
        <item x="711"/>
        <item x="1086"/>
        <item x="481"/>
        <item x="1207"/>
        <item x="1523"/>
        <item x="398"/>
        <item x="1807"/>
        <item x="916"/>
        <item x="1320"/>
        <item x="1867"/>
        <item x="209"/>
        <item x="222"/>
        <item x="753"/>
        <item x="26"/>
        <item x="1037"/>
        <item x="993"/>
        <item x="366"/>
        <item x="1136"/>
        <item x="807"/>
        <item x="1688"/>
        <item x="13"/>
        <item x="573"/>
        <item x="1937"/>
        <item x="1687"/>
        <item x="772"/>
        <item x="704"/>
        <item x="922"/>
        <item x="291"/>
        <item x="1433"/>
        <item x="1572"/>
        <item x="915"/>
        <item x="361"/>
        <item x="624"/>
        <item x="1755"/>
        <item x="863"/>
        <item x="1880"/>
        <item x="1969"/>
        <item x="1333"/>
        <item x="712"/>
        <item x="763"/>
        <item x="148"/>
        <item x="1408"/>
        <item x="1387"/>
        <item x="147"/>
        <item x="1280"/>
        <item x="1236"/>
        <item x="93"/>
        <item x="164"/>
        <item x="445"/>
        <item x="499"/>
        <item x="1621"/>
        <item x="940"/>
        <item x="601"/>
        <item x="1764"/>
        <item x="408"/>
        <item x="1545"/>
        <item x="1101"/>
        <item x="388"/>
        <item x="745"/>
        <item x="802"/>
        <item x="1829"/>
        <item x="1981"/>
        <item x="363"/>
        <item x="696"/>
        <item x="1957"/>
        <item x="835"/>
        <item x="501"/>
        <item x="1925"/>
        <item x="1279"/>
        <item x="1651"/>
        <item x="1922"/>
        <item x="370"/>
        <item x="821"/>
        <item x="930"/>
        <item x="1580"/>
        <item x="1057"/>
        <item x="169"/>
        <item x="77"/>
        <item x="1488"/>
        <item x="1926"/>
        <item x="356"/>
        <item x="689"/>
        <item x="1462"/>
        <item x="649"/>
        <item x="1630"/>
        <item x="92"/>
        <item x="285"/>
        <item x="90"/>
        <item x="1642"/>
        <item x="292"/>
        <item x="618"/>
        <item x="353"/>
        <item x="1253"/>
        <item x="1935"/>
        <item x="1154"/>
        <item x="1977"/>
        <item x="914"/>
        <item x="729"/>
        <item x="477"/>
        <item x="259"/>
        <item x="503"/>
        <item x="1672"/>
        <item x="144"/>
        <item x="1336"/>
        <item x="138"/>
        <item x="1382"/>
        <item x="1911"/>
        <item x="1010"/>
        <item x="533"/>
        <item x="1986"/>
        <item x="1740"/>
        <item x="946"/>
        <item x="1515"/>
        <item x="1562"/>
        <item x="23"/>
        <item x="819"/>
        <item x="837"/>
        <item x="957"/>
        <item x="1947"/>
        <item x="1974"/>
        <item x="1124"/>
        <item x="1116"/>
        <item x="1405"/>
        <item x="1191"/>
        <item x="1931"/>
        <item x="526"/>
        <item x="1234"/>
        <item x="769"/>
        <item x="858"/>
        <item x="1498"/>
        <item x="825"/>
        <item x="734"/>
        <item x="1367"/>
        <item x="854"/>
        <item x="1424"/>
        <item x="1198"/>
        <item x="765"/>
        <item x="1096"/>
        <item x="480"/>
        <item x="405"/>
        <item x="663"/>
        <item x="1300"/>
        <item x="1095"/>
        <item x="1277"/>
        <item x="1385"/>
        <item x="1589"/>
        <item x="89"/>
        <item x="371"/>
        <item x="402"/>
        <item x="245"/>
        <item x="1043"/>
        <item x="1021"/>
        <item x="964"/>
        <item x="1757"/>
        <item x="1643"/>
        <item x="1855"/>
        <item x="1397"/>
        <item x="1481"/>
        <item x="864"/>
        <item x="1670"/>
        <item x="543"/>
        <item x="1156"/>
        <item x="514"/>
        <item x="771"/>
        <item x="49"/>
        <item x="1077"/>
        <item x="1325"/>
        <item x="1272"/>
        <item x="411"/>
        <item x="483"/>
        <item x="1881"/>
        <item x="1706"/>
        <item x="873"/>
        <item x="84"/>
        <item x="1150"/>
        <item x="214"/>
        <item x="1552"/>
        <item x="1631"/>
        <item x="880"/>
        <item x="1414"/>
        <item x="592"/>
        <item x="1791"/>
        <item x="1870"/>
        <item x="565"/>
        <item x="1847"/>
        <item x="662"/>
        <item x="1648"/>
        <item x="1004"/>
        <item x="129"/>
        <item x="1097"/>
        <item x="1527"/>
        <item x="703"/>
        <item x="1921"/>
        <item x="619"/>
        <item x="184"/>
        <item x="478"/>
        <item x="535"/>
        <item x="1161"/>
        <item x="1080"/>
        <item x="1872"/>
        <item x="199"/>
        <item x="617"/>
        <item x="100"/>
        <item x="1869"/>
        <item x="191"/>
        <item x="1126"/>
        <item x="1856"/>
        <item x="1639"/>
        <item x="518"/>
        <item x="330"/>
        <item x="1849"/>
        <item x="1786"/>
        <item x="902"/>
        <item x="461"/>
        <item x="247"/>
        <item x="1129"/>
        <item x="1009"/>
        <item x="495"/>
        <item x="1046"/>
        <item x="525"/>
        <item x="423"/>
        <item x="1044"/>
        <item x="1463"/>
        <item x="485"/>
        <item x="1912"/>
        <item x="1370"/>
        <item x="524"/>
        <item x="562"/>
        <item x="1420"/>
        <item x="1944"/>
        <item x="1235"/>
        <item x="210"/>
        <item x="424"/>
        <item x="962"/>
        <item x="767"/>
        <item x="906"/>
        <item x="1666"/>
        <item x="1373"/>
        <item x="1834"/>
        <item x="1669"/>
        <item x="1663"/>
        <item x="1114"/>
        <item x="896"/>
        <item x="105"/>
        <item x="1284"/>
        <item x="691"/>
        <item x="1927"/>
        <item x="1251"/>
        <item x="96"/>
        <item x="1617"/>
        <item x="1678"/>
        <item x="706"/>
        <item x="1716"/>
        <item x="125"/>
        <item x="1907"/>
        <item x="572"/>
        <item x="1173"/>
        <item x="406"/>
        <item x="1438"/>
        <item x="1082"/>
        <item x="452"/>
        <item x="464"/>
        <item x="1987"/>
        <item x="816"/>
        <item x="513"/>
        <item x="1797"/>
        <item x="176"/>
        <item x="1491"/>
        <item x="1027"/>
        <item x="1240"/>
        <item x="1483"/>
        <item x="448"/>
        <item x="430"/>
        <item x="1753"/>
        <item x="1314"/>
        <item x="836"/>
        <item x="907"/>
        <item x="1222"/>
        <item x="273"/>
        <item x="1122"/>
        <item x="783"/>
        <item x="608"/>
        <item x="1238"/>
        <item x="1787"/>
        <item x="541"/>
        <item x="468"/>
        <item x="1219"/>
        <item x="1909"/>
        <item x="1399"/>
        <item x="1266"/>
        <item x="636"/>
        <item x="201"/>
        <item x="1627"/>
        <item x="791"/>
        <item x="1554"/>
        <item x="651"/>
        <item x="195"/>
        <item x="1882"/>
        <item x="1752"/>
        <item x="1298"/>
        <item x="131"/>
        <item x="8"/>
        <item x="1647"/>
        <item x="53"/>
        <item x="702"/>
        <item x="898"/>
        <item x="29"/>
        <item x="16"/>
        <item x="1905"/>
        <item x="990"/>
        <item x="1609"/>
        <item x="1991"/>
        <item x="1093"/>
        <item x="344"/>
        <item x="1406"/>
        <item x="1065"/>
        <item x="1121"/>
        <item x="1662"/>
        <item x="856"/>
        <item x="1951"/>
        <item x="784"/>
        <item x="1541"/>
        <item x="1474"/>
        <item x="1505"/>
        <item x="494"/>
        <item x="1485"/>
        <item x="1963"/>
        <item x="1853"/>
        <item x="679"/>
        <item x="3"/>
        <item x="511"/>
        <item x="241"/>
        <item x="1623"/>
        <item x="1123"/>
        <item x="1671"/>
        <item x="762"/>
        <item x="1270"/>
        <item x="417"/>
        <item x="975"/>
        <item x="323"/>
        <item x="267"/>
        <item x="1503"/>
        <item x="850"/>
        <item x="1109"/>
        <item x="130"/>
        <item x="102"/>
        <item x="1152"/>
        <item x="673"/>
        <item x="235"/>
        <item x="1641"/>
        <item x="1793"/>
        <item x="1204"/>
        <item x="215"/>
        <item x="1845"/>
        <item x="140"/>
        <item x="1910"/>
        <item x="110"/>
        <item x="1582"/>
        <item x="586"/>
        <item x="1019"/>
        <item x="842"/>
        <item x="378"/>
        <item x="1769"/>
        <item x="628"/>
        <item x="1040"/>
        <item x="1578"/>
        <item x="1943"/>
        <item x="534"/>
        <item x="1099"/>
        <item x="808"/>
        <item x="571"/>
        <item x="493"/>
        <item x="1100"/>
        <item x="1615"/>
        <item x="833"/>
        <item x="1104"/>
        <item x="687"/>
        <item x="1622"/>
        <item x="1902"/>
        <item x="1693"/>
        <item x="909"/>
        <item x="1896"/>
        <item x="868"/>
        <item x="737"/>
        <item x="653"/>
        <item x="1967"/>
        <item x="67"/>
        <item x="560"/>
        <item x="233"/>
        <item x="1795"/>
        <item x="885"/>
        <item x="1736"/>
        <item x="1512"/>
        <item x="1506"/>
        <item x="377"/>
        <item x="59"/>
        <item x="126"/>
        <item x="1388"/>
        <item x="168"/>
        <item x="813"/>
        <item x="123"/>
        <item x="17"/>
        <item x="1269"/>
        <item x="1038"/>
        <item x="997"/>
        <item x="186"/>
        <item x="1281"/>
        <item x="579"/>
        <item x="641"/>
        <item x="1709"/>
        <item x="743"/>
        <item x="1143"/>
        <item x="700"/>
        <item x="1073"/>
        <item x="1363"/>
        <item x="1306"/>
        <item x="1449"/>
        <item x="41"/>
        <item x="804"/>
        <item x="1661"/>
        <item x="1982"/>
        <item x="570"/>
        <item x="1192"/>
        <item x="698"/>
        <item x="1308"/>
        <item x="1775"/>
        <item x="179"/>
        <item x="1844"/>
        <item x="1913"/>
        <item x="603"/>
        <item x="438"/>
        <item x="688"/>
        <item x="446"/>
        <item x="1948"/>
        <item x="972"/>
        <item x="1283"/>
        <item x="852"/>
        <item x="540"/>
        <item x="1130"/>
        <item x="1718"/>
        <item x="1959"/>
        <item x="145"/>
        <item x="369"/>
        <item x="101"/>
        <item x="1188"/>
        <item x="853"/>
        <item x="1952"/>
        <item x="1006"/>
        <item x="449"/>
        <item x="325"/>
        <item x="1208"/>
        <item x="192"/>
        <item x="392"/>
        <item x="1378"/>
        <item x="315"/>
        <item x="557"/>
        <item x="187"/>
        <item x="1841"/>
        <item x="1113"/>
        <item x="395"/>
        <item x="1929"/>
        <item x="597"/>
        <item x="162"/>
        <item x="826"/>
        <item x="723"/>
        <item x="73"/>
        <item x="546"/>
        <item x="1472"/>
        <item x="1883"/>
        <item x="18"/>
        <item x="55"/>
        <item x="1365"/>
        <item x="575"/>
        <item x="757"/>
        <item x="548"/>
        <item x="349"/>
        <item x="1403"/>
        <item x="1815"/>
        <item x="872"/>
        <item x="109"/>
        <item x="567"/>
        <item x="1220"/>
        <item x="754"/>
        <item x="1564"/>
        <item x="507"/>
        <item x="1128"/>
        <item x="487"/>
        <item x="94"/>
        <item x="278"/>
        <item x="950"/>
        <item x="428"/>
        <item x="11"/>
        <item x=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    <item x="626"/>
        <item x="1534"/>
        <item x="1263"/>
        <item x="1376"/>
        <item x="173"/>
        <item x="1899"/>
        <item x="203"/>
        <item x="1762"/>
        <item x="1777"/>
        <item x="332"/>
        <item x="1400"/>
        <item x="1760"/>
        <item x="39"/>
        <item x="82"/>
        <item x="683"/>
        <item x="793"/>
        <item x="1917"/>
        <item x="1233"/>
        <item x="1817"/>
        <item x="1067"/>
        <item x="1084"/>
        <item x="1432"/>
        <item x="801"/>
        <item x="1371"/>
        <item x="326"/>
        <item x="1695"/>
        <item x="1521"/>
        <item x="1434"/>
        <item x="1267"/>
        <item x="334"/>
        <item x="1577"/>
        <item x="1874"/>
        <item x="1941"/>
        <item x="1525"/>
        <item x="1765"/>
        <item x="509"/>
        <item x="620"/>
        <item x="838"/>
        <item x="1175"/>
        <item x="779"/>
        <item x="1362"/>
        <item x="1282"/>
        <item x="160"/>
        <item x="472"/>
        <item x="1243"/>
        <item x="32"/>
        <item x="1401"/>
        <item x="1356"/>
        <item x="1936"/>
        <item x="456"/>
        <item x="1492"/>
        <item x="1551"/>
        <item x="1197"/>
        <item x="713"/>
        <item x="1600"/>
        <item x="1976"/>
        <item x="1344"/>
        <item x="656"/>
        <item x="237"/>
        <item x="1110"/>
        <item x="1543"/>
        <item x="276"/>
        <item x="121"/>
        <item x="576"/>
        <item x="1792"/>
        <item x="220"/>
        <item x="879"/>
        <item x="1081"/>
        <item x="1060"/>
        <item x="1412"/>
        <item x="1209"/>
        <item x="381"/>
        <item x="742"/>
        <item x="849"/>
        <item x="1301"/>
        <item x="1858"/>
        <item x="1892"/>
        <item x="345"/>
        <item x="1822"/>
        <item x="778"/>
        <item x="1940"/>
        <item x="1418"/>
        <item x="1555"/>
        <item x="1652"/>
        <item x="190"/>
        <item x="867"/>
        <item x="71"/>
        <item x="697"/>
        <item x="1930"/>
        <item x="755"/>
        <item x="749"/>
        <item x="859"/>
        <item x="652"/>
        <item x="230"/>
        <item x="1955"/>
        <item x="1563"/>
        <item x="1561"/>
        <item x="556"/>
        <item x="622"/>
        <item x="257"/>
        <item x="1595"/>
        <item x="57"/>
        <item x="1223"/>
        <item x="1759"/>
        <item x="333"/>
        <item x="7"/>
        <item x="1994"/>
        <item x="76"/>
        <item x="1914"/>
        <item x="1781"/>
        <item x="339"/>
        <item x="870"/>
        <item x="985"/>
        <item x="1140"/>
        <item x="1033"/>
        <item x="1715"/>
        <item x="342"/>
        <item x="887"/>
        <item x="943"/>
        <item x="1727"/>
        <item x="1242"/>
        <item x="1138"/>
        <item x="1423"/>
        <item x="815"/>
        <item x="1299"/>
        <item x="886"/>
        <item x="1170"/>
        <item x="818"/>
        <item x="410"/>
        <item x="1380"/>
        <item x="1120"/>
        <item x="1536"/>
        <item x="694"/>
        <item x="761"/>
        <item x="1820"/>
        <item x="243"/>
        <item x="1750"/>
        <item x="805"/>
        <item x="890"/>
        <item x="1063"/>
        <item x="1653"/>
        <item x="1480"/>
        <item x="1053"/>
        <item x="297"/>
        <item x="175"/>
        <item x="566"/>
        <item x="834"/>
        <item x="539"/>
        <item x="384"/>
        <item x="150"/>
        <item x="1089"/>
        <item x="1900"/>
        <item x="881"/>
        <item x="185"/>
        <item x="1318"/>
        <item x="1178"/>
        <item x="33"/>
        <item x="117"/>
        <item x="1704"/>
        <item x="1789"/>
        <item x="994"/>
        <item x="1054"/>
        <item x="64"/>
        <item x="1352"/>
        <item x="491"/>
        <item x="1783"/>
        <item x="309"/>
        <item x="1722"/>
        <item x="432"/>
        <item x="1158"/>
        <item x="602"/>
        <item x="128"/>
        <item x="206"/>
        <item x="1442"/>
        <item x="1227"/>
        <item x="803"/>
        <item x="114"/>
        <item x="1345"/>
        <item x="951"/>
        <item x="893"/>
        <item x="399"/>
        <item x="991"/>
        <item x="459"/>
        <item x="639"/>
        <item x="519"/>
        <item x="373"/>
        <item x="1384"/>
        <item x="568"/>
        <item x="857"/>
        <item x="409"/>
        <item x="949"/>
        <item x="814"/>
        <item x="911"/>
        <item x="248"/>
        <item x="1535"/>
        <item x="1083"/>
        <item x="1289"/>
        <item x="1042"/>
        <item x="482"/>
        <item x="931"/>
        <item x="458"/>
        <item x="1034"/>
        <item x="412"/>
        <item x="1714"/>
        <item x="1584"/>
        <item x="231"/>
        <item x="1522"/>
        <item x="1464"/>
        <item x="1088"/>
        <item x="149"/>
        <item x="52"/>
        <item x="268"/>
        <item x="223"/>
        <item x="414"/>
        <item x="616"/>
        <item x="1025"/>
        <item x="1247"/>
        <item x="1256"/>
        <item x="1746"/>
        <item x="574"/>
        <item x="1276"/>
        <item x="455"/>
        <item x="1604"/>
        <item x="832"/>
        <item x="419"/>
        <item x="421"/>
        <item x="1628"/>
        <item x="1721"/>
        <item x="1863"/>
        <item x="6"/>
        <item x="789"/>
        <item x="621"/>
        <item x="308"/>
        <item x="966"/>
        <item x="996"/>
        <item x="1407"/>
        <item x="692"/>
        <item x="809"/>
        <item x="773"/>
        <item x="1171"/>
        <item x="14"/>
        <item x="790"/>
        <item x="1292"/>
        <item x="457"/>
        <item x="1906"/>
        <item x="99"/>
        <item x="561"/>
        <item x="554"/>
        <item x="1747"/>
        <item x="1293"/>
        <item x="1636"/>
        <item x="202"/>
        <item x="1891"/>
        <item x="1059"/>
        <item x="861"/>
        <item x="1286"/>
        <item x="288"/>
        <item x="255"/>
        <item x="1458"/>
        <item x="224"/>
        <item x="1427"/>
        <item x="599"/>
        <item x="1814"/>
        <item x="655"/>
        <item x="953"/>
        <item x="1634"/>
        <item x="1018"/>
        <item x="1245"/>
        <item x="437"/>
        <item x="695"/>
        <item x="106"/>
        <item x="172"/>
        <item x="350"/>
        <item x="585"/>
        <item x="262"/>
        <item x="823"/>
        <item x="942"/>
        <item x="553"/>
        <item x="1650"/>
        <item x="56"/>
        <item x="306"/>
        <item x="1058"/>
        <item x="751"/>
        <item x="416"/>
        <item x="36"/>
        <item x="1451"/>
        <item x="1796"/>
        <item x="1971"/>
        <item x="167"/>
        <item x="1145"/>
        <item x="1091"/>
        <item x="111"/>
        <item x="1920"/>
        <item x="1437"/>
        <item x="346"/>
        <item x="1657"/>
        <item x="228"/>
        <item x="904"/>
        <item x="431"/>
        <item x="1176"/>
        <item x="1296"/>
        <item x="982"/>
        <item x="1852"/>
        <item x="1916"/>
        <item x="958"/>
        <item x="54"/>
        <item x="65"/>
        <item x="1835"/>
        <item x="328"/>
        <item x="1683"/>
        <item x="1517"/>
        <item x="1076"/>
        <item x="43"/>
        <item x="1729"/>
        <item x="630"/>
        <item x="135"/>
        <item x="302"/>
        <item x="1518"/>
        <item x="1559"/>
        <item x="1659"/>
        <item x="1597"/>
        <item x="1334"/>
        <item x="15"/>
        <item x="1179"/>
        <item x="1206"/>
        <item x="120"/>
        <item x="9"/>
        <item x="1467"/>
        <item x="299"/>
        <item x="34"/>
        <item x="1658"/>
        <item x="846"/>
        <item x="40"/>
        <item x="1839"/>
        <item x="1249"/>
        <item x="1196"/>
        <item x="146"/>
        <item x="1581"/>
        <item x="254"/>
        <item x="1975"/>
        <item x="104"/>
        <item x="1421"/>
        <item x="1800"/>
        <item x="434"/>
        <item x="658"/>
        <item x="684"/>
        <item x="1629"/>
        <item x="1737"/>
        <item x="1728"/>
        <item x="1843"/>
        <item x="153"/>
        <item x="1214"/>
        <item x="1017"/>
        <item x="877"/>
        <item x="1072"/>
        <item x="920"/>
        <item x="1295"/>
        <item x="1335"/>
        <item x="1825"/>
        <item x="249"/>
        <item x="1607"/>
        <item x="1205"/>
        <item x="1574"/>
        <item x="1216"/>
        <item x="1616"/>
        <item x="682"/>
        <item x="355"/>
        <item x="143"/>
        <item x="78"/>
        <item x="569"/>
        <item x="1803"/>
        <item x="1439"/>
        <item x="1218"/>
        <item x="320"/>
        <item x="685"/>
        <item x="263"/>
        <item x="244"/>
        <item x="1262"/>
        <item x="1332"/>
        <item x="717"/>
        <item x="1875"/>
        <item x="1774"/>
        <item x="999"/>
        <item x="1379"/>
        <item x="453"/>
        <item x="1608"/>
        <item x="1160"/>
        <item x="785"/>
        <item x="42"/>
        <item x="272"/>
        <item x="1473"/>
        <item x="303"/>
        <item x="1566"/>
        <item x="1342"/>
        <item x="1696"/>
        <item x="156"/>
        <item x="978"/>
        <item x="1530"/>
        <item x="1468"/>
        <item x="270"/>
        <item x="1964"/>
        <item x="631"/>
        <item x="1633"/>
        <item x="277"/>
        <item x="899"/>
        <item x="913"/>
        <item x="188"/>
        <item x="983"/>
        <item x="1763"/>
        <item x="362"/>
        <item x="591"/>
        <item x="1508"/>
        <item x="527"/>
        <item x="1075"/>
        <item x="1682"/>
        <item x="236"/>
        <item x="1738"/>
        <item x="1754"/>
        <item x="1319"/>
        <item x="447"/>
        <item x="710"/>
        <item x="980"/>
        <item x="1312"/>
        <item x="1111"/>
        <item x="1590"/>
        <item x="1949"/>
        <item x="1108"/>
        <item x="1454"/>
        <item x="1228"/>
        <item x="1514"/>
        <item x="1051"/>
        <item x="98"/>
        <item x="479"/>
        <item x="800"/>
        <item x="967"/>
        <item x="379"/>
        <item x="1190"/>
        <item x="492"/>
        <item x="1773"/>
        <item x="992"/>
        <item x="609"/>
        <item x="1496"/>
        <item x="1809"/>
        <item x="1667"/>
        <item x="1163"/>
        <item x="1504"/>
        <item x="1117"/>
        <item x="394"/>
        <item x="389"/>
        <item x="1395"/>
        <item x="1838"/>
        <item x="1005"/>
        <item x="680"/>
        <item x="699"/>
        <item x="1200"/>
        <item x="718"/>
        <item x="466"/>
        <item x="932"/>
        <item x="142"/>
        <item x="1182"/>
        <item x="352"/>
        <item x="1571"/>
        <item x="1307"/>
        <item x="1452"/>
        <item x="1310"/>
        <item x="1950"/>
        <item x="806"/>
        <item x="1313"/>
        <item x="1673"/>
        <item x="736"/>
        <item x="969"/>
        <item x="1526"/>
        <item x="1699"/>
        <item x="933"/>
        <item x="290"/>
        <item x="1802"/>
        <item x="489"/>
        <item x="577"/>
        <item x="952"/>
        <item x="1064"/>
        <item x="888"/>
        <item x="1031"/>
        <item x="1229"/>
        <item x="1776"/>
        <item x="1594"/>
        <item x="474"/>
        <item x="227"/>
        <item x="672"/>
        <item x="1684"/>
        <item x="855"/>
        <item x="1735"/>
        <item x="1404"/>
        <item x="977"/>
        <item x="1441"/>
        <item x="520"/>
        <item x="581"/>
        <item x="211"/>
        <item x="720"/>
        <item x="1413"/>
        <item x="1857"/>
        <item x="1338"/>
        <item x="19"/>
        <item x="1973"/>
        <item x="1611"/>
        <item x="1035"/>
        <item x="1288"/>
        <item x="555"/>
        <item x="839"/>
        <item x="1426"/>
        <item x="282"/>
        <item x="1494"/>
        <item x="830"/>
        <item x="598"/>
        <item x="107"/>
        <item x="1061"/>
        <item x="831"/>
        <item x="1322"/>
        <item x="1697"/>
        <item x="657"/>
        <item x="1199"/>
        <item x="165"/>
        <item x="151"/>
        <item x="1824"/>
        <item x="358"/>
        <item x="1810"/>
        <item x="1836"/>
        <item x="1085"/>
        <item x="659"/>
        <item x="981"/>
        <item x="558"/>
        <item x="976"/>
        <item x="1340"/>
        <item x="204"/>
        <item x="1224"/>
        <item x="563"/>
        <item x="686"/>
        <item x="1294"/>
        <item x="324"/>
        <item x="1041"/>
        <item x="1772"/>
        <item x="1654"/>
        <item x="240"/>
        <item x="1268"/>
        <item x="1419"/>
        <item x="1155"/>
        <item x="1516"/>
        <item x="4"/>
        <item x="1396"/>
        <item x="69"/>
        <item x="200"/>
        <item x="97"/>
        <item x="1823"/>
        <item x="1586"/>
        <item x="1202"/>
        <item x="1231"/>
        <item x="1500"/>
        <item x="1934"/>
        <item x="948"/>
        <item x="1450"/>
        <item x="1919"/>
        <item x="1989"/>
        <item x="1619"/>
        <item x="1341"/>
        <item x="786"/>
        <item x="450"/>
        <item x="883"/>
        <item x="590"/>
        <item x="1954"/>
        <item x="1431"/>
        <item x="1705"/>
        <item x="1456"/>
        <item x="229"/>
        <item x="1489"/>
        <item x="250"/>
        <item x="359"/>
        <item x="1848"/>
        <item x="961"/>
        <item x="1744"/>
        <item x="1932"/>
        <item x="947"/>
        <item x="1603"/>
        <item x="226"/>
        <item x="404"/>
        <item x="521"/>
        <item x="304"/>
        <item x="538"/>
        <item x="1871"/>
        <item x="1360"/>
        <item x="1895"/>
        <item x="1254"/>
        <item x="844"/>
        <item x="1000"/>
        <item x="1144"/>
        <item x="343"/>
        <item x="851"/>
        <item x="973"/>
        <item x="1444"/>
        <item x="748"/>
        <item x="1142"/>
        <item x="301"/>
        <item x="380"/>
        <item x="716"/>
        <item x="1074"/>
        <item x="286"/>
        <item x="1106"/>
        <item x="1698"/>
        <item x="1587"/>
        <item x="454"/>
        <item x="661"/>
        <item x="766"/>
        <item x="469"/>
        <item x="260"/>
        <item x="108"/>
        <item x="27"/>
        <item x="1827"/>
        <item x="1149"/>
        <item x="1780"/>
        <item x="1767"/>
        <item x="963"/>
        <item x="1119"/>
        <item x="1457"/>
        <item x="739"/>
        <item x="1888"/>
        <item x="1918"/>
        <item x="305"/>
        <item x="1107"/>
        <item x="606"/>
        <item x="1679"/>
        <item x="1542"/>
        <item x="1885"/>
        <item x="295"/>
        <item x="1425"/>
        <item x="564"/>
        <item x="1411"/>
        <item x="1321"/>
        <item x="1133"/>
        <item x="1343"/>
        <item x="1808"/>
        <item x="1090"/>
        <item x="504"/>
        <item x="1193"/>
        <item x="794"/>
        <item x="774"/>
        <item x="386"/>
        <item x="1390"/>
        <item x="1127"/>
        <item x="136"/>
        <item x="1733"/>
        <item x="178"/>
        <item x="1612"/>
        <item x="770"/>
        <item x="642"/>
        <item x="264"/>
        <item x="1743"/>
        <item x="218"/>
        <item x="1592"/>
        <item x="1540"/>
        <item x="1217"/>
        <item x="1398"/>
        <item x="1851"/>
        <item x="12"/>
        <item x="1799"/>
        <item x="552"/>
        <item x="646"/>
        <item x="979"/>
        <item x="1533"/>
        <item x="401"/>
        <item x="221"/>
        <item x="817"/>
        <item x="1177"/>
        <item x="1993"/>
        <item x="351"/>
        <item x="613"/>
        <item x="1938"/>
        <item x="1575"/>
        <item x="1327"/>
        <item x="1353"/>
        <item x="589"/>
        <item x="1255"/>
        <item x="1703"/>
        <item x="336"/>
        <item x="1302"/>
        <item x="86"/>
        <item x="1056"/>
        <item x="1749"/>
        <item x="1979"/>
        <item x="1681"/>
        <item x="360"/>
        <item x="1068"/>
        <item x="936"/>
        <item x="860"/>
        <item x="1285"/>
        <item x="708"/>
        <item x="1001"/>
        <item x="776"/>
        <item x="671"/>
        <item x="1602"/>
        <item x="666"/>
        <item x="960"/>
        <item x="1723"/>
        <item x="1261"/>
        <item x="196"/>
        <item x="612"/>
        <item x="937"/>
        <item x="1147"/>
        <item x="1369"/>
        <item x="865"/>
        <item x="376"/>
        <item x="1069"/>
        <item x="607"/>
        <item x="225"/>
        <item x="1477"/>
        <item x="1368"/>
        <item x="75"/>
        <item x="460"/>
        <item x="664"/>
        <item x="1470"/>
        <item x="939"/>
        <item x="1567"/>
        <item x="1184"/>
        <item x="615"/>
        <item x="1924"/>
        <item x="1720"/>
        <item x="1866"/>
        <item x="1317"/>
        <item x="367"/>
        <item x="1995"/>
        <item x="112"/>
        <item x="127"/>
        <item x="640"/>
        <item x="166"/>
        <item x="550"/>
        <item x="1748"/>
        <item x="935"/>
        <item x="180"/>
        <item x="139"/>
        <item x="1842"/>
        <item x="1946"/>
        <item x="989"/>
        <item x="194"/>
        <item x="1050"/>
        <item x="1645"/>
        <item x="1702"/>
        <item x="87"/>
        <item x="709"/>
        <item x="1115"/>
        <item x="731"/>
        <item x="925"/>
        <item x="418"/>
        <item x="531"/>
        <item x="604"/>
        <item x="1349"/>
        <item x="1893"/>
        <item x="760"/>
        <item x="1887"/>
        <item x="397"/>
        <item x="316"/>
        <item x="58"/>
        <item x="22"/>
        <item x="38"/>
        <item x="1656"/>
        <item x="1990"/>
        <item x="20"/>
        <item x="1846"/>
        <item x="1903"/>
        <item x="311"/>
        <item x="182"/>
        <item x="1686"/>
        <item x="396"/>
        <item x="1271"/>
        <item x="611"/>
        <item x="1711"/>
        <item x="279"/>
        <item x="269"/>
        <item x="436"/>
        <item x="340"/>
        <item x="1953"/>
        <item x="1194"/>
        <item x="840"/>
        <item x="1983"/>
        <item x="788"/>
        <item x="443"/>
        <item x="1070"/>
        <item x="1274"/>
        <item x="174"/>
        <item x="623"/>
        <item x="705"/>
        <item x="733"/>
        <item x="435"/>
        <item x="1453"/>
        <item x="1028"/>
        <item x="875"/>
        <item x="1339"/>
        <item x="287"/>
        <item x="862"/>
        <item x="116"/>
        <item x="387"/>
        <item x="266"/>
        <item x="824"/>
        <item x="1569"/>
        <item x="1531"/>
        <item x="1665"/>
        <item x="1265"/>
        <item x="232"/>
        <item x="1635"/>
        <item x="1510"/>
        <item x="1258"/>
        <item x="724"/>
        <item x="1337"/>
        <item x="66"/>
        <item x="1273"/>
        <item x="530"/>
        <item x="532"/>
        <item x="1794"/>
        <item x="1568"/>
        <item x="1732"/>
        <item x="995"/>
        <item x="1813"/>
        <item x="1638"/>
        <item x="517"/>
        <item x="451"/>
        <item x="1860"/>
        <item x="1960"/>
        <item x="1821"/>
        <item x="1048"/>
        <item x="1865"/>
        <item x="1864"/>
        <item x="536"/>
        <item x="1756"/>
        <item x="675"/>
        <item x="744"/>
        <item x="1904"/>
        <item x="403"/>
        <item x="261"/>
        <item x="25"/>
        <item x="970"/>
        <item x="523"/>
        <item x="1878"/>
        <item x="1830"/>
        <item x="1725"/>
        <item x="1330"/>
        <item x="810"/>
        <item x="1148"/>
        <item x="752"/>
        <item x="596"/>
        <item x="1550"/>
        <item x="439"/>
        <item x="984"/>
        <item x="848"/>
        <item x="1210"/>
        <item x="1359"/>
        <item x="300"/>
        <item x="1446"/>
        <item x="595"/>
        <item x="1440"/>
        <item x="426"/>
        <item x="1347"/>
        <item x="1475"/>
        <item x="714"/>
        <item x="2"/>
        <item x="587"/>
        <item x="1482"/>
        <item x="1103"/>
        <item x="1771"/>
        <item x="488"/>
        <item x="910"/>
        <item x="103"/>
        <item x="427"/>
        <item x="1012"/>
        <item x="1237"/>
        <item x="115"/>
        <item x="208"/>
        <item x="1529"/>
        <item x="1172"/>
        <item x="467"/>
        <item x="1537"/>
        <item x="1246"/>
        <item x="476"/>
        <item x="1668"/>
        <item x="132"/>
        <item x="1315"/>
        <item x="593"/>
        <item x="924"/>
        <item x="385"/>
        <item x="1416"/>
        <item x="580"/>
        <item x="627"/>
        <item x="335"/>
        <item x="1862"/>
        <item x="944"/>
        <item x="1455"/>
        <item x="251"/>
        <item x="1203"/>
        <item x="1689"/>
        <item x="155"/>
        <item x="654"/>
        <item x="1375"/>
        <item x="390"/>
        <item x="1002"/>
        <item x="1553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3">
    <field x="20"/>
    <field x="19"/>
    <field x="1"/>
  </rowFields>
  <rowItems count="4">
    <i>
      <x v="1"/>
    </i>
    <i>
      <x v="2"/>
    </i>
    <i>
      <x v="3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0"/>
  </pageFields>
  <dataFields count="1">
    <dataField name="Sum of Total_Amount" fld="17" baseField="0" baseItem="0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1" cacheId="1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3">
  <location ref="A3:C9" firstHeaderRow="0" firstDataRow="1" firstDataCol="1"/>
  <pivotFields count="21">
    <pivotField showAll="0"/>
    <pivotField numFmtId="164" showAll="0"/>
    <pivotField showAll="0"/>
    <pivotField showAll="0"/>
    <pivotField showAll="0"/>
    <pivotField showAll="0"/>
    <pivotField numFmtId="166" showAll="0"/>
    <pivotField dataField="1" numFmtId="2" showAll="0">
      <items count="37">
        <item x="33"/>
        <item x="10"/>
        <item x="31"/>
        <item x="15"/>
        <item x="13"/>
        <item x="28"/>
        <item x="22"/>
        <item x="8"/>
        <item x="16"/>
        <item x="0"/>
        <item x="30"/>
        <item x="32"/>
        <item x="27"/>
        <item x="21"/>
        <item x="17"/>
        <item x="26"/>
        <item x="18"/>
        <item x="19"/>
        <item x="35"/>
        <item x="20"/>
        <item x="6"/>
        <item x="3"/>
        <item x="9"/>
        <item x="4"/>
        <item x="5"/>
        <item x="29"/>
        <item x="34"/>
        <item x="14"/>
        <item x="7"/>
        <item x="24"/>
        <item x="2"/>
        <item x="25"/>
        <item x="1"/>
        <item x="23"/>
        <item x="12"/>
        <item x="1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5" showAll="0">
      <items count="1998">
        <item x="1674"/>
        <item x="1739"/>
        <item x="923"/>
        <item x="829"/>
        <item x="473"/>
        <item x="722"/>
        <item x="1030"/>
        <item x="584"/>
        <item x="827"/>
        <item x="895"/>
        <item x="1226"/>
        <item x="1291"/>
        <item x="1153"/>
        <item x="1211"/>
        <item x="1819"/>
        <item x="884"/>
        <item x="400"/>
        <item x="1549"/>
        <item x="1366"/>
        <item x="1850"/>
        <item x="1828"/>
        <item x="1898"/>
        <item x="1962"/>
        <item x="1331"/>
        <item x="1374"/>
        <item x="528"/>
        <item x="1915"/>
        <item x="605"/>
        <item x="1745"/>
        <item x="1660"/>
        <item x="1614"/>
        <item x="919"/>
        <item x="506"/>
        <item x="578"/>
        <item x="988"/>
        <item x="1071"/>
        <item x="1692"/>
        <item x="1970"/>
        <item x="955"/>
        <item x="1290"/>
        <item x="594"/>
        <item x="1876"/>
        <item x="1026"/>
        <item x="1162"/>
        <item x="677"/>
        <item x="1685"/>
        <item x="331"/>
        <item x="177"/>
        <item x="665"/>
        <item x="157"/>
        <item x="1118"/>
        <item x="465"/>
        <item x="681"/>
        <item x="1466"/>
        <item x="1257"/>
        <item x="522"/>
        <item x="726"/>
        <item x="1183"/>
        <item x="413"/>
        <item x="124"/>
        <item x="1734"/>
        <item x="313"/>
        <item x="998"/>
        <item x="1637"/>
        <item x="1164"/>
        <item x="1966"/>
        <item x="629"/>
        <item x="1445"/>
        <item x="799"/>
        <item x="1565"/>
        <item x="1889"/>
        <item x="1125"/>
        <item x="329"/>
        <item x="1248"/>
        <item x="1094"/>
        <item x="1591"/>
        <item x="1386"/>
        <item x="750"/>
        <item x="727"/>
        <item x="415"/>
        <item x="1415"/>
        <item x="1770"/>
        <item x="897"/>
        <item x="382"/>
        <item x="1305"/>
        <item x="600"/>
        <item x="1664"/>
        <item x="1984"/>
        <item x="1459"/>
        <item x="1758"/>
        <item x="1712"/>
        <item x="158"/>
        <item x="1460"/>
        <item x="1596"/>
        <item x="974"/>
        <item x="337"/>
        <item x="635"/>
        <item x="1879"/>
        <item x="747"/>
        <item x="1859"/>
        <item x="207"/>
        <item x="921"/>
        <item x="1324"/>
        <item x="433"/>
        <item x="934"/>
        <item x="1804"/>
        <item x="1141"/>
        <item x="1558"/>
        <item x="47"/>
        <item x="1713"/>
        <item x="1513"/>
        <item x="95"/>
        <item x="83"/>
        <item x="869"/>
        <item x="1840"/>
        <item x="1583"/>
        <item x="383"/>
        <item x="1806"/>
        <item x="901"/>
        <item x="256"/>
        <item x="1047"/>
        <item x="516"/>
        <item x="1724"/>
        <item x="1742"/>
        <item x="1303"/>
        <item x="1062"/>
        <item x="1244"/>
        <item x="28"/>
        <item x="420"/>
        <item x="1544"/>
        <item x="1049"/>
        <item x="170"/>
        <item x="1886"/>
        <item x="1701"/>
        <item x="1680"/>
        <item x="583"/>
        <item x="1788"/>
        <item x="181"/>
        <item x="1241"/>
        <item x="740"/>
        <item x="1297"/>
        <item x="1837"/>
        <item x="1066"/>
        <item x="118"/>
        <item x="1166"/>
        <item x="1831"/>
        <item x="515"/>
        <item x="1417"/>
        <item x="348"/>
        <item x="490"/>
        <item x="1509"/>
        <item x="644"/>
        <item x="1132"/>
        <item x="1389"/>
        <item x="1606"/>
        <item x="1873"/>
        <item x="1430"/>
        <item x="1311"/>
        <item x="1624"/>
        <item x="938"/>
        <item x="1988"/>
        <item x="74"/>
        <item x="1013"/>
        <item x="1958"/>
        <item x="1528"/>
        <item x="900"/>
        <item x="1928"/>
        <item x="1610"/>
        <item x="508"/>
        <item x="1833"/>
        <item x="281"/>
        <item x="1328"/>
        <item x="1507"/>
        <item x="1884"/>
        <item x="365"/>
        <item x="60"/>
        <item x="1655"/>
        <item x="758"/>
        <item x="289"/>
        <item x="1996"/>
        <item x="1532"/>
        <item x="422"/>
        <item x="719"/>
        <item x="1045"/>
        <item x="1579"/>
        <item x="1435"/>
        <item x="271"/>
        <item x="1098"/>
        <item x="889"/>
        <item x="364"/>
        <item x="721"/>
        <item x="1779"/>
        <item x="1225"/>
        <item x="1548"/>
        <item x="152"/>
        <item x="0"/>
        <item x="847"/>
        <item x="908"/>
        <item x="676"/>
        <item x="258"/>
        <item x="319"/>
        <item x="1260"/>
        <item x="1677"/>
        <item x="1768"/>
        <item x="1008"/>
        <item x="1078"/>
        <item x="1250"/>
        <item x="1646"/>
        <item x="51"/>
        <item x="735"/>
        <item x="502"/>
        <item x="24"/>
        <item x="1024"/>
        <item x="1287"/>
        <item x="1159"/>
        <item x="1694"/>
        <item x="1174"/>
        <item x="1020"/>
        <item x="715"/>
        <item x="647"/>
        <item x="667"/>
        <item x="63"/>
        <item x="1112"/>
        <item x="1278"/>
        <item x="368"/>
        <item x="159"/>
        <item x="1105"/>
        <item x="137"/>
        <item x="318"/>
        <item x="298"/>
        <item x="1588"/>
        <item x="68"/>
        <item x="1355"/>
        <item x="50"/>
        <item x="588"/>
        <item x="1239"/>
        <item x="1501"/>
        <item x="1264"/>
        <item x="1410"/>
        <item x="1700"/>
        <item x="1212"/>
        <item x="1502"/>
        <item x="444"/>
        <item x="246"/>
        <item x="670"/>
        <item x="643"/>
        <item x="1157"/>
        <item x="775"/>
        <item x="874"/>
        <item x="193"/>
        <item x="327"/>
        <item x="239"/>
        <item x="70"/>
        <item x="310"/>
        <item x="10"/>
        <item x="1811"/>
        <item x="113"/>
        <item x="912"/>
        <item x="1676"/>
        <item x="1139"/>
        <item x="812"/>
        <item x="669"/>
        <item x="475"/>
        <item x="134"/>
        <item x="1908"/>
        <item x="1690"/>
        <item x="31"/>
        <item x="1546"/>
        <item x="314"/>
        <item x="1185"/>
        <item x="693"/>
        <item x="505"/>
        <item x="219"/>
        <item x="119"/>
        <item x="632"/>
        <item x="768"/>
        <item x="1213"/>
        <item x="1894"/>
        <item x="1599"/>
        <item x="375"/>
        <item x="391"/>
        <item x="1547"/>
        <item x="1"/>
        <item x="1539"/>
        <item x="614"/>
        <item x="582"/>
        <item x="945"/>
        <item x="1556"/>
        <item x="1394"/>
        <item x="780"/>
        <item x="1357"/>
        <item x="1381"/>
        <item x="660"/>
        <item x="1585"/>
        <item x="841"/>
        <item x="1707"/>
        <item x="1618"/>
        <item x="171"/>
        <item x="1447"/>
        <item x="1029"/>
        <item x="1625"/>
        <item x="280"/>
        <item x="1023"/>
        <item x="678"/>
        <item x="1186"/>
        <item x="1691"/>
        <item x="217"/>
        <item x="1598"/>
        <item x="393"/>
        <item x="1992"/>
        <item x="1933"/>
        <item x="1826"/>
        <item x="1632"/>
        <item x="1309"/>
        <item x="1402"/>
        <item x="79"/>
        <item x="1011"/>
        <item x="633"/>
        <item x="1675"/>
        <item x="154"/>
        <item x="843"/>
        <item x="1782"/>
        <item x="1939"/>
        <item x="1323"/>
        <item x="1422"/>
        <item x="547"/>
        <item x="1259"/>
        <item x="1329"/>
        <item x="1942"/>
        <item x="625"/>
        <item x="545"/>
        <item x="1429"/>
        <item x="1326"/>
        <item x="1252"/>
        <item x="1790"/>
        <item x="1961"/>
        <item x="638"/>
        <item x="1478"/>
        <item x="81"/>
        <item x="37"/>
        <item x="341"/>
        <item x="1461"/>
        <item x="917"/>
        <item x="1644"/>
        <item x="968"/>
        <item x="1798"/>
        <item x="759"/>
        <item x="1511"/>
        <item x="634"/>
        <item x="61"/>
        <item x="822"/>
        <item x="510"/>
        <item x="338"/>
        <item x="1232"/>
        <item x="1978"/>
        <item x="1923"/>
        <item x="781"/>
        <item x="1784"/>
        <item x="1486"/>
        <item x="764"/>
        <item x="1785"/>
        <item x="1593"/>
        <item x="1890"/>
        <item x="645"/>
        <item x="1436"/>
        <item x="1719"/>
        <item x="1167"/>
        <item x="242"/>
        <item x="1007"/>
        <item x="122"/>
        <item x="1055"/>
        <item x="1801"/>
        <item x="971"/>
        <item x="283"/>
        <item x="486"/>
        <item x="1945"/>
        <item x="1146"/>
        <item x="1570"/>
        <item x="274"/>
        <item x="307"/>
        <item x="91"/>
        <item x="796"/>
        <item x="1465"/>
        <item x="876"/>
        <item x="1032"/>
        <item x="1377"/>
        <item x="746"/>
        <item x="1968"/>
        <item x="551"/>
        <item x="1393"/>
        <item x="497"/>
        <item x="1731"/>
        <item x="927"/>
        <item x="44"/>
        <item x="46"/>
        <item x="372"/>
        <item x="425"/>
        <item x="798"/>
        <item x="1087"/>
        <item x="1354"/>
        <item x="216"/>
        <item x="1168"/>
        <item x="894"/>
        <item x="500"/>
        <item x="738"/>
        <item x="782"/>
        <item x="690"/>
        <item x="1187"/>
        <item x="30"/>
        <item x="891"/>
        <item x="1576"/>
        <item x="741"/>
        <item x="866"/>
        <item x="296"/>
        <item x="1215"/>
        <item x="88"/>
        <item x="1102"/>
        <item x="674"/>
        <item x="35"/>
        <item x="954"/>
        <item x="1730"/>
        <item x="1131"/>
        <item x="1479"/>
        <item x="1985"/>
        <item x="484"/>
        <item x="1519"/>
        <item x="5"/>
        <item x="80"/>
        <item x="542"/>
        <item x="701"/>
        <item x="1392"/>
        <item x="234"/>
        <item x="1620"/>
        <item x="1383"/>
        <item x="1275"/>
        <item x="811"/>
        <item x="440"/>
        <item x="1135"/>
        <item x="198"/>
        <item x="1972"/>
        <item x="1471"/>
        <item x="1348"/>
        <item x="1221"/>
        <item x="1165"/>
        <item x="1717"/>
        <item x="317"/>
        <item x="777"/>
        <item x="1358"/>
        <item x="294"/>
        <item x="1016"/>
        <item x="1428"/>
        <item x="1560"/>
        <item x="965"/>
        <item x="1015"/>
        <item x="62"/>
        <item x="1751"/>
        <item x="1524"/>
        <item x="1304"/>
        <item x="1573"/>
        <item x="1443"/>
        <item x="1897"/>
        <item x="1613"/>
        <item x="357"/>
        <item x="1495"/>
        <item x="1022"/>
        <item x="212"/>
        <item x="253"/>
        <item x="161"/>
        <item x="205"/>
        <item x="1448"/>
        <item x="1493"/>
        <item x="1816"/>
        <item x="163"/>
        <item x="537"/>
        <item x="787"/>
        <item x="1710"/>
        <item x="1490"/>
        <item x="1391"/>
        <item x="407"/>
        <item x="374"/>
        <item x="1956"/>
        <item x="732"/>
        <item x="1169"/>
        <item x="559"/>
        <item x="650"/>
        <item x="1708"/>
        <item x="141"/>
        <item x="1877"/>
        <item x="512"/>
        <item x="1626"/>
        <item x="725"/>
        <item x="795"/>
        <item x="1805"/>
        <item x="1601"/>
        <item x="85"/>
        <item x="1409"/>
        <item x="1812"/>
        <item x="1351"/>
        <item x="1079"/>
        <item x="797"/>
        <item x="1605"/>
        <item x="792"/>
        <item x="470"/>
        <item x="1180"/>
        <item x="1137"/>
        <item x="1036"/>
        <item x="756"/>
        <item x="322"/>
        <item x="48"/>
        <item x="871"/>
        <item x="265"/>
        <item x="903"/>
        <item x="284"/>
        <item x="730"/>
        <item x="463"/>
        <item x="1003"/>
        <item x="549"/>
        <item x="882"/>
        <item x="1499"/>
        <item x="496"/>
        <item x="845"/>
        <item x="1052"/>
        <item x="986"/>
        <item x="926"/>
        <item x="892"/>
        <item x="544"/>
        <item x="133"/>
        <item x="668"/>
        <item x="959"/>
        <item x="707"/>
        <item x="828"/>
        <item x="1538"/>
        <item x="529"/>
        <item x="1364"/>
        <item x="197"/>
        <item x="1134"/>
        <item x="1316"/>
        <item x="1861"/>
        <item x="1350"/>
        <item x="471"/>
        <item x="1901"/>
        <item x="183"/>
        <item x="610"/>
        <item x="987"/>
        <item x="1557"/>
        <item x="252"/>
        <item x="1346"/>
        <item x="918"/>
        <item x="878"/>
        <item x="72"/>
        <item x="1854"/>
        <item x="1014"/>
        <item x="820"/>
        <item x="1469"/>
        <item x="293"/>
        <item x="347"/>
        <item x="1980"/>
        <item x="637"/>
        <item x="321"/>
        <item x="648"/>
        <item x="1230"/>
        <item x="1361"/>
        <item x="441"/>
        <item x="213"/>
        <item x="1092"/>
        <item x="1761"/>
        <item x="956"/>
        <item x="189"/>
        <item x="1832"/>
        <item x="462"/>
        <item x="1726"/>
        <item x="1965"/>
        <item x="1766"/>
        <item x="1484"/>
        <item x="1741"/>
        <item x="1476"/>
        <item x="928"/>
        <item x="21"/>
        <item x="905"/>
        <item x="1201"/>
        <item x="238"/>
        <item x="1181"/>
        <item x="442"/>
        <item x="1649"/>
        <item x="1487"/>
        <item x="429"/>
        <item x="1372"/>
        <item x="1868"/>
        <item x="1039"/>
        <item x="275"/>
        <item x="1520"/>
        <item x="1778"/>
        <item x="1818"/>
        <item x="711"/>
        <item x="1086"/>
        <item x="481"/>
        <item x="1207"/>
        <item x="1523"/>
        <item x="398"/>
        <item x="1807"/>
        <item x="916"/>
        <item x="1320"/>
        <item x="1867"/>
        <item x="209"/>
        <item x="222"/>
        <item x="753"/>
        <item x="26"/>
        <item x="1037"/>
        <item x="993"/>
        <item x="366"/>
        <item x="1136"/>
        <item x="807"/>
        <item x="1688"/>
        <item x="13"/>
        <item x="573"/>
        <item x="1937"/>
        <item x="1687"/>
        <item x="772"/>
        <item x="704"/>
        <item x="922"/>
        <item x="291"/>
        <item x="1433"/>
        <item x="1572"/>
        <item x="915"/>
        <item x="361"/>
        <item x="624"/>
        <item x="1755"/>
        <item x="863"/>
        <item x="1880"/>
        <item x="1969"/>
        <item x="1333"/>
        <item x="712"/>
        <item x="763"/>
        <item x="148"/>
        <item x="1408"/>
        <item x="1387"/>
        <item x="147"/>
        <item x="1280"/>
        <item x="1236"/>
        <item x="93"/>
        <item x="164"/>
        <item x="445"/>
        <item x="499"/>
        <item x="1621"/>
        <item x="940"/>
        <item x="601"/>
        <item x="1764"/>
        <item x="408"/>
        <item x="1545"/>
        <item x="1101"/>
        <item x="388"/>
        <item x="745"/>
        <item x="802"/>
        <item x="1829"/>
        <item x="1981"/>
        <item x="363"/>
        <item x="696"/>
        <item x="1957"/>
        <item x="835"/>
        <item x="501"/>
        <item x="1925"/>
        <item x="1279"/>
        <item x="1651"/>
        <item x="1922"/>
        <item x="370"/>
        <item x="821"/>
        <item x="930"/>
        <item x="1580"/>
        <item x="1057"/>
        <item x="169"/>
        <item x="77"/>
        <item x="1488"/>
        <item x="1926"/>
        <item x="356"/>
        <item x="689"/>
        <item x="1462"/>
        <item x="649"/>
        <item x="1630"/>
        <item x="92"/>
        <item x="285"/>
        <item x="90"/>
        <item x="1642"/>
        <item x="292"/>
        <item x="618"/>
        <item x="353"/>
        <item x="1253"/>
        <item x="1935"/>
        <item x="1154"/>
        <item x="1977"/>
        <item x="914"/>
        <item x="729"/>
        <item x="477"/>
        <item x="259"/>
        <item x="503"/>
        <item x="1672"/>
        <item x="144"/>
        <item x="1336"/>
        <item x="138"/>
        <item x="1382"/>
        <item x="1911"/>
        <item x="1010"/>
        <item x="533"/>
        <item x="1986"/>
        <item x="1740"/>
        <item x="946"/>
        <item x="1515"/>
        <item x="1562"/>
        <item x="23"/>
        <item x="819"/>
        <item x="837"/>
        <item x="957"/>
        <item x="1947"/>
        <item x="1974"/>
        <item x="1124"/>
        <item x="1116"/>
        <item x="1405"/>
        <item x="1191"/>
        <item x="1931"/>
        <item x="526"/>
        <item x="1234"/>
        <item x="769"/>
        <item x="858"/>
        <item x="1498"/>
        <item x="825"/>
        <item x="734"/>
        <item x="1367"/>
        <item x="854"/>
        <item x="1424"/>
        <item x="1198"/>
        <item x="765"/>
        <item x="1096"/>
        <item x="480"/>
        <item x="405"/>
        <item x="663"/>
        <item x="1300"/>
        <item x="1095"/>
        <item x="1277"/>
        <item x="1385"/>
        <item x="1589"/>
        <item x="89"/>
        <item x="371"/>
        <item x="402"/>
        <item x="245"/>
        <item x="1043"/>
        <item x="1021"/>
        <item x="964"/>
        <item x="1757"/>
        <item x="1643"/>
        <item x="1855"/>
        <item x="1397"/>
        <item x="1481"/>
        <item x="864"/>
        <item x="1670"/>
        <item x="543"/>
        <item x="1156"/>
        <item x="514"/>
        <item x="771"/>
        <item x="49"/>
        <item x="1077"/>
        <item x="1325"/>
        <item x="1272"/>
        <item x="411"/>
        <item x="483"/>
        <item x="1881"/>
        <item x="1706"/>
        <item x="873"/>
        <item x="84"/>
        <item x="1150"/>
        <item x="214"/>
        <item x="1552"/>
        <item x="1631"/>
        <item x="880"/>
        <item x="1414"/>
        <item x="592"/>
        <item x="1791"/>
        <item x="1870"/>
        <item x="565"/>
        <item x="1847"/>
        <item x="662"/>
        <item x="1648"/>
        <item x="1004"/>
        <item x="129"/>
        <item x="1097"/>
        <item x="1527"/>
        <item x="703"/>
        <item x="1921"/>
        <item x="619"/>
        <item x="184"/>
        <item x="478"/>
        <item x="535"/>
        <item x="1161"/>
        <item x="1080"/>
        <item x="1872"/>
        <item x="199"/>
        <item x="617"/>
        <item x="100"/>
        <item x="1869"/>
        <item x="191"/>
        <item x="1126"/>
        <item x="1856"/>
        <item x="1639"/>
        <item x="518"/>
        <item x="330"/>
        <item x="1849"/>
        <item x="1786"/>
        <item x="902"/>
        <item x="461"/>
        <item x="247"/>
        <item x="1129"/>
        <item x="1009"/>
        <item x="495"/>
        <item x="1046"/>
        <item x="525"/>
        <item x="423"/>
        <item x="1044"/>
        <item x="1463"/>
        <item x="485"/>
        <item x="1912"/>
        <item x="1370"/>
        <item x="524"/>
        <item x="562"/>
        <item x="1420"/>
        <item x="1944"/>
        <item x="1235"/>
        <item x="210"/>
        <item x="424"/>
        <item x="962"/>
        <item x="767"/>
        <item x="906"/>
        <item x="1666"/>
        <item x="1373"/>
        <item x="1834"/>
        <item x="1669"/>
        <item x="1663"/>
        <item x="1114"/>
        <item x="896"/>
        <item x="105"/>
        <item x="1284"/>
        <item x="691"/>
        <item x="1927"/>
        <item x="1251"/>
        <item x="96"/>
        <item x="1617"/>
        <item x="1678"/>
        <item x="706"/>
        <item x="1716"/>
        <item x="125"/>
        <item x="1907"/>
        <item x="572"/>
        <item x="1173"/>
        <item x="406"/>
        <item x="1438"/>
        <item x="1082"/>
        <item x="452"/>
        <item x="464"/>
        <item x="1987"/>
        <item x="816"/>
        <item x="513"/>
        <item x="1797"/>
        <item x="176"/>
        <item x="1491"/>
        <item x="1027"/>
        <item x="1240"/>
        <item x="1483"/>
        <item x="448"/>
        <item x="430"/>
        <item x="1753"/>
        <item x="1314"/>
        <item x="836"/>
        <item x="907"/>
        <item x="1222"/>
        <item x="273"/>
        <item x="1122"/>
        <item x="783"/>
        <item x="608"/>
        <item x="1238"/>
        <item x="1787"/>
        <item x="541"/>
        <item x="468"/>
        <item x="1219"/>
        <item x="1909"/>
        <item x="1399"/>
        <item x="1266"/>
        <item x="636"/>
        <item x="201"/>
        <item x="1627"/>
        <item x="791"/>
        <item x="1554"/>
        <item x="651"/>
        <item x="195"/>
        <item x="1882"/>
        <item x="1752"/>
        <item x="1298"/>
        <item x="131"/>
        <item x="8"/>
        <item x="1647"/>
        <item x="53"/>
        <item x="702"/>
        <item x="898"/>
        <item x="29"/>
        <item x="16"/>
        <item x="1905"/>
        <item x="990"/>
        <item x="1609"/>
        <item x="1991"/>
        <item x="1093"/>
        <item x="344"/>
        <item x="1406"/>
        <item x="1065"/>
        <item x="1121"/>
        <item x="1662"/>
        <item x="856"/>
        <item x="1951"/>
        <item x="784"/>
        <item x="1541"/>
        <item x="1474"/>
        <item x="1505"/>
        <item x="494"/>
        <item x="1485"/>
        <item x="1963"/>
        <item x="1853"/>
        <item x="679"/>
        <item x="3"/>
        <item x="511"/>
        <item x="241"/>
        <item x="1623"/>
        <item x="1123"/>
        <item x="1671"/>
        <item x="762"/>
        <item x="1270"/>
        <item x="417"/>
        <item x="975"/>
        <item x="323"/>
        <item x="267"/>
        <item x="1503"/>
        <item x="850"/>
        <item x="1109"/>
        <item x="130"/>
        <item x="102"/>
        <item x="1152"/>
        <item x="673"/>
        <item x="235"/>
        <item x="1641"/>
        <item x="1793"/>
        <item x="1204"/>
        <item x="215"/>
        <item x="1845"/>
        <item x="140"/>
        <item x="1910"/>
        <item x="110"/>
        <item x="1582"/>
        <item x="586"/>
        <item x="1019"/>
        <item x="842"/>
        <item x="378"/>
        <item x="1769"/>
        <item x="628"/>
        <item x="1040"/>
        <item x="1578"/>
        <item x="1943"/>
        <item x="534"/>
        <item x="1099"/>
        <item x="808"/>
        <item x="571"/>
        <item x="493"/>
        <item x="1100"/>
        <item x="1615"/>
        <item x="833"/>
        <item x="1104"/>
        <item x="687"/>
        <item x="1622"/>
        <item x="1902"/>
        <item x="1693"/>
        <item x="909"/>
        <item x="1896"/>
        <item x="868"/>
        <item x="737"/>
        <item x="653"/>
        <item x="1967"/>
        <item x="67"/>
        <item x="560"/>
        <item x="233"/>
        <item x="1795"/>
        <item x="885"/>
        <item x="1736"/>
        <item x="1512"/>
        <item x="1506"/>
        <item x="377"/>
        <item x="59"/>
        <item x="126"/>
        <item x="1388"/>
        <item x="168"/>
        <item x="813"/>
        <item x="123"/>
        <item x="17"/>
        <item x="1269"/>
        <item x="1038"/>
        <item x="997"/>
        <item x="186"/>
        <item x="1281"/>
        <item x="579"/>
        <item x="641"/>
        <item x="1709"/>
        <item x="743"/>
        <item x="1143"/>
        <item x="700"/>
        <item x="1073"/>
        <item x="1363"/>
        <item x="1306"/>
        <item x="1449"/>
        <item x="41"/>
        <item x="804"/>
        <item x="1661"/>
        <item x="1982"/>
        <item x="570"/>
        <item x="1192"/>
        <item x="698"/>
        <item x="1308"/>
        <item x="1775"/>
        <item x="179"/>
        <item x="1844"/>
        <item x="1913"/>
        <item x="603"/>
        <item x="438"/>
        <item x="688"/>
        <item x="446"/>
        <item x="1948"/>
        <item x="972"/>
        <item x="1283"/>
        <item x="852"/>
        <item x="540"/>
        <item x="1130"/>
        <item x="1718"/>
        <item x="1959"/>
        <item x="145"/>
        <item x="369"/>
        <item x="101"/>
        <item x="1188"/>
        <item x="853"/>
        <item x="1952"/>
        <item x="1006"/>
        <item x="449"/>
        <item x="325"/>
        <item x="1208"/>
        <item x="192"/>
        <item x="392"/>
        <item x="1378"/>
        <item x="315"/>
        <item x="557"/>
        <item x="187"/>
        <item x="1841"/>
        <item x="1113"/>
        <item x="395"/>
        <item x="1929"/>
        <item x="597"/>
        <item x="162"/>
        <item x="826"/>
        <item x="723"/>
        <item x="73"/>
        <item x="546"/>
        <item x="1472"/>
        <item x="1883"/>
        <item x="18"/>
        <item x="55"/>
        <item x="1365"/>
        <item x="575"/>
        <item x="757"/>
        <item x="548"/>
        <item x="349"/>
        <item x="1403"/>
        <item x="1815"/>
        <item x="872"/>
        <item x="109"/>
        <item x="567"/>
        <item x="1220"/>
        <item x="754"/>
        <item x="1564"/>
        <item x="507"/>
        <item x="1128"/>
        <item x="487"/>
        <item x="94"/>
        <item x="278"/>
        <item x="950"/>
        <item x="428"/>
        <item x="11"/>
        <item x=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    <item x="626"/>
        <item x="1534"/>
        <item x="1263"/>
        <item x="1376"/>
        <item x="173"/>
        <item x="1899"/>
        <item x="203"/>
        <item x="1762"/>
        <item x="1777"/>
        <item x="332"/>
        <item x="1400"/>
        <item x="1760"/>
        <item x="39"/>
        <item x="82"/>
        <item x="683"/>
        <item x="793"/>
        <item x="1917"/>
        <item x="1233"/>
        <item x="1817"/>
        <item x="1067"/>
        <item x="1084"/>
        <item x="1432"/>
        <item x="801"/>
        <item x="1371"/>
        <item x="326"/>
        <item x="1695"/>
        <item x="1521"/>
        <item x="1434"/>
        <item x="1267"/>
        <item x="334"/>
        <item x="1577"/>
        <item x="1874"/>
        <item x="1941"/>
        <item x="1525"/>
        <item x="1765"/>
        <item x="509"/>
        <item x="620"/>
        <item x="838"/>
        <item x="1175"/>
        <item x="779"/>
        <item x="1362"/>
        <item x="1282"/>
        <item x="160"/>
        <item x="472"/>
        <item x="1243"/>
        <item x="32"/>
        <item x="1401"/>
        <item x="1356"/>
        <item x="1936"/>
        <item x="456"/>
        <item x="1492"/>
        <item x="1551"/>
        <item x="1197"/>
        <item x="713"/>
        <item x="1600"/>
        <item x="1976"/>
        <item x="1344"/>
        <item x="656"/>
        <item x="237"/>
        <item x="1110"/>
        <item x="1543"/>
        <item x="276"/>
        <item x="121"/>
        <item x="576"/>
        <item x="1792"/>
        <item x="220"/>
        <item x="879"/>
        <item x="1081"/>
        <item x="1060"/>
        <item x="1412"/>
        <item x="1209"/>
        <item x="381"/>
        <item x="742"/>
        <item x="849"/>
        <item x="1301"/>
        <item x="1858"/>
        <item x="1892"/>
        <item x="345"/>
        <item x="1822"/>
        <item x="778"/>
        <item x="1940"/>
        <item x="1418"/>
        <item x="1555"/>
        <item x="1652"/>
        <item x="190"/>
        <item x="867"/>
        <item x="71"/>
        <item x="697"/>
        <item x="1930"/>
        <item x="755"/>
        <item x="749"/>
        <item x="859"/>
        <item x="652"/>
        <item x="230"/>
        <item x="1955"/>
        <item x="1563"/>
        <item x="1561"/>
        <item x="556"/>
        <item x="622"/>
        <item x="257"/>
        <item x="1595"/>
        <item x="57"/>
        <item x="1223"/>
        <item x="1759"/>
        <item x="333"/>
        <item x="7"/>
        <item x="1994"/>
        <item x="76"/>
        <item x="1914"/>
        <item x="1781"/>
        <item x="339"/>
        <item x="870"/>
        <item x="985"/>
        <item x="1140"/>
        <item x="1033"/>
        <item x="1715"/>
        <item x="342"/>
        <item x="887"/>
        <item x="943"/>
        <item x="1727"/>
        <item x="1242"/>
        <item x="1138"/>
        <item x="1423"/>
        <item x="815"/>
        <item x="1299"/>
        <item x="886"/>
        <item x="1170"/>
        <item x="818"/>
        <item x="410"/>
        <item x="1380"/>
        <item x="1120"/>
        <item x="1536"/>
        <item x="694"/>
        <item x="761"/>
        <item x="1820"/>
        <item x="243"/>
        <item x="1750"/>
        <item x="805"/>
        <item x="890"/>
        <item x="1063"/>
        <item x="1653"/>
        <item x="1480"/>
        <item x="1053"/>
        <item x="297"/>
        <item x="175"/>
        <item x="566"/>
        <item x="834"/>
        <item x="539"/>
        <item x="384"/>
        <item x="150"/>
        <item x="1089"/>
        <item x="1900"/>
        <item x="881"/>
        <item x="185"/>
        <item x="1318"/>
        <item x="1178"/>
        <item x="33"/>
        <item x="117"/>
        <item x="1704"/>
        <item x="1789"/>
        <item x="994"/>
        <item x="1054"/>
        <item x="64"/>
        <item x="1352"/>
        <item x="491"/>
        <item x="1783"/>
        <item x="309"/>
        <item x="1722"/>
        <item x="432"/>
        <item x="1158"/>
        <item x="602"/>
        <item x="128"/>
        <item x="206"/>
        <item x="1442"/>
        <item x="1227"/>
        <item x="803"/>
        <item x="114"/>
        <item x="1345"/>
        <item x="951"/>
        <item x="893"/>
        <item x="399"/>
        <item x="991"/>
        <item x="459"/>
        <item x="639"/>
        <item x="519"/>
        <item x="373"/>
        <item x="1384"/>
        <item x="568"/>
        <item x="857"/>
        <item x="409"/>
        <item x="949"/>
        <item x="814"/>
        <item x="911"/>
        <item x="248"/>
        <item x="1535"/>
        <item x="1083"/>
        <item x="1289"/>
        <item x="1042"/>
        <item x="482"/>
        <item x="931"/>
        <item x="458"/>
        <item x="1034"/>
        <item x="412"/>
        <item x="1714"/>
        <item x="1584"/>
        <item x="231"/>
        <item x="1522"/>
        <item x="1464"/>
        <item x="1088"/>
        <item x="149"/>
        <item x="52"/>
        <item x="268"/>
        <item x="223"/>
        <item x="414"/>
        <item x="616"/>
        <item x="1025"/>
        <item x="1247"/>
        <item x="1256"/>
        <item x="1746"/>
        <item x="574"/>
        <item x="1276"/>
        <item x="455"/>
        <item x="1604"/>
        <item x="832"/>
        <item x="419"/>
        <item x="421"/>
        <item x="1628"/>
        <item x="1721"/>
        <item x="1863"/>
        <item x="6"/>
        <item x="789"/>
        <item x="621"/>
        <item x="308"/>
        <item x="966"/>
        <item x="996"/>
        <item x="1407"/>
        <item x="692"/>
        <item x="809"/>
        <item x="773"/>
        <item x="1171"/>
        <item x="14"/>
        <item x="790"/>
        <item x="1292"/>
        <item x="457"/>
        <item x="1906"/>
        <item x="99"/>
        <item x="561"/>
        <item x="554"/>
        <item x="1747"/>
        <item x="1293"/>
        <item x="1636"/>
        <item x="202"/>
        <item x="1891"/>
        <item x="1059"/>
        <item x="861"/>
        <item x="1286"/>
        <item x="288"/>
        <item x="255"/>
        <item x="1458"/>
        <item x="224"/>
        <item x="1427"/>
        <item x="599"/>
        <item x="1814"/>
        <item x="655"/>
        <item x="953"/>
        <item x="1634"/>
        <item x="1018"/>
        <item x="1245"/>
        <item x="437"/>
        <item x="695"/>
        <item x="106"/>
        <item x="172"/>
        <item x="350"/>
        <item x="585"/>
        <item x="262"/>
        <item x="823"/>
        <item x="942"/>
        <item x="553"/>
        <item x="1650"/>
        <item x="56"/>
        <item x="306"/>
        <item x="1058"/>
        <item x="751"/>
        <item x="416"/>
        <item x="36"/>
        <item x="1451"/>
        <item x="1796"/>
        <item x="1971"/>
        <item x="167"/>
        <item x="1145"/>
        <item x="1091"/>
        <item x="111"/>
        <item x="1920"/>
        <item x="1437"/>
        <item x="346"/>
        <item x="1657"/>
        <item x="228"/>
        <item x="904"/>
        <item x="431"/>
        <item x="1176"/>
        <item x="1296"/>
        <item x="982"/>
        <item x="1852"/>
        <item x="1916"/>
        <item x="958"/>
        <item x="54"/>
        <item x="65"/>
        <item x="1835"/>
        <item x="328"/>
        <item x="1683"/>
        <item x="1517"/>
        <item x="1076"/>
        <item x="43"/>
        <item x="1729"/>
        <item x="630"/>
        <item x="135"/>
        <item x="302"/>
        <item x="1518"/>
        <item x="1559"/>
        <item x="1659"/>
        <item x="1597"/>
        <item x="1334"/>
        <item x="15"/>
        <item x="1179"/>
        <item x="1206"/>
        <item x="120"/>
        <item x="9"/>
        <item x="1467"/>
        <item x="299"/>
        <item x="34"/>
        <item x="1658"/>
        <item x="846"/>
        <item x="40"/>
        <item x="1839"/>
        <item x="1249"/>
        <item x="1196"/>
        <item x="146"/>
        <item x="1581"/>
        <item x="254"/>
        <item x="1975"/>
        <item x="104"/>
        <item x="1421"/>
        <item x="1800"/>
        <item x="434"/>
        <item x="658"/>
        <item x="684"/>
        <item x="1629"/>
        <item x="1737"/>
        <item x="1728"/>
        <item x="1843"/>
        <item x="153"/>
        <item x="1214"/>
        <item x="1017"/>
        <item x="877"/>
        <item x="1072"/>
        <item x="920"/>
        <item x="1295"/>
        <item x="1335"/>
        <item x="1825"/>
        <item x="249"/>
        <item x="1607"/>
        <item x="1205"/>
        <item x="1574"/>
        <item x="1216"/>
        <item x="1616"/>
        <item x="682"/>
        <item x="355"/>
        <item x="143"/>
        <item x="78"/>
        <item x="569"/>
        <item x="1803"/>
        <item x="1439"/>
        <item x="1218"/>
        <item x="320"/>
        <item x="685"/>
        <item x="263"/>
        <item x="244"/>
        <item x="1262"/>
        <item x="1332"/>
        <item x="717"/>
        <item x="1875"/>
        <item x="1774"/>
        <item x="999"/>
        <item x="1379"/>
        <item x="453"/>
        <item x="1608"/>
        <item x="1160"/>
        <item x="785"/>
        <item x="42"/>
        <item x="272"/>
        <item x="1473"/>
        <item x="303"/>
        <item x="1566"/>
        <item x="1342"/>
        <item x="1696"/>
        <item x="156"/>
        <item x="978"/>
        <item x="1530"/>
        <item x="1468"/>
        <item x="270"/>
        <item x="1964"/>
        <item x="631"/>
        <item x="1633"/>
        <item x="277"/>
        <item x="899"/>
        <item x="913"/>
        <item x="188"/>
        <item x="983"/>
        <item x="1763"/>
        <item x="362"/>
        <item x="591"/>
        <item x="1508"/>
        <item x="527"/>
        <item x="1075"/>
        <item x="1682"/>
        <item x="236"/>
        <item x="1738"/>
        <item x="1754"/>
        <item x="1319"/>
        <item x="447"/>
        <item x="710"/>
        <item x="980"/>
        <item x="1312"/>
        <item x="1111"/>
        <item x="1590"/>
        <item x="1949"/>
        <item x="1108"/>
        <item x="1454"/>
        <item x="1228"/>
        <item x="1514"/>
        <item x="1051"/>
        <item x="98"/>
        <item x="479"/>
        <item x="800"/>
        <item x="967"/>
        <item x="379"/>
        <item x="1190"/>
        <item x="492"/>
        <item x="1773"/>
        <item x="992"/>
        <item x="609"/>
        <item x="1496"/>
        <item x="1809"/>
        <item x="1667"/>
        <item x="1163"/>
        <item x="1504"/>
        <item x="1117"/>
        <item x="394"/>
        <item x="389"/>
        <item x="1395"/>
        <item x="1838"/>
        <item x="1005"/>
        <item x="680"/>
        <item x="699"/>
        <item x="1200"/>
        <item x="718"/>
        <item x="466"/>
        <item x="932"/>
        <item x="142"/>
        <item x="1182"/>
        <item x="352"/>
        <item x="1571"/>
        <item x="1307"/>
        <item x="1452"/>
        <item x="1310"/>
        <item x="1950"/>
        <item x="806"/>
        <item x="1313"/>
        <item x="1673"/>
        <item x="736"/>
        <item x="969"/>
        <item x="1526"/>
        <item x="1699"/>
        <item x="933"/>
        <item x="290"/>
        <item x="1802"/>
        <item x="489"/>
        <item x="577"/>
        <item x="952"/>
        <item x="1064"/>
        <item x="888"/>
        <item x="1031"/>
        <item x="1229"/>
        <item x="1776"/>
        <item x="1594"/>
        <item x="474"/>
        <item x="227"/>
        <item x="672"/>
        <item x="1684"/>
        <item x="855"/>
        <item x="1735"/>
        <item x="1404"/>
        <item x="977"/>
        <item x="1441"/>
        <item x="520"/>
        <item x="581"/>
        <item x="211"/>
        <item x="720"/>
        <item x="1413"/>
        <item x="1857"/>
        <item x="1338"/>
        <item x="19"/>
        <item x="1973"/>
        <item x="1611"/>
        <item x="1035"/>
        <item x="1288"/>
        <item x="555"/>
        <item x="839"/>
        <item x="1426"/>
        <item x="282"/>
        <item x="1494"/>
        <item x="830"/>
        <item x="598"/>
        <item x="107"/>
        <item x="1061"/>
        <item x="831"/>
        <item x="1322"/>
        <item x="1697"/>
        <item x="657"/>
        <item x="1199"/>
        <item x="165"/>
        <item x="151"/>
        <item x="1824"/>
        <item x="358"/>
        <item x="1810"/>
        <item x="1836"/>
        <item x="1085"/>
        <item x="659"/>
        <item x="981"/>
        <item x="558"/>
        <item x="976"/>
        <item x="1340"/>
        <item x="204"/>
        <item x="1224"/>
        <item x="563"/>
        <item x="686"/>
        <item x="1294"/>
        <item x="324"/>
        <item x="1041"/>
        <item x="1772"/>
        <item x="1654"/>
        <item x="240"/>
        <item x="1268"/>
        <item x="1419"/>
        <item x="1155"/>
        <item x="1516"/>
        <item x="4"/>
        <item x="1396"/>
        <item x="69"/>
        <item x="200"/>
        <item x="97"/>
        <item x="1823"/>
        <item x="1586"/>
        <item x="1202"/>
        <item x="1231"/>
        <item x="1500"/>
        <item x="1934"/>
        <item x="948"/>
        <item x="1450"/>
        <item x="1919"/>
        <item x="1989"/>
        <item x="1619"/>
        <item x="1341"/>
        <item x="786"/>
        <item x="450"/>
        <item x="883"/>
        <item x="590"/>
        <item x="1954"/>
        <item x="1431"/>
        <item x="1705"/>
        <item x="1456"/>
        <item x="229"/>
        <item x="1489"/>
        <item x="250"/>
        <item x="359"/>
        <item x="1848"/>
        <item x="961"/>
        <item x="1744"/>
        <item x="1932"/>
        <item x="947"/>
        <item x="1603"/>
        <item x="226"/>
        <item x="404"/>
        <item x="521"/>
        <item x="304"/>
        <item x="538"/>
        <item x="1871"/>
        <item x="1360"/>
        <item x="1895"/>
        <item x="1254"/>
        <item x="844"/>
        <item x="1000"/>
        <item x="1144"/>
        <item x="343"/>
        <item x="851"/>
        <item x="973"/>
        <item x="1444"/>
        <item x="748"/>
        <item x="1142"/>
        <item x="301"/>
        <item x="380"/>
        <item x="716"/>
        <item x="1074"/>
        <item x="286"/>
        <item x="1106"/>
        <item x="1698"/>
        <item x="1587"/>
        <item x="454"/>
        <item x="661"/>
        <item x="766"/>
        <item x="469"/>
        <item x="260"/>
        <item x="108"/>
        <item x="27"/>
        <item x="1827"/>
        <item x="1149"/>
        <item x="1780"/>
        <item x="1767"/>
        <item x="963"/>
        <item x="1119"/>
        <item x="1457"/>
        <item x="739"/>
        <item x="1888"/>
        <item x="1918"/>
        <item x="305"/>
        <item x="1107"/>
        <item x="606"/>
        <item x="1679"/>
        <item x="1542"/>
        <item x="1885"/>
        <item x="295"/>
        <item x="1425"/>
        <item x="564"/>
        <item x="1411"/>
        <item x="1321"/>
        <item x="1133"/>
        <item x="1343"/>
        <item x="1808"/>
        <item x="1090"/>
        <item x="504"/>
        <item x="1193"/>
        <item x="794"/>
        <item x="774"/>
        <item x="386"/>
        <item x="1390"/>
        <item x="1127"/>
        <item x="136"/>
        <item x="1733"/>
        <item x="178"/>
        <item x="1612"/>
        <item x="770"/>
        <item x="642"/>
        <item x="264"/>
        <item x="1743"/>
        <item x="218"/>
        <item x="1592"/>
        <item x="1540"/>
        <item x="1217"/>
        <item x="1398"/>
        <item x="1851"/>
        <item x="12"/>
        <item x="1799"/>
        <item x="552"/>
        <item x="646"/>
        <item x="979"/>
        <item x="1533"/>
        <item x="401"/>
        <item x="221"/>
        <item x="817"/>
        <item x="1177"/>
        <item x="1993"/>
        <item x="351"/>
        <item x="613"/>
        <item x="1938"/>
        <item x="1575"/>
        <item x="1327"/>
        <item x="1353"/>
        <item x="589"/>
        <item x="1255"/>
        <item x="1703"/>
        <item x="336"/>
        <item x="1302"/>
        <item x="86"/>
        <item x="1056"/>
        <item x="1749"/>
        <item x="1979"/>
        <item x="1681"/>
        <item x="360"/>
        <item x="1068"/>
        <item x="936"/>
        <item x="860"/>
        <item x="1285"/>
        <item x="708"/>
        <item x="1001"/>
        <item x="776"/>
        <item x="671"/>
        <item x="1602"/>
        <item x="666"/>
        <item x="960"/>
        <item x="1723"/>
        <item x="1261"/>
        <item x="196"/>
        <item x="612"/>
        <item x="937"/>
        <item x="1147"/>
        <item x="1369"/>
        <item x="865"/>
        <item x="376"/>
        <item x="1069"/>
        <item x="607"/>
        <item x="225"/>
        <item x="1477"/>
        <item x="1368"/>
        <item x="75"/>
        <item x="460"/>
        <item x="664"/>
        <item x="1470"/>
        <item x="939"/>
        <item x="1567"/>
        <item x="1184"/>
        <item x="615"/>
        <item x="1924"/>
        <item x="1720"/>
        <item x="1866"/>
        <item x="1317"/>
        <item x="367"/>
        <item x="1995"/>
        <item x="112"/>
        <item x="127"/>
        <item x="640"/>
        <item x="166"/>
        <item x="550"/>
        <item x="1748"/>
        <item x="935"/>
        <item x="180"/>
        <item x="139"/>
        <item x="1842"/>
        <item x="1946"/>
        <item x="989"/>
        <item x="194"/>
        <item x="1050"/>
        <item x="1645"/>
        <item x="1702"/>
        <item x="87"/>
        <item x="709"/>
        <item x="1115"/>
        <item x="731"/>
        <item x="925"/>
        <item x="418"/>
        <item x="531"/>
        <item x="604"/>
        <item x="1349"/>
        <item x="1893"/>
        <item x="760"/>
        <item x="1887"/>
        <item x="397"/>
        <item x="316"/>
        <item x="58"/>
        <item x="22"/>
        <item x="38"/>
        <item x="1656"/>
        <item x="1990"/>
        <item x="20"/>
        <item x="1846"/>
        <item x="1903"/>
        <item x="311"/>
        <item x="182"/>
        <item x="1686"/>
        <item x="396"/>
        <item x="1271"/>
        <item x="611"/>
        <item x="1711"/>
        <item x="279"/>
        <item x="269"/>
        <item x="436"/>
        <item x="340"/>
        <item x="1953"/>
        <item x="1194"/>
        <item x="840"/>
        <item x="1983"/>
        <item x="788"/>
        <item x="443"/>
        <item x="1070"/>
        <item x="1274"/>
        <item x="174"/>
        <item x="623"/>
        <item x="705"/>
        <item x="733"/>
        <item x="435"/>
        <item x="1453"/>
        <item x="1028"/>
        <item x="875"/>
        <item x="1339"/>
        <item x="287"/>
        <item x="862"/>
        <item x="116"/>
        <item x="387"/>
        <item x="266"/>
        <item x="824"/>
        <item x="1569"/>
        <item x="1531"/>
        <item x="1665"/>
        <item x="1265"/>
        <item x="232"/>
        <item x="1635"/>
        <item x="1510"/>
        <item x="1258"/>
        <item x="724"/>
        <item x="1337"/>
        <item x="66"/>
        <item x="1273"/>
        <item x="530"/>
        <item x="532"/>
        <item x="1794"/>
        <item x="1568"/>
        <item x="1732"/>
        <item x="995"/>
        <item x="1813"/>
        <item x="1638"/>
        <item x="517"/>
        <item x="451"/>
        <item x="1860"/>
        <item x="1960"/>
        <item x="1821"/>
        <item x="1048"/>
        <item x="1865"/>
        <item x="1864"/>
        <item x="536"/>
        <item x="1756"/>
        <item x="675"/>
        <item x="744"/>
        <item x="1904"/>
        <item x="403"/>
        <item x="261"/>
        <item x="25"/>
        <item x="970"/>
        <item x="523"/>
        <item x="1878"/>
        <item x="1830"/>
        <item x="1725"/>
        <item x="1330"/>
        <item x="810"/>
        <item x="1148"/>
        <item x="752"/>
        <item x="596"/>
        <item x="1550"/>
        <item x="439"/>
        <item x="984"/>
        <item x="848"/>
        <item x="1210"/>
        <item x="1359"/>
        <item x="300"/>
        <item x="1446"/>
        <item x="595"/>
        <item x="1440"/>
        <item x="426"/>
        <item x="1347"/>
        <item x="1475"/>
        <item x="714"/>
        <item x="2"/>
        <item x="587"/>
        <item x="1482"/>
        <item x="1103"/>
        <item x="1771"/>
        <item x="488"/>
        <item x="910"/>
        <item x="103"/>
        <item x="427"/>
        <item x="1012"/>
        <item x="1237"/>
        <item x="115"/>
        <item x="208"/>
        <item x="1529"/>
        <item x="1172"/>
        <item x="467"/>
        <item x="1537"/>
        <item x="1246"/>
        <item x="476"/>
        <item x="1668"/>
        <item x="132"/>
        <item x="1315"/>
        <item x="593"/>
        <item x="924"/>
        <item x="385"/>
        <item x="1416"/>
        <item x="580"/>
        <item x="627"/>
        <item x="335"/>
        <item x="1862"/>
        <item x="944"/>
        <item x="1455"/>
        <item x="251"/>
        <item x="1203"/>
        <item x="1689"/>
        <item x="155"/>
        <item x="654"/>
        <item x="1375"/>
        <item x="390"/>
        <item x="1002"/>
        <item x="1553"/>
        <item t="default"/>
      </items>
    </pivotField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7" baseField="0" baseItem="0"/>
    <dataField name="Average of Discount" fld="7" subtotal="average" baseField="13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3" type="button" dataOnly="0" labelOnly="1" outline="0" fieldPosition="0"/>
    </format>
    <format dxfId="11">
      <pivotArea dataOnly="0" labelOnly="1" fieldPosition="0">
        <references count="1">
          <reference field="13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Type" xr10:uid="{00000000-0013-0000-FFFF-FFFF01000000}" sourceName="Store_Type">
  <pivotTables>
    <pivotTable tabId="10" name="PivotTable7"/>
    <pivotTable tabId="13" name="PivotTable11"/>
    <pivotTable tabId="11" name="PivotTable9"/>
    <pivotTable tabId="12" name="PivotTable10"/>
  </pivotTables>
  <data>
    <tabular pivotCacheId="1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00000000-0013-0000-FFFF-FFFF02000000}" sourceName="Region">
  <pivotTables>
    <pivotTable tabId="10" name="PivotTable7"/>
    <pivotTable tabId="13" name="PivotTable11"/>
    <pivotTable tabId="11" name="PivotTable9"/>
    <pivotTable tabId="12" name="PivotTable10"/>
  </pivotTables>
  <data>
    <tabular pivotCacheId="1">
      <items count="4">
        <i x="3" s="1"/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3000000}" sourceName="Gender">
  <pivotTables>
    <pivotTable tabId="10" name="PivotTable7"/>
    <pivotTable tabId="13" name="PivotTable11"/>
    <pivotTable tabId="11" name="PivotTable9"/>
    <pivotTable tabId="12" name="PivotTable10"/>
  </pivotTables>
  <data>
    <tabular pivotCacheId="1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Brand" xr10:uid="{00000000-0013-0000-FFFF-FFFF04000000}" sourceName="Product_Brand">
  <pivotTables>
    <pivotTable tabId="11" name="PivotTable9"/>
    <pivotTable tabId="10" name="PivotTable7"/>
    <pivotTable tabId="13" name="PivotTable11"/>
    <pivotTable tabId="12" name="PivotTable10"/>
  </pivotTables>
  <data>
    <tabular pivotCacheId="1">
      <items count="100">
        <i x="5" s="1"/>
        <i x="93" s="1"/>
        <i x="15" s="1"/>
        <i x="38" s="1"/>
        <i x="82" s="1"/>
        <i x="45" s="1"/>
        <i x="30" s="1"/>
        <i x="68" s="1"/>
        <i x="1" s="1"/>
        <i x="57" s="1"/>
        <i x="90" s="1"/>
        <i x="70" s="1"/>
        <i x="62" s="1"/>
        <i x="31" s="1"/>
        <i x="76" s="1"/>
        <i x="0" s="1"/>
        <i x="16" s="1"/>
        <i x="29" s="1"/>
        <i x="66" s="1"/>
        <i x="36" s="1"/>
        <i x="35" s="1"/>
        <i x="41" s="1"/>
        <i x="74" s="1"/>
        <i x="71" s="1"/>
        <i x="10" s="1"/>
        <i x="13" s="1"/>
        <i x="64" s="1"/>
        <i x="51" s="1"/>
        <i x="21" s="1"/>
        <i x="75" s="1"/>
        <i x="69" s="1"/>
        <i x="96" s="1"/>
        <i x="49" s="1"/>
        <i x="50" s="1"/>
        <i x="56" s="1"/>
        <i x="7" s="1"/>
        <i x="46" s="1"/>
        <i x="85" s="1"/>
        <i x="72" s="1"/>
        <i x="84" s="1"/>
        <i x="17" s="1"/>
        <i x="44" s="1"/>
        <i x="91" s="1"/>
        <i x="92" s="1"/>
        <i x="34" s="1"/>
        <i x="55" s="1"/>
        <i x="4" s="1"/>
        <i x="23" s="1"/>
        <i x="2" s="1"/>
        <i x="58" s="1"/>
        <i x="20" s="1"/>
        <i x="27" s="1"/>
        <i x="54" s="1"/>
        <i x="80" s="1"/>
        <i x="9" s="1"/>
        <i x="39" s="1"/>
        <i x="43" s="1"/>
        <i x="81" s="1"/>
        <i x="42" s="1"/>
        <i x="24" s="1"/>
        <i x="11" s="1"/>
        <i x="6" s="1"/>
        <i x="18" s="1"/>
        <i x="40" s="1"/>
        <i x="78" s="1"/>
        <i x="63" s="1"/>
        <i x="22" s="1"/>
        <i x="53" s="1"/>
        <i x="98" s="1"/>
        <i x="59" s="1"/>
        <i x="77" s="1"/>
        <i x="48" s="1"/>
        <i x="12" s="1"/>
        <i x="8" s="1"/>
        <i x="37" s="1"/>
        <i x="86" s="1"/>
        <i x="19" s="1"/>
        <i x="26" s="1"/>
        <i x="47" s="1"/>
        <i x="79" s="1"/>
        <i x="32" s="1"/>
        <i x="61" s="1"/>
        <i x="25" s="1"/>
        <i x="67" s="1"/>
        <i x="33" s="1"/>
        <i x="3" s="1"/>
        <i x="28" s="1"/>
        <i x="65" s="1"/>
        <i x="95" s="1"/>
        <i x="87" s="1"/>
        <i x="97" s="1"/>
        <i x="99" s="1"/>
        <i x="73" s="1"/>
        <i x="52" s="1"/>
        <i x="60" s="1"/>
        <i x="14" s="1"/>
        <i x="83" s="1"/>
        <i x="94" s="1"/>
        <i x="88" s="1"/>
        <i x="89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s" xr10:uid="{00000000-0013-0000-FFFF-FFFF05000000}" sourceName="Years">
  <pivotTables>
    <pivotTable tabId="12" name="PivotTable10"/>
    <pivotTable tabId="10" name="PivotTable7"/>
    <pivotTable tabId="13" name="PivotTable11"/>
    <pivotTable tabId="11" name="PivotTable9"/>
  </pivotTables>
  <data>
    <tabular pivotCacheId="1">
      <items count="5">
        <i x="1" s="1"/>
        <i x="2" s="1"/>
        <i x="3" s="1"/>
        <i x="0" s="1" nd="1"/>
        <i x="4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Amount" xr10:uid="{00000000-0013-0000-FFFF-FFFF06000000}" sourceName="Total_Amount">
  <pivotTables>
    <pivotTable tabId="13" name="PivotTable11"/>
    <pivotTable tabId="10" name="PivotTable7"/>
    <pivotTable tabId="11" name="PivotTable9"/>
    <pivotTable tabId="12" name="PivotTable10"/>
  </pivotTables>
  <data>
    <tabular pivotCacheId="1">
      <items count="1997">
        <i x="1674" s="1"/>
        <i x="1739" s="1"/>
        <i x="923" s="1"/>
        <i x="829" s="1"/>
        <i x="473" s="1"/>
        <i x="722" s="1"/>
        <i x="1030" s="1"/>
        <i x="584" s="1"/>
        <i x="827" s="1"/>
        <i x="895" s="1"/>
        <i x="1226" s="1"/>
        <i x="1291" s="1"/>
        <i x="1153" s="1"/>
        <i x="1211" s="1"/>
        <i x="1819" s="1"/>
        <i x="884" s="1"/>
        <i x="400" s="1"/>
        <i x="1549" s="1"/>
        <i x="1366" s="1"/>
        <i x="1850" s="1"/>
        <i x="1828" s="1"/>
        <i x="1898" s="1"/>
        <i x="1962" s="1"/>
        <i x="1331" s="1"/>
        <i x="1374" s="1"/>
        <i x="528" s="1"/>
        <i x="1915" s="1"/>
        <i x="605" s="1"/>
        <i x="1745" s="1"/>
        <i x="1660" s="1"/>
        <i x="1614" s="1"/>
        <i x="919" s="1"/>
        <i x="506" s="1"/>
        <i x="578" s="1"/>
        <i x="988" s="1"/>
        <i x="1071" s="1"/>
        <i x="1692" s="1"/>
        <i x="1970" s="1"/>
        <i x="955" s="1"/>
        <i x="1290" s="1"/>
        <i x="594" s="1"/>
        <i x="1876" s="1"/>
        <i x="1026" s="1"/>
        <i x="1162" s="1"/>
        <i x="677" s="1"/>
        <i x="1685" s="1"/>
        <i x="331" s="1"/>
        <i x="177" s="1"/>
        <i x="665" s="1"/>
        <i x="157" s="1"/>
        <i x="1118" s="1"/>
        <i x="465" s="1"/>
        <i x="681" s="1"/>
        <i x="1466" s="1"/>
        <i x="1257" s="1"/>
        <i x="522" s="1"/>
        <i x="726" s="1"/>
        <i x="1183" s="1"/>
        <i x="413" s="1"/>
        <i x="124" s="1"/>
        <i x="1734" s="1"/>
        <i x="313" s="1"/>
        <i x="998" s="1"/>
        <i x="1637" s="1"/>
        <i x="1164" s="1"/>
        <i x="1966" s="1"/>
        <i x="629" s="1"/>
        <i x="1445" s="1"/>
        <i x="799" s="1"/>
        <i x="1565" s="1"/>
        <i x="1889" s="1"/>
        <i x="1125" s="1"/>
        <i x="329" s="1"/>
        <i x="1248" s="1"/>
        <i x="1094" s="1"/>
        <i x="1591" s="1"/>
        <i x="1386" s="1"/>
        <i x="750" s="1"/>
        <i x="727" s="1"/>
        <i x="415" s="1"/>
        <i x="1415" s="1"/>
        <i x="1770" s="1"/>
        <i x="897" s="1"/>
        <i x="382" s="1"/>
        <i x="1305" s="1"/>
        <i x="600" s="1"/>
        <i x="1664" s="1"/>
        <i x="1984" s="1"/>
        <i x="1459" s="1"/>
        <i x="1758" s="1"/>
        <i x="1712" s="1"/>
        <i x="158" s="1"/>
        <i x="1460" s="1"/>
        <i x="1596" s="1"/>
        <i x="974" s="1"/>
        <i x="337" s="1"/>
        <i x="635" s="1"/>
        <i x="1879" s="1"/>
        <i x="747" s="1"/>
        <i x="1859" s="1"/>
        <i x="207" s="1"/>
        <i x="921" s="1"/>
        <i x="1324" s="1"/>
        <i x="433" s="1"/>
        <i x="934" s="1"/>
        <i x="1804" s="1"/>
        <i x="1141" s="1"/>
        <i x="1558" s="1"/>
        <i x="47" s="1"/>
        <i x="1713" s="1"/>
        <i x="1513" s="1"/>
        <i x="95" s="1"/>
        <i x="83" s="1"/>
        <i x="869" s="1"/>
        <i x="1840" s="1"/>
        <i x="1583" s="1"/>
        <i x="383" s="1"/>
        <i x="1806" s="1"/>
        <i x="901" s="1"/>
        <i x="256" s="1"/>
        <i x="1047" s="1"/>
        <i x="516" s="1"/>
        <i x="1724" s="1"/>
        <i x="1742" s="1"/>
        <i x="1303" s="1"/>
        <i x="1062" s="1"/>
        <i x="1244" s="1"/>
        <i x="28" s="1"/>
        <i x="420" s="1"/>
        <i x="1544" s="1"/>
        <i x="1049" s="1"/>
        <i x="170" s="1"/>
        <i x="1886" s="1"/>
        <i x="1701" s="1"/>
        <i x="1680" s="1"/>
        <i x="583" s="1"/>
        <i x="1788" s="1"/>
        <i x="181" s="1"/>
        <i x="1241" s="1"/>
        <i x="740" s="1"/>
        <i x="1297" s="1"/>
        <i x="1837" s="1"/>
        <i x="1066" s="1"/>
        <i x="118" s="1"/>
        <i x="1166" s="1"/>
        <i x="1831" s="1"/>
        <i x="515" s="1"/>
        <i x="1417" s="1"/>
        <i x="348" s="1"/>
        <i x="490" s="1"/>
        <i x="1509" s="1"/>
        <i x="644" s="1"/>
        <i x="1132" s="1"/>
        <i x="1389" s="1"/>
        <i x="1606" s="1"/>
        <i x="1873" s="1"/>
        <i x="1430" s="1"/>
        <i x="1311" s="1"/>
        <i x="1624" s="1"/>
        <i x="938" s="1"/>
        <i x="1988" s="1"/>
        <i x="74" s="1"/>
        <i x="1013" s="1"/>
        <i x="1958" s="1"/>
        <i x="1528" s="1"/>
        <i x="900" s="1"/>
        <i x="1928" s="1"/>
        <i x="1610" s="1"/>
        <i x="508" s="1"/>
        <i x="1833" s="1"/>
        <i x="281" s="1"/>
        <i x="1328" s="1"/>
        <i x="1507" s="1"/>
        <i x="1884" s="1"/>
        <i x="365" s="1"/>
        <i x="60" s="1"/>
        <i x="1655" s="1"/>
        <i x="758" s="1"/>
        <i x="289" s="1"/>
        <i x="1996" s="1"/>
        <i x="1532" s="1"/>
        <i x="422" s="1"/>
        <i x="719" s="1"/>
        <i x="1045" s="1"/>
        <i x="1579" s="1"/>
        <i x="1435" s="1"/>
        <i x="271" s="1"/>
        <i x="1098" s="1"/>
        <i x="889" s="1"/>
        <i x="364" s="1"/>
        <i x="721" s="1"/>
        <i x="1779" s="1"/>
        <i x="1225" s="1"/>
        <i x="1548" s="1"/>
        <i x="152" s="1"/>
        <i x="0" s="1"/>
        <i x="847" s="1"/>
        <i x="908" s="1"/>
        <i x="676" s="1"/>
        <i x="258" s="1"/>
        <i x="319" s="1"/>
        <i x="1260" s="1"/>
        <i x="1677" s="1"/>
        <i x="1768" s="1"/>
        <i x="1008" s="1"/>
        <i x="1078" s="1"/>
        <i x="1250" s="1"/>
        <i x="1646" s="1"/>
        <i x="51" s="1"/>
        <i x="735" s="1"/>
        <i x="502" s="1"/>
        <i x="24" s="1"/>
        <i x="1024" s="1"/>
        <i x="1287" s="1"/>
        <i x="1159" s="1"/>
        <i x="1694" s="1"/>
        <i x="1174" s="1"/>
        <i x="1020" s="1"/>
        <i x="715" s="1"/>
        <i x="647" s="1"/>
        <i x="667" s="1"/>
        <i x="63" s="1"/>
        <i x="1112" s="1"/>
        <i x="1278" s="1"/>
        <i x="368" s="1"/>
        <i x="159" s="1"/>
        <i x="1105" s="1"/>
        <i x="137" s="1"/>
        <i x="318" s="1"/>
        <i x="298" s="1"/>
        <i x="1588" s="1"/>
        <i x="68" s="1"/>
        <i x="1355" s="1"/>
        <i x="50" s="1"/>
        <i x="588" s="1"/>
        <i x="1239" s="1"/>
        <i x="1501" s="1"/>
        <i x="1264" s="1"/>
        <i x="1410" s="1"/>
        <i x="1700" s="1"/>
        <i x="1212" s="1"/>
        <i x="1502" s="1"/>
        <i x="444" s="1"/>
        <i x="246" s="1"/>
        <i x="670" s="1"/>
        <i x="643" s="1"/>
        <i x="1157" s="1"/>
        <i x="775" s="1"/>
        <i x="874" s="1"/>
        <i x="193" s="1"/>
        <i x="327" s="1"/>
        <i x="239" s="1"/>
        <i x="70" s="1"/>
        <i x="310" s="1"/>
        <i x="10" s="1"/>
        <i x="1811" s="1"/>
        <i x="113" s="1"/>
        <i x="912" s="1"/>
        <i x="1676" s="1"/>
        <i x="1139" s="1"/>
        <i x="812" s="1"/>
        <i x="669" s="1"/>
        <i x="475" s="1"/>
        <i x="134" s="1"/>
        <i x="1908" s="1"/>
        <i x="1690" s="1"/>
        <i x="31" s="1"/>
        <i x="1546" s="1"/>
        <i x="314" s="1"/>
        <i x="1185" s="1"/>
        <i x="693" s="1"/>
        <i x="505" s="1"/>
        <i x="219" s="1"/>
        <i x="119" s="1"/>
        <i x="632" s="1"/>
        <i x="768" s="1"/>
        <i x="1213" s="1"/>
        <i x="1894" s="1"/>
        <i x="1599" s="1"/>
        <i x="375" s="1"/>
        <i x="391" s="1"/>
        <i x="1547" s="1"/>
        <i x="1" s="1"/>
        <i x="1539" s="1"/>
        <i x="614" s="1"/>
        <i x="582" s="1"/>
        <i x="945" s="1"/>
        <i x="1556" s="1"/>
        <i x="1394" s="1"/>
        <i x="780" s="1"/>
        <i x="1357" s="1"/>
        <i x="1381" s="1"/>
        <i x="660" s="1"/>
        <i x="1585" s="1"/>
        <i x="841" s="1"/>
        <i x="1707" s="1"/>
        <i x="1618" s="1"/>
        <i x="171" s="1"/>
        <i x="1447" s="1"/>
        <i x="1029" s="1"/>
        <i x="1625" s="1"/>
        <i x="280" s="1"/>
        <i x="1023" s="1"/>
        <i x="678" s="1"/>
        <i x="1186" s="1"/>
        <i x="1691" s="1"/>
        <i x="217" s="1"/>
        <i x="1598" s="1"/>
        <i x="393" s="1"/>
        <i x="1992" s="1"/>
        <i x="1933" s="1"/>
        <i x="1826" s="1"/>
        <i x="1632" s="1"/>
        <i x="1309" s="1"/>
        <i x="1402" s="1"/>
        <i x="79" s="1"/>
        <i x="1011" s="1"/>
        <i x="633" s="1"/>
        <i x="1675" s="1"/>
        <i x="154" s="1"/>
        <i x="843" s="1"/>
        <i x="1782" s="1"/>
        <i x="1939" s="1"/>
        <i x="1323" s="1"/>
        <i x="1422" s="1"/>
        <i x="547" s="1"/>
        <i x="1259" s="1"/>
        <i x="1329" s="1"/>
        <i x="1942" s="1"/>
        <i x="625" s="1"/>
        <i x="545" s="1"/>
        <i x="1429" s="1"/>
        <i x="1326" s="1"/>
        <i x="1252" s="1"/>
        <i x="1790" s="1"/>
        <i x="1961" s="1"/>
        <i x="638" s="1"/>
        <i x="1478" s="1"/>
        <i x="81" s="1"/>
        <i x="37" s="1"/>
        <i x="341" s="1"/>
        <i x="1461" s="1"/>
        <i x="917" s="1"/>
        <i x="1644" s="1"/>
        <i x="968" s="1"/>
        <i x="1798" s="1"/>
        <i x="759" s="1"/>
        <i x="1511" s="1"/>
        <i x="634" s="1"/>
        <i x="61" s="1"/>
        <i x="822" s="1"/>
        <i x="510" s="1"/>
        <i x="338" s="1"/>
        <i x="1232" s="1"/>
        <i x="1978" s="1"/>
        <i x="1923" s="1"/>
        <i x="781" s="1"/>
        <i x="1784" s="1"/>
        <i x="1486" s="1"/>
        <i x="764" s="1"/>
        <i x="1785" s="1"/>
        <i x="1593" s="1"/>
        <i x="1890" s="1"/>
        <i x="645" s="1"/>
        <i x="1436" s="1"/>
        <i x="1719" s="1"/>
        <i x="1167" s="1"/>
        <i x="242" s="1"/>
        <i x="1007" s="1"/>
        <i x="122" s="1"/>
        <i x="1055" s="1"/>
        <i x="1801" s="1"/>
        <i x="971" s="1"/>
        <i x="283" s="1"/>
        <i x="486" s="1"/>
        <i x="1945" s="1"/>
        <i x="1146" s="1"/>
        <i x="1570" s="1"/>
        <i x="274" s="1"/>
        <i x="307" s="1"/>
        <i x="91" s="1"/>
        <i x="796" s="1"/>
        <i x="1465" s="1"/>
        <i x="876" s="1"/>
        <i x="1032" s="1"/>
        <i x="1377" s="1"/>
        <i x="746" s="1"/>
        <i x="1968" s="1"/>
        <i x="551" s="1"/>
        <i x="1393" s="1"/>
        <i x="497" s="1"/>
        <i x="1731" s="1"/>
        <i x="927" s="1"/>
        <i x="44" s="1"/>
        <i x="46" s="1"/>
        <i x="372" s="1"/>
        <i x="425" s="1"/>
        <i x="798" s="1"/>
        <i x="1087" s="1"/>
        <i x="1354" s="1"/>
        <i x="216" s="1"/>
        <i x="1168" s="1"/>
        <i x="894" s="1"/>
        <i x="500" s="1"/>
        <i x="738" s="1"/>
        <i x="782" s="1"/>
        <i x="690" s="1"/>
        <i x="1187" s="1"/>
        <i x="30" s="1"/>
        <i x="891" s="1"/>
        <i x="1576" s="1"/>
        <i x="741" s="1"/>
        <i x="866" s="1"/>
        <i x="296" s="1"/>
        <i x="1215" s="1"/>
        <i x="88" s="1"/>
        <i x="1102" s="1"/>
        <i x="674" s="1"/>
        <i x="35" s="1"/>
        <i x="954" s="1"/>
        <i x="1730" s="1"/>
        <i x="1131" s="1"/>
        <i x="1479" s="1"/>
        <i x="1985" s="1"/>
        <i x="484" s="1"/>
        <i x="1519" s="1"/>
        <i x="5" s="1"/>
        <i x="80" s="1"/>
        <i x="542" s="1"/>
        <i x="701" s="1"/>
        <i x="1392" s="1"/>
        <i x="234" s="1"/>
        <i x="1620" s="1"/>
        <i x="1383" s="1"/>
        <i x="1275" s="1"/>
        <i x="811" s="1"/>
        <i x="440" s="1"/>
        <i x="1135" s="1"/>
        <i x="198" s="1"/>
        <i x="1972" s="1"/>
        <i x="1471" s="1"/>
        <i x="1348" s="1"/>
        <i x="1221" s="1"/>
        <i x="1165" s="1"/>
        <i x="1717" s="1"/>
        <i x="317" s="1"/>
        <i x="777" s="1"/>
        <i x="1358" s="1"/>
        <i x="294" s="1"/>
        <i x="1016" s="1"/>
        <i x="1428" s="1"/>
        <i x="1560" s="1"/>
        <i x="965" s="1"/>
        <i x="1015" s="1"/>
        <i x="62" s="1"/>
        <i x="1751" s="1"/>
        <i x="1524" s="1"/>
        <i x="1304" s="1"/>
        <i x="1573" s="1"/>
        <i x="1443" s="1"/>
        <i x="1897" s="1"/>
        <i x="1613" s="1"/>
        <i x="357" s="1"/>
        <i x="1495" s="1"/>
        <i x="1022" s="1"/>
        <i x="212" s="1"/>
        <i x="253" s="1"/>
        <i x="161" s="1"/>
        <i x="205" s="1"/>
        <i x="1448" s="1"/>
        <i x="1493" s="1"/>
        <i x="1816" s="1"/>
        <i x="163" s="1"/>
        <i x="537" s="1"/>
        <i x="787" s="1"/>
        <i x="1710" s="1"/>
        <i x="1490" s="1"/>
        <i x="1391" s="1"/>
        <i x="407" s="1"/>
        <i x="374" s="1"/>
        <i x="1956" s="1"/>
        <i x="732" s="1"/>
        <i x="1169" s="1"/>
        <i x="559" s="1"/>
        <i x="650" s="1"/>
        <i x="1708" s="1"/>
        <i x="141" s="1"/>
        <i x="1877" s="1"/>
        <i x="512" s="1"/>
        <i x="1626" s="1"/>
        <i x="725" s="1"/>
        <i x="795" s="1"/>
        <i x="1805" s="1"/>
        <i x="1601" s="1"/>
        <i x="85" s="1"/>
        <i x="1409" s="1"/>
        <i x="1812" s="1"/>
        <i x="1351" s="1"/>
        <i x="1079" s="1"/>
        <i x="797" s="1"/>
        <i x="1605" s="1"/>
        <i x="792" s="1"/>
        <i x="470" s="1"/>
        <i x="1180" s="1"/>
        <i x="1137" s="1"/>
        <i x="1036" s="1"/>
        <i x="756" s="1"/>
        <i x="322" s="1"/>
        <i x="48" s="1"/>
        <i x="871" s="1"/>
        <i x="265" s="1"/>
        <i x="903" s="1"/>
        <i x="284" s="1"/>
        <i x="730" s="1"/>
        <i x="463" s="1"/>
        <i x="1003" s="1"/>
        <i x="549" s="1"/>
        <i x="882" s="1"/>
        <i x="1499" s="1"/>
        <i x="496" s="1"/>
        <i x="845" s="1"/>
        <i x="1052" s="1"/>
        <i x="986" s="1"/>
        <i x="926" s="1"/>
        <i x="892" s="1"/>
        <i x="544" s="1"/>
        <i x="133" s="1"/>
        <i x="668" s="1"/>
        <i x="959" s="1"/>
        <i x="707" s="1"/>
        <i x="828" s="1"/>
        <i x="1538" s="1"/>
        <i x="529" s="1"/>
        <i x="1364" s="1"/>
        <i x="197" s="1"/>
        <i x="1134" s="1"/>
        <i x="1316" s="1"/>
        <i x="1861" s="1"/>
        <i x="1350" s="1"/>
        <i x="471" s="1"/>
        <i x="1901" s="1"/>
        <i x="183" s="1"/>
        <i x="610" s="1"/>
        <i x="987" s="1"/>
        <i x="1557" s="1"/>
        <i x="252" s="1"/>
        <i x="1346" s="1"/>
        <i x="918" s="1"/>
        <i x="878" s="1"/>
        <i x="72" s="1"/>
        <i x="1854" s="1"/>
        <i x="1014" s="1"/>
        <i x="820" s="1"/>
        <i x="1469" s="1"/>
        <i x="293" s="1"/>
        <i x="347" s="1"/>
        <i x="1980" s="1"/>
        <i x="637" s="1"/>
        <i x="321" s="1"/>
        <i x="648" s="1"/>
        <i x="1230" s="1"/>
        <i x="1361" s="1"/>
        <i x="441" s="1"/>
        <i x="213" s="1"/>
        <i x="1092" s="1"/>
        <i x="1761" s="1"/>
        <i x="956" s="1"/>
        <i x="189" s="1"/>
        <i x="1832" s="1"/>
        <i x="462" s="1"/>
        <i x="1726" s="1"/>
        <i x="1965" s="1"/>
        <i x="1766" s="1"/>
        <i x="1484" s="1"/>
        <i x="1741" s="1"/>
        <i x="1476" s="1"/>
        <i x="928" s="1"/>
        <i x="21" s="1"/>
        <i x="905" s="1"/>
        <i x="1201" s="1"/>
        <i x="238" s="1"/>
        <i x="1181" s="1"/>
        <i x="442" s="1"/>
        <i x="1649" s="1"/>
        <i x="1487" s="1"/>
        <i x="429" s="1"/>
        <i x="1372" s="1"/>
        <i x="1868" s="1"/>
        <i x="1039" s="1"/>
        <i x="275" s="1"/>
        <i x="1520" s="1"/>
        <i x="1778" s="1"/>
        <i x="1818" s="1"/>
        <i x="711" s="1"/>
        <i x="1086" s="1"/>
        <i x="481" s="1"/>
        <i x="1207" s="1"/>
        <i x="1523" s="1"/>
        <i x="398" s="1"/>
        <i x="1807" s="1"/>
        <i x="916" s="1"/>
        <i x="1320" s="1"/>
        <i x="1867" s="1"/>
        <i x="209" s="1"/>
        <i x="222" s="1"/>
        <i x="753" s="1"/>
        <i x="26" s="1"/>
        <i x="1037" s="1"/>
        <i x="993" s="1"/>
        <i x="366" s="1"/>
        <i x="1136" s="1"/>
        <i x="807" s="1"/>
        <i x="1688" s="1"/>
        <i x="13" s="1"/>
        <i x="573" s="1"/>
        <i x="1937" s="1"/>
        <i x="1687" s="1"/>
        <i x="772" s="1"/>
        <i x="704" s="1"/>
        <i x="922" s="1"/>
        <i x="291" s="1"/>
        <i x="1433" s="1"/>
        <i x="1572" s="1"/>
        <i x="915" s="1"/>
        <i x="361" s="1"/>
        <i x="624" s="1"/>
        <i x="1755" s="1"/>
        <i x="863" s="1"/>
        <i x="1880" s="1"/>
        <i x="1969" s="1"/>
        <i x="1333" s="1"/>
        <i x="712" s="1"/>
        <i x="763" s="1"/>
        <i x="148" s="1"/>
        <i x="1408" s="1"/>
        <i x="1387" s="1"/>
        <i x="147" s="1"/>
        <i x="1280" s="1"/>
        <i x="1236" s="1"/>
        <i x="93" s="1"/>
        <i x="164" s="1"/>
        <i x="445" s="1"/>
        <i x="499" s="1"/>
        <i x="1621" s="1"/>
        <i x="940" s="1"/>
        <i x="601" s="1"/>
        <i x="1764" s="1"/>
        <i x="408" s="1"/>
        <i x="1545" s="1"/>
        <i x="1101" s="1"/>
        <i x="388" s="1"/>
        <i x="745" s="1"/>
        <i x="802" s="1"/>
        <i x="1829" s="1"/>
        <i x="1981" s="1"/>
        <i x="363" s="1"/>
        <i x="696" s="1"/>
        <i x="1957" s="1"/>
        <i x="835" s="1"/>
        <i x="501" s="1"/>
        <i x="1925" s="1"/>
        <i x="1279" s="1"/>
        <i x="1651" s="1"/>
        <i x="1922" s="1"/>
        <i x="370" s="1"/>
        <i x="821" s="1"/>
        <i x="930" s="1"/>
        <i x="1580" s="1"/>
        <i x="1057" s="1"/>
        <i x="169" s="1"/>
        <i x="77" s="1"/>
        <i x="1488" s="1"/>
        <i x="1926" s="1"/>
        <i x="356" s="1"/>
        <i x="689" s="1"/>
        <i x="1462" s="1"/>
        <i x="649" s="1"/>
        <i x="1630" s="1"/>
        <i x="92" s="1"/>
        <i x="285" s="1"/>
        <i x="90" s="1"/>
        <i x="1642" s="1"/>
        <i x="292" s="1"/>
        <i x="618" s="1"/>
        <i x="353" s="1"/>
        <i x="1253" s="1"/>
        <i x="1935" s="1"/>
        <i x="1154" s="1"/>
        <i x="1977" s="1"/>
        <i x="914" s="1"/>
        <i x="729" s="1"/>
        <i x="477" s="1"/>
        <i x="259" s="1"/>
        <i x="503" s="1"/>
        <i x="1672" s="1"/>
        <i x="144" s="1"/>
        <i x="1336" s="1"/>
        <i x="138" s="1"/>
        <i x="1382" s="1"/>
        <i x="1911" s="1"/>
        <i x="1010" s="1"/>
        <i x="533" s="1"/>
        <i x="1986" s="1"/>
        <i x="1740" s="1"/>
        <i x="946" s="1"/>
        <i x="1515" s="1"/>
        <i x="1562" s="1"/>
        <i x="23" s="1"/>
        <i x="819" s="1"/>
        <i x="837" s="1"/>
        <i x="957" s="1"/>
        <i x="1947" s="1"/>
        <i x="1974" s="1"/>
        <i x="1124" s="1"/>
        <i x="1116" s="1"/>
        <i x="1405" s="1"/>
        <i x="1191" s="1"/>
        <i x="1931" s="1"/>
        <i x="526" s="1"/>
        <i x="1234" s="1"/>
        <i x="769" s="1"/>
        <i x="858" s="1"/>
        <i x="1498" s="1"/>
        <i x="825" s="1"/>
        <i x="734" s="1"/>
        <i x="1367" s="1"/>
        <i x="854" s="1"/>
        <i x="1424" s="1"/>
        <i x="1198" s="1"/>
        <i x="765" s="1"/>
        <i x="1096" s="1"/>
        <i x="480" s="1"/>
        <i x="405" s="1"/>
        <i x="663" s="1"/>
        <i x="1300" s="1"/>
        <i x="1095" s="1"/>
        <i x="1277" s="1"/>
        <i x="1385" s="1"/>
        <i x="1589" s="1"/>
        <i x="89" s="1"/>
        <i x="371" s="1"/>
        <i x="402" s="1"/>
        <i x="245" s="1"/>
        <i x="1043" s="1"/>
        <i x="1021" s="1"/>
        <i x="964" s="1"/>
        <i x="1757" s="1"/>
        <i x="1643" s="1"/>
        <i x="1855" s="1"/>
        <i x="1397" s="1"/>
        <i x="1481" s="1"/>
        <i x="864" s="1"/>
        <i x="1670" s="1"/>
        <i x="543" s="1"/>
        <i x="1156" s="1"/>
        <i x="514" s="1"/>
        <i x="771" s="1"/>
        <i x="49" s="1"/>
        <i x="1077" s="1"/>
        <i x="1325" s="1"/>
        <i x="1272" s="1"/>
        <i x="411" s="1"/>
        <i x="483" s="1"/>
        <i x="1881" s="1"/>
        <i x="1706" s="1"/>
        <i x="873" s="1"/>
        <i x="84" s="1"/>
        <i x="1150" s="1"/>
        <i x="214" s="1"/>
        <i x="1552" s="1"/>
        <i x="1631" s="1"/>
        <i x="880" s="1"/>
        <i x="1414" s="1"/>
        <i x="592" s="1"/>
        <i x="1791" s="1"/>
        <i x="1870" s="1"/>
        <i x="565" s="1"/>
        <i x="1847" s="1"/>
        <i x="662" s="1"/>
        <i x="1648" s="1"/>
        <i x="1004" s="1"/>
        <i x="129" s="1"/>
        <i x="1097" s="1"/>
        <i x="1527" s="1"/>
        <i x="703" s="1"/>
        <i x="1921" s="1"/>
        <i x="619" s="1"/>
        <i x="184" s="1"/>
        <i x="478" s="1"/>
        <i x="535" s="1"/>
        <i x="1161" s="1"/>
        <i x="1080" s="1"/>
        <i x="1872" s="1"/>
        <i x="199" s="1"/>
        <i x="617" s="1"/>
        <i x="100" s="1"/>
        <i x="1869" s="1"/>
        <i x="191" s="1"/>
        <i x="1126" s="1"/>
        <i x="1856" s="1"/>
        <i x="1639" s="1"/>
        <i x="518" s="1"/>
        <i x="330" s="1"/>
        <i x="1849" s="1"/>
        <i x="1786" s="1"/>
        <i x="902" s="1"/>
        <i x="461" s="1"/>
        <i x="247" s="1"/>
        <i x="1129" s="1"/>
        <i x="1009" s="1"/>
        <i x="495" s="1"/>
        <i x="1046" s="1"/>
        <i x="525" s="1"/>
        <i x="423" s="1"/>
        <i x="1044" s="1"/>
        <i x="1463" s="1"/>
        <i x="485" s="1"/>
        <i x="1912" s="1"/>
        <i x="1370" s="1"/>
        <i x="524" s="1"/>
        <i x="562" s="1"/>
        <i x="1420" s="1"/>
        <i x="1944" s="1"/>
        <i x="1235" s="1"/>
        <i x="210" s="1"/>
        <i x="424" s="1"/>
        <i x="962" s="1"/>
        <i x="767" s="1"/>
        <i x="906" s="1"/>
        <i x="1666" s="1"/>
        <i x="1373" s="1"/>
        <i x="1834" s="1"/>
        <i x="1669" s="1"/>
        <i x="1663" s="1"/>
        <i x="1114" s="1"/>
        <i x="896" s="1"/>
        <i x="105" s="1"/>
        <i x="1284" s="1"/>
        <i x="691" s="1"/>
        <i x="1927" s="1"/>
        <i x="1251" s="1"/>
        <i x="96" s="1"/>
        <i x="1617" s="1"/>
        <i x="1678" s="1"/>
        <i x="706" s="1"/>
        <i x="1716" s="1"/>
        <i x="125" s="1"/>
        <i x="1907" s="1"/>
        <i x="572" s="1"/>
        <i x="1173" s="1"/>
        <i x="406" s="1"/>
        <i x="1438" s="1"/>
        <i x="1082" s="1"/>
        <i x="452" s="1"/>
        <i x="464" s="1"/>
        <i x="1987" s="1"/>
        <i x="816" s="1"/>
        <i x="513" s="1"/>
        <i x="1797" s="1"/>
        <i x="176" s="1"/>
        <i x="1491" s="1"/>
        <i x="1027" s="1"/>
        <i x="1240" s="1"/>
        <i x="1483" s="1"/>
        <i x="448" s="1"/>
        <i x="430" s="1"/>
        <i x="1753" s="1"/>
        <i x="1314" s="1"/>
        <i x="836" s="1"/>
        <i x="907" s="1"/>
        <i x="1222" s="1"/>
        <i x="273" s="1"/>
        <i x="1122" s="1"/>
        <i x="783" s="1"/>
        <i x="608" s="1"/>
        <i x="1238" s="1"/>
        <i x="1787" s="1"/>
        <i x="541" s="1"/>
        <i x="468" s="1"/>
        <i x="1219" s="1"/>
        <i x="1909" s="1"/>
        <i x="1399" s="1"/>
        <i x="1266" s="1"/>
        <i x="636" s="1"/>
        <i x="201" s="1"/>
        <i x="1627" s="1"/>
        <i x="791" s="1"/>
        <i x="1554" s="1"/>
        <i x="651" s="1"/>
        <i x="195" s="1"/>
        <i x="1882" s="1"/>
        <i x="1752" s="1"/>
        <i x="1298" s="1"/>
        <i x="131" s="1"/>
        <i x="8" s="1"/>
        <i x="1647" s="1"/>
        <i x="53" s="1"/>
        <i x="702" s="1"/>
        <i x="898" s="1"/>
        <i x="29" s="1"/>
        <i x="16" s="1"/>
        <i x="1905" s="1"/>
        <i x="990" s="1"/>
        <i x="1609" s="1"/>
        <i x="1991" s="1"/>
        <i x="1093" s="1"/>
        <i x="344" s="1"/>
        <i x="1406" s="1"/>
        <i x="1065" s="1"/>
        <i x="1121" s="1"/>
        <i x="1662" s="1"/>
        <i x="856" s="1"/>
        <i x="1951" s="1"/>
        <i x="784" s="1"/>
        <i x="1541" s="1"/>
        <i x="1474" s="1"/>
        <i x="1505" s="1"/>
        <i x="494" s="1"/>
        <i x="1485" s="1"/>
        <i x="1963" s="1"/>
        <i x="1853" s="1"/>
        <i x="679" s="1"/>
        <i x="3" s="1"/>
        <i x="511" s="1"/>
        <i x="241" s="1"/>
        <i x="1623" s="1"/>
        <i x="1123" s="1"/>
        <i x="1671" s="1"/>
        <i x="762" s="1"/>
        <i x="1270" s="1"/>
        <i x="417" s="1"/>
        <i x="975" s="1"/>
        <i x="323" s="1"/>
        <i x="267" s="1"/>
        <i x="1503" s="1"/>
        <i x="850" s="1"/>
        <i x="1109" s="1"/>
        <i x="130" s="1"/>
        <i x="102" s="1"/>
        <i x="1152" s="1"/>
        <i x="673" s="1"/>
        <i x="235" s="1"/>
        <i x="1641" s="1"/>
        <i x="1793" s="1"/>
        <i x="1204" s="1"/>
        <i x="215" s="1"/>
        <i x="1845" s="1"/>
        <i x="140" s="1"/>
        <i x="1910" s="1"/>
        <i x="110" s="1"/>
        <i x="1582" s="1"/>
        <i x="586" s="1"/>
        <i x="1019" s="1"/>
        <i x="842" s="1"/>
        <i x="378" s="1"/>
        <i x="1769" s="1"/>
        <i x="628" s="1"/>
        <i x="1040" s="1"/>
        <i x="1578" s="1"/>
        <i x="1943" s="1"/>
        <i x="534" s="1"/>
        <i x="1099" s="1"/>
        <i x="808" s="1"/>
        <i x="571" s="1"/>
        <i x="493" s="1"/>
        <i x="1100" s="1"/>
        <i x="1615" s="1"/>
        <i x="833" s="1"/>
        <i x="1104" s="1"/>
        <i x="687" s="1"/>
        <i x="1622" s="1"/>
        <i x="1902" s="1"/>
        <i x="1693" s="1"/>
        <i x="909" s="1"/>
        <i x="1896" s="1"/>
        <i x="868" s="1"/>
        <i x="737" s="1"/>
        <i x="653" s="1"/>
        <i x="1967" s="1"/>
        <i x="67" s="1"/>
        <i x="560" s="1"/>
        <i x="233" s="1"/>
        <i x="1795" s="1"/>
        <i x="885" s="1"/>
        <i x="1736" s="1"/>
        <i x="1512" s="1"/>
        <i x="1506" s="1"/>
        <i x="377" s="1"/>
        <i x="59" s="1"/>
        <i x="126" s="1"/>
        <i x="1388" s="1"/>
        <i x="168" s="1"/>
        <i x="813" s="1"/>
        <i x="123" s="1"/>
        <i x="17" s="1"/>
        <i x="1269" s="1"/>
        <i x="1038" s="1"/>
        <i x="997" s="1"/>
        <i x="186" s="1"/>
        <i x="1281" s="1"/>
        <i x="579" s="1"/>
        <i x="641" s="1"/>
        <i x="1709" s="1"/>
        <i x="743" s="1"/>
        <i x="1143" s="1"/>
        <i x="700" s="1"/>
        <i x="1073" s="1"/>
        <i x="1363" s="1"/>
        <i x="1306" s="1"/>
        <i x="1449" s="1"/>
        <i x="41" s="1"/>
        <i x="804" s="1"/>
        <i x="1661" s="1"/>
        <i x="1982" s="1"/>
        <i x="570" s="1"/>
        <i x="1192" s="1"/>
        <i x="698" s="1"/>
        <i x="1308" s="1"/>
        <i x="1775" s="1"/>
        <i x="179" s="1"/>
        <i x="1844" s="1"/>
        <i x="1913" s="1"/>
        <i x="603" s="1"/>
        <i x="438" s="1"/>
        <i x="688" s="1"/>
        <i x="446" s="1"/>
        <i x="1948" s="1"/>
        <i x="972" s="1"/>
        <i x="1283" s="1"/>
        <i x="852" s="1"/>
        <i x="540" s="1"/>
        <i x="1130" s="1"/>
        <i x="1718" s="1"/>
        <i x="1959" s="1"/>
        <i x="145" s="1"/>
        <i x="369" s="1"/>
        <i x="101" s="1"/>
        <i x="1188" s="1"/>
        <i x="853" s="1"/>
        <i x="1952" s="1"/>
        <i x="1006" s="1"/>
        <i x="449" s="1"/>
        <i x="325" s="1"/>
        <i x="1208" s="1"/>
        <i x="192" s="1"/>
        <i x="392" s="1"/>
        <i x="1378" s="1"/>
        <i x="315" s="1"/>
        <i x="557" s="1"/>
        <i x="187" s="1"/>
        <i x="1841" s="1"/>
        <i x="1113" s="1"/>
        <i x="395" s="1"/>
        <i x="1929" s="1"/>
        <i x="597" s="1"/>
        <i x="162" s="1"/>
        <i x="826" s="1"/>
        <i x="723" s="1"/>
        <i x="73" s="1"/>
        <i x="546" s="1"/>
        <i x="1472" s="1"/>
        <i x="1883" s="1"/>
        <i x="18" s="1"/>
        <i x="55" s="1"/>
        <i x="1365" s="1"/>
        <i x="575" s="1"/>
        <i x="757" s="1"/>
        <i x="548" s="1"/>
        <i x="349" s="1"/>
        <i x="1403" s="1"/>
        <i x="1815" s="1"/>
        <i x="872" s="1"/>
        <i x="109" s="1"/>
        <i x="567" s="1"/>
        <i x="1220" s="1"/>
        <i x="754" s="1"/>
        <i x="1564" s="1"/>
        <i x="507" s="1"/>
        <i x="1128" s="1"/>
        <i x="487" s="1"/>
        <i x="94" s="1"/>
        <i x="278" s="1"/>
        <i x="950" s="1"/>
        <i x="428" s="1"/>
        <i x="11" s="1"/>
        <i x="1151" s="1"/>
        <i x="929" s="1"/>
        <i x="45" s="1"/>
        <i x="941" s="1"/>
        <i x="354" s="1"/>
        <i x="728" s="1"/>
        <i x="1189" s="1"/>
        <i x="1497" s="1"/>
        <i x="498" s="1"/>
        <i x="1640" s="1"/>
        <i x="1195" s="1"/>
        <i x="312" s="1"/>
        <i x="626" s="1"/>
        <i x="1534" s="1"/>
        <i x="1263" s="1"/>
        <i x="1376" s="1"/>
        <i x="173" s="1"/>
        <i x="1899" s="1"/>
        <i x="203" s="1"/>
        <i x="1762" s="1"/>
        <i x="1777" s="1"/>
        <i x="332" s="1"/>
        <i x="1400" s="1"/>
        <i x="1760" s="1"/>
        <i x="39" s="1"/>
        <i x="82" s="1"/>
        <i x="683" s="1"/>
        <i x="793" s="1"/>
        <i x="1917" s="1"/>
        <i x="1233" s="1"/>
        <i x="1817" s="1"/>
        <i x="1067" s="1"/>
        <i x="1084" s="1"/>
        <i x="1432" s="1"/>
        <i x="801" s="1"/>
        <i x="1371" s="1"/>
        <i x="326" s="1"/>
        <i x="1695" s="1"/>
        <i x="1521" s="1"/>
        <i x="1434" s="1"/>
        <i x="1267" s="1"/>
        <i x="334" s="1"/>
        <i x="1577" s="1"/>
        <i x="1874" s="1"/>
        <i x="1941" s="1"/>
        <i x="1525" s="1"/>
        <i x="1765" s="1"/>
        <i x="509" s="1"/>
        <i x="620" s="1"/>
        <i x="838" s="1"/>
        <i x="1175" s="1"/>
        <i x="779" s="1"/>
        <i x="1362" s="1"/>
        <i x="1282" s="1"/>
        <i x="160" s="1"/>
        <i x="472" s="1"/>
        <i x="1243" s="1"/>
        <i x="32" s="1"/>
        <i x="1401" s="1"/>
        <i x="1356" s="1"/>
        <i x="1936" s="1"/>
        <i x="456" s="1"/>
        <i x="1492" s="1"/>
        <i x="1551" s="1"/>
        <i x="1197" s="1"/>
        <i x="713" s="1"/>
        <i x="1600" s="1"/>
        <i x="1976" s="1"/>
        <i x="1344" s="1"/>
        <i x="656" s="1"/>
        <i x="237" s="1"/>
        <i x="1110" s="1"/>
        <i x="1543" s="1"/>
        <i x="276" s="1"/>
        <i x="121" s="1"/>
        <i x="576" s="1"/>
        <i x="1792" s="1"/>
        <i x="220" s="1"/>
        <i x="879" s="1"/>
        <i x="1081" s="1"/>
        <i x="1060" s="1"/>
        <i x="1412" s="1"/>
        <i x="1209" s="1"/>
        <i x="381" s="1"/>
        <i x="742" s="1"/>
        <i x="849" s="1"/>
        <i x="1301" s="1"/>
        <i x="1858" s="1"/>
        <i x="1892" s="1"/>
        <i x="345" s="1"/>
        <i x="1822" s="1"/>
        <i x="778" s="1"/>
        <i x="1940" s="1"/>
        <i x="1418" s="1"/>
        <i x="1555" s="1"/>
        <i x="1652" s="1"/>
        <i x="190" s="1"/>
        <i x="867" s="1"/>
        <i x="71" s="1"/>
        <i x="697" s="1"/>
        <i x="1930" s="1"/>
        <i x="755" s="1"/>
        <i x="749" s="1"/>
        <i x="859" s="1"/>
        <i x="652" s="1"/>
        <i x="230" s="1"/>
        <i x="1955" s="1"/>
        <i x="1563" s="1"/>
        <i x="1561" s="1"/>
        <i x="556" s="1"/>
        <i x="622" s="1"/>
        <i x="257" s="1"/>
        <i x="1595" s="1"/>
        <i x="57" s="1"/>
        <i x="1223" s="1"/>
        <i x="1759" s="1"/>
        <i x="333" s="1"/>
        <i x="7" s="1"/>
        <i x="1994" s="1"/>
        <i x="76" s="1"/>
        <i x="1914" s="1"/>
        <i x="1781" s="1"/>
        <i x="339" s="1"/>
        <i x="870" s="1"/>
        <i x="985" s="1"/>
        <i x="1140" s="1"/>
        <i x="1033" s="1"/>
        <i x="1715" s="1"/>
        <i x="342" s="1"/>
        <i x="887" s="1"/>
        <i x="943" s="1"/>
        <i x="1727" s="1"/>
        <i x="1242" s="1"/>
        <i x="1138" s="1"/>
        <i x="1423" s="1"/>
        <i x="815" s="1"/>
        <i x="1299" s="1"/>
        <i x="886" s="1"/>
        <i x="1170" s="1"/>
        <i x="818" s="1"/>
        <i x="410" s="1"/>
        <i x="1380" s="1"/>
        <i x="1120" s="1"/>
        <i x="1536" s="1"/>
        <i x="694" s="1"/>
        <i x="761" s="1"/>
        <i x="1820" s="1"/>
        <i x="243" s="1"/>
        <i x="1750" s="1"/>
        <i x="805" s="1"/>
        <i x="890" s="1"/>
        <i x="1063" s="1"/>
        <i x="1653" s="1"/>
        <i x="1480" s="1"/>
        <i x="1053" s="1"/>
        <i x="297" s="1"/>
        <i x="175" s="1"/>
        <i x="566" s="1"/>
        <i x="834" s="1"/>
        <i x="539" s="1"/>
        <i x="384" s="1"/>
        <i x="150" s="1"/>
        <i x="1089" s="1"/>
        <i x="1900" s="1"/>
        <i x="881" s="1"/>
        <i x="185" s="1"/>
        <i x="1318" s="1"/>
        <i x="1178" s="1"/>
        <i x="33" s="1"/>
        <i x="117" s="1"/>
        <i x="1704" s="1"/>
        <i x="1789" s="1"/>
        <i x="994" s="1"/>
        <i x="1054" s="1"/>
        <i x="64" s="1"/>
        <i x="1352" s="1"/>
        <i x="491" s="1"/>
        <i x="1783" s="1"/>
        <i x="309" s="1"/>
        <i x="1722" s="1"/>
        <i x="432" s="1"/>
        <i x="1158" s="1"/>
        <i x="602" s="1"/>
        <i x="128" s="1"/>
        <i x="206" s="1"/>
        <i x="1442" s="1"/>
        <i x="1227" s="1"/>
        <i x="803" s="1"/>
        <i x="114" s="1"/>
        <i x="1345" s="1"/>
        <i x="951" s="1"/>
        <i x="893" s="1"/>
        <i x="399" s="1"/>
        <i x="991" s="1"/>
        <i x="459" s="1"/>
        <i x="639" s="1"/>
        <i x="519" s="1"/>
        <i x="373" s="1"/>
        <i x="1384" s="1"/>
        <i x="568" s="1"/>
        <i x="857" s="1"/>
        <i x="409" s="1"/>
        <i x="949" s="1"/>
        <i x="814" s="1"/>
        <i x="911" s="1"/>
        <i x="248" s="1"/>
        <i x="1535" s="1"/>
        <i x="1083" s="1"/>
        <i x="1289" s="1"/>
        <i x="1042" s="1"/>
        <i x="482" s="1"/>
        <i x="931" s="1"/>
        <i x="458" s="1"/>
        <i x="1034" s="1"/>
        <i x="412" s="1"/>
        <i x="1714" s="1"/>
        <i x="1584" s="1"/>
        <i x="231" s="1"/>
        <i x="1522" s="1"/>
        <i x="1464" s="1"/>
        <i x="1088" s="1"/>
        <i x="149" s="1"/>
        <i x="52" s="1"/>
        <i x="268" s="1"/>
        <i x="223" s="1"/>
        <i x="414" s="1"/>
        <i x="616" s="1"/>
        <i x="1025" s="1"/>
        <i x="1247" s="1"/>
        <i x="1256" s="1"/>
        <i x="1746" s="1"/>
        <i x="574" s="1"/>
        <i x="1276" s="1"/>
        <i x="455" s="1"/>
        <i x="1604" s="1"/>
        <i x="832" s="1"/>
        <i x="419" s="1"/>
        <i x="421" s="1"/>
        <i x="1628" s="1"/>
        <i x="1721" s="1"/>
        <i x="1863" s="1"/>
        <i x="6" s="1"/>
        <i x="789" s="1"/>
        <i x="621" s="1"/>
        <i x="308" s="1"/>
        <i x="966" s="1"/>
        <i x="996" s="1"/>
        <i x="1407" s="1"/>
        <i x="692" s="1"/>
        <i x="809" s="1"/>
        <i x="773" s="1"/>
        <i x="1171" s="1"/>
        <i x="14" s="1"/>
        <i x="790" s="1"/>
        <i x="1292" s="1"/>
        <i x="457" s="1"/>
        <i x="1906" s="1"/>
        <i x="99" s="1"/>
        <i x="561" s="1"/>
        <i x="554" s="1"/>
        <i x="1747" s="1"/>
        <i x="1293" s="1"/>
        <i x="1636" s="1"/>
        <i x="202" s="1"/>
        <i x="1891" s="1"/>
        <i x="1059" s="1"/>
        <i x="861" s="1"/>
        <i x="1286" s="1"/>
        <i x="288" s="1"/>
        <i x="255" s="1"/>
        <i x="1458" s="1"/>
        <i x="224" s="1"/>
        <i x="1427" s="1"/>
        <i x="599" s="1"/>
        <i x="1814" s="1"/>
        <i x="655" s="1"/>
        <i x="953" s="1"/>
        <i x="1634" s="1"/>
        <i x="1018" s="1"/>
        <i x="1245" s="1"/>
        <i x="437" s="1"/>
        <i x="695" s="1"/>
        <i x="106" s="1"/>
        <i x="172" s="1"/>
        <i x="350" s="1"/>
        <i x="585" s="1"/>
        <i x="262" s="1"/>
        <i x="823" s="1"/>
        <i x="942" s="1"/>
        <i x="553" s="1"/>
        <i x="1650" s="1"/>
        <i x="56" s="1"/>
        <i x="306" s="1"/>
        <i x="1058" s="1"/>
        <i x="751" s="1"/>
        <i x="416" s="1"/>
        <i x="36" s="1"/>
        <i x="1451" s="1"/>
        <i x="1796" s="1"/>
        <i x="1971" s="1"/>
        <i x="167" s="1"/>
        <i x="1145" s="1"/>
        <i x="1091" s="1"/>
        <i x="111" s="1"/>
        <i x="1920" s="1"/>
        <i x="1437" s="1"/>
        <i x="346" s="1"/>
        <i x="1657" s="1"/>
        <i x="228" s="1"/>
        <i x="904" s="1"/>
        <i x="431" s="1"/>
        <i x="1176" s="1"/>
        <i x="1296" s="1"/>
        <i x="982" s="1"/>
        <i x="1852" s="1"/>
        <i x="1916" s="1"/>
        <i x="958" s="1"/>
        <i x="54" s="1"/>
        <i x="65" s="1"/>
        <i x="1835" s="1"/>
        <i x="328" s="1"/>
        <i x="1683" s="1"/>
        <i x="1517" s="1"/>
        <i x="1076" s="1"/>
        <i x="43" s="1"/>
        <i x="1729" s="1"/>
        <i x="630" s="1"/>
        <i x="135" s="1"/>
        <i x="302" s="1"/>
        <i x="1518" s="1"/>
        <i x="1559" s="1"/>
        <i x="1659" s="1"/>
        <i x="1597" s="1"/>
        <i x="1334" s="1"/>
        <i x="15" s="1"/>
        <i x="1179" s="1"/>
        <i x="1206" s="1"/>
        <i x="120" s="1"/>
        <i x="9" s="1"/>
        <i x="1467" s="1"/>
        <i x="299" s="1"/>
        <i x="34" s="1"/>
        <i x="1658" s="1"/>
        <i x="846" s="1"/>
        <i x="40" s="1"/>
        <i x="1839" s="1"/>
        <i x="1249" s="1"/>
        <i x="1196" s="1"/>
        <i x="146" s="1"/>
        <i x="1581" s="1"/>
        <i x="254" s="1"/>
        <i x="1975" s="1"/>
        <i x="104" s="1"/>
        <i x="1421" s="1"/>
        <i x="1800" s="1"/>
        <i x="434" s="1"/>
        <i x="658" s="1"/>
        <i x="684" s="1"/>
        <i x="1629" s="1"/>
        <i x="1737" s="1"/>
        <i x="1728" s="1"/>
        <i x="1843" s="1"/>
        <i x="153" s="1"/>
        <i x="1214" s="1"/>
        <i x="1017" s="1"/>
        <i x="877" s="1"/>
        <i x="1072" s="1"/>
        <i x="920" s="1"/>
        <i x="1295" s="1"/>
        <i x="1335" s="1"/>
        <i x="1825" s="1"/>
        <i x="249" s="1"/>
        <i x="1607" s="1"/>
        <i x="1205" s="1"/>
        <i x="1574" s="1"/>
        <i x="1216" s="1"/>
        <i x="1616" s="1"/>
        <i x="682" s="1"/>
        <i x="355" s="1"/>
        <i x="143" s="1"/>
        <i x="78" s="1"/>
        <i x="569" s="1"/>
        <i x="1803" s="1"/>
        <i x="1439" s="1"/>
        <i x="1218" s="1"/>
        <i x="320" s="1"/>
        <i x="685" s="1"/>
        <i x="263" s="1"/>
        <i x="244" s="1"/>
        <i x="1262" s="1"/>
        <i x="1332" s="1"/>
        <i x="717" s="1"/>
        <i x="1875" s="1"/>
        <i x="1774" s="1"/>
        <i x="999" s="1"/>
        <i x="1379" s="1"/>
        <i x="453" s="1"/>
        <i x="1608" s="1"/>
        <i x="1160" s="1"/>
        <i x="785" s="1"/>
        <i x="42" s="1"/>
        <i x="272" s="1"/>
        <i x="1473" s="1"/>
        <i x="303" s="1"/>
        <i x="1566" s="1"/>
        <i x="1342" s="1"/>
        <i x="1696" s="1"/>
        <i x="156" s="1"/>
        <i x="978" s="1"/>
        <i x="1530" s="1"/>
        <i x="1468" s="1"/>
        <i x="270" s="1"/>
        <i x="1964" s="1"/>
        <i x="631" s="1"/>
        <i x="1633" s="1"/>
        <i x="277" s="1"/>
        <i x="899" s="1"/>
        <i x="913" s="1"/>
        <i x="188" s="1"/>
        <i x="983" s="1"/>
        <i x="1763" s="1"/>
        <i x="362" s="1"/>
        <i x="591" s="1"/>
        <i x="1508" s="1"/>
        <i x="527" s="1"/>
        <i x="1075" s="1"/>
        <i x="1682" s="1"/>
        <i x="236" s="1"/>
        <i x="1738" s="1"/>
        <i x="1754" s="1"/>
        <i x="1319" s="1"/>
        <i x="447" s="1"/>
        <i x="710" s="1"/>
        <i x="980" s="1"/>
        <i x="1312" s="1"/>
        <i x="1111" s="1"/>
        <i x="1590" s="1"/>
        <i x="1949" s="1"/>
        <i x="1108" s="1"/>
        <i x="1454" s="1"/>
        <i x="1228" s="1"/>
        <i x="1514" s="1"/>
        <i x="1051" s="1"/>
        <i x="98" s="1"/>
        <i x="479" s="1"/>
        <i x="800" s="1"/>
        <i x="967" s="1"/>
        <i x="379" s="1"/>
        <i x="1190" s="1"/>
        <i x="492" s="1"/>
        <i x="1773" s="1"/>
        <i x="992" s="1"/>
        <i x="609" s="1"/>
        <i x="1496" s="1"/>
        <i x="1809" s="1"/>
        <i x="1667" s="1"/>
        <i x="1163" s="1"/>
        <i x="1504" s="1"/>
        <i x="1117" s="1"/>
        <i x="394" s="1"/>
        <i x="389" s="1"/>
        <i x="1395" s="1"/>
        <i x="1838" s="1"/>
        <i x="1005" s="1"/>
        <i x="680" s="1"/>
        <i x="699" s="1"/>
        <i x="1200" s="1"/>
        <i x="718" s="1"/>
        <i x="466" s="1"/>
        <i x="932" s="1"/>
        <i x="142" s="1"/>
        <i x="1182" s="1"/>
        <i x="352" s="1"/>
        <i x="1571" s="1"/>
        <i x="1307" s="1"/>
        <i x="1452" s="1"/>
        <i x="1310" s="1"/>
        <i x="1950" s="1"/>
        <i x="806" s="1"/>
        <i x="1313" s="1"/>
        <i x="1673" s="1"/>
        <i x="736" s="1"/>
        <i x="969" s="1"/>
        <i x="1526" s="1"/>
        <i x="1699" s="1"/>
        <i x="933" s="1"/>
        <i x="290" s="1"/>
        <i x="1802" s="1"/>
        <i x="489" s="1"/>
        <i x="577" s="1"/>
        <i x="952" s="1"/>
        <i x="1064" s="1"/>
        <i x="888" s="1"/>
        <i x="1031" s="1"/>
        <i x="1229" s="1"/>
        <i x="1776" s="1"/>
        <i x="1594" s="1"/>
        <i x="474" s="1"/>
        <i x="227" s="1"/>
        <i x="672" s="1"/>
        <i x="1684" s="1"/>
        <i x="855" s="1"/>
        <i x="1735" s="1"/>
        <i x="1404" s="1"/>
        <i x="977" s="1"/>
        <i x="1441" s="1"/>
        <i x="520" s="1"/>
        <i x="581" s="1"/>
        <i x="211" s="1"/>
        <i x="720" s="1"/>
        <i x="1413" s="1"/>
        <i x="1857" s="1"/>
        <i x="1338" s="1"/>
        <i x="19" s="1"/>
        <i x="1973" s="1"/>
        <i x="1611" s="1"/>
        <i x="1035" s="1"/>
        <i x="1288" s="1"/>
        <i x="555" s="1"/>
        <i x="839" s="1"/>
        <i x="1426" s="1"/>
        <i x="282" s="1"/>
        <i x="1494" s="1"/>
        <i x="830" s="1"/>
        <i x="598" s="1"/>
        <i x="107" s="1"/>
        <i x="1061" s="1"/>
        <i x="831" s="1"/>
        <i x="1322" s="1"/>
        <i x="1697" s="1"/>
        <i x="657" s="1"/>
        <i x="1199" s="1"/>
        <i x="165" s="1"/>
        <i x="151" s="1"/>
        <i x="1824" s="1"/>
        <i x="358" s="1"/>
        <i x="1810" s="1"/>
        <i x="1836" s="1"/>
        <i x="1085" s="1"/>
        <i x="659" s="1"/>
        <i x="981" s="1"/>
        <i x="558" s="1"/>
        <i x="976" s="1"/>
        <i x="1340" s="1"/>
        <i x="204" s="1"/>
        <i x="1224" s="1"/>
        <i x="563" s="1"/>
        <i x="686" s="1"/>
        <i x="1294" s="1"/>
        <i x="324" s="1"/>
        <i x="1041" s="1"/>
        <i x="1772" s="1"/>
        <i x="1654" s="1"/>
        <i x="240" s="1"/>
        <i x="1268" s="1"/>
        <i x="1419" s="1"/>
        <i x="1155" s="1"/>
        <i x="1516" s="1"/>
        <i x="4" s="1"/>
        <i x="1396" s="1"/>
        <i x="69" s="1"/>
        <i x="200" s="1"/>
        <i x="97" s="1"/>
        <i x="1823" s="1"/>
        <i x="1586" s="1"/>
        <i x="1202" s="1"/>
        <i x="1231" s="1"/>
        <i x="1500" s="1"/>
        <i x="1934" s="1"/>
        <i x="948" s="1"/>
        <i x="1450" s="1"/>
        <i x="1919" s="1"/>
        <i x="1989" s="1"/>
        <i x="1619" s="1"/>
        <i x="1341" s="1"/>
        <i x="786" s="1"/>
        <i x="450" s="1"/>
        <i x="883" s="1"/>
        <i x="590" s="1"/>
        <i x="1954" s="1"/>
        <i x="1431" s="1"/>
        <i x="1705" s="1"/>
        <i x="1456" s="1"/>
        <i x="229" s="1"/>
        <i x="1489" s="1"/>
        <i x="250" s="1"/>
        <i x="359" s="1"/>
        <i x="1848" s="1"/>
        <i x="961" s="1"/>
        <i x="1744" s="1"/>
        <i x="1932" s="1"/>
        <i x="947" s="1"/>
        <i x="1603" s="1"/>
        <i x="226" s="1"/>
        <i x="404" s="1"/>
        <i x="521" s="1"/>
        <i x="304" s="1"/>
        <i x="538" s="1"/>
        <i x="1871" s="1"/>
        <i x="1360" s="1"/>
        <i x="1895" s="1"/>
        <i x="1254" s="1"/>
        <i x="844" s="1"/>
        <i x="1000" s="1"/>
        <i x="1144" s="1"/>
        <i x="343" s="1"/>
        <i x="851" s="1"/>
        <i x="973" s="1"/>
        <i x="1444" s="1"/>
        <i x="748" s="1"/>
        <i x="1142" s="1"/>
        <i x="301" s="1"/>
        <i x="380" s="1"/>
        <i x="716" s="1"/>
        <i x="1074" s="1"/>
        <i x="286" s="1"/>
        <i x="1106" s="1"/>
        <i x="1698" s="1"/>
        <i x="1587" s="1"/>
        <i x="454" s="1"/>
        <i x="661" s="1"/>
        <i x="766" s="1"/>
        <i x="469" s="1"/>
        <i x="260" s="1"/>
        <i x="108" s="1"/>
        <i x="27" s="1"/>
        <i x="1827" s="1"/>
        <i x="1149" s="1"/>
        <i x="1780" s="1"/>
        <i x="1767" s="1"/>
        <i x="963" s="1"/>
        <i x="1119" s="1"/>
        <i x="1457" s="1"/>
        <i x="739" s="1"/>
        <i x="1888" s="1"/>
        <i x="1918" s="1"/>
        <i x="305" s="1"/>
        <i x="1107" s="1"/>
        <i x="606" s="1"/>
        <i x="1679" s="1"/>
        <i x="1542" s="1"/>
        <i x="1885" s="1"/>
        <i x="295" s="1"/>
        <i x="1425" s="1"/>
        <i x="564" s="1"/>
        <i x="1411" s="1"/>
        <i x="1321" s="1"/>
        <i x="1133" s="1"/>
        <i x="1343" s="1"/>
        <i x="1808" s="1"/>
        <i x="1090" s="1"/>
        <i x="504" s="1"/>
        <i x="1193" s="1"/>
        <i x="794" s="1"/>
        <i x="774" s="1"/>
        <i x="386" s="1"/>
        <i x="1390" s="1"/>
        <i x="1127" s="1"/>
        <i x="136" s="1"/>
        <i x="1733" s="1"/>
        <i x="178" s="1"/>
        <i x="1612" s="1"/>
        <i x="770" s="1"/>
        <i x="642" s="1"/>
        <i x="264" s="1"/>
        <i x="1743" s="1"/>
        <i x="218" s="1"/>
        <i x="1592" s="1"/>
        <i x="1540" s="1"/>
        <i x="1217" s="1"/>
        <i x="1398" s="1"/>
        <i x="1851" s="1"/>
        <i x="12" s="1"/>
        <i x="1799" s="1"/>
        <i x="552" s="1"/>
        <i x="646" s="1"/>
        <i x="979" s="1"/>
        <i x="1533" s="1"/>
        <i x="401" s="1"/>
        <i x="221" s="1"/>
        <i x="817" s="1"/>
        <i x="1177" s="1"/>
        <i x="1993" s="1"/>
        <i x="351" s="1"/>
        <i x="613" s="1"/>
        <i x="1938" s="1"/>
        <i x="1575" s="1"/>
        <i x="1327" s="1"/>
        <i x="1353" s="1"/>
        <i x="589" s="1"/>
        <i x="1255" s="1"/>
        <i x="1703" s="1"/>
        <i x="336" s="1"/>
        <i x="1302" s="1"/>
        <i x="86" s="1"/>
        <i x="1056" s="1"/>
        <i x="1749" s="1"/>
        <i x="1979" s="1"/>
        <i x="1681" s="1"/>
        <i x="360" s="1"/>
        <i x="1068" s="1"/>
        <i x="936" s="1"/>
        <i x="860" s="1"/>
        <i x="1285" s="1"/>
        <i x="708" s="1"/>
        <i x="1001" s="1"/>
        <i x="776" s="1"/>
        <i x="671" s="1"/>
        <i x="1602" s="1"/>
        <i x="666" s="1"/>
        <i x="960" s="1"/>
        <i x="1723" s="1"/>
        <i x="1261" s="1"/>
        <i x="196" s="1"/>
        <i x="612" s="1"/>
        <i x="937" s="1"/>
        <i x="1147" s="1"/>
        <i x="1369" s="1"/>
        <i x="865" s="1"/>
        <i x="376" s="1"/>
        <i x="1069" s="1"/>
        <i x="607" s="1"/>
        <i x="225" s="1"/>
        <i x="1477" s="1"/>
        <i x="1368" s="1"/>
        <i x="75" s="1"/>
        <i x="460" s="1"/>
        <i x="664" s="1"/>
        <i x="1470" s="1"/>
        <i x="939" s="1"/>
        <i x="1567" s="1"/>
        <i x="1184" s="1"/>
        <i x="615" s="1"/>
        <i x="1924" s="1"/>
        <i x="1720" s="1"/>
        <i x="1866" s="1"/>
        <i x="1317" s="1"/>
        <i x="367" s="1"/>
        <i x="1995" s="1"/>
        <i x="112" s="1"/>
        <i x="127" s="1"/>
        <i x="640" s="1"/>
        <i x="166" s="1"/>
        <i x="550" s="1"/>
        <i x="1748" s="1"/>
        <i x="935" s="1"/>
        <i x="180" s="1"/>
        <i x="139" s="1"/>
        <i x="1842" s="1"/>
        <i x="1946" s="1"/>
        <i x="989" s="1"/>
        <i x="194" s="1"/>
        <i x="1050" s="1"/>
        <i x="1645" s="1"/>
        <i x="1702" s="1"/>
        <i x="87" s="1"/>
        <i x="709" s="1"/>
        <i x="1115" s="1"/>
        <i x="731" s="1"/>
        <i x="925" s="1"/>
        <i x="418" s="1"/>
        <i x="531" s="1"/>
        <i x="604" s="1"/>
        <i x="1349" s="1"/>
        <i x="1893" s="1"/>
        <i x="760" s="1"/>
        <i x="1887" s="1"/>
        <i x="397" s="1"/>
        <i x="316" s="1"/>
        <i x="58" s="1"/>
        <i x="22" s="1"/>
        <i x="38" s="1"/>
        <i x="1656" s="1"/>
        <i x="1990" s="1"/>
        <i x="20" s="1"/>
        <i x="1846" s="1"/>
        <i x="1903" s="1"/>
        <i x="311" s="1"/>
        <i x="182" s="1"/>
        <i x="1686" s="1"/>
        <i x="396" s="1"/>
        <i x="1271" s="1"/>
        <i x="611" s="1"/>
        <i x="1711" s="1"/>
        <i x="279" s="1"/>
        <i x="269" s="1"/>
        <i x="436" s="1"/>
        <i x="340" s="1"/>
        <i x="1953" s="1"/>
        <i x="1194" s="1"/>
        <i x="840" s="1"/>
        <i x="1983" s="1"/>
        <i x="788" s="1"/>
        <i x="443" s="1"/>
        <i x="1070" s="1"/>
        <i x="1274" s="1"/>
        <i x="174" s="1"/>
        <i x="623" s="1"/>
        <i x="705" s="1"/>
        <i x="733" s="1"/>
        <i x="435" s="1"/>
        <i x="1453" s="1"/>
        <i x="1028" s="1"/>
        <i x="875" s="1"/>
        <i x="1339" s="1"/>
        <i x="287" s="1"/>
        <i x="862" s="1"/>
        <i x="116" s="1"/>
        <i x="387" s="1"/>
        <i x="266" s="1"/>
        <i x="824" s="1"/>
        <i x="1569" s="1"/>
        <i x="1531" s="1"/>
        <i x="1665" s="1"/>
        <i x="1265" s="1"/>
        <i x="232" s="1"/>
        <i x="1635" s="1"/>
        <i x="1510" s="1"/>
        <i x="1258" s="1"/>
        <i x="724" s="1"/>
        <i x="1337" s="1"/>
        <i x="66" s="1"/>
        <i x="1273" s="1"/>
        <i x="530" s="1"/>
        <i x="532" s="1"/>
        <i x="1794" s="1"/>
        <i x="1568" s="1"/>
        <i x="1732" s="1"/>
        <i x="995" s="1"/>
        <i x="1813" s="1"/>
        <i x="1638" s="1"/>
        <i x="517" s="1"/>
        <i x="451" s="1"/>
        <i x="1860" s="1"/>
        <i x="1960" s="1"/>
        <i x="1821" s="1"/>
        <i x="1048" s="1"/>
        <i x="1865" s="1"/>
        <i x="1864" s="1"/>
        <i x="536" s="1"/>
        <i x="1756" s="1"/>
        <i x="675" s="1"/>
        <i x="744" s="1"/>
        <i x="1904" s="1"/>
        <i x="403" s="1"/>
        <i x="261" s="1"/>
        <i x="25" s="1"/>
        <i x="970" s="1"/>
        <i x="523" s="1"/>
        <i x="1878" s="1"/>
        <i x="1830" s="1"/>
        <i x="1725" s="1"/>
        <i x="1330" s="1"/>
        <i x="810" s="1"/>
        <i x="1148" s="1"/>
        <i x="752" s="1"/>
        <i x="596" s="1"/>
        <i x="1550" s="1"/>
        <i x="439" s="1"/>
        <i x="984" s="1"/>
        <i x="848" s="1"/>
        <i x="1210" s="1"/>
        <i x="1359" s="1"/>
        <i x="300" s="1"/>
        <i x="1446" s="1"/>
        <i x="595" s="1"/>
        <i x="1440" s="1"/>
        <i x="426" s="1"/>
        <i x="1347" s="1"/>
        <i x="1475" s="1"/>
        <i x="714" s="1"/>
        <i x="2" s="1"/>
        <i x="587" s="1"/>
        <i x="1482" s="1"/>
        <i x="1103" s="1"/>
        <i x="1771" s="1"/>
        <i x="488" s="1"/>
        <i x="910" s="1"/>
        <i x="103" s="1"/>
        <i x="427" s="1"/>
        <i x="1012" s="1"/>
        <i x="1237" s="1"/>
        <i x="115" s="1"/>
        <i x="208" s="1"/>
        <i x="1529" s="1"/>
        <i x="1172" s="1"/>
        <i x="467" s="1"/>
        <i x="1537" s="1"/>
        <i x="1246" s="1"/>
        <i x="476" s="1"/>
        <i x="1668" s="1"/>
        <i x="132" s="1"/>
        <i x="1315" s="1"/>
        <i x="593" s="1"/>
        <i x="924" s="1"/>
        <i x="385" s="1"/>
        <i x="1416" s="1"/>
        <i x="580" s="1"/>
        <i x="627" s="1"/>
        <i x="335" s="1"/>
        <i x="1862" s="1"/>
        <i x="944" s="1"/>
        <i x="1455" s="1"/>
        <i x="251" s="1"/>
        <i x="1203" s="1"/>
        <i x="1689" s="1"/>
        <i x="155" s="1"/>
        <i x="654" s="1"/>
        <i x="1375" s="1"/>
        <i x="390" s="1"/>
        <i x="1002" s="1"/>
        <i x="155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7000000}" sourceName="Category">
  <pivotTables>
    <pivotTable tabId="13" name="PivotTable11"/>
    <pivotTable tabId="10" name="PivotTable7"/>
    <pivotTable tabId="11" name="PivotTable9"/>
    <pivotTable tabId="12" name="PivotTable10"/>
  </pivotTables>
  <data>
    <tabular pivotCacheId="1">
      <items count="5">
        <i x="2" s="1"/>
        <i x="4" s="1"/>
        <i x="1" s="1"/>
        <i x="3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count" xr10:uid="{00000000-0013-0000-FFFF-FFFF08000000}" sourceName="Discount">
  <pivotTables>
    <pivotTable tabId="13" name="PivotTable11"/>
    <pivotTable tabId="10" name="PivotTable7"/>
    <pivotTable tabId="11" name="PivotTable9"/>
    <pivotTable tabId="12" name="PivotTable10"/>
  </pivotTables>
  <data>
    <tabular pivotCacheId="1">
      <items count="36">
        <i x="33" s="1"/>
        <i x="10" s="1"/>
        <i x="31" s="1"/>
        <i x="15" s="1"/>
        <i x="13" s="1"/>
        <i x="28" s="1"/>
        <i x="22" s="1"/>
        <i x="8" s="1"/>
        <i x="16" s="1"/>
        <i x="0" s="1"/>
        <i x="30" s="1"/>
        <i x="32" s="1"/>
        <i x="27" s="1"/>
        <i x="21" s="1"/>
        <i x="17" s="1"/>
        <i x="26" s="1"/>
        <i x="18" s="1"/>
        <i x="19" s="1"/>
        <i x="35" s="1"/>
        <i x="20" s="1"/>
        <i x="6" s="1"/>
        <i x="3" s="1"/>
        <i x="9" s="1"/>
        <i x="4" s="1"/>
        <i x="5" s="1"/>
        <i x="29" s="1"/>
        <i x="34" s="1"/>
        <i x="14" s="1"/>
        <i x="7" s="1"/>
        <i x="24" s="1"/>
        <i x="2" s="1"/>
        <i x="25" s="1"/>
        <i x="1" s="1"/>
        <i x="23" s="1"/>
        <i x="12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Type" xr10:uid="{00000000-0014-0000-FFFF-FFFF09000000}" cache="Slicer_Store_Type" caption="Store_Type" rowHeight="234950"/>
  <slicer name="Region 1" xr10:uid="{00000000-0014-0000-FFFF-FFFF07000000}" cache="Slicer_Region1" caption="Region" rowHeight="234950"/>
  <slicer name="Region" xr10:uid="{00000000-0014-0000-FFFF-FFFF08000000}" cache="Slicer_Region1" caption="Region" rowHeight="234950"/>
  <slicer name="Gender" xr10:uid="{00000000-0014-0000-FFFF-FFFF06000000}" cache="Slicer_Gender" caption="Gender" rowHeight="234950"/>
  <slicer name="Product_Brand" xr10:uid="{00000000-0014-0000-FFFF-FFFF05000000}" cache="Slicer_Product_Brand" caption="Product_Brand" rowHeight="234950"/>
  <slicer name="Years" xr10:uid="{00000000-0014-0000-FFFF-FFFF04000000}" cache="Slicer_Years" caption="Years" rowHeight="234950"/>
  <slicer name="Total_Amount" xr10:uid="{00000000-0014-0000-FFFF-FFFF03000000}" cache="Slicer_Total_Amount" caption="Total_Amount" rowHeight="234950"/>
  <slicer name="Category" xr10:uid="{00000000-0014-0000-FFFF-FFFF02000000}" cache="Slicer_Category" caption="Category" rowHeight="234950"/>
  <slicer name="Discount" xr10:uid="{00000000-0014-0000-FFFF-FFFF01000000}" cache="Slicer_Discount" caption="Discount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" displayName="customer" ref="A1:H501" totalsRowShown="0">
  <autoFilter ref="A1:H501" xr:uid="{00000000-0009-0000-0100-000001000000}"/>
  <tableColumns count="8">
    <tableColumn id="1" xr3:uid="{00000000-0010-0000-0000-000001000000}" name="Customer_ID"/>
    <tableColumn id="2" xr3:uid="{00000000-0010-0000-0000-000002000000}" name="Name" dataDxfId="51"/>
    <tableColumn id="3" xr3:uid="{00000000-0010-0000-0000-000003000000}" name="Age"/>
    <tableColumn id="4" xr3:uid="{00000000-0010-0000-0000-000004000000}" name="Gender" dataDxfId="50"/>
    <tableColumn id="5" xr3:uid="{00000000-0010-0000-0000-000005000000}" name="City" dataDxfId="49"/>
    <tableColumn id="6" xr3:uid="{00000000-0010-0000-0000-000006000000}" name="State" dataDxfId="48"/>
    <tableColumn id="7" xr3:uid="{00000000-0010-0000-0000-000007000000}" name="Country" dataDxfId="47"/>
    <tableColumn id="8" xr3:uid="{00000000-0010-0000-0000-000008000000}" name="Loyalty_Level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" displayName="product" ref="A1:F101" totalsRowShown="0">
  <autoFilter ref="A1:F101" xr:uid="{00000000-0009-0000-0100-000002000000}"/>
  <tableColumns count="6">
    <tableColumn id="1" xr3:uid="{00000000-0010-0000-0100-000001000000}" name="Product_ID"/>
    <tableColumn id="2" xr3:uid="{00000000-0010-0000-0100-000002000000}" name="Product_Brand"/>
    <tableColumn id="3" xr3:uid="{00000000-0010-0000-0100-000003000000}" name="Category" dataDxfId="45"/>
    <tableColumn id="4" xr3:uid="{00000000-0010-0000-0100-000004000000}" name="Sub_Category" dataDxfId="44"/>
    <tableColumn id="5" xr3:uid="{00000000-0010-0000-0100-000005000000}" name="Cost" dataDxfId="43"/>
    <tableColumn id="6" xr3:uid="{00000000-0010-0000-0100-000006000000}" name="Stock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re" displayName="store" ref="A1:E21" totalsRowShown="0">
  <autoFilter ref="A1:E21" xr:uid="{00000000-0009-0000-0100-000003000000}"/>
  <tableColumns count="5">
    <tableColumn id="1" xr3:uid="{00000000-0010-0000-0200-000001000000}" name="Store_ID"/>
    <tableColumn id="2" xr3:uid="{00000000-0010-0000-0200-000002000000}" name="Store_Name" dataDxfId="41"/>
    <tableColumn id="3" xr3:uid="{00000000-0010-0000-0200-000003000000}" name="Region" dataDxfId="40"/>
    <tableColumn id="4" xr3:uid="{00000000-0010-0000-0200-000004000000}" name="City" dataDxfId="39"/>
    <tableColumn id="5" xr3:uid="{00000000-0010-0000-0200-000005000000}" name="Store_Type" dataDxfId="3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E915" totalsRowShown="0">
  <autoFilter ref="A1:E915" xr:uid="{00000000-0009-0000-0100-000005000000}"/>
  <tableColumns count="5">
    <tableColumn id="1" xr3:uid="{00000000-0010-0000-0400-000001000000}" name="Order_Date" dataDxfId="4"/>
    <tableColumn id="2" xr3:uid="{00000000-0010-0000-0400-000002000000}" name=" Total_Amount "/>
    <tableColumn id="3" xr3:uid="{00000000-0010-0000-0400-000003000000}" name="Forecast( Total_Amount )" dataDxfId="3">
      <calculatedColumnFormula>_xlfn.FORECAST.ETS(A2,$B$2:$B$732,$A$2:$A$732,1,1)</calculatedColumnFormula>
    </tableColumn>
    <tableColumn id="4" xr3:uid="{00000000-0010-0000-0400-000004000000}" name="Lower Confidence Bound( Total_Amount )" dataDxfId="2">
      <calculatedColumnFormula>C2-_xlfn.FORECAST.ETS.CONFINT(A2,$B$2:$B$732,$A$2:$A$732,0.95,1,1)</calculatedColumnFormula>
    </tableColumn>
    <tableColumn id="5" xr3:uid="{00000000-0010-0000-0400-000005000000}" name="Upper Confidence Bound( Total_Amount )" dataDxfId="1">
      <calculatedColumnFormula>C2+_xlfn.FORECAST.ETS.CONFINT(A2,$B$2:$B$732,$A$2:$A$732,0.95,1,1)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s" displayName="sales" ref="A1:G2001" totalsRowShown="0">
  <autoFilter ref="A1:G2001" xr:uid="{00000000-0009-0000-0100-000004000000}"/>
  <tableColumns count="7">
    <tableColumn id="1" xr3:uid="{00000000-0010-0000-0300-000001000000}" name="Sales_ID"/>
    <tableColumn id="2" xr3:uid="{00000000-0010-0000-0300-000002000000}" name="Order_Date" dataDxfId="0"/>
    <tableColumn id="3" xr3:uid="{00000000-0010-0000-0300-000003000000}" name="Customer_ID"/>
    <tableColumn id="4" xr3:uid="{00000000-0010-0000-0300-000004000000}" name="Product_ID"/>
    <tableColumn id="5" xr3:uid="{00000000-0010-0000-0300-000005000000}" name="Store_ID"/>
    <tableColumn id="6" xr3:uid="{00000000-0010-0000-0300-000006000000}" name="Quantity"/>
    <tableColumn id="9" xr3:uid="{00000000-0010-0000-0300-000009000000}" name="Paymen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2"/>
  <sheetViews>
    <sheetView topLeftCell="M1" workbookViewId="0">
      <selection activeCell="U3" sqref="U3:V25"/>
    </sheetView>
  </sheetViews>
  <sheetFormatPr defaultColWidth="9" defaultRowHeight="14.4"/>
  <cols>
    <col min="2" max="2" width="16.44140625" customWidth="1"/>
    <col min="3" max="3" width="16.33203125" customWidth="1"/>
    <col min="4" max="4" width="14.88671875" customWidth="1"/>
    <col min="5" max="5" width="12.6640625" customWidth="1"/>
    <col min="6" max="6" width="12.77734375" customWidth="1"/>
    <col min="7" max="7" width="18.21875" customWidth="1"/>
    <col min="9" max="11" width="13.21875" style="12" customWidth="1"/>
    <col min="12" max="12" width="51.5546875" style="12" customWidth="1"/>
    <col min="13" max="13" width="15.77734375" style="12" customWidth="1"/>
    <col min="14" max="14" width="12.77734375" style="14" customWidth="1"/>
    <col min="15" max="15" width="14.109375" style="23" customWidth="1"/>
    <col min="16" max="16" width="15.88671875" customWidth="1"/>
    <col min="17" max="17" width="9.6640625" style="12" customWidth="1"/>
    <col min="18" max="18" width="12.77734375" customWidth="1"/>
    <col min="19" max="19" width="18.5546875" style="4" customWidth="1"/>
    <col min="21" max="21" width="15" customWidth="1"/>
    <col min="22" max="22" width="55" customWidth="1"/>
    <col min="24" max="24" width="7.33203125" customWidth="1"/>
  </cols>
  <sheetData>
    <row r="1" spans="1:2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t="s">
        <v>7</v>
      </c>
      <c r="I1" s="26" t="s">
        <v>8</v>
      </c>
      <c r="J1" s="27" t="s">
        <v>9</v>
      </c>
      <c r="K1" s="27" t="s">
        <v>10</v>
      </c>
      <c r="L1" s="28" t="s">
        <v>11</v>
      </c>
      <c r="M1" s="28" t="s">
        <v>12</v>
      </c>
      <c r="N1" s="29" t="s">
        <v>13</v>
      </c>
      <c r="O1" s="30" t="s">
        <v>14</v>
      </c>
      <c r="P1" s="20" t="s">
        <v>15</v>
      </c>
      <c r="Q1" s="28" t="s">
        <v>16</v>
      </c>
      <c r="R1" s="20" t="s">
        <v>17</v>
      </c>
      <c r="S1" s="31" t="s">
        <v>18</v>
      </c>
    </row>
    <row r="2" spans="1:24">
      <c r="A2" t="s">
        <v>19</v>
      </c>
      <c r="B2" s="3">
        <v>45480</v>
      </c>
      <c r="C2" t="s">
        <v>20</v>
      </c>
      <c r="D2" t="s">
        <v>21</v>
      </c>
      <c r="E2" t="s">
        <v>22</v>
      </c>
      <c r="F2">
        <v>1</v>
      </c>
      <c r="G2" t="s">
        <v>23</v>
      </c>
      <c r="H2">
        <v>55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4">
        <v>0.09</v>
      </c>
      <c r="O2" s="23">
        <v>218.04</v>
      </c>
      <c r="P2">
        <v>245.98</v>
      </c>
      <c r="Q2" s="12" t="str" cm="1">
        <f t="array" ref="Q2:R2">VLOOKUP(E2,store[],{3,5},FALSE)</f>
        <v>North</v>
      </c>
      <c r="R2" t="str">
        <v>Outlet</v>
      </c>
      <c r="S2" s="4">
        <f t="shared" ref="S2:S65" si="0">(O2-N2)*F2</f>
        <v>217.95</v>
      </c>
    </row>
    <row r="3" spans="1:24">
      <c r="A3" t="s">
        <v>29</v>
      </c>
      <c r="B3" s="3">
        <v>45285</v>
      </c>
      <c r="C3" t="s">
        <v>30</v>
      </c>
      <c r="D3" t="s">
        <v>31</v>
      </c>
      <c r="E3" t="s">
        <v>32</v>
      </c>
      <c r="F3">
        <v>3</v>
      </c>
      <c r="G3" t="s">
        <v>33</v>
      </c>
      <c r="H3">
        <v>63</v>
      </c>
      <c r="I3" s="12" t="s">
        <v>34</v>
      </c>
      <c r="J3" s="12" t="s">
        <v>35</v>
      </c>
      <c r="K3" s="12" t="s">
        <v>26</v>
      </c>
      <c r="L3" s="12" t="s">
        <v>36</v>
      </c>
      <c r="M3" s="12" t="s">
        <v>37</v>
      </c>
      <c r="N3" s="14">
        <v>0.27</v>
      </c>
      <c r="O3" s="23">
        <v>104.47</v>
      </c>
      <c r="P3">
        <v>403.71</v>
      </c>
      <c r="Q3" s="12" t="str" cm="1">
        <f t="array" ref="Q3:R3">VLOOKUP(E3,store[],{3,5},FALSE)</f>
        <v>North</v>
      </c>
      <c r="R3" t="str">
        <v>Flagship</v>
      </c>
      <c r="S3" s="4">
        <f t="shared" si="0"/>
        <v>312.60000000000002</v>
      </c>
      <c r="U3" s="32" t="s">
        <v>38</v>
      </c>
      <c r="V3" s="32" t="s">
        <v>39</v>
      </c>
    </row>
    <row r="4" spans="1:24">
      <c r="A4" t="s">
        <v>40</v>
      </c>
      <c r="B4" s="3">
        <v>45446</v>
      </c>
      <c r="C4" t="s">
        <v>41</v>
      </c>
      <c r="D4" t="s">
        <v>42</v>
      </c>
      <c r="E4" t="s">
        <v>43</v>
      </c>
      <c r="F4">
        <v>4</v>
      </c>
      <c r="G4" t="s">
        <v>23</v>
      </c>
      <c r="H4">
        <v>49</v>
      </c>
      <c r="I4" s="12" t="s">
        <v>34</v>
      </c>
      <c r="J4" s="12" t="s">
        <v>44</v>
      </c>
      <c r="K4" s="12" t="s">
        <v>26</v>
      </c>
      <c r="L4" s="12" t="s">
        <v>45</v>
      </c>
      <c r="M4" s="12" t="s">
        <v>46</v>
      </c>
      <c r="N4" s="14">
        <v>0.25</v>
      </c>
      <c r="O4" s="23">
        <v>914.05</v>
      </c>
      <c r="P4">
        <v>43.29</v>
      </c>
      <c r="Q4" s="12" t="str" cm="1">
        <f t="array" ref="Q4:R4">VLOOKUP(E4,store[],{3,5},FALSE)</f>
        <v>West</v>
      </c>
      <c r="R4" t="str">
        <v>Online</v>
      </c>
      <c r="S4" s="4">
        <f t="shared" si="0"/>
        <v>3655.2</v>
      </c>
    </row>
    <row r="5" spans="1:24">
      <c r="A5" t="s">
        <v>47</v>
      </c>
      <c r="B5" s="3">
        <v>45259</v>
      </c>
      <c r="C5" t="s">
        <v>48</v>
      </c>
      <c r="D5" t="s">
        <v>49</v>
      </c>
      <c r="E5" t="s">
        <v>43</v>
      </c>
      <c r="F5">
        <v>1</v>
      </c>
      <c r="G5" t="s">
        <v>50</v>
      </c>
      <c r="H5">
        <v>58</v>
      </c>
      <c r="I5" s="12" t="s">
        <v>34</v>
      </c>
      <c r="J5" s="12" t="s">
        <v>51</v>
      </c>
      <c r="K5" s="12" t="s">
        <v>52</v>
      </c>
      <c r="L5" s="12" t="s">
        <v>53</v>
      </c>
      <c r="M5" s="12" t="s">
        <v>37</v>
      </c>
      <c r="N5" s="14">
        <v>0.16</v>
      </c>
      <c r="O5" s="23">
        <v>921.51</v>
      </c>
      <c r="P5">
        <v>392.89</v>
      </c>
      <c r="Q5" s="12" t="str" cm="1">
        <f t="array" ref="Q5:R5">VLOOKUP(E5,store[],{3,5},FALSE)</f>
        <v>West</v>
      </c>
      <c r="R5" t="str">
        <v>Online</v>
      </c>
      <c r="S5" s="4">
        <f t="shared" si="0"/>
        <v>921.35</v>
      </c>
      <c r="U5" s="18" t="s">
        <v>5</v>
      </c>
      <c r="V5" t="s">
        <v>54</v>
      </c>
    </row>
    <row r="6" spans="1:24">
      <c r="A6" t="s">
        <v>55</v>
      </c>
      <c r="B6" s="3">
        <v>45297</v>
      </c>
      <c r="C6" t="s">
        <v>56</v>
      </c>
      <c r="D6" t="s">
        <v>57</v>
      </c>
      <c r="E6" t="s">
        <v>58</v>
      </c>
      <c r="F6">
        <v>3</v>
      </c>
      <c r="G6" t="s">
        <v>23</v>
      </c>
      <c r="H6">
        <v>28</v>
      </c>
      <c r="I6" s="12" t="s">
        <v>24</v>
      </c>
      <c r="J6" s="12" t="s">
        <v>59</v>
      </c>
      <c r="K6" s="12" t="s">
        <v>60</v>
      </c>
      <c r="L6" s="12" t="s">
        <v>61</v>
      </c>
      <c r="M6" s="12" t="s">
        <v>46</v>
      </c>
      <c r="N6" s="14">
        <v>0.18</v>
      </c>
      <c r="O6" s="23">
        <v>745.3</v>
      </c>
      <c r="P6">
        <v>17.309999999999999</v>
      </c>
      <c r="Q6" s="12" t="str" cm="1">
        <f t="array" ref="Q6:R6">VLOOKUP(E6,store[],{3,5},FALSE)</f>
        <v>North</v>
      </c>
      <c r="R6" t="str">
        <v>Outlet</v>
      </c>
      <c r="S6" s="4">
        <f t="shared" si="0"/>
        <v>2235.36</v>
      </c>
      <c r="V6" s="20" t="s">
        <v>62</v>
      </c>
      <c r="W6" s="33"/>
      <c r="X6" s="34"/>
    </row>
    <row r="7" spans="1:24">
      <c r="A7" t="s">
        <v>63</v>
      </c>
      <c r="B7" s="3">
        <v>45499</v>
      </c>
      <c r="C7" t="s">
        <v>64</v>
      </c>
      <c r="D7" t="s">
        <v>65</v>
      </c>
      <c r="E7" t="s">
        <v>66</v>
      </c>
      <c r="F7">
        <v>3</v>
      </c>
      <c r="G7" t="s">
        <v>50</v>
      </c>
      <c r="H7">
        <v>18</v>
      </c>
      <c r="I7" s="12" t="s">
        <v>34</v>
      </c>
      <c r="J7" s="12" t="s">
        <v>67</v>
      </c>
      <c r="K7" s="12" t="s">
        <v>52</v>
      </c>
      <c r="L7" s="12" t="s">
        <v>68</v>
      </c>
      <c r="M7" s="12" t="s">
        <v>37</v>
      </c>
      <c r="N7" s="14">
        <v>0.19</v>
      </c>
      <c r="O7" s="23">
        <v>147.01</v>
      </c>
      <c r="P7">
        <v>465.34</v>
      </c>
      <c r="Q7" s="12" t="str" cm="1">
        <f t="array" ref="Q7:R7">VLOOKUP(E7,store[],{3,5},FALSE)</f>
        <v>South</v>
      </c>
      <c r="R7" t="str">
        <v>Online</v>
      </c>
      <c r="S7" s="4">
        <f t="shared" si="0"/>
        <v>440.46</v>
      </c>
    </row>
    <row r="8" spans="1:24">
      <c r="A8" t="s">
        <v>69</v>
      </c>
      <c r="B8" s="3">
        <v>45850</v>
      </c>
      <c r="C8" t="s">
        <v>70</v>
      </c>
      <c r="D8" t="s">
        <v>71</v>
      </c>
      <c r="E8" t="s">
        <v>72</v>
      </c>
      <c r="F8">
        <v>2</v>
      </c>
      <c r="G8" t="s">
        <v>33</v>
      </c>
      <c r="H8">
        <v>24</v>
      </c>
      <c r="I8" s="12" t="s">
        <v>34</v>
      </c>
      <c r="J8" s="12" t="s">
        <v>44</v>
      </c>
      <c r="K8" s="12" t="s">
        <v>73</v>
      </c>
      <c r="L8" s="12" t="s">
        <v>74</v>
      </c>
      <c r="M8" s="12" t="s">
        <v>75</v>
      </c>
      <c r="N8" s="14">
        <v>0.15</v>
      </c>
      <c r="O8" s="23">
        <v>785.31</v>
      </c>
      <c r="P8">
        <v>461.47</v>
      </c>
      <c r="Q8" s="12" t="str" cm="1">
        <f t="array" ref="Q8:R8">VLOOKUP(E8,store[],{3,5},FALSE)</f>
        <v>South</v>
      </c>
      <c r="R8" t="str">
        <v>Online</v>
      </c>
      <c r="S8" s="4">
        <f t="shared" si="0"/>
        <v>1570.32</v>
      </c>
      <c r="U8" s="18" t="s">
        <v>14</v>
      </c>
      <c r="V8" t="s">
        <v>76</v>
      </c>
    </row>
    <row r="9" spans="1:24">
      <c r="A9" t="s">
        <v>77</v>
      </c>
      <c r="B9" s="3">
        <v>45248</v>
      </c>
      <c r="C9" t="s">
        <v>78</v>
      </c>
      <c r="D9" t="s">
        <v>79</v>
      </c>
      <c r="E9" t="s">
        <v>43</v>
      </c>
      <c r="F9">
        <v>4</v>
      </c>
      <c r="G9" t="s">
        <v>33</v>
      </c>
      <c r="H9">
        <v>41</v>
      </c>
      <c r="I9" s="12" t="s">
        <v>34</v>
      </c>
      <c r="J9" s="12" t="s">
        <v>80</v>
      </c>
      <c r="K9" s="12" t="s">
        <v>52</v>
      </c>
      <c r="L9" s="12" t="s">
        <v>81</v>
      </c>
      <c r="M9" s="12" t="s">
        <v>75</v>
      </c>
      <c r="N9" s="14">
        <v>0.23</v>
      </c>
      <c r="O9" s="23">
        <v>342.39</v>
      </c>
      <c r="P9">
        <v>138.05000000000001</v>
      </c>
      <c r="Q9" s="12" t="str" cm="1">
        <f t="array" ref="Q9:R9">VLOOKUP(E9,store[],{3,5},FALSE)</f>
        <v>West</v>
      </c>
      <c r="R9" t="str">
        <v>Online</v>
      </c>
      <c r="S9" s="4">
        <f t="shared" si="0"/>
        <v>1368.64</v>
      </c>
      <c r="V9" s="20" t="s">
        <v>82</v>
      </c>
    </row>
    <row r="10" spans="1:24">
      <c r="A10" t="s">
        <v>83</v>
      </c>
      <c r="B10" s="3">
        <v>45781</v>
      </c>
      <c r="C10" t="s">
        <v>84</v>
      </c>
      <c r="D10" t="s">
        <v>85</v>
      </c>
      <c r="E10" t="s">
        <v>58</v>
      </c>
      <c r="F10">
        <v>2</v>
      </c>
      <c r="G10" t="s">
        <v>33</v>
      </c>
      <c r="H10">
        <v>60</v>
      </c>
      <c r="I10" s="12" t="s">
        <v>34</v>
      </c>
      <c r="J10" s="12" t="s">
        <v>59</v>
      </c>
      <c r="K10" s="12" t="s">
        <v>52</v>
      </c>
      <c r="L10" s="12" t="s">
        <v>86</v>
      </c>
      <c r="M10" s="12" t="s">
        <v>75</v>
      </c>
      <c r="N10" s="14">
        <v>7.0000000000000007E-2</v>
      </c>
      <c r="O10" s="23">
        <v>448.25</v>
      </c>
      <c r="P10">
        <v>201.41</v>
      </c>
      <c r="Q10" s="12" t="str" cm="1">
        <f t="array" ref="Q10:R10">VLOOKUP(E10,store[],{3,5},FALSE)</f>
        <v>North</v>
      </c>
      <c r="R10" t="str">
        <v>Outlet</v>
      </c>
      <c r="S10" s="4">
        <f t="shared" si="0"/>
        <v>896.36</v>
      </c>
    </row>
    <row r="11" spans="1:24">
      <c r="A11" t="s">
        <v>87</v>
      </c>
      <c r="B11" s="3">
        <v>45869</v>
      </c>
      <c r="C11" t="s">
        <v>88</v>
      </c>
      <c r="D11" t="s">
        <v>89</v>
      </c>
      <c r="E11" t="s">
        <v>90</v>
      </c>
      <c r="F11">
        <v>2</v>
      </c>
      <c r="G11" t="s">
        <v>33</v>
      </c>
      <c r="H11">
        <v>45</v>
      </c>
      <c r="I11" s="12" t="s">
        <v>34</v>
      </c>
      <c r="J11" s="12" t="s">
        <v>91</v>
      </c>
      <c r="K11" s="12" t="s">
        <v>52</v>
      </c>
      <c r="L11" s="12" t="s">
        <v>92</v>
      </c>
      <c r="M11" s="12" t="s">
        <v>75</v>
      </c>
      <c r="N11" s="14">
        <v>0.23</v>
      </c>
      <c r="O11" s="23">
        <v>873.17</v>
      </c>
      <c r="P11">
        <v>179.77</v>
      </c>
      <c r="Q11" s="12" t="str" cm="1">
        <f t="array" ref="Q11:R11">VLOOKUP(E11,store[],{3,5},FALSE)</f>
        <v>East</v>
      </c>
      <c r="R11" t="str">
        <v>Flagship</v>
      </c>
      <c r="S11" s="4">
        <f t="shared" si="0"/>
        <v>1745.88</v>
      </c>
      <c r="U11" s="18" t="s">
        <v>93</v>
      </c>
      <c r="V11" t="s">
        <v>94</v>
      </c>
    </row>
    <row r="12" spans="1:24">
      <c r="A12" t="s">
        <v>95</v>
      </c>
      <c r="B12" s="3">
        <v>45335</v>
      </c>
      <c r="C12" t="s">
        <v>96</v>
      </c>
      <c r="D12" t="s">
        <v>97</v>
      </c>
      <c r="E12" t="s">
        <v>98</v>
      </c>
      <c r="F12">
        <v>1</v>
      </c>
      <c r="G12" t="s">
        <v>23</v>
      </c>
      <c r="H12">
        <v>21</v>
      </c>
      <c r="I12" s="12" t="s">
        <v>34</v>
      </c>
      <c r="J12" s="12" t="s">
        <v>99</v>
      </c>
      <c r="K12" s="12" t="s">
        <v>60</v>
      </c>
      <c r="L12" s="12" t="s">
        <v>100</v>
      </c>
      <c r="M12" s="12" t="s">
        <v>28</v>
      </c>
      <c r="N12" s="14">
        <v>7.0000000000000007E-2</v>
      </c>
      <c r="O12" s="23">
        <v>278.63</v>
      </c>
      <c r="P12">
        <v>166.06</v>
      </c>
      <c r="Q12" s="12" t="str" cm="1">
        <f t="array" ref="Q12:R12">VLOOKUP(E12,store[],{3,5},FALSE)</f>
        <v>South</v>
      </c>
      <c r="R12" t="str">
        <v>Outlet</v>
      </c>
      <c r="S12" s="4">
        <f t="shared" si="0"/>
        <v>278.56</v>
      </c>
      <c r="V12" s="20" t="s">
        <v>101</v>
      </c>
    </row>
    <row r="13" spans="1:24">
      <c r="A13" t="s">
        <v>102</v>
      </c>
      <c r="B13" s="3">
        <v>45801</v>
      </c>
      <c r="C13" t="s">
        <v>103</v>
      </c>
      <c r="D13" t="s">
        <v>104</v>
      </c>
      <c r="E13" t="s">
        <v>105</v>
      </c>
      <c r="F13">
        <v>4</v>
      </c>
      <c r="G13" t="s">
        <v>23</v>
      </c>
      <c r="H13">
        <v>34</v>
      </c>
      <c r="I13" s="12" t="s">
        <v>34</v>
      </c>
      <c r="J13" s="12" t="s">
        <v>106</v>
      </c>
      <c r="K13" s="12" t="s">
        <v>73</v>
      </c>
      <c r="L13" s="12" t="s">
        <v>107</v>
      </c>
      <c r="M13" s="12" t="s">
        <v>37</v>
      </c>
      <c r="N13" s="14">
        <v>0.17</v>
      </c>
      <c r="O13" s="23">
        <v>286.92</v>
      </c>
      <c r="P13">
        <v>326.06</v>
      </c>
      <c r="Q13" s="12" t="str" cm="1">
        <f t="array" ref="Q13:R13">VLOOKUP(E13,store[],{3,5},FALSE)</f>
        <v>North</v>
      </c>
      <c r="R13" t="str">
        <v>Flagship</v>
      </c>
      <c r="S13" s="4">
        <f t="shared" si="0"/>
        <v>1147</v>
      </c>
    </row>
    <row r="14" spans="1:24">
      <c r="A14" t="s">
        <v>108</v>
      </c>
      <c r="B14" s="3">
        <v>45528</v>
      </c>
      <c r="C14" t="s">
        <v>109</v>
      </c>
      <c r="D14" t="s">
        <v>110</v>
      </c>
      <c r="E14" t="s">
        <v>72</v>
      </c>
      <c r="F14">
        <v>4</v>
      </c>
      <c r="G14" t="s">
        <v>23</v>
      </c>
      <c r="H14">
        <v>41</v>
      </c>
      <c r="I14" s="12" t="s">
        <v>34</v>
      </c>
      <c r="J14" s="12" t="s">
        <v>111</v>
      </c>
      <c r="K14" s="12" t="s">
        <v>26</v>
      </c>
      <c r="L14" s="12" t="s">
        <v>112</v>
      </c>
      <c r="M14" s="12" t="s">
        <v>28</v>
      </c>
      <c r="N14" s="14">
        <v>0.01</v>
      </c>
      <c r="O14" s="23">
        <v>644.58000000000004</v>
      </c>
      <c r="P14">
        <v>131.24</v>
      </c>
      <c r="Q14" s="12" t="str" cm="1">
        <f t="array" ref="Q14:R14">VLOOKUP(E14,store[],{3,5},FALSE)</f>
        <v>South</v>
      </c>
      <c r="R14" t="str">
        <v>Online</v>
      </c>
      <c r="S14" s="4">
        <f t="shared" si="0"/>
        <v>2578.2800000000002</v>
      </c>
      <c r="U14" s="18" t="s">
        <v>13</v>
      </c>
      <c r="V14" s="20" t="s">
        <v>113</v>
      </c>
    </row>
    <row r="15" spans="1:24">
      <c r="A15" t="s">
        <v>114</v>
      </c>
      <c r="B15" s="3">
        <v>45875</v>
      </c>
      <c r="C15" t="s">
        <v>115</v>
      </c>
      <c r="D15" t="s">
        <v>116</v>
      </c>
      <c r="E15" t="s">
        <v>117</v>
      </c>
      <c r="F15">
        <v>2</v>
      </c>
      <c r="G15" t="s">
        <v>33</v>
      </c>
      <c r="H15">
        <v>51</v>
      </c>
      <c r="I15" s="12" t="s">
        <v>24</v>
      </c>
      <c r="J15" s="12" t="s">
        <v>118</v>
      </c>
      <c r="K15" s="12" t="s">
        <v>60</v>
      </c>
      <c r="L15" s="12" t="s">
        <v>119</v>
      </c>
      <c r="M15" s="12" t="s">
        <v>37</v>
      </c>
      <c r="N15" s="14">
        <v>0.3</v>
      </c>
      <c r="O15" s="23">
        <v>316.89999999999998</v>
      </c>
      <c r="P15">
        <v>419.28</v>
      </c>
      <c r="Q15" s="12" t="str" cm="1">
        <f t="array" ref="Q15:R15">VLOOKUP(E15,store[],{3,5},FALSE)</f>
        <v>West</v>
      </c>
      <c r="R15" t="str">
        <v>Flagship</v>
      </c>
      <c r="S15" s="4">
        <f t="shared" si="0"/>
        <v>633.20000000000005</v>
      </c>
    </row>
    <row r="16" spans="1:24">
      <c r="A16" t="s">
        <v>120</v>
      </c>
      <c r="B16" s="3">
        <v>45829</v>
      </c>
      <c r="C16" t="s">
        <v>121</v>
      </c>
      <c r="D16" t="s">
        <v>97</v>
      </c>
      <c r="E16" t="s">
        <v>122</v>
      </c>
      <c r="F16">
        <v>4</v>
      </c>
      <c r="G16" t="s">
        <v>33</v>
      </c>
      <c r="H16">
        <v>55</v>
      </c>
      <c r="I16" s="12" t="s">
        <v>24</v>
      </c>
      <c r="J16" s="12" t="s">
        <v>44</v>
      </c>
      <c r="K16" s="12" t="s">
        <v>60</v>
      </c>
      <c r="L16" s="12" t="s">
        <v>100</v>
      </c>
      <c r="M16" s="12" t="s">
        <v>28</v>
      </c>
      <c r="N16" s="14">
        <v>0.28999999999999998</v>
      </c>
      <c r="O16" s="23">
        <v>403.47</v>
      </c>
      <c r="P16">
        <v>166.06</v>
      </c>
      <c r="Q16" s="12" t="str" cm="1">
        <f t="array" ref="Q16:R16">VLOOKUP(E16,store[],{3,5},FALSE)</f>
        <v>North</v>
      </c>
      <c r="R16" t="str">
        <v>Flagship</v>
      </c>
      <c r="S16" s="4">
        <f t="shared" si="0"/>
        <v>1612.72</v>
      </c>
      <c r="V16" t="s">
        <v>123</v>
      </c>
    </row>
    <row r="17" spans="1:22">
      <c r="A17" t="s">
        <v>124</v>
      </c>
      <c r="B17" s="3">
        <v>45636</v>
      </c>
      <c r="C17" t="s">
        <v>125</v>
      </c>
      <c r="D17" t="s">
        <v>126</v>
      </c>
      <c r="E17" t="s">
        <v>127</v>
      </c>
      <c r="F17">
        <v>2</v>
      </c>
      <c r="G17" t="s">
        <v>50</v>
      </c>
      <c r="H17">
        <v>37</v>
      </c>
      <c r="I17" s="12" t="s">
        <v>34</v>
      </c>
      <c r="J17" s="12" t="s">
        <v>128</v>
      </c>
      <c r="K17" s="12" t="s">
        <v>60</v>
      </c>
      <c r="L17" s="12" t="s">
        <v>129</v>
      </c>
      <c r="M17" s="12" t="s">
        <v>130</v>
      </c>
      <c r="N17" s="14">
        <v>0.04</v>
      </c>
      <c r="O17" s="23">
        <v>871.34</v>
      </c>
      <c r="P17">
        <v>223.43</v>
      </c>
      <c r="Q17" s="12" t="str" cm="1">
        <f t="array" ref="Q17:R17">VLOOKUP(E17,store[],{3,5},FALSE)</f>
        <v>South</v>
      </c>
      <c r="R17" t="str">
        <v>Flagship</v>
      </c>
      <c r="S17" s="4">
        <f t="shared" si="0"/>
        <v>1742.6</v>
      </c>
      <c r="V17" s="20" t="s">
        <v>131</v>
      </c>
    </row>
    <row r="18" spans="1:22">
      <c r="A18" t="s">
        <v>132</v>
      </c>
      <c r="B18" s="3">
        <v>45913</v>
      </c>
      <c r="C18" t="s">
        <v>133</v>
      </c>
      <c r="D18" t="s">
        <v>134</v>
      </c>
      <c r="E18" t="s">
        <v>135</v>
      </c>
      <c r="F18">
        <v>2</v>
      </c>
      <c r="G18" t="s">
        <v>23</v>
      </c>
      <c r="H18">
        <v>38</v>
      </c>
      <c r="I18" s="12" t="s">
        <v>24</v>
      </c>
      <c r="J18" s="12" t="s">
        <v>99</v>
      </c>
      <c r="K18" s="12" t="s">
        <v>26</v>
      </c>
      <c r="L18" s="12" t="s">
        <v>136</v>
      </c>
      <c r="M18" s="12" t="s">
        <v>28</v>
      </c>
      <c r="N18" s="14">
        <v>0.25</v>
      </c>
      <c r="O18" s="23">
        <v>451.98</v>
      </c>
      <c r="P18">
        <v>240.63</v>
      </c>
      <c r="Q18" s="12" t="str" cm="1">
        <f t="array" ref="Q18:R18">VLOOKUP(E18,store[],{3,5},FALSE)</f>
        <v>East</v>
      </c>
      <c r="R18" t="str">
        <v>Online</v>
      </c>
      <c r="S18" s="4">
        <f t="shared" si="0"/>
        <v>903.46</v>
      </c>
    </row>
    <row r="19" spans="1:22">
      <c r="A19" t="s">
        <v>137</v>
      </c>
      <c r="B19" s="3">
        <v>45637</v>
      </c>
      <c r="C19" t="s">
        <v>138</v>
      </c>
      <c r="D19" t="s">
        <v>139</v>
      </c>
      <c r="E19" t="s">
        <v>72</v>
      </c>
      <c r="F19">
        <v>2</v>
      </c>
      <c r="G19" t="s">
        <v>23</v>
      </c>
      <c r="H19">
        <v>22</v>
      </c>
      <c r="I19" s="12" t="s">
        <v>34</v>
      </c>
      <c r="J19" s="12" t="s">
        <v>140</v>
      </c>
      <c r="K19" s="12" t="s">
        <v>52</v>
      </c>
      <c r="L19" s="12" t="s">
        <v>141</v>
      </c>
      <c r="M19" s="12" t="s">
        <v>75</v>
      </c>
      <c r="N19" s="14">
        <v>0.23</v>
      </c>
      <c r="O19" s="23">
        <v>502.69</v>
      </c>
      <c r="P19">
        <v>250.02157142857101</v>
      </c>
      <c r="Q19" s="12" t="str" cm="1">
        <f t="array" ref="Q19:R19">VLOOKUP(E19,store[],{3,5},FALSE)</f>
        <v>South</v>
      </c>
      <c r="R19" t="str">
        <v>Online</v>
      </c>
      <c r="S19" s="4">
        <f t="shared" si="0"/>
        <v>1004.92</v>
      </c>
      <c r="U19" s="18" t="s">
        <v>142</v>
      </c>
      <c r="V19" s="20" t="s">
        <v>143</v>
      </c>
    </row>
    <row r="20" spans="1:22">
      <c r="A20" t="s">
        <v>144</v>
      </c>
      <c r="B20" s="3">
        <v>45517</v>
      </c>
      <c r="C20" t="s">
        <v>145</v>
      </c>
      <c r="D20" t="s">
        <v>104</v>
      </c>
      <c r="E20" t="s">
        <v>72</v>
      </c>
      <c r="F20">
        <v>2</v>
      </c>
      <c r="G20" t="s">
        <v>50</v>
      </c>
      <c r="H20">
        <v>43</v>
      </c>
      <c r="I20" s="12" t="s">
        <v>34</v>
      </c>
      <c r="J20" s="12" t="s">
        <v>99</v>
      </c>
      <c r="K20" s="12" t="s">
        <v>26</v>
      </c>
      <c r="L20" s="12" t="s">
        <v>107</v>
      </c>
      <c r="M20" s="12" t="s">
        <v>37</v>
      </c>
      <c r="N20" s="14">
        <v>0.25</v>
      </c>
      <c r="O20" s="23">
        <v>559.23</v>
      </c>
      <c r="P20">
        <v>326.06</v>
      </c>
      <c r="Q20" s="12" t="str" cm="1">
        <f t="array" ref="Q20:R20">VLOOKUP(E20,store[],{3,5},FALSE)</f>
        <v>South</v>
      </c>
      <c r="R20" t="str">
        <v>Online</v>
      </c>
      <c r="S20" s="4">
        <f t="shared" si="0"/>
        <v>1117.96</v>
      </c>
    </row>
    <row r="21" spans="1:22">
      <c r="A21" t="s">
        <v>146</v>
      </c>
      <c r="B21" s="3">
        <v>45369</v>
      </c>
      <c r="C21" t="s">
        <v>147</v>
      </c>
      <c r="D21" t="s">
        <v>148</v>
      </c>
      <c r="E21" t="s">
        <v>149</v>
      </c>
      <c r="F21">
        <v>4</v>
      </c>
      <c r="G21" t="s">
        <v>50</v>
      </c>
      <c r="H21">
        <v>58</v>
      </c>
      <c r="I21" s="12" t="s">
        <v>34</v>
      </c>
      <c r="J21" s="12" t="s">
        <v>99</v>
      </c>
      <c r="K21" s="12" t="s">
        <v>52</v>
      </c>
      <c r="L21" s="12" t="s">
        <v>150</v>
      </c>
      <c r="M21" s="12" t="s">
        <v>46</v>
      </c>
      <c r="N21" s="14">
        <v>0.04</v>
      </c>
      <c r="O21" s="23">
        <v>513.98477215823698</v>
      </c>
      <c r="P21">
        <v>482.75</v>
      </c>
      <c r="Q21" s="12" t="str" cm="1">
        <f t="array" ref="Q21:R21">VLOOKUP(E21,store[],{3,5},FALSE)</f>
        <v>East</v>
      </c>
      <c r="R21" t="str">
        <v>Flagship</v>
      </c>
      <c r="S21" s="4">
        <f t="shared" si="0"/>
        <v>2055.7790886329499</v>
      </c>
      <c r="U21" s="18" t="s">
        <v>151</v>
      </c>
      <c r="V21" s="20" t="s">
        <v>152</v>
      </c>
    </row>
    <row r="22" spans="1:22">
      <c r="A22" t="s">
        <v>153</v>
      </c>
      <c r="B22" s="3">
        <v>45843</v>
      </c>
      <c r="C22" t="s">
        <v>154</v>
      </c>
      <c r="D22" t="s">
        <v>155</v>
      </c>
      <c r="E22" t="s">
        <v>32</v>
      </c>
      <c r="F22">
        <v>3</v>
      </c>
      <c r="G22" t="s">
        <v>50</v>
      </c>
      <c r="H22">
        <v>62</v>
      </c>
      <c r="I22" s="12" t="s">
        <v>34</v>
      </c>
      <c r="J22" s="12" t="s">
        <v>99</v>
      </c>
      <c r="K22" s="12" t="s">
        <v>73</v>
      </c>
      <c r="L22" s="12" t="s">
        <v>156</v>
      </c>
      <c r="M22" s="12" t="s">
        <v>28</v>
      </c>
      <c r="N22" s="14">
        <v>0.27</v>
      </c>
      <c r="O22" s="23">
        <v>986.04</v>
      </c>
      <c r="P22">
        <v>477.61</v>
      </c>
      <c r="Q22" s="12" t="str" cm="1">
        <f t="array" ref="Q22:R22">VLOOKUP(E22,store[],{3,5},FALSE)</f>
        <v>North</v>
      </c>
      <c r="R22" t="str">
        <v>Flagship</v>
      </c>
      <c r="S22" s="4">
        <f t="shared" si="0"/>
        <v>2957.31</v>
      </c>
    </row>
    <row r="23" spans="1:22">
      <c r="A23" t="s">
        <v>157</v>
      </c>
      <c r="B23" s="3">
        <v>45447</v>
      </c>
      <c r="C23" t="s">
        <v>158</v>
      </c>
      <c r="D23" t="s">
        <v>159</v>
      </c>
      <c r="E23" t="s">
        <v>160</v>
      </c>
      <c r="F23">
        <v>1</v>
      </c>
      <c r="G23" t="s">
        <v>23</v>
      </c>
      <c r="H23">
        <v>25</v>
      </c>
      <c r="I23" s="12" t="s">
        <v>34</v>
      </c>
      <c r="J23" s="12" t="s">
        <v>161</v>
      </c>
      <c r="K23" s="12" t="s">
        <v>60</v>
      </c>
      <c r="L23" s="12" t="s">
        <v>162</v>
      </c>
      <c r="M23" s="12" t="s">
        <v>37</v>
      </c>
      <c r="N23" s="14">
        <v>0.22</v>
      </c>
      <c r="O23" s="23">
        <v>589.55999999999995</v>
      </c>
      <c r="P23">
        <v>253.33</v>
      </c>
      <c r="Q23" s="12" t="str" cm="1">
        <f t="array" ref="Q23:R23">VLOOKUP(E23,store[],{3,5},FALSE)</f>
        <v>East</v>
      </c>
      <c r="R23" t="str">
        <v>Flagship</v>
      </c>
      <c r="S23" s="4">
        <f t="shared" si="0"/>
        <v>589.34</v>
      </c>
      <c r="U23" s="18" t="s">
        <v>163</v>
      </c>
      <c r="V23" s="20" t="s">
        <v>164</v>
      </c>
    </row>
    <row r="24" spans="1:22">
      <c r="A24" t="s">
        <v>165</v>
      </c>
      <c r="B24" s="3">
        <v>45394</v>
      </c>
      <c r="C24" t="s">
        <v>166</v>
      </c>
      <c r="D24" t="s">
        <v>167</v>
      </c>
      <c r="E24" t="s">
        <v>168</v>
      </c>
      <c r="F24">
        <v>3</v>
      </c>
      <c r="G24" t="s">
        <v>33</v>
      </c>
      <c r="H24">
        <v>33</v>
      </c>
      <c r="I24" s="12" t="s">
        <v>34</v>
      </c>
      <c r="J24" s="12" t="s">
        <v>169</v>
      </c>
      <c r="K24" s="12" t="s">
        <v>26</v>
      </c>
      <c r="L24" s="12" t="s">
        <v>170</v>
      </c>
      <c r="M24" s="12" t="s">
        <v>130</v>
      </c>
      <c r="N24" s="14">
        <v>0.03</v>
      </c>
      <c r="O24" s="23">
        <v>979.42</v>
      </c>
      <c r="P24">
        <v>218.22</v>
      </c>
      <c r="Q24" s="12" t="str" cm="1">
        <f t="array" ref="Q24:R24">VLOOKUP(E24,store[],{3,5},FALSE)</f>
        <v>East</v>
      </c>
      <c r="R24" t="str">
        <v>Online</v>
      </c>
      <c r="S24" s="4">
        <f t="shared" si="0"/>
        <v>2938.17</v>
      </c>
    </row>
    <row r="25" spans="1:22">
      <c r="A25" t="s">
        <v>171</v>
      </c>
      <c r="B25" s="3">
        <v>45466</v>
      </c>
      <c r="C25" t="s">
        <v>172</v>
      </c>
      <c r="D25" t="s">
        <v>173</v>
      </c>
      <c r="E25" t="s">
        <v>43</v>
      </c>
      <c r="F25">
        <v>1</v>
      </c>
      <c r="G25" t="s">
        <v>23</v>
      </c>
      <c r="H25">
        <v>34</v>
      </c>
      <c r="I25" s="12" t="s">
        <v>34</v>
      </c>
      <c r="J25" s="12" t="s">
        <v>161</v>
      </c>
      <c r="K25" s="12" t="s">
        <v>52</v>
      </c>
      <c r="L25" s="12" t="s">
        <v>174</v>
      </c>
      <c r="M25" s="12" t="s">
        <v>46</v>
      </c>
      <c r="N25" s="14">
        <v>0.08</v>
      </c>
      <c r="O25" s="23">
        <v>719.28</v>
      </c>
      <c r="P25">
        <v>115.82</v>
      </c>
      <c r="Q25" s="12" t="str" cm="1">
        <f t="array" ref="Q25:R25">VLOOKUP(E25,store[],{3,5},FALSE)</f>
        <v>West</v>
      </c>
      <c r="R25" t="str">
        <v>Online</v>
      </c>
      <c r="S25" s="4">
        <f t="shared" si="0"/>
        <v>719.2</v>
      </c>
      <c r="V25" t="s">
        <v>175</v>
      </c>
    </row>
    <row r="26" spans="1:22">
      <c r="A26" t="s">
        <v>176</v>
      </c>
      <c r="B26" s="3">
        <v>45908</v>
      </c>
      <c r="C26" t="s">
        <v>177</v>
      </c>
      <c r="D26" t="s">
        <v>178</v>
      </c>
      <c r="E26" t="s">
        <v>179</v>
      </c>
      <c r="F26">
        <v>3</v>
      </c>
      <c r="G26" t="s">
        <v>23</v>
      </c>
      <c r="H26">
        <v>53</v>
      </c>
      <c r="I26" s="12" t="s">
        <v>24</v>
      </c>
      <c r="J26" s="12" t="s">
        <v>80</v>
      </c>
      <c r="K26" s="12" t="s">
        <v>60</v>
      </c>
      <c r="L26" s="12" t="s">
        <v>180</v>
      </c>
      <c r="M26" s="12" t="s">
        <v>37</v>
      </c>
      <c r="N26" s="14">
        <v>7.0000000000000007E-2</v>
      </c>
      <c r="O26" s="23">
        <v>77.599999999999994</v>
      </c>
      <c r="P26">
        <v>349.17</v>
      </c>
      <c r="Q26" s="12" t="str" cm="1">
        <f t="array" ref="Q26:R26">VLOOKUP(E26,store[],{3,5},FALSE)</f>
        <v>East</v>
      </c>
      <c r="R26" t="str">
        <v>Online</v>
      </c>
      <c r="S26" s="4">
        <f t="shared" si="0"/>
        <v>232.59</v>
      </c>
    </row>
    <row r="27" spans="1:22">
      <c r="A27" t="s">
        <v>181</v>
      </c>
      <c r="B27" s="3">
        <v>45552</v>
      </c>
      <c r="C27" t="s">
        <v>182</v>
      </c>
      <c r="D27" t="s">
        <v>183</v>
      </c>
      <c r="E27" t="s">
        <v>22</v>
      </c>
      <c r="F27">
        <v>4</v>
      </c>
      <c r="G27" t="s">
        <v>33</v>
      </c>
      <c r="H27">
        <v>50</v>
      </c>
      <c r="I27" s="12" t="s">
        <v>24</v>
      </c>
      <c r="J27" s="12" t="s">
        <v>59</v>
      </c>
      <c r="K27" s="12" t="s">
        <v>60</v>
      </c>
      <c r="L27" s="12" t="s">
        <v>184</v>
      </c>
      <c r="M27" s="12" t="s">
        <v>130</v>
      </c>
      <c r="N27" s="14">
        <v>0.14000000000000001</v>
      </c>
      <c r="O27" s="23">
        <v>852.71</v>
      </c>
      <c r="P27">
        <v>261</v>
      </c>
      <c r="Q27" s="12" t="str" cm="1">
        <f t="array" ref="Q27:R27">VLOOKUP(E27,store[],{3,5},FALSE)</f>
        <v>North</v>
      </c>
      <c r="R27" t="str">
        <v>Outlet</v>
      </c>
      <c r="S27" s="4">
        <f t="shared" si="0"/>
        <v>3410.28</v>
      </c>
    </row>
    <row r="28" spans="1:22">
      <c r="A28" t="s">
        <v>185</v>
      </c>
      <c r="B28" s="3">
        <v>45294</v>
      </c>
      <c r="C28" t="s">
        <v>186</v>
      </c>
      <c r="D28" t="s">
        <v>187</v>
      </c>
      <c r="E28" t="s">
        <v>43</v>
      </c>
      <c r="F28">
        <v>4</v>
      </c>
      <c r="G28" t="s">
        <v>23</v>
      </c>
      <c r="H28">
        <v>42</v>
      </c>
      <c r="I28" s="12" t="s">
        <v>34</v>
      </c>
      <c r="J28" s="12" t="s">
        <v>188</v>
      </c>
      <c r="K28" s="12" t="s">
        <v>52</v>
      </c>
      <c r="L28" s="12" t="s">
        <v>189</v>
      </c>
      <c r="M28" s="12" t="s">
        <v>37</v>
      </c>
      <c r="N28" s="14">
        <v>0.14000000000000001</v>
      </c>
      <c r="O28" s="23">
        <v>156.16</v>
      </c>
      <c r="P28">
        <v>431.67</v>
      </c>
      <c r="Q28" s="12" t="str" cm="1">
        <f t="array" ref="Q28:R28">VLOOKUP(E28,store[],{3,5},FALSE)</f>
        <v>West</v>
      </c>
      <c r="R28" t="str">
        <v>Online</v>
      </c>
      <c r="S28" s="4">
        <f t="shared" si="0"/>
        <v>624.08000000000004</v>
      </c>
    </row>
    <row r="29" spans="1:22">
      <c r="A29" t="s">
        <v>190</v>
      </c>
      <c r="B29" s="3">
        <v>45710</v>
      </c>
      <c r="C29" t="s">
        <v>191</v>
      </c>
      <c r="D29" t="s">
        <v>192</v>
      </c>
      <c r="E29" t="s">
        <v>43</v>
      </c>
      <c r="F29">
        <v>3</v>
      </c>
      <c r="G29" t="s">
        <v>23</v>
      </c>
      <c r="H29">
        <v>30</v>
      </c>
      <c r="I29" s="12" t="s">
        <v>24</v>
      </c>
      <c r="J29" s="12" t="s">
        <v>193</v>
      </c>
      <c r="K29" s="12" t="s">
        <v>52</v>
      </c>
      <c r="L29" s="12" t="s">
        <v>194</v>
      </c>
      <c r="M29" s="12" t="s">
        <v>37</v>
      </c>
      <c r="N29" s="14">
        <v>0.14787530225862699</v>
      </c>
      <c r="O29" s="23">
        <v>815.49</v>
      </c>
      <c r="P29">
        <v>480.9</v>
      </c>
      <c r="Q29" s="12" t="str" cm="1">
        <f t="array" ref="Q29:R29">VLOOKUP(E29,store[],{3,5},FALSE)</f>
        <v>West</v>
      </c>
      <c r="R29" t="str">
        <v>Online</v>
      </c>
      <c r="S29" s="4">
        <f t="shared" si="0"/>
        <v>2446.0263740932201</v>
      </c>
    </row>
    <row r="30" spans="1:22">
      <c r="A30" t="s">
        <v>195</v>
      </c>
      <c r="B30" s="3">
        <v>45923</v>
      </c>
      <c r="C30" t="s">
        <v>196</v>
      </c>
      <c r="D30" t="s">
        <v>197</v>
      </c>
      <c r="E30" t="s">
        <v>198</v>
      </c>
      <c r="F30">
        <v>2</v>
      </c>
      <c r="G30" t="s">
        <v>33</v>
      </c>
      <c r="H30">
        <v>42</v>
      </c>
      <c r="I30" s="12" t="s">
        <v>34</v>
      </c>
      <c r="J30" s="12" t="s">
        <v>199</v>
      </c>
      <c r="K30" s="12" t="s">
        <v>73</v>
      </c>
      <c r="L30" s="12" t="s">
        <v>200</v>
      </c>
      <c r="M30" s="12" t="s">
        <v>37</v>
      </c>
      <c r="N30" s="14">
        <v>0.147944020356234</v>
      </c>
      <c r="O30" s="23">
        <v>74.209999999999994</v>
      </c>
      <c r="P30">
        <v>242.23</v>
      </c>
      <c r="Q30" s="12" t="str" cm="1">
        <f t="array" ref="Q30:R30">VLOOKUP(E30,store[],{3,5},FALSE)</f>
        <v>South</v>
      </c>
      <c r="R30" t="str">
        <v>Outlet</v>
      </c>
      <c r="S30" s="4">
        <f t="shared" si="0"/>
        <v>148.124111959288</v>
      </c>
    </row>
    <row r="31" spans="1:22">
      <c r="A31" t="s">
        <v>201</v>
      </c>
      <c r="B31" s="3">
        <v>45302</v>
      </c>
      <c r="C31" t="s">
        <v>121</v>
      </c>
      <c r="D31" t="s">
        <v>85</v>
      </c>
      <c r="E31" t="s">
        <v>22</v>
      </c>
      <c r="F31">
        <v>2</v>
      </c>
      <c r="G31" t="s">
        <v>23</v>
      </c>
      <c r="H31">
        <v>55</v>
      </c>
      <c r="I31" s="12" t="s">
        <v>24</v>
      </c>
      <c r="J31" s="12" t="s">
        <v>44</v>
      </c>
      <c r="K31" s="12" t="s">
        <v>60</v>
      </c>
      <c r="L31" s="12" t="s">
        <v>86</v>
      </c>
      <c r="M31" s="12" t="s">
        <v>75</v>
      </c>
      <c r="N31" s="14">
        <v>0.14853340883352201</v>
      </c>
      <c r="O31" s="23">
        <v>451.67</v>
      </c>
      <c r="P31">
        <v>201.41</v>
      </c>
      <c r="Q31" s="12" t="str" cm="1">
        <f t="array" ref="Q31:R31">VLOOKUP(E31,store[],{3,5},FALSE)</f>
        <v>North</v>
      </c>
      <c r="R31" t="str">
        <v>Outlet</v>
      </c>
      <c r="S31" s="4">
        <f t="shared" si="0"/>
        <v>903.04293318233294</v>
      </c>
    </row>
    <row r="32" spans="1:22">
      <c r="A32" t="s">
        <v>202</v>
      </c>
      <c r="B32" s="3">
        <v>45217</v>
      </c>
      <c r="C32" t="s">
        <v>203</v>
      </c>
      <c r="D32" t="s">
        <v>183</v>
      </c>
      <c r="E32" t="s">
        <v>135</v>
      </c>
      <c r="F32">
        <v>1</v>
      </c>
      <c r="G32" t="s">
        <v>33</v>
      </c>
      <c r="H32">
        <v>27</v>
      </c>
      <c r="I32" s="12" t="s">
        <v>34</v>
      </c>
      <c r="J32" s="12" t="s">
        <v>204</v>
      </c>
      <c r="K32" s="12" t="s">
        <v>52</v>
      </c>
      <c r="L32" s="12" t="s">
        <v>184</v>
      </c>
      <c r="M32" s="12" t="s">
        <v>130</v>
      </c>
      <c r="N32" s="14">
        <v>0.13</v>
      </c>
      <c r="O32" s="23">
        <v>429.38</v>
      </c>
      <c r="P32">
        <v>261</v>
      </c>
      <c r="Q32" s="12" t="str" cm="1">
        <f t="array" ref="Q32:R32">VLOOKUP(E32,store[],{3,5},FALSE)</f>
        <v>East</v>
      </c>
      <c r="R32" t="str">
        <v>Online</v>
      </c>
      <c r="S32" s="4">
        <f t="shared" si="0"/>
        <v>429.25</v>
      </c>
    </row>
    <row r="33" spans="1:19">
      <c r="A33" t="s">
        <v>205</v>
      </c>
      <c r="B33" s="3">
        <v>45593</v>
      </c>
      <c r="C33" t="s">
        <v>206</v>
      </c>
      <c r="D33" t="s">
        <v>207</v>
      </c>
      <c r="E33" t="s">
        <v>208</v>
      </c>
      <c r="F33">
        <v>2</v>
      </c>
      <c r="G33" t="s">
        <v>50</v>
      </c>
      <c r="H33">
        <v>23</v>
      </c>
      <c r="I33" s="12" t="s">
        <v>34</v>
      </c>
      <c r="J33" s="12" t="s">
        <v>209</v>
      </c>
      <c r="K33" s="12" t="s">
        <v>26</v>
      </c>
      <c r="L33" s="12" t="s">
        <v>210</v>
      </c>
      <c r="M33" s="12" t="s">
        <v>130</v>
      </c>
      <c r="N33" s="14">
        <v>0.03</v>
      </c>
      <c r="O33" s="23">
        <v>148.96</v>
      </c>
      <c r="P33">
        <v>386.56</v>
      </c>
      <c r="Q33" s="12" t="str" cm="1">
        <f t="array" ref="Q33:R33">VLOOKUP(E33,store[],{3,5},FALSE)</f>
        <v>North</v>
      </c>
      <c r="R33" t="str">
        <v>Online</v>
      </c>
      <c r="S33" s="4">
        <f t="shared" si="0"/>
        <v>297.86</v>
      </c>
    </row>
    <row r="34" spans="1:19">
      <c r="A34" t="s">
        <v>211</v>
      </c>
      <c r="B34" s="3">
        <v>45597</v>
      </c>
      <c r="C34" t="s">
        <v>212</v>
      </c>
      <c r="D34" t="s">
        <v>213</v>
      </c>
      <c r="E34" t="s">
        <v>43</v>
      </c>
      <c r="F34">
        <v>4</v>
      </c>
      <c r="G34" t="s">
        <v>23</v>
      </c>
      <c r="H34">
        <v>54</v>
      </c>
      <c r="I34" s="12" t="s">
        <v>24</v>
      </c>
      <c r="J34" s="12" t="s">
        <v>214</v>
      </c>
      <c r="K34" s="12" t="s">
        <v>73</v>
      </c>
      <c r="L34" s="12" t="s">
        <v>215</v>
      </c>
      <c r="M34" s="12" t="s">
        <v>130</v>
      </c>
      <c r="N34" s="14">
        <v>0.08</v>
      </c>
      <c r="O34" s="23">
        <v>313.83</v>
      </c>
      <c r="P34">
        <v>158.13999999999999</v>
      </c>
      <c r="Q34" s="12" t="str" cm="1">
        <f t="array" ref="Q34:R34">VLOOKUP(E34,store[],{3,5},FALSE)</f>
        <v>West</v>
      </c>
      <c r="R34" t="str">
        <v>Online</v>
      </c>
      <c r="S34" s="4">
        <f t="shared" si="0"/>
        <v>1255</v>
      </c>
    </row>
    <row r="35" spans="1:19">
      <c r="A35" t="s">
        <v>216</v>
      </c>
      <c r="B35" s="3">
        <v>45620</v>
      </c>
      <c r="C35" t="s">
        <v>217</v>
      </c>
      <c r="D35" t="s">
        <v>173</v>
      </c>
      <c r="E35" t="s">
        <v>179</v>
      </c>
      <c r="F35">
        <v>2</v>
      </c>
      <c r="G35" t="s">
        <v>23</v>
      </c>
      <c r="H35">
        <v>62</v>
      </c>
      <c r="I35" s="12" t="s">
        <v>34</v>
      </c>
      <c r="J35" s="12" t="s">
        <v>218</v>
      </c>
      <c r="K35" s="12" t="s">
        <v>52</v>
      </c>
      <c r="L35" s="12" t="s">
        <v>174</v>
      </c>
      <c r="M35" s="12" t="s">
        <v>46</v>
      </c>
      <c r="N35" s="14">
        <v>0.15</v>
      </c>
      <c r="O35" s="23">
        <v>717.31</v>
      </c>
      <c r="P35">
        <v>115.82</v>
      </c>
      <c r="Q35" s="12" t="str" cm="1">
        <f t="array" ref="Q35:R35">VLOOKUP(E35,store[],{3,5},FALSE)</f>
        <v>East</v>
      </c>
      <c r="R35" t="str">
        <v>Online</v>
      </c>
      <c r="S35" s="4">
        <f t="shared" si="0"/>
        <v>1434.32</v>
      </c>
    </row>
    <row r="36" spans="1:19">
      <c r="A36" t="s">
        <v>219</v>
      </c>
      <c r="B36" s="3">
        <v>45215</v>
      </c>
      <c r="C36" t="s">
        <v>220</v>
      </c>
      <c r="D36" t="s">
        <v>221</v>
      </c>
      <c r="E36" t="s">
        <v>105</v>
      </c>
      <c r="F36">
        <v>2</v>
      </c>
      <c r="G36" t="s">
        <v>23</v>
      </c>
      <c r="H36">
        <v>39</v>
      </c>
      <c r="I36" s="12" t="s">
        <v>24</v>
      </c>
      <c r="J36" s="12" t="s">
        <v>222</v>
      </c>
      <c r="K36" s="12" t="s">
        <v>26</v>
      </c>
      <c r="L36" s="12" t="s">
        <v>223</v>
      </c>
      <c r="M36" s="12" t="s">
        <v>75</v>
      </c>
      <c r="N36" s="14">
        <v>0.18</v>
      </c>
      <c r="O36" s="23">
        <v>873.22</v>
      </c>
      <c r="P36">
        <v>228.53</v>
      </c>
      <c r="Q36" s="12" t="str" cm="1">
        <f t="array" ref="Q36:R36">VLOOKUP(E36,store[],{3,5},FALSE)</f>
        <v>North</v>
      </c>
      <c r="R36" t="str">
        <v>Flagship</v>
      </c>
      <c r="S36" s="4">
        <f t="shared" si="0"/>
        <v>1746.08</v>
      </c>
    </row>
    <row r="37" spans="1:19">
      <c r="A37" t="s">
        <v>224</v>
      </c>
      <c r="B37" s="3">
        <v>45878</v>
      </c>
      <c r="C37" t="s">
        <v>225</v>
      </c>
      <c r="D37" t="s">
        <v>226</v>
      </c>
      <c r="E37" t="s">
        <v>22</v>
      </c>
      <c r="F37">
        <v>4</v>
      </c>
      <c r="G37" t="s">
        <v>50</v>
      </c>
      <c r="H37">
        <v>46</v>
      </c>
      <c r="I37" s="12" t="s">
        <v>24</v>
      </c>
      <c r="J37" s="12" t="s">
        <v>227</v>
      </c>
      <c r="K37" s="12" t="s">
        <v>52</v>
      </c>
      <c r="L37" s="12" t="s">
        <v>228</v>
      </c>
      <c r="M37" s="12" t="s">
        <v>46</v>
      </c>
      <c r="N37" s="14">
        <v>0.19</v>
      </c>
      <c r="O37" s="23">
        <v>109.36</v>
      </c>
      <c r="P37">
        <v>337.42</v>
      </c>
      <c r="Q37" s="12" t="str" cm="1">
        <f t="array" ref="Q37:R37">VLOOKUP(E37,store[],{3,5},FALSE)</f>
        <v>North</v>
      </c>
      <c r="R37" t="str">
        <v>Outlet</v>
      </c>
      <c r="S37" s="4">
        <f t="shared" si="0"/>
        <v>436.68</v>
      </c>
    </row>
    <row r="38" spans="1:19">
      <c r="A38" t="s">
        <v>229</v>
      </c>
      <c r="B38" s="3">
        <v>45635</v>
      </c>
      <c r="C38" t="s">
        <v>230</v>
      </c>
      <c r="D38" t="s">
        <v>183</v>
      </c>
      <c r="E38" t="s">
        <v>66</v>
      </c>
      <c r="F38">
        <v>3</v>
      </c>
      <c r="G38" t="s">
        <v>33</v>
      </c>
      <c r="H38">
        <v>19</v>
      </c>
      <c r="I38" s="12" t="s">
        <v>34</v>
      </c>
      <c r="J38" s="12" t="s">
        <v>231</v>
      </c>
      <c r="K38" s="12" t="s">
        <v>26</v>
      </c>
      <c r="L38" s="12" t="s">
        <v>184</v>
      </c>
      <c r="M38" s="12" t="s">
        <v>130</v>
      </c>
      <c r="N38" s="14">
        <v>0.16</v>
      </c>
      <c r="O38" s="23">
        <v>559.52</v>
      </c>
      <c r="P38">
        <v>261</v>
      </c>
      <c r="Q38" s="12" t="str" cm="1">
        <f t="array" ref="Q38:R38">VLOOKUP(E38,store[],{3,5},FALSE)</f>
        <v>South</v>
      </c>
      <c r="R38" t="str">
        <v>Online</v>
      </c>
      <c r="S38" s="4">
        <f t="shared" si="0"/>
        <v>1678.08</v>
      </c>
    </row>
    <row r="39" spans="1:19">
      <c r="A39" t="s">
        <v>232</v>
      </c>
      <c r="B39" s="3">
        <v>45329</v>
      </c>
      <c r="C39" t="s">
        <v>233</v>
      </c>
      <c r="D39" t="s">
        <v>234</v>
      </c>
      <c r="E39" t="s">
        <v>32</v>
      </c>
      <c r="F39">
        <v>3</v>
      </c>
      <c r="G39" t="s">
        <v>33</v>
      </c>
      <c r="H39">
        <v>59</v>
      </c>
      <c r="I39" s="12" t="s">
        <v>34</v>
      </c>
      <c r="J39" s="12" t="s">
        <v>235</v>
      </c>
      <c r="K39" s="12" t="s">
        <v>52</v>
      </c>
      <c r="L39" s="12" t="s">
        <v>236</v>
      </c>
      <c r="M39" s="12" t="s">
        <v>75</v>
      </c>
      <c r="N39" s="14">
        <v>0.27</v>
      </c>
      <c r="O39" s="23">
        <v>121.76</v>
      </c>
      <c r="P39">
        <v>298.86</v>
      </c>
      <c r="Q39" s="12" t="str" cm="1">
        <f t="array" ref="Q39:R39">VLOOKUP(E39,store[],{3,5},FALSE)</f>
        <v>North</v>
      </c>
      <c r="R39" t="str">
        <v>Flagship</v>
      </c>
      <c r="S39" s="4">
        <f t="shared" si="0"/>
        <v>364.47</v>
      </c>
    </row>
    <row r="40" spans="1:19">
      <c r="A40" t="s">
        <v>237</v>
      </c>
      <c r="B40" s="3">
        <v>45378</v>
      </c>
      <c r="C40" t="s">
        <v>238</v>
      </c>
      <c r="D40" t="s">
        <v>89</v>
      </c>
      <c r="E40" t="s">
        <v>149</v>
      </c>
      <c r="F40">
        <v>4</v>
      </c>
      <c r="G40" t="s">
        <v>50</v>
      </c>
      <c r="H40">
        <v>29</v>
      </c>
      <c r="I40" s="12" t="s">
        <v>24</v>
      </c>
      <c r="J40" s="12" t="s">
        <v>239</v>
      </c>
      <c r="K40" s="12" t="s">
        <v>26</v>
      </c>
      <c r="L40" s="12" t="s">
        <v>92</v>
      </c>
      <c r="M40" s="12" t="s">
        <v>75</v>
      </c>
      <c r="N40" s="14">
        <v>0.06</v>
      </c>
      <c r="O40" s="23">
        <v>735.32</v>
      </c>
      <c r="P40">
        <v>179.77</v>
      </c>
      <c r="Q40" s="12" t="str" cm="1">
        <f t="array" ref="Q40:R40">VLOOKUP(E40,store[],{3,5},FALSE)</f>
        <v>East</v>
      </c>
      <c r="R40" t="str">
        <v>Flagship</v>
      </c>
      <c r="S40" s="4">
        <f t="shared" si="0"/>
        <v>2941.04</v>
      </c>
    </row>
    <row r="41" spans="1:19">
      <c r="A41" t="s">
        <v>240</v>
      </c>
      <c r="B41" s="3">
        <v>45264</v>
      </c>
      <c r="C41" t="s">
        <v>241</v>
      </c>
      <c r="D41" t="s">
        <v>242</v>
      </c>
      <c r="E41" t="s">
        <v>22</v>
      </c>
      <c r="F41">
        <v>2</v>
      </c>
      <c r="G41" t="s">
        <v>23</v>
      </c>
      <c r="H41">
        <v>27</v>
      </c>
      <c r="I41" s="12" t="s">
        <v>24</v>
      </c>
      <c r="J41" s="12" t="s">
        <v>227</v>
      </c>
      <c r="K41" s="12" t="s">
        <v>52</v>
      </c>
      <c r="L41" s="12" t="s">
        <v>243</v>
      </c>
      <c r="M41" s="12" t="s">
        <v>46</v>
      </c>
      <c r="N41" s="14">
        <v>0.08</v>
      </c>
      <c r="O41" s="23">
        <v>600.73</v>
      </c>
      <c r="P41">
        <v>358.47</v>
      </c>
      <c r="Q41" s="12" t="str" cm="1">
        <f t="array" ref="Q41:R41">VLOOKUP(E41,store[],{3,5},FALSE)</f>
        <v>North</v>
      </c>
      <c r="R41" t="str">
        <v>Outlet</v>
      </c>
      <c r="S41" s="4">
        <f t="shared" si="0"/>
        <v>1201.3</v>
      </c>
    </row>
    <row r="42" spans="1:19">
      <c r="A42" t="s">
        <v>244</v>
      </c>
      <c r="B42" s="3">
        <v>45486</v>
      </c>
      <c r="C42" t="s">
        <v>245</v>
      </c>
      <c r="D42" t="s">
        <v>246</v>
      </c>
      <c r="E42" t="s">
        <v>135</v>
      </c>
      <c r="F42">
        <v>2</v>
      </c>
      <c r="G42" t="s">
        <v>50</v>
      </c>
      <c r="H42">
        <v>39</v>
      </c>
      <c r="I42" s="12" t="s">
        <v>34</v>
      </c>
      <c r="J42" s="12" t="s">
        <v>106</v>
      </c>
      <c r="K42" s="12" t="s">
        <v>26</v>
      </c>
      <c r="L42" s="12" t="s">
        <v>247</v>
      </c>
      <c r="M42" s="12" t="s">
        <v>37</v>
      </c>
      <c r="N42" s="14">
        <v>7.0000000000000007E-2</v>
      </c>
      <c r="O42" s="23">
        <v>873.86</v>
      </c>
      <c r="P42">
        <v>322.41000000000003</v>
      </c>
      <c r="Q42" s="12" t="str" cm="1">
        <f t="array" ref="Q42:R42">VLOOKUP(E42,store[],{3,5},FALSE)</f>
        <v>East</v>
      </c>
      <c r="R42" t="str">
        <v>Online</v>
      </c>
      <c r="S42" s="4">
        <f t="shared" si="0"/>
        <v>1747.58</v>
      </c>
    </row>
    <row r="43" spans="1:19">
      <c r="A43" t="s">
        <v>248</v>
      </c>
      <c r="B43" s="3">
        <v>45241</v>
      </c>
      <c r="C43" t="s">
        <v>249</v>
      </c>
      <c r="D43" t="s">
        <v>250</v>
      </c>
      <c r="E43" t="s">
        <v>43</v>
      </c>
      <c r="F43">
        <v>3</v>
      </c>
      <c r="G43" t="s">
        <v>33</v>
      </c>
      <c r="H43">
        <v>36</v>
      </c>
      <c r="I43" s="12" t="s">
        <v>24</v>
      </c>
      <c r="J43" s="12" t="s">
        <v>251</v>
      </c>
      <c r="K43" s="12" t="s">
        <v>26</v>
      </c>
      <c r="L43" s="12" t="s">
        <v>252</v>
      </c>
      <c r="M43" s="12" t="s">
        <v>130</v>
      </c>
      <c r="N43" s="14">
        <v>0.08</v>
      </c>
      <c r="O43" s="23">
        <v>342.47</v>
      </c>
      <c r="P43">
        <v>248.82191780821901</v>
      </c>
      <c r="Q43" s="12" t="str" cm="1">
        <f t="array" ref="Q43:R43">VLOOKUP(E43,store[],{3,5},FALSE)</f>
        <v>West</v>
      </c>
      <c r="R43" t="str">
        <v>Online</v>
      </c>
      <c r="S43" s="4">
        <f t="shared" si="0"/>
        <v>1027.17</v>
      </c>
    </row>
    <row r="44" spans="1:19">
      <c r="A44" t="s">
        <v>253</v>
      </c>
      <c r="B44" s="3">
        <v>45649</v>
      </c>
      <c r="C44" t="s">
        <v>254</v>
      </c>
      <c r="D44" t="s">
        <v>255</v>
      </c>
      <c r="E44" t="s">
        <v>127</v>
      </c>
      <c r="F44">
        <v>2</v>
      </c>
      <c r="G44" t="s">
        <v>33</v>
      </c>
      <c r="H44">
        <v>37</v>
      </c>
      <c r="I44" s="12" t="s">
        <v>24</v>
      </c>
      <c r="J44" s="12" t="s">
        <v>256</v>
      </c>
      <c r="K44" s="12" t="s">
        <v>52</v>
      </c>
      <c r="L44" s="12" t="s">
        <v>257</v>
      </c>
      <c r="M44" s="12" t="s">
        <v>75</v>
      </c>
      <c r="N44" s="14">
        <v>0.16</v>
      </c>
      <c r="O44" s="23">
        <v>915.15</v>
      </c>
      <c r="P44">
        <v>218.48</v>
      </c>
      <c r="Q44" s="12" t="str" cm="1">
        <f t="array" ref="Q44:R44">VLOOKUP(E44,store[],{3,5},FALSE)</f>
        <v>South</v>
      </c>
      <c r="R44" t="str">
        <v>Flagship</v>
      </c>
      <c r="S44" s="4">
        <f t="shared" si="0"/>
        <v>1829.98</v>
      </c>
    </row>
    <row r="45" spans="1:19">
      <c r="A45" t="s">
        <v>258</v>
      </c>
      <c r="B45" s="3">
        <v>45677</v>
      </c>
      <c r="C45" t="s">
        <v>259</v>
      </c>
      <c r="D45" t="s">
        <v>89</v>
      </c>
      <c r="E45" t="s">
        <v>32</v>
      </c>
      <c r="F45">
        <v>2</v>
      </c>
      <c r="G45" t="s">
        <v>33</v>
      </c>
      <c r="H45">
        <v>26</v>
      </c>
      <c r="I45" s="12" t="s">
        <v>34</v>
      </c>
      <c r="J45" s="12" t="s">
        <v>260</v>
      </c>
      <c r="K45" s="12" t="s">
        <v>52</v>
      </c>
      <c r="L45" s="12" t="s">
        <v>92</v>
      </c>
      <c r="M45" s="12" t="s">
        <v>75</v>
      </c>
      <c r="N45" s="14">
        <v>0.28000000000000003</v>
      </c>
      <c r="O45" s="23">
        <v>863.11</v>
      </c>
      <c r="P45">
        <v>179.77</v>
      </c>
      <c r="Q45" s="12" t="str" cm="1">
        <f t="array" ref="Q45:R45">VLOOKUP(E45,store[],{3,5},FALSE)</f>
        <v>North</v>
      </c>
      <c r="R45" t="str">
        <v>Flagship</v>
      </c>
      <c r="S45" s="4">
        <f t="shared" si="0"/>
        <v>1725.66</v>
      </c>
    </row>
    <row r="46" spans="1:19">
      <c r="A46" t="s">
        <v>261</v>
      </c>
      <c r="B46" s="3">
        <v>45538</v>
      </c>
      <c r="C46" t="s">
        <v>262</v>
      </c>
      <c r="D46" t="s">
        <v>159</v>
      </c>
      <c r="E46" t="s">
        <v>208</v>
      </c>
      <c r="F46">
        <v>2</v>
      </c>
      <c r="G46" t="s">
        <v>50</v>
      </c>
      <c r="H46">
        <v>47</v>
      </c>
      <c r="I46" s="12" t="s">
        <v>24</v>
      </c>
      <c r="J46" s="12" t="s">
        <v>106</v>
      </c>
      <c r="K46" s="12" t="s">
        <v>52</v>
      </c>
      <c r="L46" s="12" t="s">
        <v>162</v>
      </c>
      <c r="M46" s="12" t="s">
        <v>37</v>
      </c>
      <c r="N46" s="14">
        <v>0.23</v>
      </c>
      <c r="O46" s="23">
        <v>209.32</v>
      </c>
      <c r="P46">
        <v>253.33</v>
      </c>
      <c r="Q46" s="12" t="str" cm="1">
        <f t="array" ref="Q46:R46">VLOOKUP(E46,store[],{3,5},FALSE)</f>
        <v>North</v>
      </c>
      <c r="R46" t="str">
        <v>Online</v>
      </c>
      <c r="S46" s="4">
        <f t="shared" si="0"/>
        <v>418.18</v>
      </c>
    </row>
    <row r="47" spans="1:19">
      <c r="A47" t="s">
        <v>263</v>
      </c>
      <c r="B47" s="3">
        <v>45606</v>
      </c>
      <c r="C47" t="s">
        <v>264</v>
      </c>
      <c r="D47" t="s">
        <v>57</v>
      </c>
      <c r="E47" t="s">
        <v>43</v>
      </c>
      <c r="F47">
        <v>4</v>
      </c>
      <c r="G47" t="s">
        <v>33</v>
      </c>
      <c r="H47">
        <v>21</v>
      </c>
      <c r="I47" s="12" t="s">
        <v>34</v>
      </c>
      <c r="J47" s="12" t="s">
        <v>214</v>
      </c>
      <c r="K47" s="12" t="s">
        <v>26</v>
      </c>
      <c r="L47" s="12" t="s">
        <v>61</v>
      </c>
      <c r="M47" s="12" t="s">
        <v>46</v>
      </c>
      <c r="N47" s="14">
        <v>0.09</v>
      </c>
      <c r="O47" s="23">
        <v>288.60000000000002</v>
      </c>
      <c r="P47">
        <v>17.309999999999999</v>
      </c>
      <c r="Q47" s="12" t="str" cm="1">
        <f t="array" ref="Q47:R47">VLOOKUP(E47,store[],{3,5},FALSE)</f>
        <v>West</v>
      </c>
      <c r="R47" t="str">
        <v>Online</v>
      </c>
      <c r="S47" s="4">
        <f t="shared" si="0"/>
        <v>1154.04</v>
      </c>
    </row>
    <row r="48" spans="1:19">
      <c r="A48" t="s">
        <v>265</v>
      </c>
      <c r="B48" s="3">
        <v>45570</v>
      </c>
      <c r="C48" t="s">
        <v>266</v>
      </c>
      <c r="D48" t="s">
        <v>267</v>
      </c>
      <c r="E48" t="s">
        <v>117</v>
      </c>
      <c r="F48">
        <v>1</v>
      </c>
      <c r="G48" t="s">
        <v>33</v>
      </c>
      <c r="H48">
        <v>29</v>
      </c>
      <c r="I48" s="12" t="s">
        <v>34</v>
      </c>
      <c r="J48" s="12" t="s">
        <v>222</v>
      </c>
      <c r="K48" s="12" t="s">
        <v>26</v>
      </c>
      <c r="L48" s="12" t="s">
        <v>268</v>
      </c>
      <c r="M48" s="12" t="s">
        <v>75</v>
      </c>
      <c r="N48" s="14">
        <v>0.06</v>
      </c>
      <c r="O48" s="23">
        <v>418.69</v>
      </c>
      <c r="P48">
        <v>325.26</v>
      </c>
      <c r="Q48" s="12" t="str" cm="1">
        <f t="array" ref="Q48:R48">VLOOKUP(E48,store[],{3,5},FALSE)</f>
        <v>West</v>
      </c>
      <c r="R48" t="str">
        <v>Flagship</v>
      </c>
      <c r="S48" s="4">
        <f t="shared" si="0"/>
        <v>418.63</v>
      </c>
    </row>
    <row r="49" spans="1:19">
      <c r="A49" t="s">
        <v>269</v>
      </c>
      <c r="B49" s="3">
        <v>45466</v>
      </c>
      <c r="C49" t="s">
        <v>270</v>
      </c>
      <c r="D49" t="s">
        <v>271</v>
      </c>
      <c r="E49" t="s">
        <v>272</v>
      </c>
      <c r="F49">
        <v>1</v>
      </c>
      <c r="G49" t="s">
        <v>33</v>
      </c>
      <c r="H49">
        <v>53</v>
      </c>
      <c r="I49" s="12" t="s">
        <v>34</v>
      </c>
      <c r="J49" s="12" t="s">
        <v>214</v>
      </c>
      <c r="K49" s="12" t="s">
        <v>26</v>
      </c>
      <c r="L49" s="12" t="s">
        <v>273</v>
      </c>
      <c r="M49" s="12" t="s">
        <v>75</v>
      </c>
      <c r="N49" s="14">
        <v>0.14000000000000001</v>
      </c>
      <c r="O49" s="23">
        <v>135.78</v>
      </c>
      <c r="P49">
        <v>19.52</v>
      </c>
      <c r="Q49" s="12" t="str" cm="1">
        <f t="array" ref="Q49:R49">VLOOKUP(E49,store[],{3,5},FALSE)</f>
        <v>South</v>
      </c>
      <c r="R49" t="str">
        <v>Online</v>
      </c>
      <c r="S49" s="4">
        <f t="shared" si="0"/>
        <v>135.63999999999999</v>
      </c>
    </row>
    <row r="50" spans="1:19">
      <c r="A50" t="s">
        <v>274</v>
      </c>
      <c r="B50" s="3">
        <v>45218</v>
      </c>
      <c r="C50" t="s">
        <v>262</v>
      </c>
      <c r="D50" t="s">
        <v>275</v>
      </c>
      <c r="E50" t="s">
        <v>32</v>
      </c>
      <c r="F50">
        <v>1</v>
      </c>
      <c r="G50" t="s">
        <v>23</v>
      </c>
      <c r="H50">
        <v>47</v>
      </c>
      <c r="I50" s="12" t="s">
        <v>24</v>
      </c>
      <c r="J50" s="12" t="s">
        <v>106</v>
      </c>
      <c r="K50" s="12" t="s">
        <v>52</v>
      </c>
      <c r="L50" s="12" t="s">
        <v>276</v>
      </c>
      <c r="M50" s="12" t="s">
        <v>28</v>
      </c>
      <c r="N50" s="14">
        <v>0.28000000000000003</v>
      </c>
      <c r="O50" s="23">
        <v>517.13</v>
      </c>
      <c r="P50">
        <v>167.12</v>
      </c>
      <c r="Q50" s="12" t="str" cm="1">
        <f t="array" ref="Q50:R50">VLOOKUP(E50,store[],{3,5},FALSE)</f>
        <v>North</v>
      </c>
      <c r="R50" t="str">
        <v>Flagship</v>
      </c>
      <c r="S50" s="4">
        <f t="shared" si="0"/>
        <v>516.85</v>
      </c>
    </row>
    <row r="51" spans="1:19">
      <c r="A51" t="s">
        <v>277</v>
      </c>
      <c r="B51" s="3">
        <v>45607</v>
      </c>
      <c r="C51" t="s">
        <v>278</v>
      </c>
      <c r="D51" t="s">
        <v>279</v>
      </c>
      <c r="E51" t="s">
        <v>117</v>
      </c>
      <c r="F51">
        <v>2</v>
      </c>
      <c r="G51" t="s">
        <v>50</v>
      </c>
      <c r="H51">
        <v>60</v>
      </c>
      <c r="I51" s="12" t="s">
        <v>24</v>
      </c>
      <c r="J51" s="12" t="s">
        <v>256</v>
      </c>
      <c r="K51" s="12" t="s">
        <v>73</v>
      </c>
      <c r="L51" s="12" t="s">
        <v>280</v>
      </c>
      <c r="M51" s="12" t="s">
        <v>75</v>
      </c>
      <c r="N51" s="14">
        <v>0.08</v>
      </c>
      <c r="O51" s="23">
        <v>384.66</v>
      </c>
      <c r="P51">
        <v>123.46</v>
      </c>
      <c r="Q51" s="12" t="str" cm="1">
        <f t="array" ref="Q51:R51">VLOOKUP(E51,store[],{3,5},FALSE)</f>
        <v>West</v>
      </c>
      <c r="R51" t="str">
        <v>Flagship</v>
      </c>
      <c r="S51" s="4">
        <f t="shared" si="0"/>
        <v>769.16</v>
      </c>
    </row>
    <row r="52" spans="1:19">
      <c r="A52" t="s">
        <v>281</v>
      </c>
      <c r="B52" s="3">
        <v>45291</v>
      </c>
      <c r="C52" t="s">
        <v>266</v>
      </c>
      <c r="D52" t="s">
        <v>282</v>
      </c>
      <c r="E52" t="s">
        <v>127</v>
      </c>
      <c r="F52">
        <v>3</v>
      </c>
      <c r="G52" t="s">
        <v>33</v>
      </c>
      <c r="H52">
        <v>29</v>
      </c>
      <c r="I52" s="12" t="s">
        <v>34</v>
      </c>
      <c r="J52" s="12" t="s">
        <v>222</v>
      </c>
      <c r="K52" s="12" t="s">
        <v>26</v>
      </c>
      <c r="L52" s="12" t="s">
        <v>283</v>
      </c>
      <c r="M52" s="12" t="s">
        <v>28</v>
      </c>
      <c r="N52" s="14">
        <v>0.24</v>
      </c>
      <c r="O52" s="23">
        <v>83.7</v>
      </c>
      <c r="P52">
        <v>212.26</v>
      </c>
      <c r="Q52" s="12" t="str" cm="1">
        <f t="array" ref="Q52:R52">VLOOKUP(E52,store[],{3,5},FALSE)</f>
        <v>South</v>
      </c>
      <c r="R52" t="str">
        <v>Flagship</v>
      </c>
      <c r="S52" s="4">
        <f t="shared" si="0"/>
        <v>250.38</v>
      </c>
    </row>
    <row r="53" spans="1:19">
      <c r="A53" t="s">
        <v>284</v>
      </c>
      <c r="B53" s="3">
        <v>45689</v>
      </c>
      <c r="C53" t="s">
        <v>285</v>
      </c>
      <c r="D53" t="s">
        <v>167</v>
      </c>
      <c r="E53" t="s">
        <v>66</v>
      </c>
      <c r="F53">
        <v>3</v>
      </c>
      <c r="G53" t="s">
        <v>23</v>
      </c>
      <c r="H53">
        <v>37</v>
      </c>
      <c r="I53" s="12" t="s">
        <v>24</v>
      </c>
      <c r="J53" s="12" t="s">
        <v>111</v>
      </c>
      <c r="K53" s="12" t="s">
        <v>73</v>
      </c>
      <c r="L53" s="12" t="s">
        <v>170</v>
      </c>
      <c r="M53" s="12" t="s">
        <v>130</v>
      </c>
      <c r="N53" s="14">
        <v>0.26</v>
      </c>
      <c r="O53" s="23">
        <v>76.569999999999993</v>
      </c>
      <c r="P53">
        <v>218.22</v>
      </c>
      <c r="Q53" s="12" t="str" cm="1">
        <f t="array" ref="Q53:R53">VLOOKUP(E53,store[],{3,5},FALSE)</f>
        <v>South</v>
      </c>
      <c r="R53" t="str">
        <v>Online</v>
      </c>
      <c r="S53" s="4">
        <f t="shared" si="0"/>
        <v>228.93</v>
      </c>
    </row>
    <row r="54" spans="1:19">
      <c r="A54" t="s">
        <v>286</v>
      </c>
      <c r="B54" s="3">
        <v>45894</v>
      </c>
      <c r="C54" t="s">
        <v>196</v>
      </c>
      <c r="D54" t="s">
        <v>287</v>
      </c>
      <c r="E54" t="s">
        <v>179</v>
      </c>
      <c r="F54">
        <v>3</v>
      </c>
      <c r="G54" t="s">
        <v>23</v>
      </c>
      <c r="H54">
        <v>42</v>
      </c>
      <c r="I54" s="12" t="s">
        <v>34</v>
      </c>
      <c r="J54" s="12" t="s">
        <v>199</v>
      </c>
      <c r="K54" s="12" t="s">
        <v>73</v>
      </c>
      <c r="L54" s="12" t="s">
        <v>288</v>
      </c>
      <c r="M54" s="12" t="s">
        <v>46</v>
      </c>
      <c r="N54" s="14">
        <v>0.14699999999999999</v>
      </c>
      <c r="O54" s="23">
        <v>513.98477215823698</v>
      </c>
      <c r="P54">
        <v>183.04</v>
      </c>
      <c r="Q54" s="12" t="str" cm="1">
        <f t="array" ref="Q54:R54">VLOOKUP(E54,store[],{3,5},FALSE)</f>
        <v>East</v>
      </c>
      <c r="R54" t="str">
        <v>Online</v>
      </c>
      <c r="S54" s="4">
        <f t="shared" si="0"/>
        <v>1541.5133164747101</v>
      </c>
    </row>
    <row r="55" spans="1:19">
      <c r="A55" t="s">
        <v>289</v>
      </c>
      <c r="B55" s="3">
        <v>45677</v>
      </c>
      <c r="C55" t="s">
        <v>290</v>
      </c>
      <c r="D55" t="s">
        <v>291</v>
      </c>
      <c r="E55" t="s">
        <v>43</v>
      </c>
      <c r="F55">
        <v>1</v>
      </c>
      <c r="G55" t="s">
        <v>50</v>
      </c>
      <c r="H55">
        <v>58</v>
      </c>
      <c r="I55" s="12" t="s">
        <v>24</v>
      </c>
      <c r="J55" s="12" t="s">
        <v>169</v>
      </c>
      <c r="K55" s="12" t="s">
        <v>73</v>
      </c>
      <c r="L55" s="12" t="s">
        <v>292</v>
      </c>
      <c r="M55" s="12" t="s">
        <v>28</v>
      </c>
      <c r="N55" s="14">
        <v>0.13</v>
      </c>
      <c r="O55" s="23">
        <v>900.35</v>
      </c>
      <c r="P55">
        <v>131.51</v>
      </c>
      <c r="Q55" s="12" t="str" cm="1">
        <f t="array" ref="Q55:R55">VLOOKUP(E55,store[],{3,5},FALSE)</f>
        <v>West</v>
      </c>
      <c r="R55" t="str">
        <v>Online</v>
      </c>
      <c r="S55" s="4">
        <f t="shared" si="0"/>
        <v>900.22</v>
      </c>
    </row>
    <row r="56" spans="1:19">
      <c r="A56" t="s">
        <v>293</v>
      </c>
      <c r="B56" s="3">
        <v>45706</v>
      </c>
      <c r="C56" t="s">
        <v>294</v>
      </c>
      <c r="D56" t="s">
        <v>295</v>
      </c>
      <c r="E56" t="s">
        <v>168</v>
      </c>
      <c r="F56">
        <v>4</v>
      </c>
      <c r="G56" t="s">
        <v>23</v>
      </c>
      <c r="H56">
        <v>62</v>
      </c>
      <c r="I56" s="12" t="s">
        <v>34</v>
      </c>
      <c r="J56" s="12" t="s">
        <v>161</v>
      </c>
      <c r="K56" s="12" t="s">
        <v>52</v>
      </c>
      <c r="L56" s="12" t="s">
        <v>296</v>
      </c>
      <c r="M56" s="12" t="s">
        <v>37</v>
      </c>
      <c r="N56" s="14">
        <v>7.0000000000000007E-2</v>
      </c>
      <c r="O56" s="23">
        <v>428.09</v>
      </c>
      <c r="P56">
        <v>38.520000000000003</v>
      </c>
      <c r="Q56" s="12" t="str" cm="1">
        <f t="array" ref="Q56:R56">VLOOKUP(E56,store[],{3,5},FALSE)</f>
        <v>East</v>
      </c>
      <c r="R56" t="str">
        <v>Online</v>
      </c>
      <c r="S56" s="4">
        <f t="shared" si="0"/>
        <v>1712.08</v>
      </c>
    </row>
    <row r="57" spans="1:19">
      <c r="A57" t="s">
        <v>297</v>
      </c>
      <c r="B57" s="3">
        <v>45589</v>
      </c>
      <c r="C57" t="s">
        <v>298</v>
      </c>
      <c r="D57" t="s">
        <v>42</v>
      </c>
      <c r="E57" t="s">
        <v>272</v>
      </c>
      <c r="F57">
        <v>2</v>
      </c>
      <c r="G57" t="s">
        <v>50</v>
      </c>
      <c r="H57">
        <v>46</v>
      </c>
      <c r="I57" s="12" t="s">
        <v>24</v>
      </c>
      <c r="J57" s="12" t="s">
        <v>199</v>
      </c>
      <c r="K57" s="12" t="s">
        <v>52</v>
      </c>
      <c r="L57" s="12" t="s">
        <v>45</v>
      </c>
      <c r="M57" s="12" t="s">
        <v>46</v>
      </c>
      <c r="N57" s="14">
        <v>0.3</v>
      </c>
      <c r="O57" s="23">
        <v>559.71</v>
      </c>
      <c r="P57">
        <v>43.29</v>
      </c>
      <c r="Q57" s="12" t="str" cm="1">
        <f t="array" ref="Q57:R57">VLOOKUP(E57,store[],{3,5},FALSE)</f>
        <v>South</v>
      </c>
      <c r="R57" t="str">
        <v>Online</v>
      </c>
      <c r="S57" s="4">
        <f t="shared" si="0"/>
        <v>1118.82</v>
      </c>
    </row>
    <row r="58" spans="1:19">
      <c r="A58" t="s">
        <v>299</v>
      </c>
      <c r="B58" s="3">
        <v>45282</v>
      </c>
      <c r="C58" t="s">
        <v>300</v>
      </c>
      <c r="D58" t="s">
        <v>116</v>
      </c>
      <c r="E58" t="s">
        <v>179</v>
      </c>
      <c r="F58">
        <v>2</v>
      </c>
      <c r="G58" t="s">
        <v>33</v>
      </c>
      <c r="H58">
        <v>61</v>
      </c>
      <c r="I58" s="12" t="s">
        <v>34</v>
      </c>
      <c r="J58" s="12" t="s">
        <v>222</v>
      </c>
      <c r="K58" s="12" t="s">
        <v>73</v>
      </c>
      <c r="L58" s="12" t="s">
        <v>119</v>
      </c>
      <c r="M58" s="12" t="s">
        <v>37</v>
      </c>
      <c r="N58" s="14">
        <v>0.06</v>
      </c>
      <c r="O58" s="23">
        <v>833.7</v>
      </c>
      <c r="P58">
        <v>419.28</v>
      </c>
      <c r="Q58" s="12" t="str" cm="1">
        <f t="array" ref="Q58:R58">VLOOKUP(E58,store[],{3,5},FALSE)</f>
        <v>East</v>
      </c>
      <c r="R58" t="str">
        <v>Online</v>
      </c>
      <c r="S58" s="4">
        <f t="shared" si="0"/>
        <v>1667.28</v>
      </c>
    </row>
    <row r="59" spans="1:19">
      <c r="A59" t="s">
        <v>301</v>
      </c>
      <c r="B59" s="3">
        <v>45462</v>
      </c>
      <c r="C59" t="s">
        <v>30</v>
      </c>
      <c r="D59" t="s">
        <v>302</v>
      </c>
      <c r="E59" t="s">
        <v>98</v>
      </c>
      <c r="F59">
        <v>2</v>
      </c>
      <c r="G59" t="s">
        <v>23</v>
      </c>
      <c r="H59">
        <v>63</v>
      </c>
      <c r="I59" s="12" t="s">
        <v>34</v>
      </c>
      <c r="J59" s="12" t="s">
        <v>35</v>
      </c>
      <c r="K59" s="12" t="s">
        <v>26</v>
      </c>
      <c r="L59" s="12" t="s">
        <v>303</v>
      </c>
      <c r="M59" s="12" t="s">
        <v>46</v>
      </c>
      <c r="N59" s="14">
        <v>0.28000000000000003</v>
      </c>
      <c r="O59" s="23">
        <v>680.16</v>
      </c>
      <c r="P59">
        <v>255.04901960784301</v>
      </c>
      <c r="Q59" s="12" t="str" cm="1">
        <f t="array" ref="Q59:R59">VLOOKUP(E59,store[],{3,5},FALSE)</f>
        <v>South</v>
      </c>
      <c r="R59" t="str">
        <v>Outlet</v>
      </c>
      <c r="S59" s="4">
        <f t="shared" si="0"/>
        <v>1359.76</v>
      </c>
    </row>
    <row r="60" spans="1:19">
      <c r="A60" t="s">
        <v>304</v>
      </c>
      <c r="B60" s="3">
        <v>45633</v>
      </c>
      <c r="C60" t="s">
        <v>305</v>
      </c>
      <c r="D60" t="s">
        <v>65</v>
      </c>
      <c r="E60" t="s">
        <v>66</v>
      </c>
      <c r="F60">
        <v>4</v>
      </c>
      <c r="G60" t="s">
        <v>33</v>
      </c>
      <c r="H60">
        <v>22</v>
      </c>
      <c r="I60" s="12" t="s">
        <v>34</v>
      </c>
      <c r="J60" s="12" t="s">
        <v>140</v>
      </c>
      <c r="K60" s="12" t="s">
        <v>60</v>
      </c>
      <c r="L60" s="12" t="s">
        <v>68</v>
      </c>
      <c r="M60" s="12" t="s">
        <v>37</v>
      </c>
      <c r="N60" s="14">
        <v>0.14699999999999999</v>
      </c>
      <c r="O60" s="23">
        <v>733.42</v>
      </c>
      <c r="P60">
        <v>465.34</v>
      </c>
      <c r="Q60" s="12" t="str" cm="1">
        <f t="array" ref="Q60:R60">VLOOKUP(E60,store[],{3,5},FALSE)</f>
        <v>South</v>
      </c>
      <c r="R60" t="str">
        <v>Online</v>
      </c>
      <c r="S60" s="4">
        <f t="shared" si="0"/>
        <v>2933.0920000000001</v>
      </c>
    </row>
    <row r="61" spans="1:19">
      <c r="A61" t="s">
        <v>306</v>
      </c>
      <c r="B61" s="3">
        <v>45257</v>
      </c>
      <c r="C61" t="s">
        <v>307</v>
      </c>
      <c r="D61" t="s">
        <v>287</v>
      </c>
      <c r="E61" t="s">
        <v>272</v>
      </c>
      <c r="F61">
        <v>1</v>
      </c>
      <c r="G61" t="s">
        <v>33</v>
      </c>
      <c r="H61">
        <v>51</v>
      </c>
      <c r="I61" s="12" t="s">
        <v>24</v>
      </c>
      <c r="J61" s="12" t="s">
        <v>308</v>
      </c>
      <c r="K61" s="12" t="s">
        <v>73</v>
      </c>
      <c r="L61" s="12" t="s">
        <v>288</v>
      </c>
      <c r="M61" s="12" t="s">
        <v>46</v>
      </c>
      <c r="N61" s="14">
        <v>0.23</v>
      </c>
      <c r="O61" s="23">
        <v>996.33</v>
      </c>
      <c r="P61">
        <v>183.04</v>
      </c>
      <c r="Q61" s="12" t="str" cm="1">
        <f t="array" ref="Q61:R61">VLOOKUP(E61,store[],{3,5},FALSE)</f>
        <v>South</v>
      </c>
      <c r="R61" t="str">
        <v>Online</v>
      </c>
      <c r="S61" s="4">
        <f t="shared" si="0"/>
        <v>996.1</v>
      </c>
    </row>
    <row r="62" spans="1:19">
      <c r="A62" t="s">
        <v>309</v>
      </c>
      <c r="B62" s="3">
        <v>45854</v>
      </c>
      <c r="C62" t="s">
        <v>310</v>
      </c>
      <c r="D62" t="s">
        <v>311</v>
      </c>
      <c r="E62" t="s">
        <v>168</v>
      </c>
      <c r="F62">
        <v>1</v>
      </c>
      <c r="G62" t="s">
        <v>50</v>
      </c>
      <c r="H62">
        <v>36</v>
      </c>
      <c r="I62" s="12" t="s">
        <v>24</v>
      </c>
      <c r="J62" s="12" t="s">
        <v>204</v>
      </c>
      <c r="K62" s="12" t="s">
        <v>26</v>
      </c>
      <c r="L62" s="12" t="s">
        <v>312</v>
      </c>
      <c r="M62" s="12" t="s">
        <v>28</v>
      </c>
      <c r="N62" s="14">
        <v>0.09</v>
      </c>
      <c r="O62" s="23">
        <v>198.83</v>
      </c>
      <c r="P62">
        <v>204.39</v>
      </c>
      <c r="Q62" s="12" t="str" cm="1">
        <f t="array" ref="Q62:R62">VLOOKUP(E62,store[],{3,5},FALSE)</f>
        <v>East</v>
      </c>
      <c r="R62" t="str">
        <v>Online</v>
      </c>
      <c r="S62" s="4">
        <f t="shared" si="0"/>
        <v>198.74</v>
      </c>
    </row>
    <row r="63" spans="1:19">
      <c r="A63" t="s">
        <v>313</v>
      </c>
      <c r="B63" s="3">
        <v>45716</v>
      </c>
      <c r="C63" t="s">
        <v>147</v>
      </c>
      <c r="D63" t="s">
        <v>314</v>
      </c>
      <c r="E63" t="s">
        <v>66</v>
      </c>
      <c r="F63">
        <v>1</v>
      </c>
      <c r="G63" t="s">
        <v>33</v>
      </c>
      <c r="H63">
        <v>58</v>
      </c>
      <c r="I63" s="12" t="s">
        <v>34</v>
      </c>
      <c r="J63" s="12" t="s">
        <v>99</v>
      </c>
      <c r="K63" s="12" t="s">
        <v>52</v>
      </c>
      <c r="L63" s="12" t="s">
        <v>315</v>
      </c>
      <c r="M63" s="12" t="s">
        <v>28</v>
      </c>
      <c r="N63" s="14">
        <v>0.18</v>
      </c>
      <c r="O63" s="23">
        <v>374.92</v>
      </c>
      <c r="P63">
        <v>21.34</v>
      </c>
      <c r="Q63" s="12" t="str" cm="1">
        <f t="array" ref="Q63:R63">VLOOKUP(E63,store[],{3,5},FALSE)</f>
        <v>South</v>
      </c>
      <c r="R63" t="str">
        <v>Online</v>
      </c>
      <c r="S63" s="4">
        <f t="shared" si="0"/>
        <v>374.74</v>
      </c>
    </row>
    <row r="64" spans="1:19">
      <c r="A64" t="s">
        <v>316</v>
      </c>
      <c r="B64" s="3">
        <v>45515</v>
      </c>
      <c r="C64" t="s">
        <v>88</v>
      </c>
      <c r="D64" t="s">
        <v>317</v>
      </c>
      <c r="E64" t="s">
        <v>117</v>
      </c>
      <c r="F64">
        <v>1</v>
      </c>
      <c r="G64" t="s">
        <v>23</v>
      </c>
      <c r="H64">
        <v>45</v>
      </c>
      <c r="I64" s="12" t="s">
        <v>34</v>
      </c>
      <c r="J64" s="12" t="s">
        <v>91</v>
      </c>
      <c r="K64" s="12" t="s">
        <v>52</v>
      </c>
      <c r="L64" s="12" t="s">
        <v>318</v>
      </c>
      <c r="M64" s="12" t="s">
        <v>37</v>
      </c>
      <c r="N64" s="14">
        <v>0.12</v>
      </c>
      <c r="O64" s="23">
        <v>468.94</v>
      </c>
      <c r="P64">
        <v>377.52</v>
      </c>
      <c r="Q64" s="12" t="str" cm="1">
        <f t="array" ref="Q64:R64">VLOOKUP(E64,store[],{3,5},FALSE)</f>
        <v>West</v>
      </c>
      <c r="R64" t="str">
        <v>Flagship</v>
      </c>
      <c r="S64" s="4">
        <f t="shared" si="0"/>
        <v>468.82</v>
      </c>
    </row>
    <row r="65" spans="1:19">
      <c r="A65" t="s">
        <v>319</v>
      </c>
      <c r="B65" s="3">
        <v>45927</v>
      </c>
      <c r="C65" t="s">
        <v>320</v>
      </c>
      <c r="D65" t="s">
        <v>287</v>
      </c>
      <c r="E65" t="s">
        <v>208</v>
      </c>
      <c r="F65">
        <v>2</v>
      </c>
      <c r="G65" t="s">
        <v>23</v>
      </c>
      <c r="H65">
        <v>62</v>
      </c>
      <c r="I65" s="12" t="s">
        <v>34</v>
      </c>
      <c r="J65" s="12" t="s">
        <v>251</v>
      </c>
      <c r="K65" s="12" t="s">
        <v>26</v>
      </c>
      <c r="L65" s="12" t="s">
        <v>288</v>
      </c>
      <c r="M65" s="12" t="s">
        <v>46</v>
      </c>
      <c r="N65" s="14">
        <v>0.05</v>
      </c>
      <c r="O65" s="23">
        <v>121.37</v>
      </c>
      <c r="P65">
        <v>183.04</v>
      </c>
      <c r="Q65" s="12" t="str" cm="1">
        <f t="array" ref="Q65:R65">VLOOKUP(E65,store[],{3,5},FALSE)</f>
        <v>North</v>
      </c>
      <c r="R65" t="str">
        <v>Online</v>
      </c>
      <c r="S65" s="4">
        <f t="shared" si="0"/>
        <v>242.64</v>
      </c>
    </row>
    <row r="66" spans="1:19">
      <c r="A66" t="s">
        <v>321</v>
      </c>
      <c r="B66" s="3">
        <v>45914</v>
      </c>
      <c r="C66" t="s">
        <v>322</v>
      </c>
      <c r="D66" t="s">
        <v>207</v>
      </c>
      <c r="E66" t="s">
        <v>168</v>
      </c>
      <c r="F66">
        <v>3</v>
      </c>
      <c r="G66" t="s">
        <v>23</v>
      </c>
      <c r="H66">
        <v>21</v>
      </c>
      <c r="I66" s="12" t="s">
        <v>24</v>
      </c>
      <c r="J66" s="12" t="s">
        <v>308</v>
      </c>
      <c r="K66" s="12" t="s">
        <v>26</v>
      </c>
      <c r="L66" s="12" t="s">
        <v>210</v>
      </c>
      <c r="M66" s="12" t="s">
        <v>130</v>
      </c>
      <c r="N66" s="14">
        <v>0.01</v>
      </c>
      <c r="O66" s="23">
        <v>480.06</v>
      </c>
      <c r="P66">
        <v>386.56</v>
      </c>
      <c r="Q66" s="12" t="str" cm="1">
        <f t="array" ref="Q66:R66">VLOOKUP(E66,store[],{3,5},FALSE)</f>
        <v>East</v>
      </c>
      <c r="R66" t="str">
        <v>Online</v>
      </c>
      <c r="S66" s="4">
        <f t="shared" ref="S66:S129" si="1">(O66-N66)*F66</f>
        <v>1440.15</v>
      </c>
    </row>
    <row r="67" spans="1:19">
      <c r="A67" t="s">
        <v>323</v>
      </c>
      <c r="B67" s="3">
        <v>45290</v>
      </c>
      <c r="C67" t="s">
        <v>324</v>
      </c>
      <c r="D67" t="s">
        <v>85</v>
      </c>
      <c r="E67" t="s">
        <v>32</v>
      </c>
      <c r="F67">
        <v>2</v>
      </c>
      <c r="G67" t="s">
        <v>23</v>
      </c>
      <c r="H67">
        <v>37</v>
      </c>
      <c r="I67" s="12" t="s">
        <v>24</v>
      </c>
      <c r="J67" s="12" t="s">
        <v>51</v>
      </c>
      <c r="K67" s="12" t="s">
        <v>60</v>
      </c>
      <c r="L67" s="12" t="s">
        <v>86</v>
      </c>
      <c r="M67" s="12" t="s">
        <v>75</v>
      </c>
      <c r="N67" s="14">
        <v>0.24</v>
      </c>
      <c r="O67" s="23">
        <v>856.57</v>
      </c>
      <c r="P67">
        <v>201.41</v>
      </c>
      <c r="Q67" s="12" t="str" cm="1">
        <f t="array" ref="Q67:R67">VLOOKUP(E67,store[],{3,5},FALSE)</f>
        <v>North</v>
      </c>
      <c r="R67" t="str">
        <v>Flagship</v>
      </c>
      <c r="S67" s="4">
        <f t="shared" si="1"/>
        <v>1712.66</v>
      </c>
    </row>
    <row r="68" spans="1:19">
      <c r="A68" t="s">
        <v>325</v>
      </c>
      <c r="B68" s="3">
        <v>45213</v>
      </c>
      <c r="C68" t="s">
        <v>326</v>
      </c>
      <c r="D68" t="s">
        <v>192</v>
      </c>
      <c r="E68" t="s">
        <v>198</v>
      </c>
      <c r="F68">
        <v>4</v>
      </c>
      <c r="G68" t="s">
        <v>23</v>
      </c>
      <c r="H68">
        <v>45</v>
      </c>
      <c r="I68" s="12" t="s">
        <v>34</v>
      </c>
      <c r="J68" s="12" t="s">
        <v>227</v>
      </c>
      <c r="K68" s="12" t="s">
        <v>60</v>
      </c>
      <c r="L68" s="12" t="s">
        <v>194</v>
      </c>
      <c r="M68" s="12" t="s">
        <v>37</v>
      </c>
      <c r="N68" s="14">
        <v>0.18</v>
      </c>
      <c r="O68" s="23">
        <v>814.25</v>
      </c>
      <c r="P68">
        <v>480.9</v>
      </c>
      <c r="Q68" s="12" t="str" cm="1">
        <f t="array" ref="Q68:R68">VLOOKUP(E68,store[],{3,5},FALSE)</f>
        <v>South</v>
      </c>
      <c r="R68" t="str">
        <v>Outlet</v>
      </c>
      <c r="S68" s="4">
        <f t="shared" si="1"/>
        <v>3256.28</v>
      </c>
    </row>
    <row r="69" spans="1:19">
      <c r="A69" t="s">
        <v>327</v>
      </c>
      <c r="B69" s="3">
        <v>45255</v>
      </c>
      <c r="C69" t="s">
        <v>328</v>
      </c>
      <c r="D69" t="s">
        <v>173</v>
      </c>
      <c r="E69" t="s">
        <v>198</v>
      </c>
      <c r="F69">
        <v>1</v>
      </c>
      <c r="G69" t="s">
        <v>33</v>
      </c>
      <c r="H69">
        <v>48</v>
      </c>
      <c r="I69" s="12" t="s">
        <v>24</v>
      </c>
      <c r="J69" s="12" t="s">
        <v>99</v>
      </c>
      <c r="K69" s="12" t="s">
        <v>26</v>
      </c>
      <c r="L69" s="12" t="s">
        <v>174</v>
      </c>
      <c r="M69" s="12" t="s">
        <v>46</v>
      </c>
      <c r="N69" s="14">
        <v>0.2</v>
      </c>
      <c r="O69" s="23">
        <v>989.17</v>
      </c>
      <c r="P69">
        <v>115.82</v>
      </c>
      <c r="Q69" s="12" t="str" cm="1">
        <f t="array" ref="Q69:R69">VLOOKUP(E69,store[],{3,5},FALSE)</f>
        <v>South</v>
      </c>
      <c r="R69" t="str">
        <v>Outlet</v>
      </c>
      <c r="S69" s="4">
        <f t="shared" si="1"/>
        <v>988.97</v>
      </c>
    </row>
    <row r="70" spans="1:19">
      <c r="A70" t="s">
        <v>329</v>
      </c>
      <c r="B70" s="3">
        <v>45270</v>
      </c>
      <c r="C70" t="s">
        <v>330</v>
      </c>
      <c r="D70" t="s">
        <v>155</v>
      </c>
      <c r="E70" t="s">
        <v>168</v>
      </c>
      <c r="F70">
        <v>4</v>
      </c>
      <c r="G70" t="s">
        <v>23</v>
      </c>
      <c r="H70">
        <v>28</v>
      </c>
      <c r="I70" s="12" t="s">
        <v>24</v>
      </c>
      <c r="J70" s="12" t="s">
        <v>308</v>
      </c>
      <c r="K70" s="12" t="s">
        <v>73</v>
      </c>
      <c r="L70" s="12" t="s">
        <v>156</v>
      </c>
      <c r="M70" s="12" t="s">
        <v>28</v>
      </c>
      <c r="N70" s="14">
        <v>0.18</v>
      </c>
      <c r="O70" s="23">
        <v>62.48</v>
      </c>
      <c r="P70">
        <v>477.61</v>
      </c>
      <c r="Q70" s="12" t="str" cm="1">
        <f t="array" ref="Q70:R70">VLOOKUP(E70,store[],{3,5},FALSE)</f>
        <v>East</v>
      </c>
      <c r="R70" t="str">
        <v>Online</v>
      </c>
      <c r="S70" s="4">
        <f t="shared" si="1"/>
        <v>249.2</v>
      </c>
    </row>
    <row r="71" spans="1:19">
      <c r="A71" t="s">
        <v>331</v>
      </c>
      <c r="B71" s="3">
        <v>45897</v>
      </c>
      <c r="C71" t="s">
        <v>332</v>
      </c>
      <c r="D71" t="s">
        <v>197</v>
      </c>
      <c r="E71" t="s">
        <v>117</v>
      </c>
      <c r="F71">
        <v>4</v>
      </c>
      <c r="G71" t="s">
        <v>23</v>
      </c>
      <c r="H71">
        <v>35</v>
      </c>
      <c r="I71" s="12" t="s">
        <v>24</v>
      </c>
      <c r="J71" s="12" t="s">
        <v>333</v>
      </c>
      <c r="K71" s="12" t="s">
        <v>60</v>
      </c>
      <c r="L71" s="12" t="s">
        <v>200</v>
      </c>
      <c r="M71" s="12" t="s">
        <v>37</v>
      </c>
      <c r="N71" s="14">
        <v>0.24</v>
      </c>
      <c r="O71" s="23">
        <v>561.24</v>
      </c>
      <c r="P71">
        <v>242.23</v>
      </c>
      <c r="Q71" s="12" t="str" cm="1">
        <f t="array" ref="Q71:R71">VLOOKUP(E71,store[],{3,5},FALSE)</f>
        <v>West</v>
      </c>
      <c r="R71" t="str">
        <v>Flagship</v>
      </c>
      <c r="S71" s="4">
        <f t="shared" si="1"/>
        <v>2244</v>
      </c>
    </row>
    <row r="72" spans="1:19">
      <c r="A72" t="s">
        <v>334</v>
      </c>
      <c r="B72" s="3">
        <v>45849</v>
      </c>
      <c r="C72" t="s">
        <v>335</v>
      </c>
      <c r="D72" t="s">
        <v>148</v>
      </c>
      <c r="E72" t="s">
        <v>58</v>
      </c>
      <c r="F72">
        <v>3</v>
      </c>
      <c r="G72" t="s">
        <v>50</v>
      </c>
      <c r="H72">
        <v>51</v>
      </c>
      <c r="I72" s="12" t="s">
        <v>24</v>
      </c>
      <c r="J72" s="12" t="s">
        <v>336</v>
      </c>
      <c r="K72" s="12" t="s">
        <v>52</v>
      </c>
      <c r="L72" s="12" t="s">
        <v>150</v>
      </c>
      <c r="M72" s="12" t="s">
        <v>46</v>
      </c>
      <c r="N72" s="14">
        <v>0.28000000000000003</v>
      </c>
      <c r="O72" s="23">
        <v>92.24</v>
      </c>
      <c r="P72">
        <v>482.75</v>
      </c>
      <c r="Q72" s="12" t="str" cm="1">
        <f t="array" ref="Q72:R72">VLOOKUP(E72,store[],{3,5},FALSE)</f>
        <v>North</v>
      </c>
      <c r="R72" t="str">
        <v>Outlet</v>
      </c>
      <c r="S72" s="4">
        <f t="shared" si="1"/>
        <v>275.88</v>
      </c>
    </row>
    <row r="73" spans="1:19">
      <c r="A73" t="s">
        <v>337</v>
      </c>
      <c r="B73" s="3">
        <v>45889</v>
      </c>
      <c r="C73" t="s">
        <v>338</v>
      </c>
      <c r="D73" t="s">
        <v>155</v>
      </c>
      <c r="E73" t="s">
        <v>105</v>
      </c>
      <c r="F73">
        <v>2</v>
      </c>
      <c r="G73" t="s">
        <v>23</v>
      </c>
      <c r="H73">
        <v>36</v>
      </c>
      <c r="I73" s="12" t="s">
        <v>34</v>
      </c>
      <c r="J73" s="12" t="s">
        <v>235</v>
      </c>
      <c r="K73" s="12" t="s">
        <v>52</v>
      </c>
      <c r="L73" s="12" t="s">
        <v>156</v>
      </c>
      <c r="M73" s="12" t="s">
        <v>28</v>
      </c>
      <c r="N73" s="14">
        <v>7.0000000000000007E-2</v>
      </c>
      <c r="O73" s="23">
        <v>668.3</v>
      </c>
      <c r="P73">
        <v>477.61</v>
      </c>
      <c r="Q73" s="12" t="str" cm="1">
        <f t="array" ref="Q73:R73">VLOOKUP(E73,store[],{3,5},FALSE)</f>
        <v>North</v>
      </c>
      <c r="R73" t="str">
        <v>Flagship</v>
      </c>
      <c r="S73" s="4">
        <f t="shared" si="1"/>
        <v>1336.46</v>
      </c>
    </row>
    <row r="74" spans="1:19">
      <c r="A74" t="s">
        <v>339</v>
      </c>
      <c r="B74" s="3">
        <v>45533</v>
      </c>
      <c r="C74" t="s">
        <v>20</v>
      </c>
      <c r="D74" t="s">
        <v>340</v>
      </c>
      <c r="E74" t="s">
        <v>58</v>
      </c>
      <c r="F74">
        <v>1</v>
      </c>
      <c r="G74" t="s">
        <v>23</v>
      </c>
      <c r="H74">
        <v>55</v>
      </c>
      <c r="I74" s="12" t="s">
        <v>24</v>
      </c>
      <c r="J74" s="12" t="s">
        <v>25</v>
      </c>
      <c r="K74" s="12" t="s">
        <v>26</v>
      </c>
      <c r="L74" s="12" t="s">
        <v>341</v>
      </c>
      <c r="M74" s="12" t="s">
        <v>28</v>
      </c>
      <c r="N74" s="14">
        <v>0.09</v>
      </c>
      <c r="O74" s="23">
        <v>553.82000000000005</v>
      </c>
      <c r="P74">
        <v>135.61000000000001</v>
      </c>
      <c r="Q74" s="12" t="str" cm="1">
        <f t="array" ref="Q74:R74">VLOOKUP(E74,store[],{3,5},FALSE)</f>
        <v>North</v>
      </c>
      <c r="R74" t="str">
        <v>Outlet</v>
      </c>
      <c r="S74" s="4">
        <f t="shared" si="1"/>
        <v>553.73</v>
      </c>
    </row>
    <row r="75" spans="1:19">
      <c r="A75" t="s">
        <v>342</v>
      </c>
      <c r="B75" s="3">
        <v>45626</v>
      </c>
      <c r="C75" t="s">
        <v>343</v>
      </c>
      <c r="D75" t="s">
        <v>344</v>
      </c>
      <c r="E75" t="s">
        <v>272</v>
      </c>
      <c r="F75">
        <v>2</v>
      </c>
      <c r="G75" t="s">
        <v>23</v>
      </c>
      <c r="H75">
        <v>27</v>
      </c>
      <c r="I75" s="12" t="s">
        <v>34</v>
      </c>
      <c r="J75" s="12" t="s">
        <v>345</v>
      </c>
      <c r="K75" s="12" t="s">
        <v>346</v>
      </c>
      <c r="L75" s="12" t="s">
        <v>347</v>
      </c>
      <c r="M75" s="12" t="s">
        <v>28</v>
      </c>
      <c r="N75" s="14">
        <v>0.13</v>
      </c>
      <c r="O75" s="23">
        <v>556.42999999999995</v>
      </c>
      <c r="P75">
        <v>318.91000000000003</v>
      </c>
      <c r="Q75" s="12" t="str" cm="1">
        <f t="array" ref="Q75:R75">VLOOKUP(E75,store[],{3,5},FALSE)</f>
        <v>South</v>
      </c>
      <c r="R75" t="str">
        <v>Online</v>
      </c>
      <c r="S75" s="4">
        <f t="shared" si="1"/>
        <v>1112.5999999999999</v>
      </c>
    </row>
    <row r="76" spans="1:19">
      <c r="A76" t="s">
        <v>348</v>
      </c>
      <c r="B76" s="3">
        <v>45942</v>
      </c>
      <c r="C76" t="s">
        <v>349</v>
      </c>
      <c r="D76" t="s">
        <v>291</v>
      </c>
      <c r="E76" t="s">
        <v>43</v>
      </c>
      <c r="F76">
        <v>1</v>
      </c>
      <c r="G76" t="s">
        <v>50</v>
      </c>
      <c r="H76">
        <v>23</v>
      </c>
      <c r="I76" s="12" t="s">
        <v>24</v>
      </c>
      <c r="J76" s="12" t="s">
        <v>231</v>
      </c>
      <c r="K76" s="12" t="s">
        <v>73</v>
      </c>
      <c r="L76" s="12" t="s">
        <v>292</v>
      </c>
      <c r="M76" s="12" t="s">
        <v>28</v>
      </c>
      <c r="N76" s="14">
        <v>0.1</v>
      </c>
      <c r="O76" s="23">
        <v>184.98</v>
      </c>
      <c r="P76">
        <v>131.51</v>
      </c>
      <c r="Q76" s="12" t="str" cm="1">
        <f t="array" ref="Q76:R76">VLOOKUP(E76,store[],{3,5},FALSE)</f>
        <v>West</v>
      </c>
      <c r="R76" t="str">
        <v>Online</v>
      </c>
      <c r="S76" s="4">
        <f t="shared" si="1"/>
        <v>184.88</v>
      </c>
    </row>
    <row r="77" spans="1:19">
      <c r="A77" t="s">
        <v>350</v>
      </c>
      <c r="B77" s="3">
        <v>45500</v>
      </c>
      <c r="C77" t="s">
        <v>351</v>
      </c>
      <c r="D77" t="s">
        <v>21</v>
      </c>
      <c r="E77" t="s">
        <v>208</v>
      </c>
      <c r="F77">
        <v>4</v>
      </c>
      <c r="G77" t="s">
        <v>23</v>
      </c>
      <c r="H77">
        <v>52</v>
      </c>
      <c r="I77" s="12" t="s">
        <v>24</v>
      </c>
      <c r="J77" s="12" t="s">
        <v>188</v>
      </c>
      <c r="K77" s="12" t="s">
        <v>60</v>
      </c>
      <c r="L77" s="12" t="s">
        <v>27</v>
      </c>
      <c r="M77" s="12" t="s">
        <v>28</v>
      </c>
      <c r="N77" s="14">
        <v>0.23</v>
      </c>
      <c r="O77" s="23">
        <v>700.18</v>
      </c>
      <c r="P77">
        <v>245.98</v>
      </c>
      <c r="Q77" s="12" t="str" cm="1">
        <f t="array" ref="Q77:R77">VLOOKUP(E77,store[],{3,5},FALSE)</f>
        <v>North</v>
      </c>
      <c r="R77" t="str">
        <v>Online</v>
      </c>
      <c r="S77" s="4">
        <f t="shared" si="1"/>
        <v>2799.8</v>
      </c>
    </row>
    <row r="78" spans="1:19">
      <c r="A78" t="s">
        <v>352</v>
      </c>
      <c r="B78" s="3">
        <v>45285</v>
      </c>
      <c r="C78" t="s">
        <v>353</v>
      </c>
      <c r="D78" t="s">
        <v>49</v>
      </c>
      <c r="E78" t="s">
        <v>168</v>
      </c>
      <c r="F78">
        <v>2</v>
      </c>
      <c r="G78" t="s">
        <v>23</v>
      </c>
      <c r="H78">
        <v>46</v>
      </c>
      <c r="I78" s="12" t="s">
        <v>34</v>
      </c>
      <c r="J78" s="12" t="s">
        <v>204</v>
      </c>
      <c r="K78" s="12" t="s">
        <v>52</v>
      </c>
      <c r="L78" s="12" t="s">
        <v>53</v>
      </c>
      <c r="M78" s="12" t="s">
        <v>37</v>
      </c>
      <c r="N78" s="14">
        <v>0.25</v>
      </c>
      <c r="O78" s="23">
        <v>686.31</v>
      </c>
      <c r="P78">
        <v>392.89</v>
      </c>
      <c r="Q78" s="12" t="str" cm="1">
        <f t="array" ref="Q78:R78">VLOOKUP(E78,store[],{3,5},FALSE)</f>
        <v>East</v>
      </c>
      <c r="R78" t="str">
        <v>Online</v>
      </c>
      <c r="S78" s="4">
        <f t="shared" si="1"/>
        <v>1372.12</v>
      </c>
    </row>
    <row r="79" spans="1:19">
      <c r="A79" t="s">
        <v>354</v>
      </c>
      <c r="B79" s="3">
        <v>45800</v>
      </c>
      <c r="C79" t="s">
        <v>355</v>
      </c>
      <c r="D79" t="s">
        <v>178</v>
      </c>
      <c r="E79" t="s">
        <v>122</v>
      </c>
      <c r="F79">
        <v>1</v>
      </c>
      <c r="G79" t="s">
        <v>50</v>
      </c>
      <c r="H79">
        <v>29</v>
      </c>
      <c r="I79" s="12" t="s">
        <v>34</v>
      </c>
      <c r="J79" s="12" t="s">
        <v>356</v>
      </c>
      <c r="K79" s="12" t="s">
        <v>73</v>
      </c>
      <c r="L79" s="12" t="s">
        <v>180</v>
      </c>
      <c r="M79" s="12" t="s">
        <v>37</v>
      </c>
      <c r="N79" s="14">
        <v>0.27</v>
      </c>
      <c r="O79" s="23">
        <v>687.82</v>
      </c>
      <c r="P79">
        <v>349.17</v>
      </c>
      <c r="Q79" s="12" t="str" cm="1">
        <f t="array" ref="Q79:R79">VLOOKUP(E79,store[],{3,5},FALSE)</f>
        <v>North</v>
      </c>
      <c r="R79" t="str">
        <v>Flagship</v>
      </c>
      <c r="S79" s="4">
        <f t="shared" si="1"/>
        <v>687.55</v>
      </c>
    </row>
    <row r="80" spans="1:19">
      <c r="A80" t="s">
        <v>357</v>
      </c>
      <c r="B80" s="3">
        <v>45609</v>
      </c>
      <c r="C80" t="s">
        <v>358</v>
      </c>
      <c r="D80" t="s">
        <v>359</v>
      </c>
      <c r="E80" t="s">
        <v>43</v>
      </c>
      <c r="F80">
        <v>2</v>
      </c>
      <c r="G80" t="s">
        <v>23</v>
      </c>
      <c r="H80">
        <v>38</v>
      </c>
      <c r="I80" s="12" t="s">
        <v>24</v>
      </c>
      <c r="J80" s="12" t="s">
        <v>360</v>
      </c>
      <c r="K80" s="12" t="s">
        <v>52</v>
      </c>
      <c r="L80" s="12" t="s">
        <v>361</v>
      </c>
      <c r="M80" s="12" t="s">
        <v>46</v>
      </c>
      <c r="N80" s="14">
        <v>0.16</v>
      </c>
      <c r="O80" s="23">
        <v>900.55</v>
      </c>
      <c r="P80">
        <v>289.359375</v>
      </c>
      <c r="Q80" s="12" t="str" cm="1">
        <f t="array" ref="Q80:R80">VLOOKUP(E80,store[],{3,5},FALSE)</f>
        <v>West</v>
      </c>
      <c r="R80" t="str">
        <v>Online</v>
      </c>
      <c r="S80" s="4">
        <f t="shared" si="1"/>
        <v>1800.78</v>
      </c>
    </row>
    <row r="81" spans="1:19">
      <c r="A81" t="s">
        <v>362</v>
      </c>
      <c r="B81" s="3">
        <v>45268</v>
      </c>
      <c r="C81" t="s">
        <v>363</v>
      </c>
      <c r="D81" t="s">
        <v>279</v>
      </c>
      <c r="E81" t="s">
        <v>198</v>
      </c>
      <c r="F81">
        <v>1</v>
      </c>
      <c r="G81" t="s">
        <v>23</v>
      </c>
      <c r="H81">
        <v>53</v>
      </c>
      <c r="I81" s="12" t="s">
        <v>34</v>
      </c>
      <c r="J81" s="12" t="s">
        <v>188</v>
      </c>
      <c r="K81" s="12" t="s">
        <v>52</v>
      </c>
      <c r="L81" s="12" t="s">
        <v>280</v>
      </c>
      <c r="M81" s="12" t="s">
        <v>75</v>
      </c>
      <c r="N81" s="14">
        <v>0.15</v>
      </c>
      <c r="O81" s="23">
        <v>341.17</v>
      </c>
      <c r="P81">
        <v>123.46</v>
      </c>
      <c r="Q81" s="12" t="str" cm="1">
        <f t="array" ref="Q81:R81">VLOOKUP(E81,store[],{3,5},FALSE)</f>
        <v>South</v>
      </c>
      <c r="R81" t="str">
        <v>Outlet</v>
      </c>
      <c r="S81" s="4">
        <f t="shared" si="1"/>
        <v>341.02</v>
      </c>
    </row>
    <row r="82" spans="1:19">
      <c r="A82" t="s">
        <v>364</v>
      </c>
      <c r="B82" s="3">
        <v>45885</v>
      </c>
      <c r="C82" t="s">
        <v>365</v>
      </c>
      <c r="D82" t="s">
        <v>282</v>
      </c>
      <c r="E82" t="s">
        <v>43</v>
      </c>
      <c r="F82">
        <v>1</v>
      </c>
      <c r="G82" t="s">
        <v>50</v>
      </c>
      <c r="H82">
        <v>48</v>
      </c>
      <c r="I82" s="12" t="s">
        <v>24</v>
      </c>
      <c r="J82" s="12" t="s">
        <v>35</v>
      </c>
      <c r="K82" s="12" t="s">
        <v>60</v>
      </c>
      <c r="L82" s="12" t="s">
        <v>283</v>
      </c>
      <c r="M82" s="12" t="s">
        <v>28</v>
      </c>
      <c r="N82" s="14">
        <v>0.06</v>
      </c>
      <c r="O82" s="23">
        <v>442.27</v>
      </c>
      <c r="P82">
        <v>212.26</v>
      </c>
      <c r="Q82" s="12" t="str" cm="1">
        <f t="array" ref="Q82:R82">VLOOKUP(E82,store[],{3,5},FALSE)</f>
        <v>West</v>
      </c>
      <c r="R82" t="str">
        <v>Online</v>
      </c>
      <c r="S82" s="4">
        <f t="shared" si="1"/>
        <v>442.21</v>
      </c>
    </row>
    <row r="83" spans="1:19">
      <c r="A83" t="s">
        <v>366</v>
      </c>
      <c r="B83" s="3">
        <v>45616</v>
      </c>
      <c r="C83" t="s">
        <v>367</v>
      </c>
      <c r="D83" t="s">
        <v>368</v>
      </c>
      <c r="E83" t="s">
        <v>127</v>
      </c>
      <c r="F83">
        <v>1</v>
      </c>
      <c r="G83" t="s">
        <v>33</v>
      </c>
      <c r="H83">
        <v>32</v>
      </c>
      <c r="I83" s="12" t="s">
        <v>24</v>
      </c>
      <c r="J83" s="12" t="s">
        <v>199</v>
      </c>
      <c r="K83" s="12" t="s">
        <v>73</v>
      </c>
      <c r="L83" s="12" t="s">
        <v>369</v>
      </c>
      <c r="M83" s="12" t="s">
        <v>46</v>
      </c>
      <c r="N83" s="14">
        <v>0.25</v>
      </c>
      <c r="O83" s="23">
        <v>363.73</v>
      </c>
      <c r="P83">
        <v>214.32</v>
      </c>
      <c r="Q83" s="12" t="str" cm="1">
        <f t="array" ref="Q83:R83">VLOOKUP(E83,store[],{3,5},FALSE)</f>
        <v>South</v>
      </c>
      <c r="R83" t="str">
        <v>Flagship</v>
      </c>
      <c r="S83" s="4">
        <f t="shared" si="1"/>
        <v>363.48</v>
      </c>
    </row>
    <row r="84" spans="1:19">
      <c r="A84" t="s">
        <v>370</v>
      </c>
      <c r="B84" s="3">
        <v>45518</v>
      </c>
      <c r="C84" t="s">
        <v>371</v>
      </c>
      <c r="D84" t="s">
        <v>372</v>
      </c>
      <c r="E84" t="s">
        <v>32</v>
      </c>
      <c r="F84">
        <v>2</v>
      </c>
      <c r="G84" t="s">
        <v>33</v>
      </c>
      <c r="H84">
        <v>44</v>
      </c>
      <c r="I84" s="12" t="s">
        <v>34</v>
      </c>
      <c r="J84" s="12" t="s">
        <v>373</v>
      </c>
      <c r="K84" s="12" t="s">
        <v>73</v>
      </c>
      <c r="L84" s="12" t="s">
        <v>374</v>
      </c>
      <c r="M84" s="12" t="s">
        <v>130</v>
      </c>
      <c r="N84" s="14">
        <v>0.16</v>
      </c>
      <c r="O84" s="23">
        <v>601.33000000000004</v>
      </c>
      <c r="P84">
        <v>438.25</v>
      </c>
      <c r="Q84" s="12" t="str" cm="1">
        <f t="array" ref="Q84:R84">VLOOKUP(E84,store[],{3,5},FALSE)</f>
        <v>North</v>
      </c>
      <c r="R84" t="str">
        <v>Flagship</v>
      </c>
      <c r="S84" s="4">
        <f t="shared" si="1"/>
        <v>1202.3399999999999</v>
      </c>
    </row>
    <row r="85" spans="1:19">
      <c r="A85" t="s">
        <v>375</v>
      </c>
      <c r="B85" s="3">
        <v>45427</v>
      </c>
      <c r="C85" t="s">
        <v>376</v>
      </c>
      <c r="D85" t="s">
        <v>377</v>
      </c>
      <c r="E85" t="s">
        <v>160</v>
      </c>
      <c r="F85">
        <v>4</v>
      </c>
      <c r="G85" t="s">
        <v>33</v>
      </c>
      <c r="H85">
        <v>34</v>
      </c>
      <c r="I85" s="12" t="s">
        <v>24</v>
      </c>
      <c r="J85" s="12" t="s">
        <v>378</v>
      </c>
      <c r="K85" s="12" t="s">
        <v>73</v>
      </c>
      <c r="L85" s="12" t="s">
        <v>379</v>
      </c>
      <c r="M85" s="12" t="s">
        <v>28</v>
      </c>
      <c r="N85" s="14">
        <v>0.03</v>
      </c>
      <c r="O85" s="23">
        <v>34.39</v>
      </c>
      <c r="P85">
        <v>144.53</v>
      </c>
      <c r="Q85" s="12" t="str" cm="1">
        <f t="array" ref="Q85:R85">VLOOKUP(E85,store[],{3,5},FALSE)</f>
        <v>East</v>
      </c>
      <c r="R85" t="str">
        <v>Flagship</v>
      </c>
      <c r="S85" s="4">
        <f t="shared" si="1"/>
        <v>137.44</v>
      </c>
    </row>
    <row r="86" spans="1:19">
      <c r="A86" t="s">
        <v>380</v>
      </c>
      <c r="B86" s="3">
        <v>45268</v>
      </c>
      <c r="C86" t="s">
        <v>332</v>
      </c>
      <c r="D86" t="s">
        <v>381</v>
      </c>
      <c r="E86" t="s">
        <v>32</v>
      </c>
      <c r="F86">
        <v>1</v>
      </c>
      <c r="G86" t="s">
        <v>50</v>
      </c>
      <c r="H86">
        <v>35</v>
      </c>
      <c r="I86" s="12" t="s">
        <v>24</v>
      </c>
      <c r="J86" s="12" t="s">
        <v>333</v>
      </c>
      <c r="K86" s="12" t="s">
        <v>60</v>
      </c>
      <c r="L86" s="12" t="s">
        <v>382</v>
      </c>
      <c r="M86" s="12" t="s">
        <v>130</v>
      </c>
      <c r="N86" s="14">
        <v>0.05</v>
      </c>
      <c r="O86" s="23">
        <v>773.57</v>
      </c>
      <c r="P86">
        <v>167.34</v>
      </c>
      <c r="Q86" s="12" t="str" cm="1">
        <f t="array" ref="Q86:R86">VLOOKUP(E86,store[],{3,5},FALSE)</f>
        <v>North</v>
      </c>
      <c r="R86" t="str">
        <v>Flagship</v>
      </c>
      <c r="S86" s="4">
        <f t="shared" si="1"/>
        <v>773.52</v>
      </c>
    </row>
    <row r="87" spans="1:19">
      <c r="A87" t="s">
        <v>383</v>
      </c>
      <c r="B87" s="3">
        <v>45282</v>
      </c>
      <c r="C87" t="s">
        <v>384</v>
      </c>
      <c r="D87" t="s">
        <v>110</v>
      </c>
      <c r="E87" t="s">
        <v>66</v>
      </c>
      <c r="F87">
        <v>4</v>
      </c>
      <c r="G87" t="s">
        <v>50</v>
      </c>
      <c r="H87">
        <v>24</v>
      </c>
      <c r="I87" s="12" t="s">
        <v>24</v>
      </c>
      <c r="J87" s="12" t="s">
        <v>169</v>
      </c>
      <c r="K87" s="12" t="s">
        <v>52</v>
      </c>
      <c r="L87" s="12" t="s">
        <v>112</v>
      </c>
      <c r="M87" s="12" t="s">
        <v>28</v>
      </c>
      <c r="N87" s="14">
        <v>0.24</v>
      </c>
      <c r="O87" s="23">
        <v>127.1</v>
      </c>
      <c r="P87">
        <v>131.24</v>
      </c>
      <c r="Q87" s="12" t="str" cm="1">
        <f t="array" ref="Q87:R87">VLOOKUP(E87,store[],{3,5},FALSE)</f>
        <v>South</v>
      </c>
      <c r="R87" t="str">
        <v>Online</v>
      </c>
      <c r="S87" s="4">
        <f t="shared" si="1"/>
        <v>507.44</v>
      </c>
    </row>
    <row r="88" spans="1:19">
      <c r="A88" t="s">
        <v>385</v>
      </c>
      <c r="B88" s="3">
        <v>45545</v>
      </c>
      <c r="C88" t="s">
        <v>386</v>
      </c>
      <c r="D88" t="s">
        <v>291</v>
      </c>
      <c r="E88" t="s">
        <v>22</v>
      </c>
      <c r="F88">
        <v>3</v>
      </c>
      <c r="G88" t="s">
        <v>33</v>
      </c>
      <c r="H88">
        <v>23</v>
      </c>
      <c r="I88" s="12" t="s">
        <v>34</v>
      </c>
      <c r="J88" s="12" t="s">
        <v>373</v>
      </c>
      <c r="K88" s="12" t="s">
        <v>52</v>
      </c>
      <c r="L88" s="12" t="s">
        <v>292</v>
      </c>
      <c r="M88" s="12" t="s">
        <v>28</v>
      </c>
      <c r="N88" s="14">
        <v>0.28000000000000003</v>
      </c>
      <c r="O88" s="23">
        <v>899.58</v>
      </c>
      <c r="P88">
        <v>131.51</v>
      </c>
      <c r="Q88" s="12" t="str" cm="1">
        <f t="array" ref="Q88:R88">VLOOKUP(E88,store[],{3,5},FALSE)</f>
        <v>North</v>
      </c>
      <c r="R88" t="str">
        <v>Outlet</v>
      </c>
      <c r="S88" s="4">
        <f t="shared" si="1"/>
        <v>2697.9</v>
      </c>
    </row>
    <row r="89" spans="1:19">
      <c r="A89" t="s">
        <v>387</v>
      </c>
      <c r="B89" s="3">
        <v>45755</v>
      </c>
      <c r="C89" t="s">
        <v>388</v>
      </c>
      <c r="D89" t="s">
        <v>389</v>
      </c>
      <c r="E89" t="s">
        <v>168</v>
      </c>
      <c r="F89">
        <v>3</v>
      </c>
      <c r="G89" t="s">
        <v>23</v>
      </c>
      <c r="H89">
        <v>62</v>
      </c>
      <c r="I89" s="12" t="s">
        <v>34</v>
      </c>
      <c r="J89" s="12" t="s">
        <v>161</v>
      </c>
      <c r="K89" s="12" t="s">
        <v>73</v>
      </c>
      <c r="L89" s="12" t="s">
        <v>390</v>
      </c>
      <c r="M89" s="12" t="s">
        <v>130</v>
      </c>
      <c r="N89" s="14">
        <v>0.04</v>
      </c>
      <c r="O89" s="23">
        <v>964.39</v>
      </c>
      <c r="P89">
        <v>342.56</v>
      </c>
      <c r="Q89" s="12" t="str" cm="1">
        <f t="array" ref="Q89:R89">VLOOKUP(E89,store[],{3,5},FALSE)</f>
        <v>East</v>
      </c>
      <c r="R89" t="str">
        <v>Online</v>
      </c>
      <c r="S89" s="4">
        <f t="shared" si="1"/>
        <v>2893.05</v>
      </c>
    </row>
    <row r="90" spans="1:19">
      <c r="A90" t="s">
        <v>391</v>
      </c>
      <c r="B90" s="3">
        <v>45588</v>
      </c>
      <c r="C90" t="s">
        <v>392</v>
      </c>
      <c r="D90" t="s">
        <v>340</v>
      </c>
      <c r="E90" t="s">
        <v>90</v>
      </c>
      <c r="F90">
        <v>2</v>
      </c>
      <c r="G90" t="s">
        <v>33</v>
      </c>
      <c r="H90">
        <v>18</v>
      </c>
      <c r="I90" s="12" t="s">
        <v>24</v>
      </c>
      <c r="J90" s="12" t="s">
        <v>161</v>
      </c>
      <c r="K90" s="12" t="s">
        <v>52</v>
      </c>
      <c r="L90" s="12" t="s">
        <v>341</v>
      </c>
      <c r="M90" s="12" t="s">
        <v>28</v>
      </c>
      <c r="N90" s="14">
        <v>0.14000000000000001</v>
      </c>
      <c r="O90" s="23">
        <v>217.83</v>
      </c>
      <c r="P90">
        <v>135.61000000000001</v>
      </c>
      <c r="Q90" s="12" t="str" cm="1">
        <f t="array" ref="Q90:R90">VLOOKUP(E90,store[],{3,5},FALSE)</f>
        <v>East</v>
      </c>
      <c r="R90" t="str">
        <v>Flagship</v>
      </c>
      <c r="S90" s="4">
        <f t="shared" si="1"/>
        <v>435.38</v>
      </c>
    </row>
    <row r="91" spans="1:19">
      <c r="A91" t="s">
        <v>393</v>
      </c>
      <c r="B91" s="3">
        <v>45848</v>
      </c>
      <c r="C91" t="s">
        <v>394</v>
      </c>
      <c r="D91" t="s">
        <v>377</v>
      </c>
      <c r="E91" t="s">
        <v>105</v>
      </c>
      <c r="F91">
        <v>4</v>
      </c>
      <c r="G91" t="s">
        <v>50</v>
      </c>
      <c r="H91">
        <v>46</v>
      </c>
      <c r="I91" s="12" t="s">
        <v>24</v>
      </c>
      <c r="J91" s="12" t="s">
        <v>59</v>
      </c>
      <c r="K91" s="12" t="s">
        <v>73</v>
      </c>
      <c r="L91" s="12" t="s">
        <v>379</v>
      </c>
      <c r="M91" s="12" t="s">
        <v>28</v>
      </c>
      <c r="N91" s="14">
        <v>0.06</v>
      </c>
      <c r="O91" s="23">
        <v>187.71</v>
      </c>
      <c r="P91">
        <v>144.53</v>
      </c>
      <c r="Q91" s="12" t="str" cm="1">
        <f t="array" ref="Q91:R91">VLOOKUP(E91,store[],{3,5},FALSE)</f>
        <v>North</v>
      </c>
      <c r="R91" t="str">
        <v>Flagship</v>
      </c>
      <c r="S91" s="4">
        <f t="shared" si="1"/>
        <v>750.6</v>
      </c>
    </row>
    <row r="92" spans="1:19">
      <c r="A92" t="s">
        <v>395</v>
      </c>
      <c r="B92" s="3">
        <v>45577</v>
      </c>
      <c r="C92" t="s">
        <v>396</v>
      </c>
      <c r="D92" t="s">
        <v>89</v>
      </c>
      <c r="E92" t="s">
        <v>160</v>
      </c>
      <c r="F92">
        <v>2</v>
      </c>
      <c r="G92" t="s">
        <v>50</v>
      </c>
      <c r="H92">
        <v>53</v>
      </c>
      <c r="I92" s="12" t="s">
        <v>24</v>
      </c>
      <c r="J92" s="12" t="s">
        <v>44</v>
      </c>
      <c r="K92" s="12" t="s">
        <v>73</v>
      </c>
      <c r="L92" s="12" t="s">
        <v>92</v>
      </c>
      <c r="M92" s="12" t="s">
        <v>75</v>
      </c>
      <c r="N92" s="14">
        <v>0.12</v>
      </c>
      <c r="O92" s="23">
        <v>350.12</v>
      </c>
      <c r="P92">
        <v>179.77</v>
      </c>
      <c r="Q92" s="12" t="str" cm="1">
        <f t="array" ref="Q92:R92">VLOOKUP(E92,store[],{3,5},FALSE)</f>
        <v>East</v>
      </c>
      <c r="R92" t="str">
        <v>Flagship</v>
      </c>
      <c r="S92" s="4">
        <f t="shared" si="1"/>
        <v>700</v>
      </c>
    </row>
    <row r="93" spans="1:19">
      <c r="A93" t="s">
        <v>397</v>
      </c>
      <c r="B93" s="3">
        <v>45312</v>
      </c>
      <c r="C93" t="s">
        <v>398</v>
      </c>
      <c r="D93" t="s">
        <v>226</v>
      </c>
      <c r="E93" t="s">
        <v>105</v>
      </c>
      <c r="F93">
        <v>4</v>
      </c>
      <c r="G93" t="s">
        <v>33</v>
      </c>
      <c r="H93">
        <v>23</v>
      </c>
      <c r="I93" s="12" t="s">
        <v>34</v>
      </c>
      <c r="J93" s="12" t="s">
        <v>199</v>
      </c>
      <c r="K93" s="12" t="s">
        <v>26</v>
      </c>
      <c r="L93" s="12" t="s">
        <v>228</v>
      </c>
      <c r="M93" s="12" t="s">
        <v>46</v>
      </c>
      <c r="N93" s="14">
        <v>0.17</v>
      </c>
      <c r="O93" s="23">
        <v>102.19</v>
      </c>
      <c r="P93">
        <v>337.42</v>
      </c>
      <c r="Q93" s="12" t="str" cm="1">
        <f t="array" ref="Q93:R93">VLOOKUP(E93,store[],{3,5},FALSE)</f>
        <v>North</v>
      </c>
      <c r="R93" t="str">
        <v>Flagship</v>
      </c>
      <c r="S93" s="4">
        <f t="shared" si="1"/>
        <v>408.08</v>
      </c>
    </row>
    <row r="94" spans="1:19">
      <c r="A94" t="s">
        <v>399</v>
      </c>
      <c r="B94" s="3">
        <v>45350</v>
      </c>
      <c r="C94" t="s">
        <v>355</v>
      </c>
      <c r="D94" t="s">
        <v>400</v>
      </c>
      <c r="E94" t="s">
        <v>72</v>
      </c>
      <c r="F94">
        <v>1</v>
      </c>
      <c r="G94" t="s">
        <v>23</v>
      </c>
      <c r="H94">
        <v>29</v>
      </c>
      <c r="I94" s="12" t="s">
        <v>34</v>
      </c>
      <c r="J94" s="12" t="s">
        <v>356</v>
      </c>
      <c r="K94" s="12" t="s">
        <v>73</v>
      </c>
      <c r="L94" s="12" t="s">
        <v>401</v>
      </c>
      <c r="M94" s="12" t="s">
        <v>75</v>
      </c>
      <c r="N94" s="14">
        <v>0.17</v>
      </c>
      <c r="O94" s="23">
        <v>696.53</v>
      </c>
      <c r="P94">
        <v>176.07</v>
      </c>
      <c r="Q94" s="12" t="str" cm="1">
        <f t="array" ref="Q94:R94">VLOOKUP(E94,store[],{3,5},FALSE)</f>
        <v>South</v>
      </c>
      <c r="R94" t="str">
        <v>Online</v>
      </c>
      <c r="S94" s="4">
        <f t="shared" si="1"/>
        <v>696.36</v>
      </c>
    </row>
    <row r="95" spans="1:19">
      <c r="A95" t="s">
        <v>402</v>
      </c>
      <c r="B95" s="3">
        <v>45657</v>
      </c>
      <c r="C95" t="s">
        <v>96</v>
      </c>
      <c r="D95" t="s">
        <v>314</v>
      </c>
      <c r="E95" t="s">
        <v>72</v>
      </c>
      <c r="F95">
        <v>2</v>
      </c>
      <c r="G95" t="s">
        <v>33</v>
      </c>
      <c r="H95">
        <v>21</v>
      </c>
      <c r="I95" s="12" t="s">
        <v>34</v>
      </c>
      <c r="J95" s="12" t="s">
        <v>99</v>
      </c>
      <c r="K95" s="12" t="s">
        <v>60</v>
      </c>
      <c r="L95" s="12" t="s">
        <v>315</v>
      </c>
      <c r="M95" s="12" t="s">
        <v>28</v>
      </c>
      <c r="N95" s="14">
        <v>0.15</v>
      </c>
      <c r="O95" s="23">
        <v>327.52</v>
      </c>
      <c r="P95">
        <v>21.34</v>
      </c>
      <c r="Q95" s="12" t="str" cm="1">
        <f t="array" ref="Q95:R95">VLOOKUP(E95,store[],{3,5},FALSE)</f>
        <v>South</v>
      </c>
      <c r="R95" t="str">
        <v>Online</v>
      </c>
      <c r="S95" s="4">
        <f t="shared" si="1"/>
        <v>654.74</v>
      </c>
    </row>
    <row r="96" spans="1:19">
      <c r="A96" t="s">
        <v>403</v>
      </c>
      <c r="B96" s="3">
        <v>45530</v>
      </c>
      <c r="C96" t="s">
        <v>404</v>
      </c>
      <c r="D96" t="s">
        <v>21</v>
      </c>
      <c r="E96" t="s">
        <v>135</v>
      </c>
      <c r="F96">
        <v>2</v>
      </c>
      <c r="G96" t="s">
        <v>33</v>
      </c>
      <c r="H96">
        <v>64</v>
      </c>
      <c r="I96" s="12" t="s">
        <v>24</v>
      </c>
      <c r="J96" s="12" t="s">
        <v>193</v>
      </c>
      <c r="K96" s="12" t="s">
        <v>52</v>
      </c>
      <c r="L96" s="12" t="s">
        <v>27</v>
      </c>
      <c r="M96" s="12" t="s">
        <v>28</v>
      </c>
      <c r="N96" s="14">
        <v>0.01</v>
      </c>
      <c r="O96" s="23">
        <v>569.36</v>
      </c>
      <c r="P96">
        <v>245.98</v>
      </c>
      <c r="Q96" s="12" t="str" cm="1">
        <f t="array" ref="Q96:R96">VLOOKUP(E96,store[],{3,5},FALSE)</f>
        <v>East</v>
      </c>
      <c r="R96" t="str">
        <v>Online</v>
      </c>
      <c r="S96" s="4">
        <f t="shared" si="1"/>
        <v>1138.7</v>
      </c>
    </row>
    <row r="97" spans="1:19">
      <c r="A97" t="s">
        <v>405</v>
      </c>
      <c r="B97" s="3">
        <v>45556</v>
      </c>
      <c r="C97" t="s">
        <v>406</v>
      </c>
      <c r="D97" t="s">
        <v>85</v>
      </c>
      <c r="E97" t="s">
        <v>179</v>
      </c>
      <c r="F97">
        <v>2</v>
      </c>
      <c r="G97" t="s">
        <v>50</v>
      </c>
      <c r="H97">
        <v>21</v>
      </c>
      <c r="I97" s="12" t="s">
        <v>34</v>
      </c>
      <c r="J97" s="12" t="s">
        <v>51</v>
      </c>
      <c r="K97" s="12" t="s">
        <v>73</v>
      </c>
      <c r="L97" s="12" t="s">
        <v>86</v>
      </c>
      <c r="M97" s="12" t="s">
        <v>75</v>
      </c>
      <c r="N97" s="14">
        <v>0.14000000000000001</v>
      </c>
      <c r="O97" s="23">
        <v>68.290000000000006</v>
      </c>
      <c r="P97">
        <v>201.41</v>
      </c>
      <c r="Q97" s="12" t="str" cm="1">
        <f t="array" ref="Q97:R97">VLOOKUP(E97,store[],{3,5},FALSE)</f>
        <v>East</v>
      </c>
      <c r="R97" t="str">
        <v>Online</v>
      </c>
      <c r="S97" s="4">
        <f t="shared" si="1"/>
        <v>136.30000000000001</v>
      </c>
    </row>
    <row r="98" spans="1:19">
      <c r="A98" t="s">
        <v>407</v>
      </c>
      <c r="B98" s="3">
        <v>45523</v>
      </c>
      <c r="C98" t="s">
        <v>408</v>
      </c>
      <c r="D98" t="s">
        <v>409</v>
      </c>
      <c r="E98" t="s">
        <v>168</v>
      </c>
      <c r="F98">
        <v>1</v>
      </c>
      <c r="G98" t="s">
        <v>50</v>
      </c>
      <c r="H98">
        <v>19</v>
      </c>
      <c r="I98" s="12" t="s">
        <v>24</v>
      </c>
      <c r="J98" s="12" t="s">
        <v>410</v>
      </c>
      <c r="K98" s="12" t="s">
        <v>73</v>
      </c>
      <c r="L98" s="12" t="s">
        <v>411</v>
      </c>
      <c r="M98" s="12" t="s">
        <v>28</v>
      </c>
      <c r="N98" s="14">
        <v>0.06</v>
      </c>
      <c r="O98" s="23">
        <v>842.9</v>
      </c>
      <c r="P98">
        <v>190.29</v>
      </c>
      <c r="Q98" s="12" t="str" cm="1">
        <f t="array" ref="Q98:R98">VLOOKUP(E98,store[],{3,5},FALSE)</f>
        <v>East</v>
      </c>
      <c r="R98" t="str">
        <v>Online</v>
      </c>
      <c r="S98" s="4">
        <f t="shared" si="1"/>
        <v>842.84</v>
      </c>
    </row>
    <row r="99" spans="1:19">
      <c r="A99" t="s">
        <v>412</v>
      </c>
      <c r="B99" s="3">
        <v>45587</v>
      </c>
      <c r="C99" t="s">
        <v>413</v>
      </c>
      <c r="D99" t="s">
        <v>414</v>
      </c>
      <c r="E99" t="s">
        <v>22</v>
      </c>
      <c r="F99">
        <v>3</v>
      </c>
      <c r="G99" t="s">
        <v>33</v>
      </c>
      <c r="H99">
        <v>22</v>
      </c>
      <c r="I99" s="12" t="s">
        <v>34</v>
      </c>
      <c r="J99" s="12" t="s">
        <v>35</v>
      </c>
      <c r="K99" s="12" t="s">
        <v>26</v>
      </c>
      <c r="L99" s="12" t="s">
        <v>415</v>
      </c>
      <c r="M99" s="12" t="s">
        <v>130</v>
      </c>
      <c r="N99" s="14">
        <v>0.26</v>
      </c>
      <c r="O99" s="23">
        <v>751.94</v>
      </c>
      <c r="P99">
        <v>364.67</v>
      </c>
      <c r="Q99" s="12" t="str" cm="1">
        <f t="array" ref="Q99:R99">VLOOKUP(E99,store[],{3,5},FALSE)</f>
        <v>North</v>
      </c>
      <c r="R99" t="str">
        <v>Outlet</v>
      </c>
      <c r="S99" s="4">
        <f t="shared" si="1"/>
        <v>2255.04</v>
      </c>
    </row>
    <row r="100" spans="1:19">
      <c r="A100" t="s">
        <v>416</v>
      </c>
      <c r="B100" s="3">
        <v>45580</v>
      </c>
      <c r="C100" t="s">
        <v>417</v>
      </c>
      <c r="D100" t="s">
        <v>71</v>
      </c>
      <c r="E100" t="s">
        <v>66</v>
      </c>
      <c r="F100">
        <v>4</v>
      </c>
      <c r="G100" t="s">
        <v>23</v>
      </c>
      <c r="H100">
        <v>34</v>
      </c>
      <c r="I100" s="12" t="s">
        <v>34</v>
      </c>
      <c r="J100" s="12" t="s">
        <v>59</v>
      </c>
      <c r="K100" s="12" t="s">
        <v>73</v>
      </c>
      <c r="L100" s="12" t="s">
        <v>74</v>
      </c>
      <c r="M100" s="12" t="s">
        <v>75</v>
      </c>
      <c r="N100" s="14">
        <v>0.17</v>
      </c>
      <c r="O100" s="23">
        <v>476.28</v>
      </c>
      <c r="P100">
        <v>461.47</v>
      </c>
      <c r="Q100" s="12" t="str" cm="1">
        <f t="array" ref="Q100:R100">VLOOKUP(E100,store[],{3,5},FALSE)</f>
        <v>South</v>
      </c>
      <c r="R100" t="str">
        <v>Online</v>
      </c>
      <c r="S100" s="4">
        <f t="shared" si="1"/>
        <v>1904.44</v>
      </c>
    </row>
    <row r="101" spans="1:19">
      <c r="A101" t="s">
        <v>418</v>
      </c>
      <c r="B101" s="3">
        <v>45479</v>
      </c>
      <c r="C101" t="s">
        <v>419</v>
      </c>
      <c r="D101" t="s">
        <v>420</v>
      </c>
      <c r="E101" t="s">
        <v>22</v>
      </c>
      <c r="F101">
        <v>3</v>
      </c>
      <c r="G101" t="s">
        <v>50</v>
      </c>
      <c r="H101">
        <v>60</v>
      </c>
      <c r="I101" s="12" t="s">
        <v>24</v>
      </c>
      <c r="J101" s="12" t="s">
        <v>199</v>
      </c>
      <c r="K101" s="12" t="s">
        <v>73</v>
      </c>
      <c r="L101" s="12" t="s">
        <v>421</v>
      </c>
      <c r="M101" s="12" t="s">
        <v>28</v>
      </c>
      <c r="N101" s="14">
        <v>0.24</v>
      </c>
      <c r="O101" s="23">
        <v>541.99</v>
      </c>
      <c r="P101">
        <v>434.84</v>
      </c>
      <c r="Q101" s="12" t="str" cm="1">
        <f t="array" ref="Q101:R101">VLOOKUP(E101,store[],{3,5},FALSE)</f>
        <v>North</v>
      </c>
      <c r="R101" t="str">
        <v>Outlet</v>
      </c>
      <c r="S101" s="4">
        <f t="shared" si="1"/>
        <v>1625.25</v>
      </c>
    </row>
    <row r="102" spans="1:19">
      <c r="A102" t="s">
        <v>422</v>
      </c>
      <c r="B102" s="3">
        <v>45677</v>
      </c>
      <c r="C102" t="s">
        <v>423</v>
      </c>
      <c r="D102" t="s">
        <v>89</v>
      </c>
      <c r="E102" t="s">
        <v>58</v>
      </c>
      <c r="F102">
        <v>2</v>
      </c>
      <c r="G102" t="s">
        <v>23</v>
      </c>
      <c r="H102">
        <v>20</v>
      </c>
      <c r="I102" s="12" t="s">
        <v>34</v>
      </c>
      <c r="J102" s="12" t="s">
        <v>35</v>
      </c>
      <c r="K102" s="12" t="s">
        <v>52</v>
      </c>
      <c r="L102" s="12" t="s">
        <v>92</v>
      </c>
      <c r="M102" s="12" t="s">
        <v>75</v>
      </c>
      <c r="N102" s="14">
        <v>0.18</v>
      </c>
      <c r="O102" s="23">
        <v>401.5</v>
      </c>
      <c r="P102">
        <v>179.77</v>
      </c>
      <c r="Q102" s="12" t="str" cm="1">
        <f t="array" ref="Q102:R102">VLOOKUP(E102,store[],{3,5},FALSE)</f>
        <v>North</v>
      </c>
      <c r="R102" t="str">
        <v>Outlet</v>
      </c>
      <c r="S102" s="4">
        <f t="shared" si="1"/>
        <v>802.64</v>
      </c>
    </row>
    <row r="103" spans="1:19">
      <c r="A103" t="s">
        <v>424</v>
      </c>
      <c r="B103" s="3">
        <v>45453</v>
      </c>
      <c r="C103" t="s">
        <v>259</v>
      </c>
      <c r="D103" t="s">
        <v>425</v>
      </c>
      <c r="E103" t="s">
        <v>149</v>
      </c>
      <c r="F103">
        <v>3</v>
      </c>
      <c r="G103" t="s">
        <v>33</v>
      </c>
      <c r="H103">
        <v>26</v>
      </c>
      <c r="I103" s="12" t="s">
        <v>34</v>
      </c>
      <c r="J103" s="12" t="s">
        <v>260</v>
      </c>
      <c r="K103" s="12" t="s">
        <v>52</v>
      </c>
      <c r="L103" s="12" t="s">
        <v>426</v>
      </c>
      <c r="M103" s="12" t="s">
        <v>130</v>
      </c>
      <c r="N103" s="14">
        <v>0.17</v>
      </c>
      <c r="O103" s="23">
        <v>359.56</v>
      </c>
      <c r="P103">
        <v>174.02</v>
      </c>
      <c r="Q103" s="12" t="str" cm="1">
        <f t="array" ref="Q103:R103">VLOOKUP(E103,store[],{3,5},FALSE)</f>
        <v>East</v>
      </c>
      <c r="R103" t="str">
        <v>Flagship</v>
      </c>
      <c r="S103" s="4">
        <f t="shared" si="1"/>
        <v>1078.17</v>
      </c>
    </row>
    <row r="104" spans="1:19">
      <c r="A104" t="s">
        <v>427</v>
      </c>
      <c r="B104" s="3">
        <v>45552</v>
      </c>
      <c r="C104" t="s">
        <v>428</v>
      </c>
      <c r="D104" t="s">
        <v>429</v>
      </c>
      <c r="E104" t="s">
        <v>208</v>
      </c>
      <c r="F104">
        <v>2</v>
      </c>
      <c r="G104" t="s">
        <v>33</v>
      </c>
      <c r="H104">
        <v>36</v>
      </c>
      <c r="I104" s="12" t="s">
        <v>24</v>
      </c>
      <c r="J104" s="12" t="s">
        <v>345</v>
      </c>
      <c r="K104" s="12" t="s">
        <v>60</v>
      </c>
      <c r="L104" s="12" t="s">
        <v>430</v>
      </c>
      <c r="M104" s="12" t="s">
        <v>75</v>
      </c>
      <c r="N104" s="14">
        <v>0.24</v>
      </c>
      <c r="O104" s="23">
        <v>471.88</v>
      </c>
      <c r="P104">
        <v>143.43</v>
      </c>
      <c r="Q104" s="12" t="str" cm="1">
        <f t="array" ref="Q104:R104">VLOOKUP(E104,store[],{3,5},FALSE)</f>
        <v>North</v>
      </c>
      <c r="R104" t="str">
        <v>Online</v>
      </c>
      <c r="S104" s="4">
        <f t="shared" si="1"/>
        <v>943.28</v>
      </c>
    </row>
    <row r="105" spans="1:19">
      <c r="A105" t="s">
        <v>431</v>
      </c>
      <c r="B105" s="3">
        <v>45907</v>
      </c>
      <c r="C105" t="s">
        <v>432</v>
      </c>
      <c r="D105" t="s">
        <v>116</v>
      </c>
      <c r="E105" t="s">
        <v>72</v>
      </c>
      <c r="F105">
        <v>4</v>
      </c>
      <c r="G105" t="s">
        <v>33</v>
      </c>
      <c r="H105">
        <v>23</v>
      </c>
      <c r="I105" s="12" t="s">
        <v>34</v>
      </c>
      <c r="J105" s="12" t="s">
        <v>169</v>
      </c>
      <c r="K105" s="12" t="s">
        <v>60</v>
      </c>
      <c r="L105" s="12" t="s">
        <v>119</v>
      </c>
      <c r="M105" s="12" t="s">
        <v>37</v>
      </c>
      <c r="N105" s="14">
        <v>0.19</v>
      </c>
      <c r="O105" s="23">
        <v>925.19</v>
      </c>
      <c r="P105">
        <v>419.28</v>
      </c>
      <c r="Q105" s="12" t="str" cm="1">
        <f t="array" ref="Q105:R105">VLOOKUP(E105,store[],{3,5},FALSE)</f>
        <v>South</v>
      </c>
      <c r="R105" t="str">
        <v>Online</v>
      </c>
      <c r="S105" s="4">
        <f t="shared" si="1"/>
        <v>3700</v>
      </c>
    </row>
    <row r="106" spans="1:19">
      <c r="A106" t="s">
        <v>433</v>
      </c>
      <c r="B106" s="3">
        <v>45330</v>
      </c>
      <c r="C106" t="s">
        <v>434</v>
      </c>
      <c r="D106" t="s">
        <v>400</v>
      </c>
      <c r="E106" t="s">
        <v>272</v>
      </c>
      <c r="F106">
        <v>2</v>
      </c>
      <c r="G106" t="s">
        <v>50</v>
      </c>
      <c r="H106">
        <v>54</v>
      </c>
      <c r="I106" s="12" t="s">
        <v>34</v>
      </c>
      <c r="J106" s="12" t="s">
        <v>227</v>
      </c>
      <c r="K106" s="12" t="s">
        <v>60</v>
      </c>
      <c r="L106" s="12" t="s">
        <v>401</v>
      </c>
      <c r="M106" s="12" t="s">
        <v>75</v>
      </c>
      <c r="N106" s="14">
        <v>7.0000000000000007E-2</v>
      </c>
      <c r="O106" s="23">
        <v>879.63</v>
      </c>
      <c r="P106">
        <v>176.07</v>
      </c>
      <c r="Q106" s="12" t="str" cm="1">
        <f t="array" ref="Q106:R106">VLOOKUP(E106,store[],{3,5},FALSE)</f>
        <v>South</v>
      </c>
      <c r="R106" t="str">
        <v>Online</v>
      </c>
      <c r="S106" s="4">
        <f t="shared" si="1"/>
        <v>1759.12</v>
      </c>
    </row>
    <row r="107" spans="1:19">
      <c r="A107" t="s">
        <v>435</v>
      </c>
      <c r="B107" s="3">
        <v>45214</v>
      </c>
      <c r="C107" t="s">
        <v>436</v>
      </c>
      <c r="D107" t="s">
        <v>221</v>
      </c>
      <c r="E107" t="s">
        <v>32</v>
      </c>
      <c r="F107">
        <v>2</v>
      </c>
      <c r="G107" t="s">
        <v>23</v>
      </c>
      <c r="H107">
        <v>29</v>
      </c>
      <c r="I107" s="12" t="s">
        <v>34</v>
      </c>
      <c r="J107" s="12" t="s">
        <v>59</v>
      </c>
      <c r="K107" s="12" t="s">
        <v>52</v>
      </c>
      <c r="L107" s="12" t="s">
        <v>223</v>
      </c>
      <c r="M107" s="12" t="s">
        <v>75</v>
      </c>
      <c r="N107" s="14">
        <v>0.28000000000000003</v>
      </c>
      <c r="O107" s="23">
        <v>418.23</v>
      </c>
      <c r="P107">
        <v>228.53</v>
      </c>
      <c r="Q107" s="12" t="str" cm="1">
        <f t="array" ref="Q107:R107">VLOOKUP(E107,store[],{3,5},FALSE)</f>
        <v>North</v>
      </c>
      <c r="R107" t="str">
        <v>Flagship</v>
      </c>
      <c r="S107" s="4">
        <f t="shared" si="1"/>
        <v>835.9</v>
      </c>
    </row>
    <row r="108" spans="1:19">
      <c r="A108" t="s">
        <v>437</v>
      </c>
      <c r="B108" s="3">
        <v>45891</v>
      </c>
      <c r="C108" t="s">
        <v>326</v>
      </c>
      <c r="D108" t="s">
        <v>314</v>
      </c>
      <c r="E108" t="s">
        <v>160</v>
      </c>
      <c r="F108">
        <v>3</v>
      </c>
      <c r="G108" t="s">
        <v>50</v>
      </c>
      <c r="H108">
        <v>45</v>
      </c>
      <c r="I108" s="12" t="s">
        <v>34</v>
      </c>
      <c r="J108" s="12" t="s">
        <v>227</v>
      </c>
      <c r="K108" s="12" t="s">
        <v>60</v>
      </c>
      <c r="L108" s="12" t="s">
        <v>315</v>
      </c>
      <c r="M108" s="12" t="s">
        <v>28</v>
      </c>
      <c r="N108" s="14">
        <v>0.03</v>
      </c>
      <c r="O108" s="23">
        <v>551.72</v>
      </c>
      <c r="P108">
        <v>21.34</v>
      </c>
      <c r="Q108" s="12" t="str" cm="1">
        <f t="array" ref="Q108:R108">VLOOKUP(E108,store[],{3,5},FALSE)</f>
        <v>East</v>
      </c>
      <c r="R108" t="str">
        <v>Flagship</v>
      </c>
      <c r="S108" s="4">
        <f t="shared" si="1"/>
        <v>1655.07</v>
      </c>
    </row>
    <row r="109" spans="1:19">
      <c r="A109" t="s">
        <v>438</v>
      </c>
      <c r="B109" s="3">
        <v>45323</v>
      </c>
      <c r="C109" t="s">
        <v>439</v>
      </c>
      <c r="D109" t="s">
        <v>400</v>
      </c>
      <c r="E109" t="s">
        <v>66</v>
      </c>
      <c r="F109">
        <v>4</v>
      </c>
      <c r="G109" t="s">
        <v>33</v>
      </c>
      <c r="H109">
        <v>46</v>
      </c>
      <c r="I109" s="12" t="s">
        <v>34</v>
      </c>
      <c r="J109" s="12" t="s">
        <v>440</v>
      </c>
      <c r="K109" s="12" t="s">
        <v>60</v>
      </c>
      <c r="L109" s="12" t="s">
        <v>401</v>
      </c>
      <c r="M109" s="12" t="s">
        <v>75</v>
      </c>
      <c r="N109" s="14">
        <v>0.02</v>
      </c>
      <c r="O109" s="23">
        <v>525.61</v>
      </c>
      <c r="P109">
        <v>176.07</v>
      </c>
      <c r="Q109" s="12" t="str" cm="1">
        <f t="array" ref="Q109:R109">VLOOKUP(E109,store[],{3,5},FALSE)</f>
        <v>South</v>
      </c>
      <c r="R109" t="str">
        <v>Online</v>
      </c>
      <c r="S109" s="4">
        <f t="shared" si="1"/>
        <v>2102.36</v>
      </c>
    </row>
    <row r="110" spans="1:19">
      <c r="A110" t="s">
        <v>441</v>
      </c>
      <c r="B110" s="3">
        <v>45785</v>
      </c>
      <c r="C110" t="s">
        <v>442</v>
      </c>
      <c r="D110" t="s">
        <v>443</v>
      </c>
      <c r="E110" t="s">
        <v>149</v>
      </c>
      <c r="F110">
        <v>3</v>
      </c>
      <c r="G110" t="s">
        <v>23</v>
      </c>
      <c r="H110">
        <v>21</v>
      </c>
      <c r="I110" s="12" t="s">
        <v>24</v>
      </c>
      <c r="J110" s="12" t="s">
        <v>444</v>
      </c>
      <c r="K110" s="12" t="s">
        <v>52</v>
      </c>
      <c r="L110" s="12" t="s">
        <v>445</v>
      </c>
      <c r="M110" s="12" t="s">
        <v>28</v>
      </c>
      <c r="N110" s="14">
        <v>0.03</v>
      </c>
      <c r="O110" s="23">
        <v>815.3</v>
      </c>
      <c r="P110">
        <v>484.62</v>
      </c>
      <c r="Q110" s="12" t="str" cm="1">
        <f t="array" ref="Q110:R110">VLOOKUP(E110,store[],{3,5},FALSE)</f>
        <v>East</v>
      </c>
      <c r="R110" t="str">
        <v>Flagship</v>
      </c>
      <c r="S110" s="4">
        <f t="shared" si="1"/>
        <v>2445.81</v>
      </c>
    </row>
    <row r="111" spans="1:19">
      <c r="A111" t="s">
        <v>446</v>
      </c>
      <c r="B111" s="3">
        <v>45738</v>
      </c>
      <c r="C111" t="s">
        <v>447</v>
      </c>
      <c r="D111" t="s">
        <v>372</v>
      </c>
      <c r="E111" t="s">
        <v>90</v>
      </c>
      <c r="F111">
        <v>3</v>
      </c>
      <c r="G111" t="s">
        <v>50</v>
      </c>
      <c r="H111">
        <v>61</v>
      </c>
      <c r="I111" s="12" t="s">
        <v>24</v>
      </c>
      <c r="J111" s="12" t="s">
        <v>111</v>
      </c>
      <c r="K111" s="12" t="s">
        <v>26</v>
      </c>
      <c r="L111" s="12" t="s">
        <v>374</v>
      </c>
      <c r="M111" s="12" t="s">
        <v>130</v>
      </c>
      <c r="N111" s="14">
        <v>0.09</v>
      </c>
      <c r="O111" s="23">
        <v>376.46</v>
      </c>
      <c r="P111">
        <v>438.25</v>
      </c>
      <c r="Q111" s="12" t="str" cm="1">
        <f t="array" ref="Q111:R111">VLOOKUP(E111,store[],{3,5},FALSE)</f>
        <v>East</v>
      </c>
      <c r="R111" t="str">
        <v>Flagship</v>
      </c>
      <c r="S111" s="4">
        <f t="shared" si="1"/>
        <v>1129.1099999999999</v>
      </c>
    </row>
    <row r="112" spans="1:19">
      <c r="A112" t="s">
        <v>448</v>
      </c>
      <c r="B112" s="3">
        <v>45851</v>
      </c>
      <c r="C112" t="s">
        <v>355</v>
      </c>
      <c r="D112" t="s">
        <v>449</v>
      </c>
      <c r="E112" t="s">
        <v>43</v>
      </c>
      <c r="F112">
        <v>4</v>
      </c>
      <c r="G112" t="s">
        <v>23</v>
      </c>
      <c r="H112">
        <v>29</v>
      </c>
      <c r="I112" s="12" t="s">
        <v>34</v>
      </c>
      <c r="J112" s="12" t="s">
        <v>356</v>
      </c>
      <c r="K112" s="12" t="s">
        <v>73</v>
      </c>
      <c r="L112" s="12" t="s">
        <v>450</v>
      </c>
      <c r="M112" s="12" t="s">
        <v>37</v>
      </c>
      <c r="N112" s="14">
        <v>0.08</v>
      </c>
      <c r="O112" s="23">
        <v>239.83</v>
      </c>
      <c r="P112">
        <v>450.71</v>
      </c>
      <c r="Q112" s="12" t="str" cm="1">
        <f t="array" ref="Q112:R112">VLOOKUP(E112,store[],{3,5},FALSE)</f>
        <v>West</v>
      </c>
      <c r="R112" t="str">
        <v>Online</v>
      </c>
      <c r="S112" s="4">
        <f t="shared" si="1"/>
        <v>959</v>
      </c>
    </row>
    <row r="113" spans="1:19">
      <c r="A113" t="s">
        <v>451</v>
      </c>
      <c r="B113" s="3">
        <v>45798</v>
      </c>
      <c r="C113" t="s">
        <v>452</v>
      </c>
      <c r="D113" t="s">
        <v>453</v>
      </c>
      <c r="E113" t="s">
        <v>22</v>
      </c>
      <c r="F113">
        <v>2</v>
      </c>
      <c r="G113" t="s">
        <v>33</v>
      </c>
      <c r="H113">
        <v>40</v>
      </c>
      <c r="I113" s="12" t="s">
        <v>24</v>
      </c>
      <c r="J113" s="12" t="s">
        <v>51</v>
      </c>
      <c r="K113" s="12" t="s">
        <v>73</v>
      </c>
      <c r="L113" s="12" t="s">
        <v>454</v>
      </c>
      <c r="M113" s="12" t="s">
        <v>37</v>
      </c>
      <c r="N113" s="14">
        <v>0.01</v>
      </c>
      <c r="O113" s="23">
        <v>845.71</v>
      </c>
      <c r="P113">
        <v>340.14</v>
      </c>
      <c r="Q113" s="12" t="str" cm="1">
        <f t="array" ref="Q113:R113">VLOOKUP(E113,store[],{3,5},FALSE)</f>
        <v>North</v>
      </c>
      <c r="R113" t="str">
        <v>Outlet</v>
      </c>
      <c r="S113" s="4">
        <f t="shared" si="1"/>
        <v>1691.4</v>
      </c>
    </row>
    <row r="114" spans="1:19">
      <c r="A114" t="s">
        <v>455</v>
      </c>
      <c r="B114" s="3">
        <v>45705</v>
      </c>
      <c r="C114" t="s">
        <v>456</v>
      </c>
      <c r="D114" t="s">
        <v>49</v>
      </c>
      <c r="E114" t="s">
        <v>149</v>
      </c>
      <c r="F114">
        <v>3</v>
      </c>
      <c r="G114" t="s">
        <v>23</v>
      </c>
      <c r="H114">
        <v>58</v>
      </c>
      <c r="I114" s="12" t="s">
        <v>34</v>
      </c>
      <c r="J114" s="12" t="s">
        <v>457</v>
      </c>
      <c r="K114" s="12" t="s">
        <v>73</v>
      </c>
      <c r="L114" s="12" t="s">
        <v>53</v>
      </c>
      <c r="M114" s="12" t="s">
        <v>37</v>
      </c>
      <c r="N114" s="14">
        <v>0.28999999999999998</v>
      </c>
      <c r="O114" s="23">
        <v>948.69</v>
      </c>
      <c r="P114">
        <v>392.89</v>
      </c>
      <c r="Q114" s="12" t="str" cm="1">
        <f t="array" ref="Q114:R114">VLOOKUP(E114,store[],{3,5},FALSE)</f>
        <v>East</v>
      </c>
      <c r="R114" t="str">
        <v>Flagship</v>
      </c>
      <c r="S114" s="4">
        <f t="shared" si="1"/>
        <v>2845.2</v>
      </c>
    </row>
    <row r="115" spans="1:19">
      <c r="A115" t="s">
        <v>458</v>
      </c>
      <c r="B115" s="3">
        <v>45413</v>
      </c>
      <c r="C115" t="s">
        <v>30</v>
      </c>
      <c r="D115" t="s">
        <v>139</v>
      </c>
      <c r="E115" t="s">
        <v>168</v>
      </c>
      <c r="F115">
        <v>1</v>
      </c>
      <c r="G115" t="s">
        <v>33</v>
      </c>
      <c r="H115">
        <v>63</v>
      </c>
      <c r="I115" s="12" t="s">
        <v>34</v>
      </c>
      <c r="J115" s="12" t="s">
        <v>35</v>
      </c>
      <c r="K115" s="12" t="s">
        <v>26</v>
      </c>
      <c r="L115" s="12" t="s">
        <v>141</v>
      </c>
      <c r="M115" s="12" t="s">
        <v>75</v>
      </c>
      <c r="N115" s="14">
        <v>0.2</v>
      </c>
      <c r="O115" s="23">
        <v>281.97000000000003</v>
      </c>
      <c r="P115">
        <v>250.02157142857101</v>
      </c>
      <c r="Q115" s="12" t="str" cm="1">
        <f t="array" ref="Q115:R115">VLOOKUP(E115,store[],{3,5},FALSE)</f>
        <v>East</v>
      </c>
      <c r="R115" t="str">
        <v>Online</v>
      </c>
      <c r="S115" s="4">
        <f t="shared" si="1"/>
        <v>281.77</v>
      </c>
    </row>
    <row r="116" spans="1:19">
      <c r="A116" t="s">
        <v>459</v>
      </c>
      <c r="B116" s="3">
        <v>45482</v>
      </c>
      <c r="C116" t="s">
        <v>78</v>
      </c>
      <c r="D116" t="s">
        <v>372</v>
      </c>
      <c r="E116" t="s">
        <v>72</v>
      </c>
      <c r="F116">
        <v>2</v>
      </c>
      <c r="G116" t="s">
        <v>33</v>
      </c>
      <c r="H116">
        <v>41</v>
      </c>
      <c r="I116" s="12" t="s">
        <v>34</v>
      </c>
      <c r="J116" s="12" t="s">
        <v>80</v>
      </c>
      <c r="K116" s="12" t="s">
        <v>52</v>
      </c>
      <c r="L116" s="12" t="s">
        <v>374</v>
      </c>
      <c r="M116" s="12" t="s">
        <v>130</v>
      </c>
      <c r="N116" s="14">
        <v>0.05</v>
      </c>
      <c r="O116" s="23">
        <v>731.01</v>
      </c>
      <c r="P116">
        <v>438.25</v>
      </c>
      <c r="Q116" s="12" t="str" cm="1">
        <f t="array" ref="Q116:R116">VLOOKUP(E116,store[],{3,5},FALSE)</f>
        <v>South</v>
      </c>
      <c r="R116" t="str">
        <v>Online</v>
      </c>
      <c r="S116" s="4">
        <f t="shared" si="1"/>
        <v>1461.92</v>
      </c>
    </row>
    <row r="117" spans="1:19">
      <c r="A117" t="s">
        <v>460</v>
      </c>
      <c r="B117" s="3">
        <v>45925</v>
      </c>
      <c r="C117" t="s">
        <v>461</v>
      </c>
      <c r="D117" t="s">
        <v>462</v>
      </c>
      <c r="E117" t="s">
        <v>66</v>
      </c>
      <c r="F117">
        <v>4</v>
      </c>
      <c r="G117" t="s">
        <v>33</v>
      </c>
      <c r="H117">
        <v>42</v>
      </c>
      <c r="I117" s="12" t="s">
        <v>24</v>
      </c>
      <c r="J117" s="12" t="s">
        <v>463</v>
      </c>
      <c r="K117" s="12" t="s">
        <v>60</v>
      </c>
      <c r="L117" s="12" t="s">
        <v>464</v>
      </c>
      <c r="M117" s="12" t="s">
        <v>130</v>
      </c>
      <c r="N117" s="14">
        <v>0.13</v>
      </c>
      <c r="O117" s="23">
        <v>930.85</v>
      </c>
      <c r="P117">
        <v>119.57</v>
      </c>
      <c r="Q117" s="12" t="str" cm="1">
        <f t="array" ref="Q117:R117">VLOOKUP(E117,store[],{3,5},FALSE)</f>
        <v>South</v>
      </c>
      <c r="R117" t="str">
        <v>Online</v>
      </c>
      <c r="S117" s="4">
        <f t="shared" si="1"/>
        <v>3722.88</v>
      </c>
    </row>
    <row r="118" spans="1:19">
      <c r="A118" t="s">
        <v>465</v>
      </c>
      <c r="B118" s="3">
        <v>45420</v>
      </c>
      <c r="C118" t="s">
        <v>466</v>
      </c>
      <c r="D118" t="s">
        <v>414</v>
      </c>
      <c r="E118" t="s">
        <v>43</v>
      </c>
      <c r="F118">
        <v>4</v>
      </c>
      <c r="G118" t="s">
        <v>23</v>
      </c>
      <c r="H118">
        <v>33</v>
      </c>
      <c r="I118" s="12" t="s">
        <v>24</v>
      </c>
      <c r="J118" s="12" t="s">
        <v>231</v>
      </c>
      <c r="K118" s="12" t="s">
        <v>26</v>
      </c>
      <c r="L118" s="12" t="s">
        <v>415</v>
      </c>
      <c r="M118" s="12" t="s">
        <v>130</v>
      </c>
      <c r="N118" s="14">
        <v>0.22</v>
      </c>
      <c r="O118" s="23">
        <v>770.77</v>
      </c>
      <c r="P118">
        <v>364.67</v>
      </c>
      <c r="Q118" s="12" t="str" cm="1">
        <f t="array" ref="Q118:R118">VLOOKUP(E118,store[],{3,5},FALSE)</f>
        <v>West</v>
      </c>
      <c r="R118" t="str">
        <v>Online</v>
      </c>
      <c r="S118" s="4">
        <f t="shared" si="1"/>
        <v>3082.2</v>
      </c>
    </row>
    <row r="119" spans="1:19">
      <c r="A119" t="s">
        <v>467</v>
      </c>
      <c r="B119" s="3">
        <v>45554</v>
      </c>
      <c r="C119" t="s">
        <v>468</v>
      </c>
      <c r="D119" t="s">
        <v>381</v>
      </c>
      <c r="E119" t="s">
        <v>72</v>
      </c>
      <c r="F119">
        <v>3</v>
      </c>
      <c r="G119" t="s">
        <v>33</v>
      </c>
      <c r="H119">
        <v>58</v>
      </c>
      <c r="I119" s="12" t="s">
        <v>24</v>
      </c>
      <c r="J119" s="12" t="s">
        <v>235</v>
      </c>
      <c r="K119" s="12" t="s">
        <v>60</v>
      </c>
      <c r="L119" s="12" t="s">
        <v>382</v>
      </c>
      <c r="M119" s="12" t="s">
        <v>130</v>
      </c>
      <c r="N119" s="14">
        <v>0.3</v>
      </c>
      <c r="O119" s="23">
        <v>479.63</v>
      </c>
      <c r="P119">
        <v>167.34</v>
      </c>
      <c r="Q119" s="12" t="str" cm="1">
        <f t="array" ref="Q119:R119">VLOOKUP(E119,store[],{3,5},FALSE)</f>
        <v>South</v>
      </c>
      <c r="R119" t="str">
        <v>Online</v>
      </c>
      <c r="S119" s="4">
        <f t="shared" si="1"/>
        <v>1437.99</v>
      </c>
    </row>
    <row r="120" spans="1:19">
      <c r="A120" t="s">
        <v>469</v>
      </c>
      <c r="B120" s="3">
        <v>45405</v>
      </c>
      <c r="C120" t="s">
        <v>470</v>
      </c>
      <c r="D120" t="s">
        <v>104</v>
      </c>
      <c r="E120" t="s">
        <v>272</v>
      </c>
      <c r="F120">
        <v>1</v>
      </c>
      <c r="G120" t="s">
        <v>50</v>
      </c>
      <c r="H120">
        <v>50</v>
      </c>
      <c r="I120" s="12" t="s">
        <v>34</v>
      </c>
      <c r="J120" s="12" t="s">
        <v>235</v>
      </c>
      <c r="K120" s="12" t="s">
        <v>26</v>
      </c>
      <c r="L120" s="12" t="s">
        <v>107</v>
      </c>
      <c r="M120" s="12" t="s">
        <v>37</v>
      </c>
      <c r="N120" s="14">
        <v>0.3</v>
      </c>
      <c r="O120" s="23">
        <v>165</v>
      </c>
      <c r="P120">
        <v>326.06</v>
      </c>
      <c r="Q120" s="12" t="str" cm="1">
        <f t="array" ref="Q120:R120">VLOOKUP(E120,store[],{3,5},FALSE)</f>
        <v>South</v>
      </c>
      <c r="R120" t="str">
        <v>Online</v>
      </c>
      <c r="S120" s="4">
        <f t="shared" si="1"/>
        <v>164.7</v>
      </c>
    </row>
    <row r="121" spans="1:19">
      <c r="A121" t="s">
        <v>471</v>
      </c>
      <c r="B121" s="3">
        <v>45503</v>
      </c>
      <c r="C121" t="s">
        <v>472</v>
      </c>
      <c r="D121" t="s">
        <v>314</v>
      </c>
      <c r="E121" t="s">
        <v>43</v>
      </c>
      <c r="F121">
        <v>2</v>
      </c>
      <c r="G121" t="s">
        <v>50</v>
      </c>
      <c r="H121">
        <v>43</v>
      </c>
      <c r="I121" s="12" t="s">
        <v>24</v>
      </c>
      <c r="J121" s="12" t="s">
        <v>35</v>
      </c>
      <c r="K121" s="12" t="s">
        <v>73</v>
      </c>
      <c r="L121" s="12" t="s">
        <v>315</v>
      </c>
      <c r="M121" s="12" t="s">
        <v>28</v>
      </c>
      <c r="N121" s="14">
        <v>0.28999999999999998</v>
      </c>
      <c r="O121" s="23">
        <v>151.51</v>
      </c>
      <c r="P121">
        <v>21.34</v>
      </c>
      <c r="Q121" s="12" t="str" cm="1">
        <f t="array" ref="Q121:R121">VLOOKUP(E121,store[],{3,5},FALSE)</f>
        <v>West</v>
      </c>
      <c r="R121" t="str">
        <v>Online</v>
      </c>
      <c r="S121" s="4">
        <f t="shared" si="1"/>
        <v>302.44</v>
      </c>
    </row>
    <row r="122" spans="1:19">
      <c r="A122" t="s">
        <v>473</v>
      </c>
      <c r="B122" s="3">
        <v>45274</v>
      </c>
      <c r="C122" t="s">
        <v>474</v>
      </c>
      <c r="D122" t="s">
        <v>311</v>
      </c>
      <c r="E122" t="s">
        <v>32</v>
      </c>
      <c r="F122">
        <v>2</v>
      </c>
      <c r="G122" t="s">
        <v>50</v>
      </c>
      <c r="H122">
        <v>22</v>
      </c>
      <c r="I122" s="12" t="s">
        <v>34</v>
      </c>
      <c r="J122" s="12" t="s">
        <v>457</v>
      </c>
      <c r="K122" s="12" t="s">
        <v>73</v>
      </c>
      <c r="L122" s="12" t="s">
        <v>312</v>
      </c>
      <c r="M122" s="12" t="s">
        <v>28</v>
      </c>
      <c r="N122" s="14">
        <v>0.28999999999999998</v>
      </c>
      <c r="O122" s="23">
        <v>872.93</v>
      </c>
      <c r="P122">
        <v>204.39</v>
      </c>
      <c r="Q122" s="12" t="str" cm="1">
        <f t="array" ref="Q122:R122">VLOOKUP(E122,store[],{3,5},FALSE)</f>
        <v>North</v>
      </c>
      <c r="R122" t="str">
        <v>Flagship</v>
      </c>
      <c r="S122" s="4">
        <f t="shared" si="1"/>
        <v>1745.28</v>
      </c>
    </row>
    <row r="123" spans="1:19">
      <c r="A123" t="s">
        <v>475</v>
      </c>
      <c r="B123" s="3">
        <v>45558</v>
      </c>
      <c r="C123" t="s">
        <v>476</v>
      </c>
      <c r="D123" t="s">
        <v>443</v>
      </c>
      <c r="E123" t="s">
        <v>168</v>
      </c>
      <c r="F123">
        <v>3</v>
      </c>
      <c r="G123" t="s">
        <v>23</v>
      </c>
      <c r="H123">
        <v>25</v>
      </c>
      <c r="I123" s="12" t="s">
        <v>24</v>
      </c>
      <c r="J123" s="12" t="s">
        <v>25</v>
      </c>
      <c r="K123" s="12" t="s">
        <v>26</v>
      </c>
      <c r="L123" s="12" t="s">
        <v>445</v>
      </c>
      <c r="M123" s="12" t="s">
        <v>28</v>
      </c>
      <c r="N123" s="14">
        <v>0.04</v>
      </c>
      <c r="O123" s="23">
        <v>432.4</v>
      </c>
      <c r="P123">
        <v>484.62</v>
      </c>
      <c r="Q123" s="12" t="str" cm="1">
        <f t="array" ref="Q123:R123">VLOOKUP(E123,store[],{3,5},FALSE)</f>
        <v>East</v>
      </c>
      <c r="R123" t="str">
        <v>Online</v>
      </c>
      <c r="S123" s="4">
        <f t="shared" si="1"/>
        <v>1297.08</v>
      </c>
    </row>
    <row r="124" spans="1:19">
      <c r="A124" t="s">
        <v>477</v>
      </c>
      <c r="B124" s="3">
        <v>45886</v>
      </c>
      <c r="C124" t="s">
        <v>439</v>
      </c>
      <c r="D124" t="s">
        <v>409</v>
      </c>
      <c r="E124" t="s">
        <v>66</v>
      </c>
      <c r="F124">
        <v>2</v>
      </c>
      <c r="G124" t="s">
        <v>23</v>
      </c>
      <c r="H124">
        <v>46</v>
      </c>
      <c r="I124" s="12" t="s">
        <v>34</v>
      </c>
      <c r="J124" s="12" t="s">
        <v>440</v>
      </c>
      <c r="K124" s="12" t="s">
        <v>60</v>
      </c>
      <c r="L124" s="12" t="s">
        <v>411</v>
      </c>
      <c r="M124" s="12" t="s">
        <v>28</v>
      </c>
      <c r="N124" s="14">
        <v>0.04</v>
      </c>
      <c r="O124" s="23">
        <v>197.76</v>
      </c>
      <c r="P124">
        <v>190.29</v>
      </c>
      <c r="Q124" s="12" t="str" cm="1">
        <f t="array" ref="Q124:R124">VLOOKUP(E124,store[],{3,5},FALSE)</f>
        <v>South</v>
      </c>
      <c r="R124" t="str">
        <v>Online</v>
      </c>
      <c r="S124" s="4">
        <f t="shared" si="1"/>
        <v>395.44</v>
      </c>
    </row>
    <row r="125" spans="1:19">
      <c r="A125" t="s">
        <v>478</v>
      </c>
      <c r="B125" s="3">
        <v>45674</v>
      </c>
      <c r="C125" t="s">
        <v>166</v>
      </c>
      <c r="D125" t="s">
        <v>295</v>
      </c>
      <c r="E125" t="s">
        <v>198</v>
      </c>
      <c r="F125">
        <v>3</v>
      </c>
      <c r="G125" t="s">
        <v>33</v>
      </c>
      <c r="H125">
        <v>33</v>
      </c>
      <c r="I125" s="12" t="s">
        <v>34</v>
      </c>
      <c r="J125" s="12" t="s">
        <v>169</v>
      </c>
      <c r="K125" s="12" t="s">
        <v>26</v>
      </c>
      <c r="L125" s="12" t="s">
        <v>296</v>
      </c>
      <c r="M125" s="12" t="s">
        <v>37</v>
      </c>
      <c r="N125" s="14">
        <v>0.11</v>
      </c>
      <c r="O125" s="23">
        <v>334.6</v>
      </c>
      <c r="P125">
        <v>38.520000000000003</v>
      </c>
      <c r="Q125" s="12" t="str" cm="1">
        <f t="array" ref="Q125:R125">VLOOKUP(E125,store[],{3,5},FALSE)</f>
        <v>South</v>
      </c>
      <c r="R125" t="str">
        <v>Outlet</v>
      </c>
      <c r="S125" s="4">
        <f t="shared" si="1"/>
        <v>1003.47</v>
      </c>
    </row>
    <row r="126" spans="1:19">
      <c r="A126" t="s">
        <v>479</v>
      </c>
      <c r="B126" s="3">
        <v>45777</v>
      </c>
      <c r="C126" t="s">
        <v>456</v>
      </c>
      <c r="D126" t="s">
        <v>480</v>
      </c>
      <c r="E126" t="s">
        <v>22</v>
      </c>
      <c r="F126">
        <v>2</v>
      </c>
      <c r="G126" t="s">
        <v>50</v>
      </c>
      <c r="H126">
        <v>58</v>
      </c>
      <c r="I126" s="12" t="s">
        <v>34</v>
      </c>
      <c r="J126" s="12" t="s">
        <v>457</v>
      </c>
      <c r="K126" s="12" t="s">
        <v>73</v>
      </c>
      <c r="L126" s="12" t="s">
        <v>481</v>
      </c>
      <c r="M126" s="12" t="s">
        <v>75</v>
      </c>
      <c r="N126" s="14">
        <v>0.2</v>
      </c>
      <c r="O126" s="23">
        <v>44.35</v>
      </c>
      <c r="P126">
        <v>48.01</v>
      </c>
      <c r="Q126" s="12" t="str" cm="1">
        <f t="array" ref="Q126:R126">VLOOKUP(E126,store[],{3,5},FALSE)</f>
        <v>North</v>
      </c>
      <c r="R126" t="str">
        <v>Outlet</v>
      </c>
      <c r="S126" s="4">
        <f t="shared" si="1"/>
        <v>88.3</v>
      </c>
    </row>
    <row r="127" spans="1:19">
      <c r="A127" t="s">
        <v>482</v>
      </c>
      <c r="B127" s="3">
        <v>45598</v>
      </c>
      <c r="C127" t="s">
        <v>483</v>
      </c>
      <c r="D127" t="s">
        <v>484</v>
      </c>
      <c r="E127" t="s">
        <v>179</v>
      </c>
      <c r="F127">
        <v>1</v>
      </c>
      <c r="G127" t="s">
        <v>33</v>
      </c>
      <c r="H127">
        <v>35</v>
      </c>
      <c r="I127" s="12" t="s">
        <v>24</v>
      </c>
      <c r="J127" s="12" t="s">
        <v>222</v>
      </c>
      <c r="K127" s="12" t="s">
        <v>60</v>
      </c>
      <c r="L127" s="12" t="s">
        <v>485</v>
      </c>
      <c r="M127" s="12" t="s">
        <v>37</v>
      </c>
      <c r="N127" s="14">
        <v>0.05</v>
      </c>
      <c r="O127" s="23">
        <v>846.31</v>
      </c>
      <c r="P127">
        <v>439.07</v>
      </c>
      <c r="Q127" s="12" t="str" cm="1">
        <f t="array" ref="Q127:R127">VLOOKUP(E127,store[],{3,5},FALSE)</f>
        <v>East</v>
      </c>
      <c r="R127" t="str">
        <v>Online</v>
      </c>
      <c r="S127" s="4">
        <f t="shared" si="1"/>
        <v>846.26</v>
      </c>
    </row>
    <row r="128" spans="1:19">
      <c r="A128" t="s">
        <v>486</v>
      </c>
      <c r="B128" s="3">
        <v>45884</v>
      </c>
      <c r="C128" t="s">
        <v>417</v>
      </c>
      <c r="D128" t="s">
        <v>487</v>
      </c>
      <c r="E128" t="s">
        <v>208</v>
      </c>
      <c r="F128">
        <v>1</v>
      </c>
      <c r="G128" t="s">
        <v>50</v>
      </c>
      <c r="H128">
        <v>34</v>
      </c>
      <c r="I128" s="12" t="s">
        <v>34</v>
      </c>
      <c r="J128" s="12" t="s">
        <v>59</v>
      </c>
      <c r="K128" s="12" t="s">
        <v>73</v>
      </c>
      <c r="L128" s="12" t="s">
        <v>488</v>
      </c>
      <c r="M128" s="12" t="s">
        <v>75</v>
      </c>
      <c r="N128" s="14">
        <v>7.0000000000000007E-2</v>
      </c>
      <c r="O128" s="23">
        <v>996.48</v>
      </c>
      <c r="P128">
        <v>382.22</v>
      </c>
      <c r="Q128" s="12" t="str" cm="1">
        <f t="array" ref="Q128:R128">VLOOKUP(E128,store[],{3,5},FALSE)</f>
        <v>North</v>
      </c>
      <c r="R128" t="str">
        <v>Online</v>
      </c>
      <c r="S128" s="4">
        <f t="shared" si="1"/>
        <v>996.41</v>
      </c>
    </row>
    <row r="129" spans="1:19">
      <c r="A129" t="s">
        <v>489</v>
      </c>
      <c r="B129" s="3">
        <v>45916</v>
      </c>
      <c r="C129" t="s">
        <v>490</v>
      </c>
      <c r="D129" t="s">
        <v>317</v>
      </c>
      <c r="E129" t="s">
        <v>179</v>
      </c>
      <c r="F129">
        <v>3</v>
      </c>
      <c r="G129" t="s">
        <v>50</v>
      </c>
      <c r="H129">
        <v>22</v>
      </c>
      <c r="I129" s="12" t="s">
        <v>34</v>
      </c>
      <c r="J129" s="12" t="s">
        <v>491</v>
      </c>
      <c r="K129" s="12" t="s">
        <v>52</v>
      </c>
      <c r="L129" s="12" t="s">
        <v>318</v>
      </c>
      <c r="M129" s="12" t="s">
        <v>37</v>
      </c>
      <c r="N129" s="14">
        <v>0.03</v>
      </c>
      <c r="O129" s="23">
        <v>949.19</v>
      </c>
      <c r="P129">
        <v>377.52</v>
      </c>
      <c r="Q129" s="12" t="str" cm="1">
        <f t="array" ref="Q129:R129">VLOOKUP(E129,store[],{3,5},FALSE)</f>
        <v>East</v>
      </c>
      <c r="R129" t="str">
        <v>Online</v>
      </c>
      <c r="S129" s="4">
        <f t="shared" si="1"/>
        <v>2847.48</v>
      </c>
    </row>
    <row r="130" spans="1:19">
      <c r="A130" t="s">
        <v>492</v>
      </c>
      <c r="B130" s="3">
        <v>45347</v>
      </c>
      <c r="C130" t="s">
        <v>493</v>
      </c>
      <c r="D130" t="s">
        <v>242</v>
      </c>
      <c r="E130" t="s">
        <v>127</v>
      </c>
      <c r="F130">
        <v>2</v>
      </c>
      <c r="G130" t="s">
        <v>23</v>
      </c>
      <c r="H130">
        <v>62</v>
      </c>
      <c r="I130" s="12" t="s">
        <v>34</v>
      </c>
      <c r="J130" s="12" t="s">
        <v>333</v>
      </c>
      <c r="K130" s="12" t="s">
        <v>52</v>
      </c>
      <c r="L130" s="12" t="s">
        <v>243</v>
      </c>
      <c r="M130" s="12" t="s">
        <v>46</v>
      </c>
      <c r="N130" s="14">
        <v>0.1</v>
      </c>
      <c r="O130" s="23">
        <v>724.97</v>
      </c>
      <c r="P130">
        <v>358.47</v>
      </c>
      <c r="Q130" s="12" t="str" cm="1">
        <f t="array" ref="Q130:R130">VLOOKUP(E130,store[],{3,5},FALSE)</f>
        <v>South</v>
      </c>
      <c r="R130" t="str">
        <v>Flagship</v>
      </c>
      <c r="S130" s="4">
        <f t="shared" ref="S130:S193" si="2">(O130-N130)*F130</f>
        <v>1449.74</v>
      </c>
    </row>
    <row r="131" spans="1:19">
      <c r="A131" t="s">
        <v>494</v>
      </c>
      <c r="B131" s="3">
        <v>45723</v>
      </c>
      <c r="C131" t="s">
        <v>495</v>
      </c>
      <c r="D131" t="s">
        <v>389</v>
      </c>
      <c r="E131" t="s">
        <v>117</v>
      </c>
      <c r="F131">
        <v>1</v>
      </c>
      <c r="G131" t="s">
        <v>23</v>
      </c>
      <c r="H131">
        <v>49</v>
      </c>
      <c r="I131" s="12" t="s">
        <v>24</v>
      </c>
      <c r="J131" s="12" t="s">
        <v>463</v>
      </c>
      <c r="K131" s="12" t="s">
        <v>60</v>
      </c>
      <c r="L131" s="12" t="s">
        <v>390</v>
      </c>
      <c r="M131" s="12" t="s">
        <v>130</v>
      </c>
      <c r="N131" s="14">
        <v>0.3</v>
      </c>
      <c r="O131" s="23">
        <v>783.25</v>
      </c>
      <c r="P131">
        <v>342.56</v>
      </c>
      <c r="Q131" s="12" t="str" cm="1">
        <f t="array" ref="Q131:R131">VLOOKUP(E131,store[],{3,5},FALSE)</f>
        <v>West</v>
      </c>
      <c r="R131" t="str">
        <v>Flagship</v>
      </c>
      <c r="S131" s="4">
        <f t="shared" si="2"/>
        <v>782.95</v>
      </c>
    </row>
    <row r="132" spans="1:19">
      <c r="A132" t="s">
        <v>496</v>
      </c>
      <c r="B132" s="3">
        <v>45495</v>
      </c>
      <c r="C132" t="s">
        <v>497</v>
      </c>
      <c r="D132" t="s">
        <v>377</v>
      </c>
      <c r="E132" t="s">
        <v>22</v>
      </c>
      <c r="F132">
        <v>1</v>
      </c>
      <c r="G132" t="s">
        <v>23</v>
      </c>
      <c r="H132">
        <v>38</v>
      </c>
      <c r="I132" s="12" t="s">
        <v>24</v>
      </c>
      <c r="J132" s="12" t="s">
        <v>498</v>
      </c>
      <c r="K132" s="12" t="s">
        <v>73</v>
      </c>
      <c r="L132" s="12" t="s">
        <v>379</v>
      </c>
      <c r="M132" s="12" t="s">
        <v>28</v>
      </c>
      <c r="N132" s="14">
        <v>0.17</v>
      </c>
      <c r="O132" s="23">
        <v>942.38</v>
      </c>
      <c r="P132">
        <v>144.53</v>
      </c>
      <c r="Q132" s="12" t="str" cm="1">
        <f t="array" ref="Q132:R132">VLOOKUP(E132,store[],{3,5},FALSE)</f>
        <v>North</v>
      </c>
      <c r="R132" t="str">
        <v>Outlet</v>
      </c>
      <c r="S132" s="4">
        <f t="shared" si="2"/>
        <v>942.21</v>
      </c>
    </row>
    <row r="133" spans="1:19">
      <c r="A133" t="s">
        <v>499</v>
      </c>
      <c r="B133" s="3">
        <v>45444</v>
      </c>
      <c r="C133" t="s">
        <v>500</v>
      </c>
      <c r="D133" t="s">
        <v>501</v>
      </c>
      <c r="E133" t="s">
        <v>272</v>
      </c>
      <c r="F133">
        <v>3</v>
      </c>
      <c r="G133" t="s">
        <v>50</v>
      </c>
      <c r="H133">
        <v>56</v>
      </c>
      <c r="I133" s="12" t="s">
        <v>24</v>
      </c>
      <c r="J133" s="12" t="s">
        <v>308</v>
      </c>
      <c r="K133" s="12" t="s">
        <v>73</v>
      </c>
      <c r="L133" s="12" t="s">
        <v>502</v>
      </c>
      <c r="M133" s="12" t="s">
        <v>37</v>
      </c>
      <c r="N133" s="14">
        <v>0.05</v>
      </c>
      <c r="O133" s="23">
        <v>298.35000000000002</v>
      </c>
      <c r="P133">
        <v>88.49</v>
      </c>
      <c r="Q133" s="12" t="str" cm="1">
        <f t="array" ref="Q133:R133">VLOOKUP(E133,store[],{3,5},FALSE)</f>
        <v>South</v>
      </c>
      <c r="R133" t="str">
        <v>Online</v>
      </c>
      <c r="S133" s="4">
        <f t="shared" si="2"/>
        <v>894.9</v>
      </c>
    </row>
    <row r="134" spans="1:19">
      <c r="A134" t="s">
        <v>503</v>
      </c>
      <c r="B134" s="3">
        <v>45662</v>
      </c>
      <c r="C134" t="s">
        <v>504</v>
      </c>
      <c r="D134" t="s">
        <v>505</v>
      </c>
      <c r="E134" t="s">
        <v>208</v>
      </c>
      <c r="F134">
        <v>4</v>
      </c>
      <c r="G134" t="s">
        <v>33</v>
      </c>
      <c r="H134">
        <v>39</v>
      </c>
      <c r="I134" s="12" t="s">
        <v>34</v>
      </c>
      <c r="J134" s="12" t="s">
        <v>360</v>
      </c>
      <c r="K134" s="12" t="s">
        <v>60</v>
      </c>
      <c r="L134" s="12" t="s">
        <v>506</v>
      </c>
      <c r="M134" s="12" t="s">
        <v>37</v>
      </c>
      <c r="N134" s="14">
        <v>0.13</v>
      </c>
      <c r="O134" s="23">
        <v>950.04</v>
      </c>
      <c r="P134">
        <v>177.98</v>
      </c>
      <c r="Q134" s="12" t="str" cm="1">
        <f t="array" ref="Q134:R134">VLOOKUP(E134,store[],{3,5},FALSE)</f>
        <v>North</v>
      </c>
      <c r="R134" t="str">
        <v>Online</v>
      </c>
      <c r="S134" s="4">
        <f t="shared" si="2"/>
        <v>3799.64</v>
      </c>
    </row>
    <row r="135" spans="1:19">
      <c r="A135" t="s">
        <v>507</v>
      </c>
      <c r="B135" s="3">
        <v>45910</v>
      </c>
      <c r="C135" t="s">
        <v>508</v>
      </c>
      <c r="D135" t="s">
        <v>509</v>
      </c>
      <c r="E135" t="s">
        <v>72</v>
      </c>
      <c r="F135">
        <v>2</v>
      </c>
      <c r="G135" t="s">
        <v>23</v>
      </c>
      <c r="H135">
        <v>62</v>
      </c>
      <c r="I135" s="12" t="s">
        <v>34</v>
      </c>
      <c r="J135" s="12" t="s">
        <v>510</v>
      </c>
      <c r="K135" s="12" t="s">
        <v>73</v>
      </c>
      <c r="L135" s="12" t="s">
        <v>511</v>
      </c>
      <c r="M135" s="12" t="s">
        <v>28</v>
      </c>
      <c r="N135" s="14">
        <v>7.0000000000000007E-2</v>
      </c>
      <c r="O135" s="23">
        <v>267.19</v>
      </c>
      <c r="P135">
        <v>30.62</v>
      </c>
      <c r="Q135" s="12" t="str" cm="1">
        <f t="array" ref="Q135:R135">VLOOKUP(E135,store[],{3,5},FALSE)</f>
        <v>South</v>
      </c>
      <c r="R135" t="str">
        <v>Online</v>
      </c>
      <c r="S135" s="4">
        <f t="shared" si="2"/>
        <v>534.24</v>
      </c>
    </row>
    <row r="136" spans="1:19">
      <c r="A136" t="s">
        <v>512</v>
      </c>
      <c r="B136" s="3">
        <v>45827</v>
      </c>
      <c r="C136" t="s">
        <v>513</v>
      </c>
      <c r="D136" t="s">
        <v>514</v>
      </c>
      <c r="E136" t="s">
        <v>122</v>
      </c>
      <c r="F136">
        <v>4</v>
      </c>
      <c r="G136" t="s">
        <v>33</v>
      </c>
      <c r="H136">
        <v>25</v>
      </c>
      <c r="I136" s="12" t="s">
        <v>34</v>
      </c>
      <c r="J136" s="12" t="s">
        <v>209</v>
      </c>
      <c r="K136" s="12" t="s">
        <v>73</v>
      </c>
      <c r="L136" s="12" t="s">
        <v>515</v>
      </c>
      <c r="M136" s="12" t="s">
        <v>75</v>
      </c>
      <c r="N136" s="14">
        <v>0.06</v>
      </c>
      <c r="O136" s="23">
        <v>72.63</v>
      </c>
      <c r="P136">
        <v>371.38</v>
      </c>
      <c r="Q136" s="12" t="str" cm="1">
        <f t="array" ref="Q136:R136">VLOOKUP(E136,store[],{3,5},FALSE)</f>
        <v>North</v>
      </c>
      <c r="R136" t="str">
        <v>Flagship</v>
      </c>
      <c r="S136" s="4">
        <f t="shared" si="2"/>
        <v>290.27999999999997</v>
      </c>
    </row>
    <row r="137" spans="1:19">
      <c r="A137" t="s">
        <v>516</v>
      </c>
      <c r="B137" s="3">
        <v>45544</v>
      </c>
      <c r="C137" t="s">
        <v>517</v>
      </c>
      <c r="D137" t="s">
        <v>207</v>
      </c>
      <c r="E137" t="s">
        <v>58</v>
      </c>
      <c r="F137">
        <v>3</v>
      </c>
      <c r="G137" t="s">
        <v>50</v>
      </c>
      <c r="H137">
        <v>18</v>
      </c>
      <c r="I137" s="12" t="s">
        <v>34</v>
      </c>
      <c r="J137" s="12" t="s">
        <v>193</v>
      </c>
      <c r="K137" s="12" t="s">
        <v>26</v>
      </c>
      <c r="L137" s="12" t="s">
        <v>210</v>
      </c>
      <c r="M137" s="12" t="s">
        <v>130</v>
      </c>
      <c r="N137" s="14">
        <v>0.22</v>
      </c>
      <c r="O137" s="23">
        <v>576.52</v>
      </c>
      <c r="P137">
        <v>386.56</v>
      </c>
      <c r="Q137" s="12" t="str" cm="1">
        <f t="array" ref="Q137:R137">VLOOKUP(E137,store[],{3,5},FALSE)</f>
        <v>North</v>
      </c>
      <c r="R137" t="str">
        <v>Outlet</v>
      </c>
      <c r="S137" s="4">
        <f t="shared" si="2"/>
        <v>1728.9</v>
      </c>
    </row>
    <row r="138" spans="1:19">
      <c r="A138" t="s">
        <v>518</v>
      </c>
      <c r="B138" s="3">
        <v>45751</v>
      </c>
      <c r="C138" t="s">
        <v>519</v>
      </c>
      <c r="D138" t="s">
        <v>368</v>
      </c>
      <c r="E138" t="s">
        <v>127</v>
      </c>
      <c r="F138">
        <v>3</v>
      </c>
      <c r="G138" t="s">
        <v>23</v>
      </c>
      <c r="H138">
        <v>31</v>
      </c>
      <c r="I138" s="12" t="s">
        <v>24</v>
      </c>
      <c r="J138" s="12" t="s">
        <v>444</v>
      </c>
      <c r="K138" s="12" t="s">
        <v>73</v>
      </c>
      <c r="L138" s="12" t="s">
        <v>369</v>
      </c>
      <c r="M138" s="12" t="s">
        <v>46</v>
      </c>
      <c r="N138" s="14">
        <v>0.03</v>
      </c>
      <c r="O138" s="23">
        <v>849.36</v>
      </c>
      <c r="P138">
        <v>214.32</v>
      </c>
      <c r="Q138" s="12" t="str" cm="1">
        <f t="array" ref="Q138:R138">VLOOKUP(E138,store[],{3,5},FALSE)</f>
        <v>South</v>
      </c>
      <c r="R138" t="str">
        <v>Flagship</v>
      </c>
      <c r="S138" s="4">
        <f t="shared" si="2"/>
        <v>2547.9899999999998</v>
      </c>
    </row>
    <row r="139" spans="1:19">
      <c r="A139" t="s">
        <v>520</v>
      </c>
      <c r="B139" s="3">
        <v>45392</v>
      </c>
      <c r="C139" t="s">
        <v>521</v>
      </c>
      <c r="D139" t="s">
        <v>409</v>
      </c>
      <c r="E139" t="s">
        <v>179</v>
      </c>
      <c r="F139">
        <v>1</v>
      </c>
      <c r="G139" t="s">
        <v>50</v>
      </c>
      <c r="H139">
        <v>53</v>
      </c>
      <c r="I139" s="12" t="s">
        <v>24</v>
      </c>
      <c r="J139" s="12" t="s">
        <v>199</v>
      </c>
      <c r="K139" s="12" t="s">
        <v>73</v>
      </c>
      <c r="L139" s="12" t="s">
        <v>411</v>
      </c>
      <c r="M139" s="12" t="s">
        <v>28</v>
      </c>
      <c r="N139" s="14">
        <v>0.18</v>
      </c>
      <c r="O139" s="23">
        <v>245.85</v>
      </c>
      <c r="P139">
        <v>190.29</v>
      </c>
      <c r="Q139" s="12" t="str" cm="1">
        <f t="array" ref="Q139:R139">VLOOKUP(E139,store[],{3,5},FALSE)</f>
        <v>East</v>
      </c>
      <c r="R139" t="str">
        <v>Online</v>
      </c>
      <c r="S139" s="4">
        <f t="shared" si="2"/>
        <v>245.67</v>
      </c>
    </row>
    <row r="140" spans="1:19">
      <c r="A140" t="s">
        <v>522</v>
      </c>
      <c r="B140" s="3">
        <v>45589</v>
      </c>
      <c r="C140" t="s">
        <v>523</v>
      </c>
      <c r="D140" t="s">
        <v>21</v>
      </c>
      <c r="E140" t="s">
        <v>168</v>
      </c>
      <c r="F140">
        <v>3</v>
      </c>
      <c r="G140" t="s">
        <v>50</v>
      </c>
      <c r="H140">
        <v>33</v>
      </c>
      <c r="I140" s="12" t="s">
        <v>34</v>
      </c>
      <c r="J140" s="12" t="s">
        <v>457</v>
      </c>
      <c r="K140" s="12" t="s">
        <v>73</v>
      </c>
      <c r="L140" s="12" t="s">
        <v>27</v>
      </c>
      <c r="M140" s="12" t="s">
        <v>28</v>
      </c>
      <c r="N140" s="14">
        <v>0.1</v>
      </c>
      <c r="O140" s="23">
        <v>237.68</v>
      </c>
      <c r="P140">
        <v>245.98</v>
      </c>
      <c r="Q140" s="12" t="str" cm="1">
        <f t="array" ref="Q140:R140">VLOOKUP(E140,store[],{3,5},FALSE)</f>
        <v>East</v>
      </c>
      <c r="R140" t="str">
        <v>Online</v>
      </c>
      <c r="S140" s="4">
        <f t="shared" si="2"/>
        <v>712.74</v>
      </c>
    </row>
    <row r="141" spans="1:19">
      <c r="A141" t="s">
        <v>524</v>
      </c>
      <c r="B141" s="3">
        <v>45756</v>
      </c>
      <c r="C141" t="s">
        <v>525</v>
      </c>
      <c r="D141" t="s">
        <v>368</v>
      </c>
      <c r="E141" t="s">
        <v>98</v>
      </c>
      <c r="F141">
        <v>4</v>
      </c>
      <c r="G141" t="s">
        <v>33</v>
      </c>
      <c r="H141">
        <v>40</v>
      </c>
      <c r="I141" s="12" t="s">
        <v>34</v>
      </c>
      <c r="J141" s="12" t="s">
        <v>256</v>
      </c>
      <c r="K141" s="12" t="s">
        <v>73</v>
      </c>
      <c r="L141" s="12" t="s">
        <v>369</v>
      </c>
      <c r="M141" s="12" t="s">
        <v>46</v>
      </c>
      <c r="N141" s="14">
        <v>0.25</v>
      </c>
      <c r="O141" s="23">
        <v>715.85</v>
      </c>
      <c r="P141">
        <v>214.32</v>
      </c>
      <c r="Q141" s="12" t="str" cm="1">
        <f t="array" ref="Q141:R141">VLOOKUP(E141,store[],{3,5},FALSE)</f>
        <v>South</v>
      </c>
      <c r="R141" t="str">
        <v>Outlet</v>
      </c>
      <c r="S141" s="4">
        <f t="shared" si="2"/>
        <v>2862.4</v>
      </c>
    </row>
    <row r="142" spans="1:19">
      <c r="A142" t="s">
        <v>526</v>
      </c>
      <c r="B142" s="3">
        <v>45255</v>
      </c>
      <c r="C142" t="s">
        <v>527</v>
      </c>
      <c r="D142" t="s">
        <v>453</v>
      </c>
      <c r="E142" t="s">
        <v>58</v>
      </c>
      <c r="F142">
        <v>2</v>
      </c>
      <c r="G142" t="s">
        <v>50</v>
      </c>
      <c r="H142">
        <v>44</v>
      </c>
      <c r="I142" s="12" t="s">
        <v>34</v>
      </c>
      <c r="J142" s="12" t="s">
        <v>260</v>
      </c>
      <c r="K142" s="12" t="s">
        <v>52</v>
      </c>
      <c r="L142" s="12" t="s">
        <v>454</v>
      </c>
      <c r="M142" s="12" t="s">
        <v>37</v>
      </c>
      <c r="N142" s="14">
        <v>0.01</v>
      </c>
      <c r="O142" s="23">
        <v>478.85</v>
      </c>
      <c r="P142">
        <v>340.14</v>
      </c>
      <c r="Q142" s="12" t="str" cm="1">
        <f t="array" ref="Q142:R142">VLOOKUP(E142,store[],{3,5},FALSE)</f>
        <v>North</v>
      </c>
      <c r="R142" t="str">
        <v>Outlet</v>
      </c>
      <c r="S142" s="4">
        <f t="shared" si="2"/>
        <v>957.68</v>
      </c>
    </row>
    <row r="143" spans="1:19">
      <c r="A143" t="s">
        <v>528</v>
      </c>
      <c r="B143" s="3">
        <v>45718</v>
      </c>
      <c r="C143" t="s">
        <v>529</v>
      </c>
      <c r="D143" t="s">
        <v>302</v>
      </c>
      <c r="E143" t="s">
        <v>90</v>
      </c>
      <c r="F143">
        <v>1</v>
      </c>
      <c r="G143" t="s">
        <v>50</v>
      </c>
      <c r="H143">
        <v>51</v>
      </c>
      <c r="I143" s="12" t="s">
        <v>24</v>
      </c>
      <c r="J143" s="12" t="s">
        <v>222</v>
      </c>
      <c r="K143" s="12" t="s">
        <v>26</v>
      </c>
      <c r="L143" s="12" t="s">
        <v>303</v>
      </c>
      <c r="M143" s="12" t="s">
        <v>46</v>
      </c>
      <c r="N143" s="14">
        <v>0.26</v>
      </c>
      <c r="O143" s="23">
        <v>503.95</v>
      </c>
      <c r="P143">
        <v>255.04901960784301</v>
      </c>
      <c r="Q143" s="12" t="str" cm="1">
        <f t="array" ref="Q143:R143">VLOOKUP(E143,store[],{3,5},FALSE)</f>
        <v>East</v>
      </c>
      <c r="R143" t="str">
        <v>Flagship</v>
      </c>
      <c r="S143" s="4">
        <f t="shared" si="2"/>
        <v>503.69</v>
      </c>
    </row>
    <row r="144" spans="1:19">
      <c r="A144" t="s">
        <v>530</v>
      </c>
      <c r="B144" s="3">
        <v>45573</v>
      </c>
      <c r="C144" t="s">
        <v>531</v>
      </c>
      <c r="D144" t="s">
        <v>532</v>
      </c>
      <c r="E144" t="s">
        <v>208</v>
      </c>
      <c r="F144">
        <v>2</v>
      </c>
      <c r="G144" t="s">
        <v>50</v>
      </c>
      <c r="H144">
        <v>27</v>
      </c>
      <c r="I144" s="12" t="s">
        <v>24</v>
      </c>
      <c r="J144" s="12" t="s">
        <v>193</v>
      </c>
      <c r="K144" s="12" t="s">
        <v>73</v>
      </c>
      <c r="L144" s="12" t="s">
        <v>533</v>
      </c>
      <c r="M144" s="12" t="s">
        <v>46</v>
      </c>
      <c r="N144" s="14">
        <v>0.26</v>
      </c>
      <c r="O144" s="23">
        <v>975.48</v>
      </c>
      <c r="P144">
        <v>340.39</v>
      </c>
      <c r="Q144" s="12" t="str" cm="1">
        <f t="array" ref="Q144:R144">VLOOKUP(E144,store[],{3,5},FALSE)</f>
        <v>North</v>
      </c>
      <c r="R144" t="str">
        <v>Online</v>
      </c>
      <c r="S144" s="4">
        <f t="shared" si="2"/>
        <v>1950.44</v>
      </c>
    </row>
    <row r="145" spans="1:19">
      <c r="A145" t="s">
        <v>534</v>
      </c>
      <c r="B145" s="3">
        <v>45884</v>
      </c>
      <c r="C145" t="s">
        <v>535</v>
      </c>
      <c r="D145" t="s">
        <v>116</v>
      </c>
      <c r="E145" t="s">
        <v>117</v>
      </c>
      <c r="F145">
        <v>4</v>
      </c>
      <c r="G145" t="s">
        <v>50</v>
      </c>
      <c r="H145">
        <v>51</v>
      </c>
      <c r="I145" s="12" t="s">
        <v>34</v>
      </c>
      <c r="J145" s="12" t="s">
        <v>99</v>
      </c>
      <c r="K145" s="12" t="s">
        <v>52</v>
      </c>
      <c r="L145" s="12" t="s">
        <v>119</v>
      </c>
      <c r="M145" s="12" t="s">
        <v>37</v>
      </c>
      <c r="N145" s="14">
        <v>0.28999999999999998</v>
      </c>
      <c r="O145" s="23">
        <v>450.12</v>
      </c>
      <c r="P145">
        <v>419.28</v>
      </c>
      <c r="Q145" s="12" t="str" cm="1">
        <f t="array" ref="Q145:R145">VLOOKUP(E145,store[],{3,5},FALSE)</f>
        <v>West</v>
      </c>
      <c r="R145" t="str">
        <v>Flagship</v>
      </c>
      <c r="S145" s="4">
        <f t="shared" si="2"/>
        <v>1799.32</v>
      </c>
    </row>
    <row r="146" spans="1:19">
      <c r="A146" t="s">
        <v>536</v>
      </c>
      <c r="B146" s="3">
        <v>45448</v>
      </c>
      <c r="C146" t="s">
        <v>125</v>
      </c>
      <c r="D146" t="s">
        <v>126</v>
      </c>
      <c r="E146" t="s">
        <v>43</v>
      </c>
      <c r="F146">
        <v>3</v>
      </c>
      <c r="G146" t="s">
        <v>33</v>
      </c>
      <c r="H146">
        <v>37</v>
      </c>
      <c r="I146" s="12" t="s">
        <v>34</v>
      </c>
      <c r="J146" s="12" t="s">
        <v>128</v>
      </c>
      <c r="K146" s="12" t="s">
        <v>60</v>
      </c>
      <c r="L146" s="12" t="s">
        <v>129</v>
      </c>
      <c r="M146" s="12" t="s">
        <v>130</v>
      </c>
      <c r="N146" s="14">
        <v>0.24</v>
      </c>
      <c r="O146" s="23">
        <v>237.24</v>
      </c>
      <c r="P146">
        <v>223.43</v>
      </c>
      <c r="Q146" s="12" t="str" cm="1">
        <f t="array" ref="Q146:R146">VLOOKUP(E146,store[],{3,5},FALSE)</f>
        <v>West</v>
      </c>
      <c r="R146" t="str">
        <v>Online</v>
      </c>
      <c r="S146" s="4">
        <f t="shared" si="2"/>
        <v>711</v>
      </c>
    </row>
    <row r="147" spans="1:19">
      <c r="A147" t="s">
        <v>537</v>
      </c>
      <c r="B147" s="3">
        <v>45522</v>
      </c>
      <c r="C147" t="s">
        <v>538</v>
      </c>
      <c r="D147" t="s">
        <v>420</v>
      </c>
      <c r="E147" t="s">
        <v>122</v>
      </c>
      <c r="F147">
        <v>2</v>
      </c>
      <c r="G147" t="s">
        <v>50</v>
      </c>
      <c r="H147">
        <v>29</v>
      </c>
      <c r="I147" s="12" t="s">
        <v>34</v>
      </c>
      <c r="J147" s="12" t="s">
        <v>457</v>
      </c>
      <c r="K147" s="12" t="s">
        <v>26</v>
      </c>
      <c r="L147" s="12" t="s">
        <v>421</v>
      </c>
      <c r="M147" s="12" t="s">
        <v>28</v>
      </c>
      <c r="N147" s="14">
        <v>0.09</v>
      </c>
      <c r="O147" s="23">
        <v>536.84</v>
      </c>
      <c r="P147">
        <v>434.84</v>
      </c>
      <c r="Q147" s="12" t="str" cm="1">
        <f t="array" ref="Q147:R147">VLOOKUP(E147,store[],{3,5},FALSE)</f>
        <v>North</v>
      </c>
      <c r="R147" t="str">
        <v>Flagship</v>
      </c>
      <c r="S147" s="4">
        <f t="shared" si="2"/>
        <v>1073.5</v>
      </c>
    </row>
    <row r="148" spans="1:19">
      <c r="A148" t="s">
        <v>539</v>
      </c>
      <c r="B148" s="3">
        <v>45626</v>
      </c>
      <c r="C148" t="s">
        <v>115</v>
      </c>
      <c r="D148" t="s">
        <v>126</v>
      </c>
      <c r="E148" t="s">
        <v>135</v>
      </c>
      <c r="F148">
        <v>3</v>
      </c>
      <c r="G148" t="s">
        <v>50</v>
      </c>
      <c r="H148">
        <v>51</v>
      </c>
      <c r="I148" s="12" t="s">
        <v>24</v>
      </c>
      <c r="J148" s="12" t="s">
        <v>118</v>
      </c>
      <c r="K148" s="12" t="s">
        <v>60</v>
      </c>
      <c r="L148" s="12" t="s">
        <v>129</v>
      </c>
      <c r="M148" s="12" t="s">
        <v>130</v>
      </c>
      <c r="N148" s="14">
        <v>0</v>
      </c>
      <c r="O148" s="23">
        <v>584.41</v>
      </c>
      <c r="P148">
        <v>223.43</v>
      </c>
      <c r="Q148" s="12" t="str" cm="1">
        <f t="array" ref="Q148:R148">VLOOKUP(E148,store[],{3,5},FALSE)</f>
        <v>East</v>
      </c>
      <c r="R148" t="str">
        <v>Online</v>
      </c>
      <c r="S148" s="4">
        <f t="shared" si="2"/>
        <v>1753.23</v>
      </c>
    </row>
    <row r="149" spans="1:19">
      <c r="A149" t="s">
        <v>540</v>
      </c>
      <c r="B149" s="3">
        <v>45617</v>
      </c>
      <c r="C149" t="s">
        <v>541</v>
      </c>
      <c r="D149" t="s">
        <v>542</v>
      </c>
      <c r="E149" t="s">
        <v>135</v>
      </c>
      <c r="F149">
        <v>1</v>
      </c>
      <c r="G149" t="s">
        <v>33</v>
      </c>
      <c r="H149">
        <v>29</v>
      </c>
      <c r="I149" s="12" t="s">
        <v>24</v>
      </c>
      <c r="J149" s="12" t="s">
        <v>111</v>
      </c>
      <c r="K149" s="12" t="s">
        <v>52</v>
      </c>
      <c r="L149" s="12" t="s">
        <v>543</v>
      </c>
      <c r="M149" s="12" t="s">
        <v>28</v>
      </c>
      <c r="N149" s="14">
        <v>0.14000000000000001</v>
      </c>
      <c r="O149" s="23">
        <v>653.87</v>
      </c>
      <c r="P149">
        <v>152.91999999999999</v>
      </c>
      <c r="Q149" s="12" t="str" cm="1">
        <f t="array" ref="Q149:R149">VLOOKUP(E149,store[],{3,5},FALSE)</f>
        <v>East</v>
      </c>
      <c r="R149" t="str">
        <v>Online</v>
      </c>
      <c r="S149" s="4">
        <f t="shared" si="2"/>
        <v>653.73</v>
      </c>
    </row>
    <row r="150" spans="1:19">
      <c r="A150" t="s">
        <v>544</v>
      </c>
      <c r="B150" s="3">
        <v>45878</v>
      </c>
      <c r="C150" t="s">
        <v>56</v>
      </c>
      <c r="D150" t="s">
        <v>514</v>
      </c>
      <c r="E150" t="s">
        <v>90</v>
      </c>
      <c r="F150">
        <v>1</v>
      </c>
      <c r="G150" t="s">
        <v>23</v>
      </c>
      <c r="H150">
        <v>28</v>
      </c>
      <c r="I150" s="12" t="s">
        <v>24</v>
      </c>
      <c r="J150" s="12" t="s">
        <v>59</v>
      </c>
      <c r="K150" s="12" t="s">
        <v>60</v>
      </c>
      <c r="L150" s="12" t="s">
        <v>515</v>
      </c>
      <c r="M150" s="12" t="s">
        <v>75</v>
      </c>
      <c r="N150" s="14">
        <v>0.27</v>
      </c>
      <c r="O150" s="23">
        <v>652.03</v>
      </c>
      <c r="P150">
        <v>371.38</v>
      </c>
      <c r="Q150" s="12" t="str" cm="1">
        <f t="array" ref="Q150:R150">VLOOKUP(E150,store[],{3,5},FALSE)</f>
        <v>East</v>
      </c>
      <c r="R150" t="str">
        <v>Flagship</v>
      </c>
      <c r="S150" s="4">
        <f t="shared" si="2"/>
        <v>651.76</v>
      </c>
    </row>
    <row r="151" spans="1:19">
      <c r="A151" t="s">
        <v>545</v>
      </c>
      <c r="B151" s="3">
        <v>45502</v>
      </c>
      <c r="C151" t="s">
        <v>546</v>
      </c>
      <c r="D151" t="s">
        <v>183</v>
      </c>
      <c r="E151" t="s">
        <v>208</v>
      </c>
      <c r="F151">
        <v>3</v>
      </c>
      <c r="G151" t="s">
        <v>50</v>
      </c>
      <c r="H151">
        <v>28</v>
      </c>
      <c r="I151" s="12" t="s">
        <v>34</v>
      </c>
      <c r="J151" s="12" t="s">
        <v>457</v>
      </c>
      <c r="K151" s="12" t="s">
        <v>26</v>
      </c>
      <c r="L151" s="12" t="s">
        <v>184</v>
      </c>
      <c r="M151" s="12" t="s">
        <v>130</v>
      </c>
      <c r="N151" s="14">
        <v>7.0000000000000007E-2</v>
      </c>
      <c r="O151" s="23">
        <v>513.36</v>
      </c>
      <c r="P151">
        <v>261</v>
      </c>
      <c r="Q151" s="12" t="str" cm="1">
        <f t="array" ref="Q151:R151">VLOOKUP(E151,store[],{3,5},FALSE)</f>
        <v>North</v>
      </c>
      <c r="R151" t="str">
        <v>Online</v>
      </c>
      <c r="S151" s="4">
        <f t="shared" si="2"/>
        <v>1539.87</v>
      </c>
    </row>
    <row r="152" spans="1:19">
      <c r="A152" t="s">
        <v>547</v>
      </c>
      <c r="B152" s="3">
        <v>45433</v>
      </c>
      <c r="C152" t="s">
        <v>548</v>
      </c>
      <c r="D152" t="s">
        <v>282</v>
      </c>
      <c r="E152" t="s">
        <v>58</v>
      </c>
      <c r="F152">
        <v>4</v>
      </c>
      <c r="G152" t="s">
        <v>50</v>
      </c>
      <c r="H152">
        <v>24</v>
      </c>
      <c r="I152" s="12" t="s">
        <v>34</v>
      </c>
      <c r="J152" s="12" t="s">
        <v>260</v>
      </c>
      <c r="K152" s="12" t="s">
        <v>60</v>
      </c>
      <c r="L152" s="12" t="s">
        <v>283</v>
      </c>
      <c r="M152" s="12" t="s">
        <v>28</v>
      </c>
      <c r="N152" s="14">
        <v>0.16</v>
      </c>
      <c r="O152" s="23">
        <v>355.64</v>
      </c>
      <c r="P152">
        <v>212.26</v>
      </c>
      <c r="Q152" s="12" t="str" cm="1">
        <f t="array" ref="Q152:R152">VLOOKUP(E152,store[],{3,5},FALSE)</f>
        <v>North</v>
      </c>
      <c r="R152" t="str">
        <v>Outlet</v>
      </c>
      <c r="S152" s="4">
        <f t="shared" si="2"/>
        <v>1421.92</v>
      </c>
    </row>
    <row r="153" spans="1:19">
      <c r="A153" t="s">
        <v>549</v>
      </c>
      <c r="B153" s="3">
        <v>45594</v>
      </c>
      <c r="C153" t="s">
        <v>550</v>
      </c>
      <c r="D153" t="s">
        <v>197</v>
      </c>
      <c r="E153" t="s">
        <v>43</v>
      </c>
      <c r="F153">
        <v>4</v>
      </c>
      <c r="G153" t="s">
        <v>33</v>
      </c>
      <c r="H153">
        <v>33</v>
      </c>
      <c r="I153" s="12" t="s">
        <v>34</v>
      </c>
      <c r="J153" s="12" t="s">
        <v>218</v>
      </c>
      <c r="K153" s="12" t="s">
        <v>60</v>
      </c>
      <c r="L153" s="12" t="s">
        <v>200</v>
      </c>
      <c r="M153" s="12" t="s">
        <v>37</v>
      </c>
      <c r="N153" s="14">
        <v>0.26</v>
      </c>
      <c r="O153" s="23">
        <v>535.4</v>
      </c>
      <c r="P153">
        <v>242.23</v>
      </c>
      <c r="Q153" s="12" t="str" cm="1">
        <f t="array" ref="Q153:R153">VLOOKUP(E153,store[],{3,5},FALSE)</f>
        <v>West</v>
      </c>
      <c r="R153" t="str">
        <v>Online</v>
      </c>
      <c r="S153" s="4">
        <f t="shared" si="2"/>
        <v>2140.56</v>
      </c>
    </row>
    <row r="154" spans="1:19">
      <c r="A154" t="s">
        <v>551</v>
      </c>
      <c r="B154" s="3">
        <v>45798</v>
      </c>
      <c r="C154" t="s">
        <v>552</v>
      </c>
      <c r="D154" t="s">
        <v>167</v>
      </c>
      <c r="E154" t="s">
        <v>135</v>
      </c>
      <c r="F154">
        <v>2</v>
      </c>
      <c r="G154" t="s">
        <v>33</v>
      </c>
      <c r="H154">
        <v>56</v>
      </c>
      <c r="I154" s="12" t="s">
        <v>34</v>
      </c>
      <c r="J154" s="12" t="s">
        <v>118</v>
      </c>
      <c r="K154" s="12" t="s">
        <v>26</v>
      </c>
      <c r="L154" s="12" t="s">
        <v>170</v>
      </c>
      <c r="M154" s="12" t="s">
        <v>130</v>
      </c>
      <c r="N154" s="14">
        <v>0.11</v>
      </c>
      <c r="O154" s="23">
        <v>108.74</v>
      </c>
      <c r="P154">
        <v>218.22</v>
      </c>
      <c r="Q154" s="12" t="str" cm="1">
        <f t="array" ref="Q154:R154">VLOOKUP(E154,store[],{3,5},FALSE)</f>
        <v>East</v>
      </c>
      <c r="R154" t="str">
        <v>Online</v>
      </c>
      <c r="S154" s="4">
        <f t="shared" si="2"/>
        <v>217.26</v>
      </c>
    </row>
    <row r="155" spans="1:19">
      <c r="A155" t="s">
        <v>553</v>
      </c>
      <c r="B155" s="3">
        <v>45579</v>
      </c>
      <c r="C155" t="s">
        <v>554</v>
      </c>
      <c r="D155" t="s">
        <v>555</v>
      </c>
      <c r="E155" t="s">
        <v>135</v>
      </c>
      <c r="F155">
        <v>3</v>
      </c>
      <c r="G155" t="s">
        <v>23</v>
      </c>
      <c r="H155">
        <v>53</v>
      </c>
      <c r="I155" s="12" t="s">
        <v>34</v>
      </c>
      <c r="J155" s="12" t="s">
        <v>91</v>
      </c>
      <c r="K155" s="12" t="s">
        <v>60</v>
      </c>
      <c r="L155" s="12" t="s">
        <v>556</v>
      </c>
      <c r="M155" s="12" t="s">
        <v>37</v>
      </c>
      <c r="N155" s="14">
        <v>0.16</v>
      </c>
      <c r="O155" s="23">
        <v>591.98</v>
      </c>
      <c r="P155">
        <v>449.4</v>
      </c>
      <c r="Q155" s="12" t="str" cm="1">
        <f t="array" ref="Q155:R155">VLOOKUP(E155,store[],{3,5},FALSE)</f>
        <v>East</v>
      </c>
      <c r="R155" t="str">
        <v>Online</v>
      </c>
      <c r="S155" s="4">
        <f t="shared" si="2"/>
        <v>1775.46</v>
      </c>
    </row>
    <row r="156" spans="1:19">
      <c r="A156" t="s">
        <v>557</v>
      </c>
      <c r="B156" s="3">
        <v>45613</v>
      </c>
      <c r="C156" t="s">
        <v>558</v>
      </c>
      <c r="D156" t="s">
        <v>505</v>
      </c>
      <c r="E156" t="s">
        <v>198</v>
      </c>
      <c r="F156">
        <v>1</v>
      </c>
      <c r="G156" t="s">
        <v>50</v>
      </c>
      <c r="H156">
        <v>18</v>
      </c>
      <c r="I156" s="12" t="s">
        <v>34</v>
      </c>
      <c r="J156" s="12" t="s">
        <v>378</v>
      </c>
      <c r="K156" s="12" t="s">
        <v>26</v>
      </c>
      <c r="L156" s="12" t="s">
        <v>506</v>
      </c>
      <c r="M156" s="12" t="s">
        <v>37</v>
      </c>
      <c r="N156" s="14">
        <v>0.13</v>
      </c>
      <c r="O156" s="23">
        <v>345.06</v>
      </c>
      <c r="P156">
        <v>177.98</v>
      </c>
      <c r="Q156" s="12" t="str" cm="1">
        <f t="array" ref="Q156:R156">VLOOKUP(E156,store[],{3,5},FALSE)</f>
        <v>South</v>
      </c>
      <c r="R156" t="str">
        <v>Outlet</v>
      </c>
      <c r="S156" s="4">
        <f t="shared" si="2"/>
        <v>344.93</v>
      </c>
    </row>
    <row r="157" spans="1:19">
      <c r="A157" t="s">
        <v>559</v>
      </c>
      <c r="B157" s="3">
        <v>45745</v>
      </c>
      <c r="C157" t="s">
        <v>560</v>
      </c>
      <c r="D157" t="s">
        <v>317</v>
      </c>
      <c r="E157" t="s">
        <v>208</v>
      </c>
      <c r="F157">
        <v>4</v>
      </c>
      <c r="G157" t="s">
        <v>23</v>
      </c>
      <c r="H157">
        <v>56</v>
      </c>
      <c r="I157" s="12" t="s">
        <v>34</v>
      </c>
      <c r="J157" s="12" t="s">
        <v>59</v>
      </c>
      <c r="K157" s="12" t="s">
        <v>73</v>
      </c>
      <c r="L157" s="12" t="s">
        <v>318</v>
      </c>
      <c r="M157" s="12" t="s">
        <v>37</v>
      </c>
      <c r="N157" s="14">
        <v>0.22</v>
      </c>
      <c r="O157" s="23">
        <v>986.41</v>
      </c>
      <c r="P157">
        <v>377.52</v>
      </c>
      <c r="Q157" s="12" t="str" cm="1">
        <f t="array" ref="Q157:R157">VLOOKUP(E157,store[],{3,5},FALSE)</f>
        <v>North</v>
      </c>
      <c r="R157" t="str">
        <v>Online</v>
      </c>
      <c r="S157" s="4">
        <f t="shared" si="2"/>
        <v>3944.76</v>
      </c>
    </row>
    <row r="158" spans="1:19">
      <c r="A158" t="s">
        <v>561</v>
      </c>
      <c r="B158" s="3">
        <v>45494</v>
      </c>
      <c r="C158" t="s">
        <v>562</v>
      </c>
      <c r="D158" t="s">
        <v>42</v>
      </c>
      <c r="E158" t="s">
        <v>90</v>
      </c>
      <c r="F158">
        <v>2</v>
      </c>
      <c r="G158" t="s">
        <v>33</v>
      </c>
      <c r="H158">
        <v>54</v>
      </c>
      <c r="I158" s="12" t="s">
        <v>24</v>
      </c>
      <c r="J158" s="12" t="s">
        <v>231</v>
      </c>
      <c r="K158" s="12" t="s">
        <v>52</v>
      </c>
      <c r="L158" s="12" t="s">
        <v>45</v>
      </c>
      <c r="M158" s="12" t="s">
        <v>46</v>
      </c>
      <c r="N158" s="14">
        <v>0</v>
      </c>
      <c r="O158" s="23">
        <v>921.52</v>
      </c>
      <c r="P158">
        <v>43.29</v>
      </c>
      <c r="Q158" s="12" t="str" cm="1">
        <f t="array" ref="Q158:R158">VLOOKUP(E158,store[],{3,5},FALSE)</f>
        <v>East</v>
      </c>
      <c r="R158" t="str">
        <v>Flagship</v>
      </c>
      <c r="S158" s="4">
        <f t="shared" si="2"/>
        <v>1843.04</v>
      </c>
    </row>
    <row r="159" spans="1:19">
      <c r="A159" t="s">
        <v>563</v>
      </c>
      <c r="B159" s="3">
        <v>45883</v>
      </c>
      <c r="C159" t="s">
        <v>428</v>
      </c>
      <c r="D159" t="s">
        <v>564</v>
      </c>
      <c r="E159" t="s">
        <v>58</v>
      </c>
      <c r="F159">
        <v>1</v>
      </c>
      <c r="G159" t="s">
        <v>33</v>
      </c>
      <c r="H159">
        <v>36</v>
      </c>
      <c r="I159" s="12" t="s">
        <v>24</v>
      </c>
      <c r="J159" s="12" t="s">
        <v>345</v>
      </c>
      <c r="K159" s="12" t="s">
        <v>60</v>
      </c>
      <c r="L159" s="12" t="s">
        <v>565</v>
      </c>
      <c r="M159" s="12" t="s">
        <v>75</v>
      </c>
      <c r="N159" s="14">
        <v>0.04</v>
      </c>
      <c r="O159" s="23">
        <v>83.1</v>
      </c>
      <c r="P159">
        <v>81.75</v>
      </c>
      <c r="Q159" s="12" t="str" cm="1">
        <f t="array" ref="Q159:R159">VLOOKUP(E159,store[],{3,5},FALSE)</f>
        <v>North</v>
      </c>
      <c r="R159" t="str">
        <v>Outlet</v>
      </c>
      <c r="S159" s="4">
        <f t="shared" si="2"/>
        <v>83.06</v>
      </c>
    </row>
    <row r="160" spans="1:19">
      <c r="A160" t="s">
        <v>566</v>
      </c>
      <c r="B160" s="3">
        <v>45601</v>
      </c>
      <c r="C160" t="s">
        <v>423</v>
      </c>
      <c r="D160" t="s">
        <v>567</v>
      </c>
      <c r="E160" t="s">
        <v>272</v>
      </c>
      <c r="F160">
        <v>2</v>
      </c>
      <c r="G160" t="s">
        <v>33</v>
      </c>
      <c r="H160">
        <v>20</v>
      </c>
      <c r="I160" s="12" t="s">
        <v>34</v>
      </c>
      <c r="J160" s="12" t="s">
        <v>35</v>
      </c>
      <c r="K160" s="12" t="s">
        <v>52</v>
      </c>
      <c r="L160" s="12" t="s">
        <v>568</v>
      </c>
      <c r="M160" s="12" t="s">
        <v>28</v>
      </c>
      <c r="N160" s="14">
        <v>0.23</v>
      </c>
      <c r="O160" s="23">
        <v>60.98</v>
      </c>
      <c r="P160">
        <v>38.76</v>
      </c>
      <c r="Q160" s="12" t="str" cm="1">
        <f t="array" ref="Q160:R160">VLOOKUP(E160,store[],{3,5},FALSE)</f>
        <v>South</v>
      </c>
      <c r="R160" t="str">
        <v>Online</v>
      </c>
      <c r="S160" s="4">
        <f t="shared" si="2"/>
        <v>121.5</v>
      </c>
    </row>
    <row r="161" spans="1:19">
      <c r="A161" t="s">
        <v>569</v>
      </c>
      <c r="B161" s="3">
        <v>45454</v>
      </c>
      <c r="C161" t="s">
        <v>570</v>
      </c>
      <c r="D161" t="s">
        <v>287</v>
      </c>
      <c r="E161" t="s">
        <v>117</v>
      </c>
      <c r="F161">
        <v>2</v>
      </c>
      <c r="G161" t="s">
        <v>50</v>
      </c>
      <c r="H161">
        <v>43</v>
      </c>
      <c r="I161" s="12" t="s">
        <v>34</v>
      </c>
      <c r="J161" s="12" t="s">
        <v>440</v>
      </c>
      <c r="K161" s="12" t="s">
        <v>73</v>
      </c>
      <c r="L161" s="12" t="s">
        <v>288</v>
      </c>
      <c r="M161" s="12" t="s">
        <v>46</v>
      </c>
      <c r="N161" s="14">
        <v>0.21</v>
      </c>
      <c r="O161" s="23">
        <v>122.23</v>
      </c>
      <c r="P161">
        <v>183.04</v>
      </c>
      <c r="Q161" s="12" t="str" cm="1">
        <f t="array" ref="Q161:R161">VLOOKUP(E161,store[],{3,5},FALSE)</f>
        <v>West</v>
      </c>
      <c r="R161" t="str">
        <v>Flagship</v>
      </c>
      <c r="S161" s="4">
        <f t="shared" si="2"/>
        <v>244.04</v>
      </c>
    </row>
    <row r="162" spans="1:19">
      <c r="A162" t="s">
        <v>571</v>
      </c>
      <c r="B162" s="3">
        <v>45918</v>
      </c>
      <c r="C162" t="s">
        <v>572</v>
      </c>
      <c r="D162" t="s">
        <v>79</v>
      </c>
      <c r="E162" t="s">
        <v>160</v>
      </c>
      <c r="F162">
        <v>2</v>
      </c>
      <c r="G162" t="s">
        <v>23</v>
      </c>
      <c r="H162">
        <v>59</v>
      </c>
      <c r="I162" s="12" t="s">
        <v>24</v>
      </c>
      <c r="J162" s="12" t="s">
        <v>373</v>
      </c>
      <c r="K162" s="12" t="s">
        <v>60</v>
      </c>
      <c r="L162" s="12" t="s">
        <v>81</v>
      </c>
      <c r="M162" s="12" t="s">
        <v>75</v>
      </c>
      <c r="N162" s="14">
        <v>0.13</v>
      </c>
      <c r="O162" s="23">
        <v>623.38</v>
      </c>
      <c r="P162">
        <v>138.05000000000001</v>
      </c>
      <c r="Q162" s="12" t="str" cm="1">
        <f t="array" ref="Q162:R162">VLOOKUP(E162,store[],{3,5},FALSE)</f>
        <v>East</v>
      </c>
      <c r="R162" t="str">
        <v>Flagship</v>
      </c>
      <c r="S162" s="4">
        <f t="shared" si="2"/>
        <v>1246.5</v>
      </c>
    </row>
    <row r="163" spans="1:19">
      <c r="A163" t="s">
        <v>573</v>
      </c>
      <c r="B163" s="3">
        <v>45729</v>
      </c>
      <c r="C163" t="s">
        <v>335</v>
      </c>
      <c r="D163" t="s">
        <v>79</v>
      </c>
      <c r="E163" t="s">
        <v>90</v>
      </c>
      <c r="F163">
        <v>1</v>
      </c>
      <c r="G163" t="s">
        <v>33</v>
      </c>
      <c r="H163">
        <v>51</v>
      </c>
      <c r="I163" s="12" t="s">
        <v>24</v>
      </c>
      <c r="J163" s="12" t="s">
        <v>336</v>
      </c>
      <c r="K163" s="12" t="s">
        <v>52</v>
      </c>
      <c r="L163" s="12" t="s">
        <v>81</v>
      </c>
      <c r="M163" s="12" t="s">
        <v>75</v>
      </c>
      <c r="N163" s="14">
        <v>0.05</v>
      </c>
      <c r="O163" s="23">
        <v>479.58</v>
      </c>
      <c r="P163">
        <v>138.05000000000001</v>
      </c>
      <c r="Q163" s="12" t="str" cm="1">
        <f t="array" ref="Q163:R163">VLOOKUP(E163,store[],{3,5},FALSE)</f>
        <v>East</v>
      </c>
      <c r="R163" t="str">
        <v>Flagship</v>
      </c>
      <c r="S163" s="4">
        <f t="shared" si="2"/>
        <v>479.53</v>
      </c>
    </row>
    <row r="164" spans="1:19">
      <c r="A164" t="s">
        <v>574</v>
      </c>
      <c r="B164" s="3">
        <v>45276</v>
      </c>
      <c r="C164" t="s">
        <v>404</v>
      </c>
      <c r="D164" t="s">
        <v>575</v>
      </c>
      <c r="E164" t="s">
        <v>179</v>
      </c>
      <c r="F164">
        <v>3</v>
      </c>
      <c r="G164" t="s">
        <v>33</v>
      </c>
      <c r="H164">
        <v>64</v>
      </c>
      <c r="I164" s="12" t="s">
        <v>24</v>
      </c>
      <c r="J164" s="12" t="s">
        <v>193</v>
      </c>
      <c r="K164" s="12" t="s">
        <v>52</v>
      </c>
      <c r="L164" s="12" t="s">
        <v>576</v>
      </c>
      <c r="M164" s="12" t="s">
        <v>28</v>
      </c>
      <c r="N164" s="14">
        <v>0.14000000000000001</v>
      </c>
      <c r="O164" s="23">
        <v>369.32</v>
      </c>
      <c r="P164">
        <v>107.06</v>
      </c>
      <c r="Q164" s="12" t="str" cm="1">
        <f t="array" ref="Q164:R164">VLOOKUP(E164,store[],{3,5},FALSE)</f>
        <v>East</v>
      </c>
      <c r="R164" t="str">
        <v>Online</v>
      </c>
      <c r="S164" s="4">
        <f t="shared" si="2"/>
        <v>1107.54</v>
      </c>
    </row>
    <row r="165" spans="1:19">
      <c r="A165" t="s">
        <v>577</v>
      </c>
      <c r="B165" s="3">
        <v>45851</v>
      </c>
      <c r="C165" t="s">
        <v>578</v>
      </c>
      <c r="D165" t="s">
        <v>579</v>
      </c>
      <c r="E165" t="s">
        <v>105</v>
      </c>
      <c r="F165">
        <v>1</v>
      </c>
      <c r="G165" t="s">
        <v>33</v>
      </c>
      <c r="H165">
        <v>37</v>
      </c>
      <c r="I165" s="12" t="s">
        <v>24</v>
      </c>
      <c r="J165" s="12" t="s">
        <v>169</v>
      </c>
      <c r="K165" s="12" t="s">
        <v>26</v>
      </c>
      <c r="L165" s="12" t="s">
        <v>580</v>
      </c>
      <c r="M165" s="12" t="s">
        <v>46</v>
      </c>
      <c r="N165" s="14">
        <v>0.03</v>
      </c>
      <c r="O165" s="23">
        <v>488.31</v>
      </c>
      <c r="P165">
        <v>283.83</v>
      </c>
      <c r="Q165" s="12" t="str" cm="1">
        <f t="array" ref="Q165:R165">VLOOKUP(E165,store[],{3,5},FALSE)</f>
        <v>North</v>
      </c>
      <c r="R165" t="str">
        <v>Flagship</v>
      </c>
      <c r="S165" s="4">
        <f t="shared" si="2"/>
        <v>488.28</v>
      </c>
    </row>
    <row r="166" spans="1:19">
      <c r="A166" t="s">
        <v>581</v>
      </c>
      <c r="B166" s="3">
        <v>45418</v>
      </c>
      <c r="C166" t="s">
        <v>133</v>
      </c>
      <c r="D166" t="s">
        <v>420</v>
      </c>
      <c r="E166" t="s">
        <v>208</v>
      </c>
      <c r="F166">
        <v>4</v>
      </c>
      <c r="G166" t="s">
        <v>23</v>
      </c>
      <c r="H166">
        <v>38</v>
      </c>
      <c r="I166" s="12" t="s">
        <v>24</v>
      </c>
      <c r="J166" s="12" t="s">
        <v>99</v>
      </c>
      <c r="K166" s="12" t="s">
        <v>26</v>
      </c>
      <c r="L166" s="12" t="s">
        <v>421</v>
      </c>
      <c r="M166" s="12" t="s">
        <v>28</v>
      </c>
      <c r="N166" s="14">
        <v>0.26</v>
      </c>
      <c r="O166" s="23">
        <v>164.04</v>
      </c>
      <c r="P166">
        <v>434.84</v>
      </c>
      <c r="Q166" s="12" t="str" cm="1">
        <f t="array" ref="Q166:R166">VLOOKUP(E166,store[],{3,5},FALSE)</f>
        <v>North</v>
      </c>
      <c r="R166" t="str">
        <v>Online</v>
      </c>
      <c r="S166" s="4">
        <f t="shared" si="2"/>
        <v>655.12</v>
      </c>
    </row>
    <row r="167" spans="1:19">
      <c r="A167" t="s">
        <v>582</v>
      </c>
      <c r="B167" s="3">
        <v>45508</v>
      </c>
      <c r="C167" t="s">
        <v>583</v>
      </c>
      <c r="D167" t="s">
        <v>234</v>
      </c>
      <c r="E167" t="s">
        <v>32</v>
      </c>
      <c r="F167">
        <v>3</v>
      </c>
      <c r="G167" t="s">
        <v>33</v>
      </c>
      <c r="H167">
        <v>56</v>
      </c>
      <c r="I167" s="12" t="s">
        <v>34</v>
      </c>
      <c r="J167" s="12" t="s">
        <v>356</v>
      </c>
      <c r="K167" s="12" t="s">
        <v>60</v>
      </c>
      <c r="L167" s="12" t="s">
        <v>236</v>
      </c>
      <c r="M167" s="12" t="s">
        <v>75</v>
      </c>
      <c r="N167" s="14">
        <v>0.18</v>
      </c>
      <c r="O167" s="23">
        <v>707.95</v>
      </c>
      <c r="P167">
        <v>298.86</v>
      </c>
      <c r="Q167" s="12" t="str" cm="1">
        <f t="array" ref="Q167:R167">VLOOKUP(E167,store[],{3,5},FALSE)</f>
        <v>North</v>
      </c>
      <c r="R167" t="str">
        <v>Flagship</v>
      </c>
      <c r="S167" s="4">
        <f t="shared" si="2"/>
        <v>2123.31</v>
      </c>
    </row>
    <row r="168" spans="1:19">
      <c r="A168" t="s">
        <v>584</v>
      </c>
      <c r="B168" s="3">
        <v>45269</v>
      </c>
      <c r="C168" t="s">
        <v>585</v>
      </c>
      <c r="D168" t="s">
        <v>167</v>
      </c>
      <c r="E168" t="s">
        <v>43</v>
      </c>
      <c r="F168">
        <v>4</v>
      </c>
      <c r="G168" t="s">
        <v>50</v>
      </c>
      <c r="H168">
        <v>19</v>
      </c>
      <c r="I168" s="12" t="s">
        <v>34</v>
      </c>
      <c r="J168" s="12" t="s">
        <v>333</v>
      </c>
      <c r="K168" s="12" t="s">
        <v>73</v>
      </c>
      <c r="L168" s="12" t="s">
        <v>170</v>
      </c>
      <c r="M168" s="12" t="s">
        <v>130</v>
      </c>
      <c r="N168" s="14">
        <v>0.18</v>
      </c>
      <c r="O168" s="23">
        <v>714.47</v>
      </c>
      <c r="P168">
        <v>218.22</v>
      </c>
      <c r="Q168" s="12" t="str" cm="1">
        <f t="array" ref="Q168:R168">VLOOKUP(E168,store[],{3,5},FALSE)</f>
        <v>West</v>
      </c>
      <c r="R168" t="str">
        <v>Online</v>
      </c>
      <c r="S168" s="4">
        <f t="shared" si="2"/>
        <v>2857.16</v>
      </c>
    </row>
    <row r="169" spans="1:19">
      <c r="A169" t="s">
        <v>586</v>
      </c>
      <c r="B169" s="3">
        <v>45866</v>
      </c>
      <c r="C169" t="s">
        <v>587</v>
      </c>
      <c r="D169" t="s">
        <v>221</v>
      </c>
      <c r="E169" t="s">
        <v>66</v>
      </c>
      <c r="F169">
        <v>4</v>
      </c>
      <c r="G169" t="s">
        <v>23</v>
      </c>
      <c r="H169">
        <v>26</v>
      </c>
      <c r="I169" s="12" t="s">
        <v>34</v>
      </c>
      <c r="J169" s="12" t="s">
        <v>444</v>
      </c>
      <c r="K169" s="12" t="s">
        <v>60</v>
      </c>
      <c r="L169" s="12" t="s">
        <v>223</v>
      </c>
      <c r="M169" s="12" t="s">
        <v>75</v>
      </c>
      <c r="N169" s="14">
        <v>0.04</v>
      </c>
      <c r="O169" s="23">
        <v>422.09</v>
      </c>
      <c r="P169">
        <v>228.53</v>
      </c>
      <c r="Q169" s="12" t="str" cm="1">
        <f t="array" ref="Q169:R169">VLOOKUP(E169,store[],{3,5},FALSE)</f>
        <v>South</v>
      </c>
      <c r="R169" t="str">
        <v>Online</v>
      </c>
      <c r="S169" s="4">
        <f t="shared" si="2"/>
        <v>1688.2</v>
      </c>
    </row>
    <row r="170" spans="1:19">
      <c r="A170" t="s">
        <v>588</v>
      </c>
      <c r="B170" s="3">
        <v>45462</v>
      </c>
      <c r="C170" t="s">
        <v>589</v>
      </c>
      <c r="D170" t="s">
        <v>271</v>
      </c>
      <c r="E170" t="s">
        <v>127</v>
      </c>
      <c r="F170">
        <v>1</v>
      </c>
      <c r="G170" t="s">
        <v>23</v>
      </c>
      <c r="H170">
        <v>38</v>
      </c>
      <c r="I170" s="12" t="s">
        <v>24</v>
      </c>
      <c r="J170" s="12" t="s">
        <v>214</v>
      </c>
      <c r="K170" s="12" t="s">
        <v>73</v>
      </c>
      <c r="L170" s="12" t="s">
        <v>273</v>
      </c>
      <c r="M170" s="12" t="s">
        <v>75</v>
      </c>
      <c r="N170" s="14">
        <v>0.2</v>
      </c>
      <c r="O170" s="23">
        <v>998.19</v>
      </c>
      <c r="P170">
        <v>19.52</v>
      </c>
      <c r="Q170" s="12" t="str" cm="1">
        <f t="array" ref="Q170:R170">VLOOKUP(E170,store[],{3,5},FALSE)</f>
        <v>South</v>
      </c>
      <c r="R170" t="str">
        <v>Flagship</v>
      </c>
      <c r="S170" s="4">
        <f t="shared" si="2"/>
        <v>997.99</v>
      </c>
    </row>
    <row r="171" spans="1:19">
      <c r="A171" t="s">
        <v>590</v>
      </c>
      <c r="B171" s="3">
        <v>45313</v>
      </c>
      <c r="C171" t="s">
        <v>591</v>
      </c>
      <c r="D171" t="s">
        <v>155</v>
      </c>
      <c r="E171" t="s">
        <v>66</v>
      </c>
      <c r="F171">
        <v>2</v>
      </c>
      <c r="G171" t="s">
        <v>50</v>
      </c>
      <c r="H171">
        <v>37</v>
      </c>
      <c r="I171" s="12" t="s">
        <v>34</v>
      </c>
      <c r="J171" s="12" t="s">
        <v>193</v>
      </c>
      <c r="K171" s="12" t="s">
        <v>26</v>
      </c>
      <c r="L171" s="12" t="s">
        <v>156</v>
      </c>
      <c r="M171" s="12" t="s">
        <v>28</v>
      </c>
      <c r="N171" s="14">
        <v>0.12</v>
      </c>
      <c r="O171" s="23">
        <v>343.42</v>
      </c>
      <c r="P171">
        <v>477.61</v>
      </c>
      <c r="Q171" s="12" t="str" cm="1">
        <f t="array" ref="Q171:R171">VLOOKUP(E171,store[],{3,5},FALSE)</f>
        <v>South</v>
      </c>
      <c r="R171" t="str">
        <v>Online</v>
      </c>
      <c r="S171" s="4">
        <f t="shared" si="2"/>
        <v>686.6</v>
      </c>
    </row>
    <row r="172" spans="1:19">
      <c r="A172" t="s">
        <v>592</v>
      </c>
      <c r="B172" s="3">
        <v>45390</v>
      </c>
      <c r="C172" t="s">
        <v>593</v>
      </c>
      <c r="D172" t="s">
        <v>116</v>
      </c>
      <c r="E172" t="s">
        <v>179</v>
      </c>
      <c r="F172">
        <v>1</v>
      </c>
      <c r="G172" t="s">
        <v>50</v>
      </c>
      <c r="H172">
        <v>57</v>
      </c>
      <c r="I172" s="12" t="s">
        <v>24</v>
      </c>
      <c r="J172" s="12" t="s">
        <v>140</v>
      </c>
      <c r="K172" s="12" t="s">
        <v>52</v>
      </c>
      <c r="L172" s="12" t="s">
        <v>119</v>
      </c>
      <c r="M172" s="12" t="s">
        <v>37</v>
      </c>
      <c r="N172" s="14">
        <v>0.28000000000000003</v>
      </c>
      <c r="O172" s="23">
        <v>152.16999999999999</v>
      </c>
      <c r="P172">
        <v>419.28</v>
      </c>
      <c r="Q172" s="12" t="str" cm="1">
        <f t="array" ref="Q172:R172">VLOOKUP(E172,store[],{3,5},FALSE)</f>
        <v>East</v>
      </c>
      <c r="R172" t="str">
        <v>Online</v>
      </c>
      <c r="S172" s="4">
        <f t="shared" si="2"/>
        <v>151.88999999999999</v>
      </c>
    </row>
    <row r="173" spans="1:19">
      <c r="A173" t="s">
        <v>594</v>
      </c>
      <c r="B173" s="3">
        <v>45795</v>
      </c>
      <c r="C173" t="s">
        <v>595</v>
      </c>
      <c r="D173" t="s">
        <v>42</v>
      </c>
      <c r="E173" t="s">
        <v>272</v>
      </c>
      <c r="F173">
        <v>1</v>
      </c>
      <c r="G173" t="s">
        <v>33</v>
      </c>
      <c r="H173">
        <v>56</v>
      </c>
      <c r="I173" s="12" t="s">
        <v>24</v>
      </c>
      <c r="J173" s="12" t="s">
        <v>218</v>
      </c>
      <c r="K173" s="12" t="s">
        <v>52</v>
      </c>
      <c r="L173" s="12" t="s">
        <v>45</v>
      </c>
      <c r="M173" s="12" t="s">
        <v>46</v>
      </c>
      <c r="N173" s="14">
        <v>0.26</v>
      </c>
      <c r="O173" s="23">
        <v>325.08</v>
      </c>
      <c r="P173">
        <v>43.29</v>
      </c>
      <c r="Q173" s="12" t="str" cm="1">
        <f t="array" ref="Q173:R173">VLOOKUP(E173,store[],{3,5},FALSE)</f>
        <v>South</v>
      </c>
      <c r="R173" t="str">
        <v>Online</v>
      </c>
      <c r="S173" s="4">
        <f t="shared" si="2"/>
        <v>324.82</v>
      </c>
    </row>
    <row r="174" spans="1:19">
      <c r="A174" t="s">
        <v>596</v>
      </c>
      <c r="B174" s="3">
        <v>45267</v>
      </c>
      <c r="C174" t="s">
        <v>220</v>
      </c>
      <c r="D174" t="s">
        <v>287</v>
      </c>
      <c r="E174" t="s">
        <v>168</v>
      </c>
      <c r="F174">
        <v>2</v>
      </c>
      <c r="G174" t="s">
        <v>50</v>
      </c>
      <c r="H174">
        <v>39</v>
      </c>
      <c r="I174" s="12" t="s">
        <v>24</v>
      </c>
      <c r="J174" s="12" t="s">
        <v>222</v>
      </c>
      <c r="K174" s="12" t="s">
        <v>26</v>
      </c>
      <c r="L174" s="12" t="s">
        <v>288</v>
      </c>
      <c r="M174" s="12" t="s">
        <v>46</v>
      </c>
      <c r="N174" s="14">
        <v>0.25</v>
      </c>
      <c r="O174" s="23">
        <v>827.92</v>
      </c>
      <c r="P174">
        <v>183.04</v>
      </c>
      <c r="Q174" s="12" t="str" cm="1">
        <f t="array" ref="Q174:R174">VLOOKUP(E174,store[],{3,5},FALSE)</f>
        <v>East</v>
      </c>
      <c r="R174" t="str">
        <v>Online</v>
      </c>
      <c r="S174" s="4">
        <f t="shared" si="2"/>
        <v>1655.34</v>
      </c>
    </row>
    <row r="175" spans="1:19">
      <c r="A175" t="s">
        <v>597</v>
      </c>
      <c r="B175" s="3">
        <v>45314</v>
      </c>
      <c r="C175" t="s">
        <v>598</v>
      </c>
      <c r="D175" t="s">
        <v>246</v>
      </c>
      <c r="E175" t="s">
        <v>198</v>
      </c>
      <c r="F175">
        <v>2</v>
      </c>
      <c r="G175" t="s">
        <v>50</v>
      </c>
      <c r="H175">
        <v>46</v>
      </c>
      <c r="I175" s="12" t="s">
        <v>34</v>
      </c>
      <c r="J175" s="12" t="s">
        <v>498</v>
      </c>
      <c r="K175" s="12" t="s">
        <v>73</v>
      </c>
      <c r="L175" s="12" t="s">
        <v>247</v>
      </c>
      <c r="M175" s="12" t="s">
        <v>37</v>
      </c>
      <c r="N175" s="14">
        <v>0.1</v>
      </c>
      <c r="O175" s="23">
        <v>593.47</v>
      </c>
      <c r="P175">
        <v>322.41000000000003</v>
      </c>
      <c r="Q175" s="12" t="str" cm="1">
        <f t="array" ref="Q175:R175">VLOOKUP(E175,store[],{3,5},FALSE)</f>
        <v>South</v>
      </c>
      <c r="R175" t="str">
        <v>Outlet</v>
      </c>
      <c r="S175" s="4">
        <f t="shared" si="2"/>
        <v>1186.74</v>
      </c>
    </row>
    <row r="176" spans="1:19">
      <c r="A176" t="s">
        <v>599</v>
      </c>
      <c r="B176" s="3">
        <v>45267</v>
      </c>
      <c r="C176" t="s">
        <v>600</v>
      </c>
      <c r="D176" t="s">
        <v>291</v>
      </c>
      <c r="E176" t="s">
        <v>66</v>
      </c>
      <c r="F176">
        <v>4</v>
      </c>
      <c r="G176" t="s">
        <v>50</v>
      </c>
      <c r="H176">
        <v>56</v>
      </c>
      <c r="I176" s="12" t="s">
        <v>34</v>
      </c>
      <c r="J176" s="12" t="s">
        <v>378</v>
      </c>
      <c r="K176" s="12" t="s">
        <v>52</v>
      </c>
      <c r="L176" s="12" t="s">
        <v>292</v>
      </c>
      <c r="M176" s="12" t="s">
        <v>28</v>
      </c>
      <c r="N176" s="14">
        <v>0.05</v>
      </c>
      <c r="O176" s="23">
        <v>756.28</v>
      </c>
      <c r="P176">
        <v>131.51</v>
      </c>
      <c r="Q176" s="12" t="str" cm="1">
        <f t="array" ref="Q176:R176">VLOOKUP(E176,store[],{3,5},FALSE)</f>
        <v>South</v>
      </c>
      <c r="R176" t="str">
        <v>Online</v>
      </c>
      <c r="S176" s="4">
        <f t="shared" si="2"/>
        <v>3024.92</v>
      </c>
    </row>
    <row r="177" spans="1:19">
      <c r="A177" t="s">
        <v>601</v>
      </c>
      <c r="B177" s="3">
        <v>45641</v>
      </c>
      <c r="C177" t="s">
        <v>602</v>
      </c>
      <c r="D177" t="s">
        <v>603</v>
      </c>
      <c r="E177" t="s">
        <v>105</v>
      </c>
      <c r="F177">
        <v>2</v>
      </c>
      <c r="G177" t="s">
        <v>23</v>
      </c>
      <c r="H177">
        <v>39</v>
      </c>
      <c r="I177" s="12" t="s">
        <v>34</v>
      </c>
      <c r="J177" s="12" t="s">
        <v>193</v>
      </c>
      <c r="K177" s="12" t="s">
        <v>26</v>
      </c>
      <c r="L177" s="12" t="s">
        <v>604</v>
      </c>
      <c r="M177" s="12" t="s">
        <v>75</v>
      </c>
      <c r="N177" s="14">
        <v>0.14000000000000001</v>
      </c>
      <c r="O177" s="23">
        <v>707.65</v>
      </c>
      <c r="P177">
        <v>447.43</v>
      </c>
      <c r="Q177" s="12" t="str" cm="1">
        <f t="array" ref="Q177:R177">VLOOKUP(E177,store[],{3,5},FALSE)</f>
        <v>North</v>
      </c>
      <c r="R177" t="str">
        <v>Flagship</v>
      </c>
      <c r="S177" s="4">
        <f t="shared" si="2"/>
        <v>1415.02</v>
      </c>
    </row>
    <row r="178" spans="1:19">
      <c r="A178" t="s">
        <v>605</v>
      </c>
      <c r="B178" s="3">
        <v>45371</v>
      </c>
      <c r="C178" t="s">
        <v>606</v>
      </c>
      <c r="D178" t="s">
        <v>425</v>
      </c>
      <c r="E178" t="s">
        <v>122</v>
      </c>
      <c r="F178">
        <v>1</v>
      </c>
      <c r="G178" t="s">
        <v>33</v>
      </c>
      <c r="H178">
        <v>45</v>
      </c>
      <c r="I178" s="12" t="s">
        <v>24</v>
      </c>
      <c r="J178" s="12" t="s">
        <v>140</v>
      </c>
      <c r="K178" s="12" t="s">
        <v>60</v>
      </c>
      <c r="L178" s="12" t="s">
        <v>426</v>
      </c>
      <c r="M178" s="12" t="s">
        <v>130</v>
      </c>
      <c r="N178" s="14">
        <v>0.28000000000000003</v>
      </c>
      <c r="O178" s="23">
        <v>857.35</v>
      </c>
      <c r="P178">
        <v>174.02</v>
      </c>
      <c r="Q178" s="12" t="str" cm="1">
        <f t="array" ref="Q178:R178">VLOOKUP(E178,store[],{3,5},FALSE)</f>
        <v>North</v>
      </c>
      <c r="R178" t="str">
        <v>Flagship</v>
      </c>
      <c r="S178" s="4">
        <f t="shared" si="2"/>
        <v>857.07</v>
      </c>
    </row>
    <row r="179" spans="1:19">
      <c r="A179" t="s">
        <v>607</v>
      </c>
      <c r="B179" s="3">
        <v>45670</v>
      </c>
      <c r="C179" t="s">
        <v>608</v>
      </c>
      <c r="D179" t="s">
        <v>564</v>
      </c>
      <c r="E179" t="s">
        <v>43</v>
      </c>
      <c r="F179">
        <v>1</v>
      </c>
      <c r="G179" t="s">
        <v>33</v>
      </c>
      <c r="H179">
        <v>27</v>
      </c>
      <c r="I179" s="12" t="s">
        <v>34</v>
      </c>
      <c r="J179" s="12" t="s">
        <v>609</v>
      </c>
      <c r="K179" s="12" t="s">
        <v>52</v>
      </c>
      <c r="L179" s="12" t="s">
        <v>565</v>
      </c>
      <c r="M179" s="12" t="s">
        <v>75</v>
      </c>
      <c r="N179" s="14">
        <v>0.04</v>
      </c>
      <c r="O179" s="23">
        <v>79</v>
      </c>
      <c r="P179">
        <v>81.75</v>
      </c>
      <c r="Q179" s="12" t="str" cm="1">
        <f t="array" ref="Q179:R179">VLOOKUP(E179,store[],{3,5},FALSE)</f>
        <v>West</v>
      </c>
      <c r="R179" t="str">
        <v>Online</v>
      </c>
      <c r="S179" s="4">
        <f t="shared" si="2"/>
        <v>78.959999999999994</v>
      </c>
    </row>
    <row r="180" spans="1:19">
      <c r="A180" t="s">
        <v>610</v>
      </c>
      <c r="B180" s="3">
        <v>45885</v>
      </c>
      <c r="C180" t="s">
        <v>611</v>
      </c>
      <c r="D180" t="s">
        <v>242</v>
      </c>
      <c r="E180" t="s">
        <v>58</v>
      </c>
      <c r="F180">
        <v>4</v>
      </c>
      <c r="G180" t="s">
        <v>50</v>
      </c>
      <c r="H180">
        <v>27</v>
      </c>
      <c r="I180" s="12" t="s">
        <v>34</v>
      </c>
      <c r="J180" s="12" t="s">
        <v>214</v>
      </c>
      <c r="K180" s="12" t="s">
        <v>60</v>
      </c>
      <c r="L180" s="12" t="s">
        <v>243</v>
      </c>
      <c r="M180" s="12" t="s">
        <v>46</v>
      </c>
      <c r="N180" s="14">
        <v>0</v>
      </c>
      <c r="O180" s="23">
        <v>638.91</v>
      </c>
      <c r="P180">
        <v>358.47</v>
      </c>
      <c r="Q180" s="12" t="str" cm="1">
        <f t="array" ref="Q180:R180">VLOOKUP(E180,store[],{3,5},FALSE)</f>
        <v>North</v>
      </c>
      <c r="R180" t="str">
        <v>Outlet</v>
      </c>
      <c r="S180" s="4">
        <f t="shared" si="2"/>
        <v>2555.64</v>
      </c>
    </row>
    <row r="181" spans="1:19">
      <c r="A181" t="s">
        <v>612</v>
      </c>
      <c r="B181" s="3">
        <v>45812</v>
      </c>
      <c r="C181" t="s">
        <v>613</v>
      </c>
      <c r="D181" t="s">
        <v>344</v>
      </c>
      <c r="E181" t="s">
        <v>90</v>
      </c>
      <c r="F181">
        <v>2</v>
      </c>
      <c r="G181" t="s">
        <v>23</v>
      </c>
      <c r="H181">
        <v>34</v>
      </c>
      <c r="I181" s="12" t="s">
        <v>34</v>
      </c>
      <c r="J181" s="12" t="s">
        <v>251</v>
      </c>
      <c r="K181" s="12" t="s">
        <v>52</v>
      </c>
      <c r="L181" s="12" t="s">
        <v>347</v>
      </c>
      <c r="M181" s="12" t="s">
        <v>28</v>
      </c>
      <c r="N181" s="14">
        <v>0.27</v>
      </c>
      <c r="O181" s="23">
        <v>522.16999999999996</v>
      </c>
      <c r="P181">
        <v>318.91000000000003</v>
      </c>
      <c r="Q181" s="12" t="str" cm="1">
        <f t="array" ref="Q181:R181">VLOOKUP(E181,store[],{3,5},FALSE)</f>
        <v>East</v>
      </c>
      <c r="R181" t="str">
        <v>Flagship</v>
      </c>
      <c r="S181" s="4">
        <f t="shared" si="2"/>
        <v>1043.8</v>
      </c>
    </row>
    <row r="182" spans="1:19">
      <c r="A182" t="s">
        <v>614</v>
      </c>
      <c r="B182" s="3">
        <v>45235</v>
      </c>
      <c r="C182" t="s">
        <v>615</v>
      </c>
      <c r="D182" t="s">
        <v>104</v>
      </c>
      <c r="E182" t="s">
        <v>208</v>
      </c>
      <c r="F182">
        <v>3</v>
      </c>
      <c r="G182" t="s">
        <v>23</v>
      </c>
      <c r="H182">
        <v>59</v>
      </c>
      <c r="I182" s="12" t="s">
        <v>24</v>
      </c>
      <c r="J182" s="12" t="s">
        <v>345</v>
      </c>
      <c r="K182" s="12" t="s">
        <v>26</v>
      </c>
      <c r="L182" s="12" t="s">
        <v>107</v>
      </c>
      <c r="M182" s="12" t="s">
        <v>37</v>
      </c>
      <c r="N182" s="14">
        <v>0.27</v>
      </c>
      <c r="O182" s="23">
        <v>954.29</v>
      </c>
      <c r="P182">
        <v>326.06</v>
      </c>
      <c r="Q182" s="12" t="str" cm="1">
        <f t="array" ref="Q182:R182">VLOOKUP(E182,store[],{3,5},FALSE)</f>
        <v>North</v>
      </c>
      <c r="R182" t="str">
        <v>Online</v>
      </c>
      <c r="S182" s="4">
        <f t="shared" si="2"/>
        <v>2862.06</v>
      </c>
    </row>
    <row r="183" spans="1:19">
      <c r="A183" t="s">
        <v>616</v>
      </c>
      <c r="B183" s="3">
        <v>45710</v>
      </c>
      <c r="C183" t="s">
        <v>617</v>
      </c>
      <c r="D183" t="s">
        <v>89</v>
      </c>
      <c r="E183" t="s">
        <v>149</v>
      </c>
      <c r="F183">
        <v>3</v>
      </c>
      <c r="G183" t="s">
        <v>33</v>
      </c>
      <c r="H183">
        <v>34</v>
      </c>
      <c r="I183" s="12" t="s">
        <v>34</v>
      </c>
      <c r="J183" s="12" t="s">
        <v>356</v>
      </c>
      <c r="K183" s="12" t="s">
        <v>60</v>
      </c>
      <c r="L183" s="12" t="s">
        <v>92</v>
      </c>
      <c r="M183" s="12" t="s">
        <v>75</v>
      </c>
      <c r="N183" s="14">
        <v>0.15</v>
      </c>
      <c r="O183" s="23">
        <v>53.92</v>
      </c>
      <c r="P183">
        <v>179.77</v>
      </c>
      <c r="Q183" s="12" t="str" cm="1">
        <f t="array" ref="Q183:R183">VLOOKUP(E183,store[],{3,5},FALSE)</f>
        <v>East</v>
      </c>
      <c r="R183" t="str">
        <v>Flagship</v>
      </c>
      <c r="S183" s="4">
        <f t="shared" si="2"/>
        <v>161.31</v>
      </c>
    </row>
    <row r="184" spans="1:19">
      <c r="A184" t="s">
        <v>618</v>
      </c>
      <c r="B184" s="3">
        <v>45753</v>
      </c>
      <c r="C184" t="s">
        <v>158</v>
      </c>
      <c r="D184" t="s">
        <v>116</v>
      </c>
      <c r="E184" t="s">
        <v>90</v>
      </c>
      <c r="F184">
        <v>4</v>
      </c>
      <c r="G184" t="s">
        <v>50</v>
      </c>
      <c r="H184">
        <v>25</v>
      </c>
      <c r="I184" s="12" t="s">
        <v>34</v>
      </c>
      <c r="J184" s="12" t="s">
        <v>161</v>
      </c>
      <c r="K184" s="12" t="s">
        <v>60</v>
      </c>
      <c r="L184" s="12" t="s">
        <v>119</v>
      </c>
      <c r="M184" s="12" t="s">
        <v>37</v>
      </c>
      <c r="N184" s="14">
        <v>0.02</v>
      </c>
      <c r="O184" s="23">
        <v>741.88</v>
      </c>
      <c r="P184">
        <v>419.28</v>
      </c>
      <c r="Q184" s="12" t="str" cm="1">
        <f t="array" ref="Q184:R184">VLOOKUP(E184,store[],{3,5},FALSE)</f>
        <v>East</v>
      </c>
      <c r="R184" t="str">
        <v>Flagship</v>
      </c>
      <c r="S184" s="4">
        <f t="shared" si="2"/>
        <v>2967.44</v>
      </c>
    </row>
    <row r="185" spans="1:19">
      <c r="A185" t="s">
        <v>619</v>
      </c>
      <c r="B185" s="3">
        <v>45594</v>
      </c>
      <c r="C185" t="s">
        <v>620</v>
      </c>
      <c r="D185" t="s">
        <v>381</v>
      </c>
      <c r="E185" t="s">
        <v>22</v>
      </c>
      <c r="F185">
        <v>1</v>
      </c>
      <c r="G185" t="s">
        <v>33</v>
      </c>
      <c r="H185">
        <v>25</v>
      </c>
      <c r="I185" s="12" t="s">
        <v>24</v>
      </c>
      <c r="J185" s="12" t="s">
        <v>169</v>
      </c>
      <c r="K185" s="12" t="s">
        <v>52</v>
      </c>
      <c r="L185" s="12" t="s">
        <v>382</v>
      </c>
      <c r="M185" s="12" t="s">
        <v>130</v>
      </c>
      <c r="N185" s="14">
        <v>0.01</v>
      </c>
      <c r="O185" s="23">
        <v>547.09</v>
      </c>
      <c r="P185">
        <v>167.34</v>
      </c>
      <c r="Q185" s="12" t="str" cm="1">
        <f t="array" ref="Q185:R185">VLOOKUP(E185,store[],{3,5},FALSE)</f>
        <v>North</v>
      </c>
      <c r="R185" t="str">
        <v>Outlet</v>
      </c>
      <c r="S185" s="4">
        <f t="shared" si="2"/>
        <v>547.08000000000004</v>
      </c>
    </row>
    <row r="186" spans="1:19">
      <c r="A186" t="s">
        <v>621</v>
      </c>
      <c r="B186" s="3">
        <v>45686</v>
      </c>
      <c r="C186" t="s">
        <v>622</v>
      </c>
      <c r="D186" t="s">
        <v>287</v>
      </c>
      <c r="E186" t="s">
        <v>22</v>
      </c>
      <c r="F186">
        <v>1</v>
      </c>
      <c r="G186" t="s">
        <v>33</v>
      </c>
      <c r="H186">
        <v>42</v>
      </c>
      <c r="I186" s="12" t="s">
        <v>34</v>
      </c>
      <c r="J186" s="12" t="s">
        <v>260</v>
      </c>
      <c r="K186" s="12" t="s">
        <v>60</v>
      </c>
      <c r="L186" s="12" t="s">
        <v>288</v>
      </c>
      <c r="M186" s="12" t="s">
        <v>46</v>
      </c>
      <c r="N186" s="14">
        <v>0.14000000000000001</v>
      </c>
      <c r="O186" s="23">
        <v>789.35</v>
      </c>
      <c r="P186">
        <v>183.04</v>
      </c>
      <c r="Q186" s="12" t="str" cm="1">
        <f t="array" ref="Q186:R186">VLOOKUP(E186,store[],{3,5},FALSE)</f>
        <v>North</v>
      </c>
      <c r="R186" t="str">
        <v>Outlet</v>
      </c>
      <c r="S186" s="4">
        <f t="shared" si="2"/>
        <v>789.21</v>
      </c>
    </row>
    <row r="187" spans="1:19">
      <c r="A187" t="s">
        <v>623</v>
      </c>
      <c r="B187" s="3">
        <v>45354</v>
      </c>
      <c r="C187" t="s">
        <v>624</v>
      </c>
      <c r="D187" t="s">
        <v>625</v>
      </c>
      <c r="E187" t="s">
        <v>22</v>
      </c>
      <c r="F187">
        <v>3</v>
      </c>
      <c r="G187" t="s">
        <v>50</v>
      </c>
      <c r="H187">
        <v>27</v>
      </c>
      <c r="I187" s="12" t="s">
        <v>34</v>
      </c>
      <c r="J187" s="12" t="s">
        <v>378</v>
      </c>
      <c r="K187" s="12" t="s">
        <v>73</v>
      </c>
      <c r="L187" s="12" t="s">
        <v>626</v>
      </c>
      <c r="M187" s="12" t="s">
        <v>46</v>
      </c>
      <c r="N187" s="14">
        <v>0.09</v>
      </c>
      <c r="O187" s="23">
        <v>476.78</v>
      </c>
      <c r="P187">
        <v>266.86</v>
      </c>
      <c r="Q187" s="12" t="str" cm="1">
        <f t="array" ref="Q187:R187">VLOOKUP(E187,store[],{3,5},FALSE)</f>
        <v>North</v>
      </c>
      <c r="R187" t="str">
        <v>Outlet</v>
      </c>
      <c r="S187" s="4">
        <f t="shared" si="2"/>
        <v>1430.07</v>
      </c>
    </row>
    <row r="188" spans="1:19">
      <c r="A188" t="s">
        <v>627</v>
      </c>
      <c r="B188" s="3">
        <v>45600</v>
      </c>
      <c r="C188" t="s">
        <v>217</v>
      </c>
      <c r="D188" t="s">
        <v>221</v>
      </c>
      <c r="E188" t="s">
        <v>160</v>
      </c>
      <c r="F188">
        <v>2</v>
      </c>
      <c r="G188" t="s">
        <v>33</v>
      </c>
      <c r="H188">
        <v>62</v>
      </c>
      <c r="I188" s="12" t="s">
        <v>34</v>
      </c>
      <c r="J188" s="12" t="s">
        <v>218</v>
      </c>
      <c r="K188" s="12" t="s">
        <v>52</v>
      </c>
      <c r="L188" s="12" t="s">
        <v>223</v>
      </c>
      <c r="M188" s="12" t="s">
        <v>75</v>
      </c>
      <c r="N188" s="14">
        <v>0.04</v>
      </c>
      <c r="O188" s="23">
        <v>504.26</v>
      </c>
      <c r="P188">
        <v>228.53</v>
      </c>
      <c r="Q188" s="12" t="str" cm="1">
        <f t="array" ref="Q188:R188">VLOOKUP(E188,store[],{3,5},FALSE)</f>
        <v>East</v>
      </c>
      <c r="R188" t="str">
        <v>Flagship</v>
      </c>
      <c r="S188" s="4">
        <f t="shared" si="2"/>
        <v>1008.44</v>
      </c>
    </row>
    <row r="189" spans="1:19">
      <c r="A189" t="s">
        <v>628</v>
      </c>
      <c r="B189" s="3">
        <v>45538</v>
      </c>
      <c r="C189" t="s">
        <v>629</v>
      </c>
      <c r="D189" t="s">
        <v>630</v>
      </c>
      <c r="E189" t="s">
        <v>179</v>
      </c>
      <c r="F189">
        <v>2</v>
      </c>
      <c r="G189" t="s">
        <v>50</v>
      </c>
      <c r="H189">
        <v>48</v>
      </c>
      <c r="I189" s="12" t="s">
        <v>34</v>
      </c>
      <c r="J189" s="12" t="s">
        <v>227</v>
      </c>
      <c r="K189" s="12" t="s">
        <v>26</v>
      </c>
      <c r="L189" s="12" t="s">
        <v>631</v>
      </c>
      <c r="M189" s="12" t="s">
        <v>28</v>
      </c>
      <c r="N189" s="14">
        <v>0.01</v>
      </c>
      <c r="O189" s="23">
        <v>549.33000000000004</v>
      </c>
      <c r="P189">
        <v>285.54000000000002</v>
      </c>
      <c r="Q189" s="12" t="str" cm="1">
        <f t="array" ref="Q189:R189">VLOOKUP(E189,store[],{3,5},FALSE)</f>
        <v>East</v>
      </c>
      <c r="R189" t="str">
        <v>Online</v>
      </c>
      <c r="S189" s="4">
        <f t="shared" si="2"/>
        <v>1098.6400000000001</v>
      </c>
    </row>
    <row r="190" spans="1:19">
      <c r="A190" t="s">
        <v>632</v>
      </c>
      <c r="B190" s="3">
        <v>45411</v>
      </c>
      <c r="C190" t="s">
        <v>633</v>
      </c>
      <c r="D190" t="s">
        <v>634</v>
      </c>
      <c r="E190" t="s">
        <v>22</v>
      </c>
      <c r="F190">
        <v>3</v>
      </c>
      <c r="G190" t="s">
        <v>23</v>
      </c>
      <c r="H190">
        <v>20</v>
      </c>
      <c r="I190" s="12" t="s">
        <v>34</v>
      </c>
      <c r="J190" s="12" t="s">
        <v>227</v>
      </c>
      <c r="K190" s="12" t="s">
        <v>26</v>
      </c>
      <c r="L190" s="12" t="s">
        <v>635</v>
      </c>
      <c r="M190" s="12" t="s">
        <v>130</v>
      </c>
      <c r="N190" s="14">
        <v>0.04</v>
      </c>
      <c r="O190" s="23">
        <v>620.22</v>
      </c>
      <c r="P190">
        <v>306.45999999999998</v>
      </c>
      <c r="Q190" s="12" t="str" cm="1">
        <f t="array" ref="Q190:R190">VLOOKUP(E190,store[],{3,5},FALSE)</f>
        <v>North</v>
      </c>
      <c r="R190" t="str">
        <v>Outlet</v>
      </c>
      <c r="S190" s="4">
        <f t="shared" si="2"/>
        <v>1860.54</v>
      </c>
    </row>
    <row r="191" spans="1:19">
      <c r="A191" t="s">
        <v>636</v>
      </c>
      <c r="B191" s="3">
        <v>45411</v>
      </c>
      <c r="C191" t="s">
        <v>637</v>
      </c>
      <c r="D191" t="s">
        <v>381</v>
      </c>
      <c r="E191" t="s">
        <v>22</v>
      </c>
      <c r="F191">
        <v>1</v>
      </c>
      <c r="G191" t="s">
        <v>50</v>
      </c>
      <c r="H191">
        <v>29</v>
      </c>
      <c r="I191" s="12" t="s">
        <v>34</v>
      </c>
      <c r="J191" s="12" t="s">
        <v>251</v>
      </c>
      <c r="K191" s="12" t="s">
        <v>60</v>
      </c>
      <c r="L191" s="12" t="s">
        <v>382</v>
      </c>
      <c r="M191" s="12" t="s">
        <v>130</v>
      </c>
      <c r="N191" s="14">
        <v>0.1</v>
      </c>
      <c r="O191" s="23">
        <v>580.76</v>
      </c>
      <c r="P191">
        <v>167.34</v>
      </c>
      <c r="Q191" s="12" t="str" cm="1">
        <f t="array" ref="Q191:R191">VLOOKUP(E191,store[],{3,5},FALSE)</f>
        <v>North</v>
      </c>
      <c r="R191" t="str">
        <v>Outlet</v>
      </c>
      <c r="S191" s="4">
        <f t="shared" si="2"/>
        <v>580.66</v>
      </c>
    </row>
    <row r="192" spans="1:19">
      <c r="A192" t="s">
        <v>638</v>
      </c>
      <c r="B192" s="3">
        <v>45775</v>
      </c>
      <c r="C192" t="s">
        <v>639</v>
      </c>
      <c r="D192" t="s">
        <v>368</v>
      </c>
      <c r="E192" t="s">
        <v>127</v>
      </c>
      <c r="F192">
        <v>3</v>
      </c>
      <c r="G192" t="s">
        <v>33</v>
      </c>
      <c r="H192">
        <v>50</v>
      </c>
      <c r="I192" s="12" t="s">
        <v>34</v>
      </c>
      <c r="J192" s="12" t="s">
        <v>440</v>
      </c>
      <c r="K192" s="12" t="s">
        <v>60</v>
      </c>
      <c r="L192" s="12" t="s">
        <v>369</v>
      </c>
      <c r="M192" s="12" t="s">
        <v>46</v>
      </c>
      <c r="N192" s="14">
        <v>0.14000000000000001</v>
      </c>
      <c r="O192" s="23">
        <v>444.55</v>
      </c>
      <c r="P192">
        <v>214.32</v>
      </c>
      <c r="Q192" s="12" t="str" cm="1">
        <f t="array" ref="Q192:R192">VLOOKUP(E192,store[],{3,5},FALSE)</f>
        <v>South</v>
      </c>
      <c r="R192" t="str">
        <v>Flagship</v>
      </c>
      <c r="S192" s="4">
        <f t="shared" si="2"/>
        <v>1333.23</v>
      </c>
    </row>
    <row r="193" spans="1:19">
      <c r="A193" t="s">
        <v>640</v>
      </c>
      <c r="B193" s="3">
        <v>45459</v>
      </c>
      <c r="C193" t="s">
        <v>641</v>
      </c>
      <c r="D193" t="s">
        <v>381</v>
      </c>
      <c r="E193" t="s">
        <v>160</v>
      </c>
      <c r="F193">
        <v>1</v>
      </c>
      <c r="G193" t="s">
        <v>33</v>
      </c>
      <c r="H193">
        <v>43</v>
      </c>
      <c r="I193" s="12" t="s">
        <v>24</v>
      </c>
      <c r="J193" s="12" t="s">
        <v>498</v>
      </c>
      <c r="K193" s="12" t="s">
        <v>26</v>
      </c>
      <c r="L193" s="12" t="s">
        <v>382</v>
      </c>
      <c r="M193" s="12" t="s">
        <v>130</v>
      </c>
      <c r="N193" s="14">
        <v>0.03</v>
      </c>
      <c r="O193" s="23">
        <v>804.9</v>
      </c>
      <c r="P193">
        <v>167.34</v>
      </c>
      <c r="Q193" s="12" t="str" cm="1">
        <f t="array" ref="Q193:R193">VLOOKUP(E193,store[],{3,5},FALSE)</f>
        <v>East</v>
      </c>
      <c r="R193" t="str">
        <v>Flagship</v>
      </c>
      <c r="S193" s="4">
        <f t="shared" si="2"/>
        <v>804.87</v>
      </c>
    </row>
    <row r="194" spans="1:19">
      <c r="A194" t="s">
        <v>642</v>
      </c>
      <c r="B194" s="3">
        <v>45617</v>
      </c>
      <c r="C194" t="s">
        <v>643</v>
      </c>
      <c r="D194" t="s">
        <v>603</v>
      </c>
      <c r="E194" t="s">
        <v>98</v>
      </c>
      <c r="F194">
        <v>3</v>
      </c>
      <c r="G194" t="s">
        <v>50</v>
      </c>
      <c r="H194">
        <v>53</v>
      </c>
      <c r="I194" s="12" t="s">
        <v>24</v>
      </c>
      <c r="J194" s="12" t="s">
        <v>256</v>
      </c>
      <c r="K194" s="12" t="s">
        <v>73</v>
      </c>
      <c r="L194" s="12" t="s">
        <v>604</v>
      </c>
      <c r="M194" s="12" t="s">
        <v>75</v>
      </c>
      <c r="N194" s="14">
        <v>0.15</v>
      </c>
      <c r="O194" s="23">
        <v>361.65</v>
      </c>
      <c r="P194">
        <v>447.43</v>
      </c>
      <c r="Q194" s="12" t="str" cm="1">
        <f t="array" ref="Q194:R194">VLOOKUP(E194,store[],{3,5},FALSE)</f>
        <v>South</v>
      </c>
      <c r="R194" t="str">
        <v>Outlet</v>
      </c>
      <c r="S194" s="4">
        <f t="shared" ref="S194:S257" si="3">(O194-N194)*F194</f>
        <v>1084.5</v>
      </c>
    </row>
    <row r="195" spans="1:19">
      <c r="A195" t="s">
        <v>644</v>
      </c>
      <c r="B195" s="3">
        <v>45763</v>
      </c>
      <c r="C195" t="s">
        <v>324</v>
      </c>
      <c r="D195" t="s">
        <v>645</v>
      </c>
      <c r="E195" t="s">
        <v>72</v>
      </c>
      <c r="F195">
        <v>1</v>
      </c>
      <c r="G195" t="s">
        <v>23</v>
      </c>
      <c r="H195">
        <v>37</v>
      </c>
      <c r="I195" s="12" t="s">
        <v>24</v>
      </c>
      <c r="J195" s="12" t="s">
        <v>51</v>
      </c>
      <c r="K195" s="12" t="s">
        <v>60</v>
      </c>
      <c r="L195" s="12" t="s">
        <v>646</v>
      </c>
      <c r="M195" s="12" t="s">
        <v>75</v>
      </c>
      <c r="N195" s="14">
        <v>0.03</v>
      </c>
      <c r="O195" s="23">
        <v>271.76</v>
      </c>
      <c r="P195">
        <v>218.86</v>
      </c>
      <c r="Q195" s="12" t="str" cm="1">
        <f t="array" ref="Q195:R195">VLOOKUP(E195,store[],{3,5},FALSE)</f>
        <v>South</v>
      </c>
      <c r="R195" t="str">
        <v>Online</v>
      </c>
      <c r="S195" s="4">
        <f t="shared" si="3"/>
        <v>271.73</v>
      </c>
    </row>
    <row r="196" spans="1:19">
      <c r="A196" t="s">
        <v>647</v>
      </c>
      <c r="B196" s="3">
        <v>45618</v>
      </c>
      <c r="C196" t="s">
        <v>648</v>
      </c>
      <c r="D196" t="s">
        <v>42</v>
      </c>
      <c r="E196" t="s">
        <v>168</v>
      </c>
      <c r="F196">
        <v>3</v>
      </c>
      <c r="G196" t="s">
        <v>50</v>
      </c>
      <c r="H196">
        <v>64</v>
      </c>
      <c r="I196" s="12" t="s">
        <v>34</v>
      </c>
      <c r="J196" s="12" t="s">
        <v>256</v>
      </c>
      <c r="K196" s="12" t="s">
        <v>52</v>
      </c>
      <c r="L196" s="12" t="s">
        <v>45</v>
      </c>
      <c r="M196" s="12" t="s">
        <v>46</v>
      </c>
      <c r="N196" s="14">
        <v>0.24</v>
      </c>
      <c r="O196" s="23">
        <v>958.15</v>
      </c>
      <c r="P196">
        <v>43.29</v>
      </c>
      <c r="Q196" s="12" t="str" cm="1">
        <f t="array" ref="Q196:R196">VLOOKUP(E196,store[],{3,5},FALSE)</f>
        <v>East</v>
      </c>
      <c r="R196" t="str">
        <v>Online</v>
      </c>
      <c r="S196" s="4">
        <f t="shared" si="3"/>
        <v>2873.73</v>
      </c>
    </row>
    <row r="197" spans="1:19">
      <c r="A197" t="s">
        <v>649</v>
      </c>
      <c r="B197" s="3">
        <v>45290</v>
      </c>
      <c r="C197" t="s">
        <v>517</v>
      </c>
      <c r="D197" t="s">
        <v>148</v>
      </c>
      <c r="E197" t="s">
        <v>32</v>
      </c>
      <c r="F197">
        <v>1</v>
      </c>
      <c r="G197" t="s">
        <v>23</v>
      </c>
      <c r="H197">
        <v>18</v>
      </c>
      <c r="I197" s="12" t="s">
        <v>34</v>
      </c>
      <c r="J197" s="12" t="s">
        <v>193</v>
      </c>
      <c r="K197" s="12" t="s">
        <v>26</v>
      </c>
      <c r="L197" s="12" t="s">
        <v>150</v>
      </c>
      <c r="M197" s="12" t="s">
        <v>46</v>
      </c>
      <c r="N197" s="14">
        <v>0.03</v>
      </c>
      <c r="O197" s="23">
        <v>889.19</v>
      </c>
      <c r="P197">
        <v>482.75</v>
      </c>
      <c r="Q197" s="12" t="str" cm="1">
        <f t="array" ref="Q197:R197">VLOOKUP(E197,store[],{3,5},FALSE)</f>
        <v>North</v>
      </c>
      <c r="R197" t="str">
        <v>Flagship</v>
      </c>
      <c r="S197" s="4">
        <f t="shared" si="3"/>
        <v>889.16</v>
      </c>
    </row>
    <row r="198" spans="1:19">
      <c r="A198" t="s">
        <v>650</v>
      </c>
      <c r="B198" s="3">
        <v>45904</v>
      </c>
      <c r="C198" t="s">
        <v>88</v>
      </c>
      <c r="D198" t="s">
        <v>509</v>
      </c>
      <c r="E198" t="s">
        <v>117</v>
      </c>
      <c r="F198">
        <v>4</v>
      </c>
      <c r="G198" t="s">
        <v>50</v>
      </c>
      <c r="H198">
        <v>45</v>
      </c>
      <c r="I198" s="12" t="s">
        <v>34</v>
      </c>
      <c r="J198" s="12" t="s">
        <v>91</v>
      </c>
      <c r="K198" s="12" t="s">
        <v>52</v>
      </c>
      <c r="L198" s="12" t="s">
        <v>511</v>
      </c>
      <c r="M198" s="12" t="s">
        <v>28</v>
      </c>
      <c r="N198" s="14">
        <v>0.05</v>
      </c>
      <c r="O198" s="23">
        <v>689.67</v>
      </c>
      <c r="P198">
        <v>30.62</v>
      </c>
      <c r="Q198" s="12" t="str" cm="1">
        <f t="array" ref="Q198:R198">VLOOKUP(E198,store[],{3,5},FALSE)</f>
        <v>West</v>
      </c>
      <c r="R198" t="str">
        <v>Flagship</v>
      </c>
      <c r="S198" s="4">
        <f t="shared" si="3"/>
        <v>2758.48</v>
      </c>
    </row>
    <row r="199" spans="1:19">
      <c r="A199" t="s">
        <v>651</v>
      </c>
      <c r="B199" s="3">
        <v>45227</v>
      </c>
      <c r="C199" t="s">
        <v>652</v>
      </c>
      <c r="D199" t="s">
        <v>275</v>
      </c>
      <c r="E199" t="s">
        <v>272</v>
      </c>
      <c r="F199">
        <v>1</v>
      </c>
      <c r="G199" t="s">
        <v>33</v>
      </c>
      <c r="H199">
        <v>33</v>
      </c>
      <c r="I199" s="12" t="s">
        <v>34</v>
      </c>
      <c r="J199" s="12" t="s">
        <v>209</v>
      </c>
      <c r="K199" s="12" t="s">
        <v>52</v>
      </c>
      <c r="L199" s="12" t="s">
        <v>276</v>
      </c>
      <c r="M199" s="12" t="s">
        <v>28</v>
      </c>
      <c r="N199" s="14">
        <v>0.03</v>
      </c>
      <c r="O199" s="23">
        <v>541.24</v>
      </c>
      <c r="P199">
        <v>167.12</v>
      </c>
      <c r="Q199" s="12" t="str" cm="1">
        <f t="array" ref="Q199:R199">VLOOKUP(E199,store[],{3,5},FALSE)</f>
        <v>South</v>
      </c>
      <c r="R199" t="str">
        <v>Online</v>
      </c>
      <c r="S199" s="4">
        <f t="shared" si="3"/>
        <v>541.21</v>
      </c>
    </row>
    <row r="200" spans="1:19">
      <c r="A200" t="s">
        <v>653</v>
      </c>
      <c r="B200" s="3">
        <v>45600</v>
      </c>
      <c r="C200" t="s">
        <v>654</v>
      </c>
      <c r="D200" t="s">
        <v>630</v>
      </c>
      <c r="E200" t="s">
        <v>179</v>
      </c>
      <c r="F200">
        <v>1</v>
      </c>
      <c r="G200" t="s">
        <v>33</v>
      </c>
      <c r="H200">
        <v>64</v>
      </c>
      <c r="I200" s="12" t="s">
        <v>34</v>
      </c>
      <c r="J200" s="12" t="s">
        <v>25</v>
      </c>
      <c r="K200" s="12" t="s">
        <v>73</v>
      </c>
      <c r="L200" s="12" t="s">
        <v>631</v>
      </c>
      <c r="M200" s="12" t="s">
        <v>28</v>
      </c>
      <c r="N200" s="14">
        <v>0.16</v>
      </c>
      <c r="O200" s="23">
        <v>454.71</v>
      </c>
      <c r="P200">
        <v>285.54000000000002</v>
      </c>
      <c r="Q200" s="12" t="str" cm="1">
        <f t="array" ref="Q200:R200">VLOOKUP(E200,store[],{3,5},FALSE)</f>
        <v>East</v>
      </c>
      <c r="R200" t="str">
        <v>Online</v>
      </c>
      <c r="S200" s="4">
        <f t="shared" si="3"/>
        <v>454.55</v>
      </c>
    </row>
    <row r="201" spans="1:19">
      <c r="A201" t="s">
        <v>655</v>
      </c>
      <c r="B201" s="3">
        <v>45646</v>
      </c>
      <c r="C201" t="s">
        <v>656</v>
      </c>
      <c r="D201" t="s">
        <v>532</v>
      </c>
      <c r="E201" t="s">
        <v>58</v>
      </c>
      <c r="F201">
        <v>2</v>
      </c>
      <c r="G201" t="s">
        <v>23</v>
      </c>
      <c r="H201">
        <v>35</v>
      </c>
      <c r="I201" s="12" t="s">
        <v>34</v>
      </c>
      <c r="J201" s="12" t="s">
        <v>188</v>
      </c>
      <c r="K201" s="12" t="s">
        <v>73</v>
      </c>
      <c r="L201" s="12" t="s">
        <v>533</v>
      </c>
      <c r="M201" s="12" t="s">
        <v>46</v>
      </c>
      <c r="N201" s="14">
        <v>0.26</v>
      </c>
      <c r="O201" s="23">
        <v>397.63</v>
      </c>
      <c r="P201">
        <v>340.39</v>
      </c>
      <c r="Q201" s="12" t="str" cm="1">
        <f t="array" ref="Q201:R201">VLOOKUP(E201,store[],{3,5},FALSE)</f>
        <v>North</v>
      </c>
      <c r="R201" t="str">
        <v>Outlet</v>
      </c>
      <c r="S201" s="4">
        <f t="shared" si="3"/>
        <v>794.74</v>
      </c>
    </row>
    <row r="202" spans="1:19">
      <c r="A202" t="s">
        <v>657</v>
      </c>
      <c r="B202" s="3">
        <v>45725</v>
      </c>
      <c r="C202" t="s">
        <v>658</v>
      </c>
      <c r="D202" t="s">
        <v>359</v>
      </c>
      <c r="E202" t="s">
        <v>179</v>
      </c>
      <c r="F202">
        <v>3</v>
      </c>
      <c r="G202" t="s">
        <v>33</v>
      </c>
      <c r="H202">
        <v>18</v>
      </c>
      <c r="I202" s="12" t="s">
        <v>24</v>
      </c>
      <c r="J202" s="12" t="s">
        <v>80</v>
      </c>
      <c r="K202" s="12" t="s">
        <v>26</v>
      </c>
      <c r="L202" s="12" t="s">
        <v>361</v>
      </c>
      <c r="M202" s="12" t="s">
        <v>46</v>
      </c>
      <c r="N202" s="14">
        <v>0.26</v>
      </c>
      <c r="O202" s="23">
        <v>748.56</v>
      </c>
      <c r="P202">
        <v>289.359375</v>
      </c>
      <c r="Q202" s="12" t="str" cm="1">
        <f t="array" ref="Q202:R202">VLOOKUP(E202,store[],{3,5},FALSE)</f>
        <v>East</v>
      </c>
      <c r="R202" t="str">
        <v>Online</v>
      </c>
      <c r="S202" s="4">
        <f t="shared" si="3"/>
        <v>2244.9</v>
      </c>
    </row>
    <row r="203" spans="1:19">
      <c r="A203" t="s">
        <v>659</v>
      </c>
      <c r="B203" s="3">
        <v>45742</v>
      </c>
      <c r="C203" t="s">
        <v>154</v>
      </c>
      <c r="D203" t="s">
        <v>89</v>
      </c>
      <c r="E203" t="s">
        <v>72</v>
      </c>
      <c r="F203">
        <v>1</v>
      </c>
      <c r="G203" t="s">
        <v>23</v>
      </c>
      <c r="H203">
        <v>62</v>
      </c>
      <c r="I203" s="12" t="s">
        <v>34</v>
      </c>
      <c r="J203" s="12" t="s">
        <v>99</v>
      </c>
      <c r="K203" s="12" t="s">
        <v>73</v>
      </c>
      <c r="L203" s="12" t="s">
        <v>92</v>
      </c>
      <c r="M203" s="12" t="s">
        <v>75</v>
      </c>
      <c r="N203" s="14">
        <v>0.15</v>
      </c>
      <c r="O203" s="23">
        <v>885.72</v>
      </c>
      <c r="P203">
        <v>179.77</v>
      </c>
      <c r="Q203" s="12" t="str" cm="1">
        <f t="array" ref="Q203:R203">VLOOKUP(E203,store[],{3,5},FALSE)</f>
        <v>South</v>
      </c>
      <c r="R203" t="str">
        <v>Online</v>
      </c>
      <c r="S203" s="4">
        <f t="shared" si="3"/>
        <v>885.57</v>
      </c>
    </row>
    <row r="204" spans="1:19">
      <c r="A204" t="s">
        <v>660</v>
      </c>
      <c r="B204" s="3">
        <v>45750</v>
      </c>
      <c r="C204" t="s">
        <v>589</v>
      </c>
      <c r="D204" t="s">
        <v>661</v>
      </c>
      <c r="E204" t="s">
        <v>105</v>
      </c>
      <c r="F204">
        <v>4</v>
      </c>
      <c r="G204" t="s">
        <v>50</v>
      </c>
      <c r="H204">
        <v>38</v>
      </c>
      <c r="I204" s="12" t="s">
        <v>24</v>
      </c>
      <c r="J204" s="12" t="s">
        <v>214</v>
      </c>
      <c r="K204" s="12" t="s">
        <v>73</v>
      </c>
      <c r="L204" s="12" t="s">
        <v>662</v>
      </c>
      <c r="M204" s="12" t="s">
        <v>37</v>
      </c>
      <c r="N204" s="14">
        <v>0.28000000000000003</v>
      </c>
      <c r="O204" s="23">
        <v>408.07</v>
      </c>
      <c r="P204">
        <v>86.42</v>
      </c>
      <c r="Q204" s="12" t="str" cm="1">
        <f t="array" ref="Q204:R204">VLOOKUP(E204,store[],{3,5},FALSE)</f>
        <v>North</v>
      </c>
      <c r="R204" t="str">
        <v>Flagship</v>
      </c>
      <c r="S204" s="4">
        <f t="shared" si="3"/>
        <v>1631.16</v>
      </c>
    </row>
    <row r="205" spans="1:19">
      <c r="A205" t="s">
        <v>663</v>
      </c>
      <c r="B205" s="3">
        <v>45327</v>
      </c>
      <c r="C205" t="s">
        <v>664</v>
      </c>
      <c r="D205" t="s">
        <v>116</v>
      </c>
      <c r="E205" t="s">
        <v>127</v>
      </c>
      <c r="F205">
        <v>2</v>
      </c>
      <c r="G205" t="s">
        <v>33</v>
      </c>
      <c r="H205">
        <v>42</v>
      </c>
      <c r="I205" s="12" t="s">
        <v>24</v>
      </c>
      <c r="J205" s="12" t="s">
        <v>463</v>
      </c>
      <c r="K205" s="12" t="s">
        <v>60</v>
      </c>
      <c r="L205" s="12" t="s">
        <v>119</v>
      </c>
      <c r="M205" s="12" t="s">
        <v>37</v>
      </c>
      <c r="N205" s="14">
        <v>0.28000000000000003</v>
      </c>
      <c r="O205" s="23">
        <v>597.07000000000005</v>
      </c>
      <c r="P205">
        <v>419.28</v>
      </c>
      <c r="Q205" s="12" t="str" cm="1">
        <f t="array" ref="Q205:R205">VLOOKUP(E205,store[],{3,5},FALSE)</f>
        <v>South</v>
      </c>
      <c r="R205" t="str">
        <v>Flagship</v>
      </c>
      <c r="S205" s="4">
        <f t="shared" si="3"/>
        <v>1193.58</v>
      </c>
    </row>
    <row r="206" spans="1:19">
      <c r="A206" t="s">
        <v>665</v>
      </c>
      <c r="B206" s="3">
        <v>45465</v>
      </c>
      <c r="C206" t="s">
        <v>550</v>
      </c>
      <c r="D206" t="s">
        <v>178</v>
      </c>
      <c r="E206" t="s">
        <v>127</v>
      </c>
      <c r="F206">
        <v>3</v>
      </c>
      <c r="G206" t="s">
        <v>50</v>
      </c>
      <c r="H206">
        <v>33</v>
      </c>
      <c r="I206" s="12" t="s">
        <v>34</v>
      </c>
      <c r="J206" s="12" t="s">
        <v>218</v>
      </c>
      <c r="K206" s="12" t="s">
        <v>60</v>
      </c>
      <c r="L206" s="12" t="s">
        <v>180</v>
      </c>
      <c r="M206" s="12" t="s">
        <v>37</v>
      </c>
      <c r="N206" s="14">
        <v>0.12</v>
      </c>
      <c r="O206" s="23">
        <v>723.47</v>
      </c>
      <c r="P206">
        <v>349.17</v>
      </c>
      <c r="Q206" s="12" t="str" cm="1">
        <f t="array" ref="Q206:R206">VLOOKUP(E206,store[],{3,5},FALSE)</f>
        <v>South</v>
      </c>
      <c r="R206" t="str">
        <v>Flagship</v>
      </c>
      <c r="S206" s="4">
        <f t="shared" si="3"/>
        <v>2170.0500000000002</v>
      </c>
    </row>
    <row r="207" spans="1:19">
      <c r="A207" t="s">
        <v>666</v>
      </c>
      <c r="B207" s="3">
        <v>45883</v>
      </c>
      <c r="C207" t="s">
        <v>667</v>
      </c>
      <c r="D207" t="s">
        <v>110</v>
      </c>
      <c r="E207" t="s">
        <v>58</v>
      </c>
      <c r="F207">
        <v>1</v>
      </c>
      <c r="G207" t="s">
        <v>23</v>
      </c>
      <c r="H207">
        <v>47</v>
      </c>
      <c r="I207" s="12" t="s">
        <v>34</v>
      </c>
      <c r="J207" s="12" t="s">
        <v>214</v>
      </c>
      <c r="K207" s="12" t="s">
        <v>52</v>
      </c>
      <c r="L207" s="12" t="s">
        <v>112</v>
      </c>
      <c r="M207" s="12" t="s">
        <v>28</v>
      </c>
      <c r="N207" s="14">
        <v>0.22</v>
      </c>
      <c r="O207" s="23">
        <v>479.93</v>
      </c>
      <c r="P207">
        <v>131.24</v>
      </c>
      <c r="Q207" s="12" t="str" cm="1">
        <f t="array" ref="Q207:R207">VLOOKUP(E207,store[],{3,5},FALSE)</f>
        <v>North</v>
      </c>
      <c r="R207" t="str">
        <v>Outlet</v>
      </c>
      <c r="S207" s="4">
        <f t="shared" si="3"/>
        <v>479.71</v>
      </c>
    </row>
    <row r="208" spans="1:19">
      <c r="A208" t="s">
        <v>668</v>
      </c>
      <c r="B208" s="3">
        <v>45445</v>
      </c>
      <c r="C208" t="s">
        <v>552</v>
      </c>
      <c r="D208" t="s">
        <v>116</v>
      </c>
      <c r="E208" t="s">
        <v>117</v>
      </c>
      <c r="F208">
        <v>4</v>
      </c>
      <c r="G208" t="s">
        <v>50</v>
      </c>
      <c r="H208">
        <v>56</v>
      </c>
      <c r="I208" s="12" t="s">
        <v>34</v>
      </c>
      <c r="J208" s="12" t="s">
        <v>118</v>
      </c>
      <c r="K208" s="12" t="s">
        <v>26</v>
      </c>
      <c r="L208" s="12" t="s">
        <v>119</v>
      </c>
      <c r="M208" s="12" t="s">
        <v>37</v>
      </c>
      <c r="N208" s="14">
        <v>0.21</v>
      </c>
      <c r="O208" s="23">
        <v>362.81</v>
      </c>
      <c r="P208">
        <v>419.28</v>
      </c>
      <c r="Q208" s="12" t="str" cm="1">
        <f t="array" ref="Q208:R208">VLOOKUP(E208,store[],{3,5},FALSE)</f>
        <v>West</v>
      </c>
      <c r="R208" t="str">
        <v>Flagship</v>
      </c>
      <c r="S208" s="4">
        <f t="shared" si="3"/>
        <v>1450.4</v>
      </c>
    </row>
    <row r="209" spans="1:19">
      <c r="A209" t="s">
        <v>669</v>
      </c>
      <c r="B209" s="3">
        <v>45640</v>
      </c>
      <c r="C209" t="s">
        <v>670</v>
      </c>
      <c r="D209" t="s">
        <v>221</v>
      </c>
      <c r="E209" t="s">
        <v>22</v>
      </c>
      <c r="F209">
        <v>1</v>
      </c>
      <c r="G209" t="s">
        <v>33</v>
      </c>
      <c r="H209">
        <v>54</v>
      </c>
      <c r="I209" s="12" t="s">
        <v>34</v>
      </c>
      <c r="J209" s="12" t="s">
        <v>204</v>
      </c>
      <c r="K209" s="12" t="s">
        <v>52</v>
      </c>
      <c r="L209" s="12" t="s">
        <v>223</v>
      </c>
      <c r="M209" s="12" t="s">
        <v>75</v>
      </c>
      <c r="N209" s="14">
        <v>0.01</v>
      </c>
      <c r="O209" s="23">
        <v>127.11</v>
      </c>
      <c r="P209">
        <v>228.53</v>
      </c>
      <c r="Q209" s="12" t="str" cm="1">
        <f t="array" ref="Q209:R209">VLOOKUP(E209,store[],{3,5},FALSE)</f>
        <v>North</v>
      </c>
      <c r="R209" t="str">
        <v>Outlet</v>
      </c>
      <c r="S209" s="4">
        <f t="shared" si="3"/>
        <v>127.1</v>
      </c>
    </row>
    <row r="210" spans="1:19">
      <c r="A210" t="s">
        <v>671</v>
      </c>
      <c r="B210" s="3">
        <v>45411</v>
      </c>
      <c r="C210" t="s">
        <v>672</v>
      </c>
      <c r="D210" t="s">
        <v>116</v>
      </c>
      <c r="E210" t="s">
        <v>32</v>
      </c>
      <c r="F210">
        <v>4</v>
      </c>
      <c r="G210" t="s">
        <v>23</v>
      </c>
      <c r="H210">
        <v>46</v>
      </c>
      <c r="I210" s="12" t="s">
        <v>34</v>
      </c>
      <c r="J210" s="12" t="s">
        <v>188</v>
      </c>
      <c r="K210" s="12" t="s">
        <v>60</v>
      </c>
      <c r="L210" s="12" t="s">
        <v>119</v>
      </c>
      <c r="M210" s="12" t="s">
        <v>37</v>
      </c>
      <c r="N210" s="14">
        <v>0.04</v>
      </c>
      <c r="O210" s="23">
        <v>931.26</v>
      </c>
      <c r="P210">
        <v>419.28</v>
      </c>
      <c r="Q210" s="12" t="str" cm="1">
        <f t="array" ref="Q210:R210">VLOOKUP(E210,store[],{3,5},FALSE)</f>
        <v>North</v>
      </c>
      <c r="R210" t="str">
        <v>Flagship</v>
      </c>
      <c r="S210" s="4">
        <f t="shared" si="3"/>
        <v>3724.88</v>
      </c>
    </row>
    <row r="211" spans="1:19">
      <c r="A211" t="s">
        <v>673</v>
      </c>
      <c r="B211" s="3">
        <v>45224</v>
      </c>
      <c r="C211" t="s">
        <v>674</v>
      </c>
      <c r="D211" t="s">
        <v>178</v>
      </c>
      <c r="E211" t="s">
        <v>43</v>
      </c>
      <c r="F211">
        <v>1</v>
      </c>
      <c r="G211" t="s">
        <v>33</v>
      </c>
      <c r="H211">
        <v>21</v>
      </c>
      <c r="I211" s="12" t="s">
        <v>34</v>
      </c>
      <c r="J211" s="12" t="s">
        <v>214</v>
      </c>
      <c r="K211" s="12" t="s">
        <v>52</v>
      </c>
      <c r="L211" s="12" t="s">
        <v>180</v>
      </c>
      <c r="M211" s="12" t="s">
        <v>37</v>
      </c>
      <c r="N211" s="14">
        <v>0.04</v>
      </c>
      <c r="O211" s="23">
        <v>620.80999999999995</v>
      </c>
      <c r="P211">
        <v>349.17</v>
      </c>
      <c r="Q211" s="12" t="str" cm="1">
        <f t="array" ref="Q211:R211">VLOOKUP(E211,store[],{3,5},FALSE)</f>
        <v>West</v>
      </c>
      <c r="R211" t="str">
        <v>Online</v>
      </c>
      <c r="S211" s="4">
        <f t="shared" si="3"/>
        <v>620.77</v>
      </c>
    </row>
    <row r="212" spans="1:19">
      <c r="A212" t="s">
        <v>675</v>
      </c>
      <c r="B212" s="3">
        <v>45497</v>
      </c>
      <c r="C212" t="s">
        <v>145</v>
      </c>
      <c r="D212" t="s">
        <v>409</v>
      </c>
      <c r="E212" t="s">
        <v>198</v>
      </c>
      <c r="F212">
        <v>1</v>
      </c>
      <c r="G212" t="s">
        <v>50</v>
      </c>
      <c r="H212">
        <v>43</v>
      </c>
      <c r="I212" s="12" t="s">
        <v>34</v>
      </c>
      <c r="J212" s="12" t="s">
        <v>99</v>
      </c>
      <c r="K212" s="12" t="s">
        <v>26</v>
      </c>
      <c r="L212" s="12" t="s">
        <v>411</v>
      </c>
      <c r="M212" s="12" t="s">
        <v>28</v>
      </c>
      <c r="N212" s="14">
        <v>0.27</v>
      </c>
      <c r="O212" s="23">
        <v>823.26</v>
      </c>
      <c r="P212">
        <v>190.29</v>
      </c>
      <c r="Q212" s="12" t="str" cm="1">
        <f t="array" ref="Q212:R212">VLOOKUP(E212,store[],{3,5},FALSE)</f>
        <v>South</v>
      </c>
      <c r="R212" t="str">
        <v>Outlet</v>
      </c>
      <c r="S212" s="4">
        <f t="shared" si="3"/>
        <v>822.99</v>
      </c>
    </row>
    <row r="213" spans="1:19">
      <c r="A213" t="s">
        <v>676</v>
      </c>
      <c r="B213" s="3">
        <v>45807</v>
      </c>
      <c r="C213" t="s">
        <v>677</v>
      </c>
      <c r="D213" t="s">
        <v>139</v>
      </c>
      <c r="E213" t="s">
        <v>43</v>
      </c>
      <c r="F213">
        <v>3</v>
      </c>
      <c r="G213" t="s">
        <v>50</v>
      </c>
      <c r="H213">
        <v>55</v>
      </c>
      <c r="I213" s="12" t="s">
        <v>34</v>
      </c>
      <c r="J213" s="12" t="s">
        <v>333</v>
      </c>
      <c r="K213" s="12" t="s">
        <v>52</v>
      </c>
      <c r="L213" s="12" t="s">
        <v>141</v>
      </c>
      <c r="M213" s="12" t="s">
        <v>75</v>
      </c>
      <c r="N213" s="14">
        <v>0.27</v>
      </c>
      <c r="O213" s="23">
        <v>681.01</v>
      </c>
      <c r="P213">
        <v>250.02157142857101</v>
      </c>
      <c r="Q213" s="12" t="str" cm="1">
        <f t="array" ref="Q213:R213">VLOOKUP(E213,store[],{3,5},FALSE)</f>
        <v>West</v>
      </c>
      <c r="R213" t="str">
        <v>Online</v>
      </c>
      <c r="S213" s="4">
        <f t="shared" si="3"/>
        <v>2042.22</v>
      </c>
    </row>
    <row r="214" spans="1:19">
      <c r="A214" t="s">
        <v>678</v>
      </c>
      <c r="B214" s="3">
        <v>45942</v>
      </c>
      <c r="C214" t="s">
        <v>679</v>
      </c>
      <c r="D214" t="s">
        <v>71</v>
      </c>
      <c r="E214" t="s">
        <v>135</v>
      </c>
      <c r="F214">
        <v>4</v>
      </c>
      <c r="G214" t="s">
        <v>23</v>
      </c>
      <c r="H214">
        <v>42</v>
      </c>
      <c r="I214" s="12" t="s">
        <v>34</v>
      </c>
      <c r="J214" s="12" t="s">
        <v>609</v>
      </c>
      <c r="K214" s="12" t="s">
        <v>73</v>
      </c>
      <c r="L214" s="12" t="s">
        <v>74</v>
      </c>
      <c r="M214" s="12" t="s">
        <v>75</v>
      </c>
      <c r="N214" s="14">
        <v>0.13</v>
      </c>
      <c r="O214" s="23">
        <v>119.83</v>
      </c>
      <c r="P214">
        <v>461.47</v>
      </c>
      <c r="Q214" s="12" t="str" cm="1">
        <f t="array" ref="Q214:R214">VLOOKUP(E214,store[],{3,5},FALSE)</f>
        <v>East</v>
      </c>
      <c r="R214" t="str">
        <v>Online</v>
      </c>
      <c r="S214" s="4">
        <f t="shared" si="3"/>
        <v>478.8</v>
      </c>
    </row>
    <row r="215" spans="1:19">
      <c r="A215" t="s">
        <v>680</v>
      </c>
      <c r="B215" s="3">
        <v>45314</v>
      </c>
      <c r="C215" t="s">
        <v>560</v>
      </c>
      <c r="D215" t="s">
        <v>267</v>
      </c>
      <c r="E215" t="s">
        <v>198</v>
      </c>
      <c r="F215">
        <v>1</v>
      </c>
      <c r="G215" t="s">
        <v>33</v>
      </c>
      <c r="H215">
        <v>56</v>
      </c>
      <c r="I215" s="12" t="s">
        <v>34</v>
      </c>
      <c r="J215" s="12" t="s">
        <v>59</v>
      </c>
      <c r="K215" s="12" t="s">
        <v>73</v>
      </c>
      <c r="L215" s="12" t="s">
        <v>268</v>
      </c>
      <c r="M215" s="12" t="s">
        <v>75</v>
      </c>
      <c r="N215" s="14">
        <v>0.03</v>
      </c>
      <c r="O215" s="23">
        <v>575.66</v>
      </c>
      <c r="P215">
        <v>325.26</v>
      </c>
      <c r="Q215" s="12" t="str" cm="1">
        <f t="array" ref="Q215:R215">VLOOKUP(E215,store[],{3,5},FALSE)</f>
        <v>South</v>
      </c>
      <c r="R215" t="str">
        <v>Outlet</v>
      </c>
      <c r="S215" s="4">
        <f t="shared" si="3"/>
        <v>575.63</v>
      </c>
    </row>
    <row r="216" spans="1:19">
      <c r="A216" t="s">
        <v>681</v>
      </c>
      <c r="B216" s="3">
        <v>45943</v>
      </c>
      <c r="C216" t="s">
        <v>682</v>
      </c>
      <c r="D216" t="s">
        <v>505</v>
      </c>
      <c r="E216" t="s">
        <v>117</v>
      </c>
      <c r="F216">
        <v>1</v>
      </c>
      <c r="G216" t="s">
        <v>23</v>
      </c>
      <c r="H216">
        <v>46</v>
      </c>
      <c r="I216" s="12" t="s">
        <v>24</v>
      </c>
      <c r="J216" s="12" t="s">
        <v>51</v>
      </c>
      <c r="K216" s="12" t="s">
        <v>73</v>
      </c>
      <c r="L216" s="12" t="s">
        <v>506</v>
      </c>
      <c r="M216" s="12" t="s">
        <v>37</v>
      </c>
      <c r="N216" s="14">
        <v>0.26</v>
      </c>
      <c r="O216" s="23">
        <v>775.84</v>
      </c>
      <c r="P216">
        <v>177.98</v>
      </c>
      <c r="Q216" s="12" t="str" cm="1">
        <f t="array" ref="Q216:R216">VLOOKUP(E216,store[],{3,5},FALSE)</f>
        <v>West</v>
      </c>
      <c r="R216" t="str">
        <v>Flagship</v>
      </c>
      <c r="S216" s="4">
        <f t="shared" si="3"/>
        <v>775.58</v>
      </c>
    </row>
    <row r="217" spans="1:19">
      <c r="A217" t="s">
        <v>683</v>
      </c>
      <c r="B217" s="3">
        <v>45356</v>
      </c>
      <c r="C217" t="s">
        <v>115</v>
      </c>
      <c r="D217" t="s">
        <v>480</v>
      </c>
      <c r="E217" t="s">
        <v>127</v>
      </c>
      <c r="F217">
        <v>3</v>
      </c>
      <c r="G217" t="s">
        <v>23</v>
      </c>
      <c r="H217">
        <v>51</v>
      </c>
      <c r="I217" s="12" t="s">
        <v>24</v>
      </c>
      <c r="J217" s="12" t="s">
        <v>118</v>
      </c>
      <c r="K217" s="12" t="s">
        <v>60</v>
      </c>
      <c r="L217" s="12" t="s">
        <v>481</v>
      </c>
      <c r="M217" s="12" t="s">
        <v>75</v>
      </c>
      <c r="N217" s="14">
        <v>0.05</v>
      </c>
      <c r="O217" s="23">
        <v>318.43</v>
      </c>
      <c r="P217">
        <v>48.01</v>
      </c>
      <c r="Q217" s="12" t="str" cm="1">
        <f t="array" ref="Q217:R217">VLOOKUP(E217,store[],{3,5},FALSE)</f>
        <v>South</v>
      </c>
      <c r="R217" t="str">
        <v>Flagship</v>
      </c>
      <c r="S217" s="4">
        <f t="shared" si="3"/>
        <v>955.14</v>
      </c>
    </row>
    <row r="218" spans="1:19">
      <c r="A218" t="s">
        <v>684</v>
      </c>
      <c r="B218" s="3">
        <v>45854</v>
      </c>
      <c r="C218" t="s">
        <v>685</v>
      </c>
      <c r="D218" t="s">
        <v>155</v>
      </c>
      <c r="E218" t="s">
        <v>43</v>
      </c>
      <c r="F218">
        <v>3</v>
      </c>
      <c r="G218" t="s">
        <v>50</v>
      </c>
      <c r="H218">
        <v>31</v>
      </c>
      <c r="I218" s="12" t="s">
        <v>24</v>
      </c>
      <c r="J218" s="12" t="s">
        <v>188</v>
      </c>
      <c r="K218" s="12" t="s">
        <v>73</v>
      </c>
      <c r="L218" s="12" t="s">
        <v>156</v>
      </c>
      <c r="M218" s="12" t="s">
        <v>28</v>
      </c>
      <c r="N218" s="14">
        <v>0.08</v>
      </c>
      <c r="O218" s="23">
        <v>141.6</v>
      </c>
      <c r="P218">
        <v>477.61</v>
      </c>
      <c r="Q218" s="12" t="str" cm="1">
        <f t="array" ref="Q218:R218">VLOOKUP(E218,store[],{3,5},FALSE)</f>
        <v>West</v>
      </c>
      <c r="R218" t="str">
        <v>Online</v>
      </c>
      <c r="S218" s="4">
        <f t="shared" si="3"/>
        <v>424.56</v>
      </c>
    </row>
    <row r="219" spans="1:19">
      <c r="A219" t="s">
        <v>686</v>
      </c>
      <c r="B219" s="3">
        <v>45219</v>
      </c>
      <c r="C219" t="s">
        <v>687</v>
      </c>
      <c r="D219" t="s">
        <v>65</v>
      </c>
      <c r="E219" t="s">
        <v>135</v>
      </c>
      <c r="F219">
        <v>1</v>
      </c>
      <c r="G219" t="s">
        <v>33</v>
      </c>
      <c r="H219">
        <v>32</v>
      </c>
      <c r="I219" s="12" t="s">
        <v>34</v>
      </c>
      <c r="J219" s="12" t="s">
        <v>239</v>
      </c>
      <c r="K219" s="12" t="s">
        <v>73</v>
      </c>
      <c r="L219" s="12" t="s">
        <v>68</v>
      </c>
      <c r="M219" s="12" t="s">
        <v>37</v>
      </c>
      <c r="N219" s="14">
        <v>0.14000000000000001</v>
      </c>
      <c r="O219" s="23">
        <v>332.82</v>
      </c>
      <c r="P219">
        <v>465.34</v>
      </c>
      <c r="Q219" s="12" t="str" cm="1">
        <f t="array" ref="Q219:R219">VLOOKUP(E219,store[],{3,5},FALSE)</f>
        <v>East</v>
      </c>
      <c r="R219" t="str">
        <v>Online</v>
      </c>
      <c r="S219" s="4">
        <f t="shared" si="3"/>
        <v>332.68</v>
      </c>
    </row>
    <row r="220" spans="1:19">
      <c r="A220" t="s">
        <v>688</v>
      </c>
      <c r="B220" s="3">
        <v>45447</v>
      </c>
      <c r="C220" t="s">
        <v>689</v>
      </c>
      <c r="D220" t="s">
        <v>155</v>
      </c>
      <c r="E220" t="s">
        <v>105</v>
      </c>
      <c r="F220">
        <v>4</v>
      </c>
      <c r="G220" t="s">
        <v>50</v>
      </c>
      <c r="H220">
        <v>58</v>
      </c>
      <c r="I220" s="12" t="s">
        <v>24</v>
      </c>
      <c r="J220" s="12" t="s">
        <v>140</v>
      </c>
      <c r="K220" s="12" t="s">
        <v>73</v>
      </c>
      <c r="L220" s="12" t="s">
        <v>156</v>
      </c>
      <c r="M220" s="12" t="s">
        <v>28</v>
      </c>
      <c r="N220" s="14">
        <v>0.11</v>
      </c>
      <c r="O220" s="23">
        <v>640.97</v>
      </c>
      <c r="P220">
        <v>477.61</v>
      </c>
      <c r="Q220" s="12" t="str" cm="1">
        <f t="array" ref="Q220:R220">VLOOKUP(E220,store[],{3,5},FALSE)</f>
        <v>North</v>
      </c>
      <c r="R220" t="str">
        <v>Flagship</v>
      </c>
      <c r="S220" s="4">
        <f t="shared" si="3"/>
        <v>2563.44</v>
      </c>
    </row>
    <row r="221" spans="1:19">
      <c r="A221" t="s">
        <v>690</v>
      </c>
      <c r="B221" s="3">
        <v>45225</v>
      </c>
      <c r="C221" t="s">
        <v>262</v>
      </c>
      <c r="D221" t="s">
        <v>453</v>
      </c>
      <c r="E221" t="s">
        <v>122</v>
      </c>
      <c r="F221">
        <v>4</v>
      </c>
      <c r="G221" t="s">
        <v>50</v>
      </c>
      <c r="H221">
        <v>47</v>
      </c>
      <c r="I221" s="12" t="s">
        <v>24</v>
      </c>
      <c r="J221" s="12" t="s">
        <v>106</v>
      </c>
      <c r="K221" s="12" t="s">
        <v>52</v>
      </c>
      <c r="L221" s="12" t="s">
        <v>454</v>
      </c>
      <c r="M221" s="12" t="s">
        <v>37</v>
      </c>
      <c r="N221" s="14">
        <v>0.02</v>
      </c>
      <c r="O221" s="23">
        <v>75.37</v>
      </c>
      <c r="P221">
        <v>340.14</v>
      </c>
      <c r="Q221" s="12" t="str" cm="1">
        <f t="array" ref="Q221:R221">VLOOKUP(E221,store[],{3,5},FALSE)</f>
        <v>North</v>
      </c>
      <c r="R221" t="str">
        <v>Flagship</v>
      </c>
      <c r="S221" s="4">
        <f t="shared" si="3"/>
        <v>301.39999999999998</v>
      </c>
    </row>
    <row r="222" spans="1:19">
      <c r="A222" t="s">
        <v>691</v>
      </c>
      <c r="B222" s="3">
        <v>45754</v>
      </c>
      <c r="C222" t="s">
        <v>692</v>
      </c>
      <c r="D222" t="s">
        <v>226</v>
      </c>
      <c r="E222" t="s">
        <v>160</v>
      </c>
      <c r="F222">
        <v>3</v>
      </c>
      <c r="G222" t="s">
        <v>50</v>
      </c>
      <c r="H222">
        <v>61</v>
      </c>
      <c r="I222" s="12" t="s">
        <v>34</v>
      </c>
      <c r="J222" s="12" t="s">
        <v>227</v>
      </c>
      <c r="K222" s="12" t="s">
        <v>26</v>
      </c>
      <c r="L222" s="12" t="s">
        <v>228</v>
      </c>
      <c r="M222" s="12" t="s">
        <v>46</v>
      </c>
      <c r="N222" s="14">
        <v>0.08</v>
      </c>
      <c r="O222" s="23">
        <v>434.55</v>
      </c>
      <c r="P222">
        <v>337.42</v>
      </c>
      <c r="Q222" s="12" t="str" cm="1">
        <f t="array" ref="Q222:R222">VLOOKUP(E222,store[],{3,5},FALSE)</f>
        <v>East</v>
      </c>
      <c r="R222" t="str">
        <v>Flagship</v>
      </c>
      <c r="S222" s="4">
        <f t="shared" si="3"/>
        <v>1303.4100000000001</v>
      </c>
    </row>
    <row r="223" spans="1:19">
      <c r="A223" t="s">
        <v>693</v>
      </c>
      <c r="B223" s="3">
        <v>45729</v>
      </c>
      <c r="C223" t="s">
        <v>694</v>
      </c>
      <c r="D223" t="s">
        <v>246</v>
      </c>
      <c r="E223" t="s">
        <v>98</v>
      </c>
      <c r="F223">
        <v>4</v>
      </c>
      <c r="G223" t="s">
        <v>23</v>
      </c>
      <c r="H223">
        <v>35</v>
      </c>
      <c r="I223" s="12" t="s">
        <v>24</v>
      </c>
      <c r="J223" s="12" t="s">
        <v>51</v>
      </c>
      <c r="K223" s="12" t="s">
        <v>60</v>
      </c>
      <c r="L223" s="12" t="s">
        <v>247</v>
      </c>
      <c r="M223" s="12" t="s">
        <v>37</v>
      </c>
      <c r="N223" s="14">
        <v>0.15</v>
      </c>
      <c r="O223" s="23">
        <v>652.28</v>
      </c>
      <c r="P223">
        <v>322.41000000000003</v>
      </c>
      <c r="Q223" s="12" t="str" cm="1">
        <f t="array" ref="Q223:R223">VLOOKUP(E223,store[],{3,5},FALSE)</f>
        <v>South</v>
      </c>
      <c r="R223" t="str">
        <v>Outlet</v>
      </c>
      <c r="S223" s="4">
        <f t="shared" si="3"/>
        <v>2608.52</v>
      </c>
    </row>
    <row r="224" spans="1:19">
      <c r="A224" t="s">
        <v>695</v>
      </c>
      <c r="B224" s="3">
        <v>45480</v>
      </c>
      <c r="C224" t="s">
        <v>326</v>
      </c>
      <c r="D224" t="s">
        <v>49</v>
      </c>
      <c r="E224" t="s">
        <v>32</v>
      </c>
      <c r="F224">
        <v>3</v>
      </c>
      <c r="G224" t="s">
        <v>23</v>
      </c>
      <c r="H224">
        <v>45</v>
      </c>
      <c r="I224" s="12" t="s">
        <v>34</v>
      </c>
      <c r="J224" s="12" t="s">
        <v>227</v>
      </c>
      <c r="K224" s="12" t="s">
        <v>60</v>
      </c>
      <c r="L224" s="12" t="s">
        <v>53</v>
      </c>
      <c r="M224" s="12" t="s">
        <v>37</v>
      </c>
      <c r="N224" s="14">
        <v>0.15</v>
      </c>
      <c r="O224" s="23">
        <v>207.8</v>
      </c>
      <c r="P224">
        <v>392.89</v>
      </c>
      <c r="Q224" s="12" t="str" cm="1">
        <f t="array" ref="Q224:R224">VLOOKUP(E224,store[],{3,5},FALSE)</f>
        <v>North</v>
      </c>
      <c r="R224" t="str">
        <v>Flagship</v>
      </c>
      <c r="S224" s="4">
        <f t="shared" si="3"/>
        <v>622.95000000000005</v>
      </c>
    </row>
    <row r="225" spans="1:19">
      <c r="A225" t="s">
        <v>696</v>
      </c>
      <c r="B225" s="3">
        <v>45361</v>
      </c>
      <c r="C225" t="s">
        <v>697</v>
      </c>
      <c r="D225" t="s">
        <v>698</v>
      </c>
      <c r="E225" t="s">
        <v>122</v>
      </c>
      <c r="F225">
        <v>4</v>
      </c>
      <c r="G225" t="s">
        <v>33</v>
      </c>
      <c r="H225">
        <v>23</v>
      </c>
      <c r="I225" s="12" t="s">
        <v>34</v>
      </c>
      <c r="J225" s="12" t="s">
        <v>373</v>
      </c>
      <c r="K225" s="12" t="s">
        <v>73</v>
      </c>
      <c r="L225" s="12" t="s">
        <v>699</v>
      </c>
      <c r="M225" s="12" t="s">
        <v>28</v>
      </c>
      <c r="N225" s="14">
        <v>0.03</v>
      </c>
      <c r="O225" s="23">
        <v>385.5</v>
      </c>
      <c r="P225">
        <v>103.45</v>
      </c>
      <c r="Q225" s="12" t="str" cm="1">
        <f t="array" ref="Q225:R225">VLOOKUP(E225,store[],{3,5},FALSE)</f>
        <v>North</v>
      </c>
      <c r="R225" t="str">
        <v>Flagship</v>
      </c>
      <c r="S225" s="4">
        <f t="shared" si="3"/>
        <v>1541.88</v>
      </c>
    </row>
    <row r="226" spans="1:19">
      <c r="A226" t="s">
        <v>700</v>
      </c>
      <c r="B226" s="3">
        <v>45915</v>
      </c>
      <c r="C226" t="s">
        <v>701</v>
      </c>
      <c r="D226" t="s">
        <v>134</v>
      </c>
      <c r="E226" t="s">
        <v>179</v>
      </c>
      <c r="F226">
        <v>3</v>
      </c>
      <c r="G226" t="s">
        <v>23</v>
      </c>
      <c r="H226">
        <v>30</v>
      </c>
      <c r="I226" s="12" t="s">
        <v>34</v>
      </c>
      <c r="J226" s="12" t="s">
        <v>378</v>
      </c>
      <c r="K226" s="12" t="s">
        <v>52</v>
      </c>
      <c r="L226" s="12" t="s">
        <v>136</v>
      </c>
      <c r="M226" s="12" t="s">
        <v>28</v>
      </c>
      <c r="N226" s="14">
        <v>0.12</v>
      </c>
      <c r="O226" s="23">
        <v>548.19000000000005</v>
      </c>
      <c r="P226">
        <v>240.63</v>
      </c>
      <c r="Q226" s="12" t="str" cm="1">
        <f t="array" ref="Q226:R226">VLOOKUP(E226,store[],{3,5},FALSE)</f>
        <v>East</v>
      </c>
      <c r="R226" t="str">
        <v>Online</v>
      </c>
      <c r="S226" s="4">
        <f t="shared" si="3"/>
        <v>1644.21</v>
      </c>
    </row>
    <row r="227" spans="1:19">
      <c r="A227" t="s">
        <v>702</v>
      </c>
      <c r="B227" s="3">
        <v>45607</v>
      </c>
      <c r="C227" t="s">
        <v>703</v>
      </c>
      <c r="D227" t="s">
        <v>575</v>
      </c>
      <c r="E227" t="s">
        <v>127</v>
      </c>
      <c r="F227">
        <v>3</v>
      </c>
      <c r="G227" t="s">
        <v>23</v>
      </c>
      <c r="H227">
        <v>24</v>
      </c>
      <c r="I227" s="12" t="s">
        <v>34</v>
      </c>
      <c r="J227" s="12" t="s">
        <v>204</v>
      </c>
      <c r="K227" s="12" t="s">
        <v>52</v>
      </c>
      <c r="L227" s="12" t="s">
        <v>576</v>
      </c>
      <c r="M227" s="12" t="s">
        <v>28</v>
      </c>
      <c r="N227" s="14">
        <v>0.09</v>
      </c>
      <c r="O227" s="23">
        <v>927.6</v>
      </c>
      <c r="P227">
        <v>107.06</v>
      </c>
      <c r="Q227" s="12" t="str" cm="1">
        <f t="array" ref="Q227:R227">VLOOKUP(E227,store[],{3,5},FALSE)</f>
        <v>South</v>
      </c>
      <c r="R227" t="str">
        <v>Flagship</v>
      </c>
      <c r="S227" s="4">
        <f t="shared" si="3"/>
        <v>2782.53</v>
      </c>
    </row>
    <row r="228" spans="1:19">
      <c r="A228" t="s">
        <v>704</v>
      </c>
      <c r="B228" s="3">
        <v>45666</v>
      </c>
      <c r="C228" t="s">
        <v>687</v>
      </c>
      <c r="D228" t="s">
        <v>698</v>
      </c>
      <c r="E228" t="s">
        <v>22</v>
      </c>
      <c r="F228">
        <v>4</v>
      </c>
      <c r="G228" t="s">
        <v>33</v>
      </c>
      <c r="H228">
        <v>32</v>
      </c>
      <c r="I228" s="12" t="s">
        <v>34</v>
      </c>
      <c r="J228" s="12" t="s">
        <v>239</v>
      </c>
      <c r="K228" s="12" t="s">
        <v>73</v>
      </c>
      <c r="L228" s="12" t="s">
        <v>699</v>
      </c>
      <c r="M228" s="12" t="s">
        <v>28</v>
      </c>
      <c r="N228" s="14">
        <v>0.22</v>
      </c>
      <c r="O228" s="23">
        <v>585.04</v>
      </c>
      <c r="P228">
        <v>103.45</v>
      </c>
      <c r="Q228" s="12" t="str" cm="1">
        <f t="array" ref="Q228:R228">VLOOKUP(E228,store[],{3,5},FALSE)</f>
        <v>North</v>
      </c>
      <c r="R228" t="str">
        <v>Outlet</v>
      </c>
      <c r="S228" s="4">
        <f t="shared" si="3"/>
        <v>2339.2800000000002</v>
      </c>
    </row>
    <row r="229" spans="1:19">
      <c r="A229" t="s">
        <v>705</v>
      </c>
      <c r="B229" s="3">
        <v>45406</v>
      </c>
      <c r="C229" t="s">
        <v>608</v>
      </c>
      <c r="D229" t="s">
        <v>104</v>
      </c>
      <c r="E229" t="s">
        <v>198</v>
      </c>
      <c r="F229">
        <v>2</v>
      </c>
      <c r="G229" t="s">
        <v>23</v>
      </c>
      <c r="H229">
        <v>27</v>
      </c>
      <c r="I229" s="12" t="s">
        <v>34</v>
      </c>
      <c r="J229" s="12" t="s">
        <v>609</v>
      </c>
      <c r="K229" s="12" t="s">
        <v>52</v>
      </c>
      <c r="L229" s="12" t="s">
        <v>107</v>
      </c>
      <c r="M229" s="12" t="s">
        <v>37</v>
      </c>
      <c r="N229" s="14">
        <v>0.09</v>
      </c>
      <c r="O229" s="23">
        <v>999.89</v>
      </c>
      <c r="P229">
        <v>326.06</v>
      </c>
      <c r="Q229" s="12" t="str" cm="1">
        <f t="array" ref="Q229:R229">VLOOKUP(E229,store[],{3,5},FALSE)</f>
        <v>South</v>
      </c>
      <c r="R229" t="str">
        <v>Outlet</v>
      </c>
      <c r="S229" s="4">
        <f t="shared" si="3"/>
        <v>1999.6</v>
      </c>
    </row>
    <row r="230" spans="1:19">
      <c r="A230" t="s">
        <v>706</v>
      </c>
      <c r="B230" s="3">
        <v>45284</v>
      </c>
      <c r="C230" t="s">
        <v>707</v>
      </c>
      <c r="D230" t="s">
        <v>213</v>
      </c>
      <c r="E230" t="s">
        <v>22</v>
      </c>
      <c r="F230">
        <v>2</v>
      </c>
      <c r="G230" t="s">
        <v>33</v>
      </c>
      <c r="H230">
        <v>62</v>
      </c>
      <c r="I230" s="12" t="s">
        <v>34</v>
      </c>
      <c r="J230" s="12" t="s">
        <v>188</v>
      </c>
      <c r="K230" s="12" t="s">
        <v>52</v>
      </c>
      <c r="L230" s="12" t="s">
        <v>215</v>
      </c>
      <c r="M230" s="12" t="s">
        <v>130</v>
      </c>
      <c r="N230" s="14">
        <v>0.04</v>
      </c>
      <c r="O230" s="23">
        <v>848.98</v>
      </c>
      <c r="P230">
        <v>158.13999999999999</v>
      </c>
      <c r="Q230" s="12" t="str" cm="1">
        <f t="array" ref="Q230:R230">VLOOKUP(E230,store[],{3,5},FALSE)</f>
        <v>North</v>
      </c>
      <c r="R230" t="str">
        <v>Outlet</v>
      </c>
      <c r="S230" s="4">
        <f t="shared" si="3"/>
        <v>1697.88</v>
      </c>
    </row>
    <row r="231" spans="1:19">
      <c r="A231" t="s">
        <v>708</v>
      </c>
      <c r="B231" s="3">
        <v>45348</v>
      </c>
      <c r="C231" t="s">
        <v>285</v>
      </c>
      <c r="D231" t="s">
        <v>148</v>
      </c>
      <c r="E231" t="s">
        <v>98</v>
      </c>
      <c r="F231">
        <v>3</v>
      </c>
      <c r="G231" t="s">
        <v>23</v>
      </c>
      <c r="H231">
        <v>37</v>
      </c>
      <c r="I231" s="12" t="s">
        <v>24</v>
      </c>
      <c r="J231" s="12" t="s">
        <v>111</v>
      </c>
      <c r="K231" s="12" t="s">
        <v>73</v>
      </c>
      <c r="L231" s="12" t="s">
        <v>150</v>
      </c>
      <c r="M231" s="12" t="s">
        <v>46</v>
      </c>
      <c r="N231" s="14">
        <v>0.08</v>
      </c>
      <c r="O231" s="23">
        <v>769.56</v>
      </c>
      <c r="P231">
        <v>482.75</v>
      </c>
      <c r="Q231" s="12" t="str" cm="1">
        <f t="array" ref="Q231:R231">VLOOKUP(E231,store[],{3,5},FALSE)</f>
        <v>South</v>
      </c>
      <c r="R231" t="str">
        <v>Outlet</v>
      </c>
      <c r="S231" s="4">
        <f t="shared" si="3"/>
        <v>2308.44</v>
      </c>
    </row>
    <row r="232" spans="1:19">
      <c r="A232" t="s">
        <v>709</v>
      </c>
      <c r="B232" s="3">
        <v>45676</v>
      </c>
      <c r="C232" t="s">
        <v>710</v>
      </c>
      <c r="D232" t="s">
        <v>505</v>
      </c>
      <c r="E232" t="s">
        <v>149</v>
      </c>
      <c r="F232">
        <v>3</v>
      </c>
      <c r="G232" t="s">
        <v>33</v>
      </c>
      <c r="H232">
        <v>45</v>
      </c>
      <c r="I232" s="12" t="s">
        <v>34</v>
      </c>
      <c r="J232" s="12" t="s">
        <v>308</v>
      </c>
      <c r="K232" s="12" t="s">
        <v>26</v>
      </c>
      <c r="L232" s="12" t="s">
        <v>506</v>
      </c>
      <c r="M232" s="12" t="s">
        <v>37</v>
      </c>
      <c r="N232" s="14">
        <v>0.1</v>
      </c>
      <c r="O232" s="23">
        <v>449.88</v>
      </c>
      <c r="P232">
        <v>177.98</v>
      </c>
      <c r="Q232" s="12" t="str" cm="1">
        <f t="array" ref="Q232:R232">VLOOKUP(E232,store[],{3,5},FALSE)</f>
        <v>East</v>
      </c>
      <c r="R232" t="str">
        <v>Flagship</v>
      </c>
      <c r="S232" s="4">
        <f t="shared" si="3"/>
        <v>1349.34</v>
      </c>
    </row>
    <row r="233" spans="1:19">
      <c r="A233" t="s">
        <v>711</v>
      </c>
      <c r="B233" s="3">
        <v>45863</v>
      </c>
      <c r="C233" t="s">
        <v>712</v>
      </c>
      <c r="D233" t="s">
        <v>167</v>
      </c>
      <c r="E233" t="s">
        <v>208</v>
      </c>
      <c r="F233">
        <v>4</v>
      </c>
      <c r="G233" t="s">
        <v>23</v>
      </c>
      <c r="H233">
        <v>22</v>
      </c>
      <c r="I233" s="12" t="s">
        <v>24</v>
      </c>
      <c r="J233" s="12" t="s">
        <v>239</v>
      </c>
      <c r="K233" s="12" t="s">
        <v>26</v>
      </c>
      <c r="L233" s="12" t="s">
        <v>170</v>
      </c>
      <c r="M233" s="12" t="s">
        <v>130</v>
      </c>
      <c r="N233" s="14">
        <v>0.01</v>
      </c>
      <c r="O233" s="23">
        <v>383.74</v>
      </c>
      <c r="P233">
        <v>218.22</v>
      </c>
      <c r="Q233" s="12" t="str" cm="1">
        <f t="array" ref="Q233:R233">VLOOKUP(E233,store[],{3,5},FALSE)</f>
        <v>North</v>
      </c>
      <c r="R233" t="str">
        <v>Online</v>
      </c>
      <c r="S233" s="4">
        <f t="shared" si="3"/>
        <v>1534.92</v>
      </c>
    </row>
    <row r="234" spans="1:19">
      <c r="A234" t="s">
        <v>713</v>
      </c>
      <c r="B234" s="3">
        <v>45409</v>
      </c>
      <c r="C234" t="s">
        <v>196</v>
      </c>
      <c r="D234" t="s">
        <v>714</v>
      </c>
      <c r="E234" t="s">
        <v>168</v>
      </c>
      <c r="F234">
        <v>4</v>
      </c>
      <c r="G234" t="s">
        <v>33</v>
      </c>
      <c r="H234">
        <v>42</v>
      </c>
      <c r="I234" s="12" t="s">
        <v>34</v>
      </c>
      <c r="J234" s="12" t="s">
        <v>199</v>
      </c>
      <c r="K234" s="12" t="s">
        <v>73</v>
      </c>
      <c r="L234" s="12" t="s">
        <v>715</v>
      </c>
      <c r="M234" s="12" t="s">
        <v>130</v>
      </c>
      <c r="N234" s="14">
        <v>0.24</v>
      </c>
      <c r="O234" s="23">
        <v>794.97</v>
      </c>
      <c r="P234">
        <v>113.83</v>
      </c>
      <c r="Q234" s="12" t="str" cm="1">
        <f t="array" ref="Q234:R234">VLOOKUP(E234,store[],{3,5},FALSE)</f>
        <v>East</v>
      </c>
      <c r="R234" t="str">
        <v>Online</v>
      </c>
      <c r="S234" s="4">
        <f t="shared" si="3"/>
        <v>3178.92</v>
      </c>
    </row>
    <row r="235" spans="1:19">
      <c r="A235" t="s">
        <v>716</v>
      </c>
      <c r="B235" s="3">
        <v>45880</v>
      </c>
      <c r="C235" t="s">
        <v>396</v>
      </c>
      <c r="D235" t="s">
        <v>221</v>
      </c>
      <c r="E235" t="s">
        <v>58</v>
      </c>
      <c r="F235">
        <v>1</v>
      </c>
      <c r="G235" t="s">
        <v>33</v>
      </c>
      <c r="H235">
        <v>53</v>
      </c>
      <c r="I235" s="12" t="s">
        <v>24</v>
      </c>
      <c r="J235" s="12" t="s">
        <v>44</v>
      </c>
      <c r="K235" s="12" t="s">
        <v>73</v>
      </c>
      <c r="L235" s="12" t="s">
        <v>223</v>
      </c>
      <c r="M235" s="12" t="s">
        <v>75</v>
      </c>
      <c r="N235" s="14">
        <v>0.05</v>
      </c>
      <c r="O235" s="23">
        <v>989.63</v>
      </c>
      <c r="P235">
        <v>228.53</v>
      </c>
      <c r="Q235" s="12" t="str" cm="1">
        <f t="array" ref="Q235:R235">VLOOKUP(E235,store[],{3,5},FALSE)</f>
        <v>North</v>
      </c>
      <c r="R235" t="str">
        <v>Outlet</v>
      </c>
      <c r="S235" s="4">
        <f t="shared" si="3"/>
        <v>989.58</v>
      </c>
    </row>
    <row r="236" spans="1:19">
      <c r="A236" t="s">
        <v>717</v>
      </c>
      <c r="B236" s="3">
        <v>45731</v>
      </c>
      <c r="C236" t="s">
        <v>254</v>
      </c>
      <c r="D236" t="s">
        <v>420</v>
      </c>
      <c r="E236" t="s">
        <v>90</v>
      </c>
      <c r="F236">
        <v>1</v>
      </c>
      <c r="G236" t="s">
        <v>50</v>
      </c>
      <c r="H236">
        <v>37</v>
      </c>
      <c r="I236" s="12" t="s">
        <v>24</v>
      </c>
      <c r="J236" s="12" t="s">
        <v>256</v>
      </c>
      <c r="K236" s="12" t="s">
        <v>52</v>
      </c>
      <c r="L236" s="12" t="s">
        <v>421</v>
      </c>
      <c r="M236" s="12" t="s">
        <v>28</v>
      </c>
      <c r="N236" s="14">
        <v>0.22</v>
      </c>
      <c r="O236" s="23">
        <v>447.16</v>
      </c>
      <c r="P236">
        <v>434.84</v>
      </c>
      <c r="Q236" s="12" t="str" cm="1">
        <f t="array" ref="Q236:R236">VLOOKUP(E236,store[],{3,5},FALSE)</f>
        <v>East</v>
      </c>
      <c r="R236" t="str">
        <v>Flagship</v>
      </c>
      <c r="S236" s="4">
        <f t="shared" si="3"/>
        <v>446.94</v>
      </c>
    </row>
    <row r="237" spans="1:19">
      <c r="A237" t="s">
        <v>718</v>
      </c>
      <c r="B237" s="3">
        <v>45671</v>
      </c>
      <c r="C237" t="s">
        <v>270</v>
      </c>
      <c r="D237" t="s">
        <v>242</v>
      </c>
      <c r="E237" t="s">
        <v>179</v>
      </c>
      <c r="F237">
        <v>1</v>
      </c>
      <c r="G237" t="s">
        <v>50</v>
      </c>
      <c r="H237">
        <v>53</v>
      </c>
      <c r="I237" s="12" t="s">
        <v>34</v>
      </c>
      <c r="J237" s="12" t="s">
        <v>214</v>
      </c>
      <c r="K237" s="12" t="s">
        <v>26</v>
      </c>
      <c r="L237" s="12" t="s">
        <v>243</v>
      </c>
      <c r="M237" s="12" t="s">
        <v>46</v>
      </c>
      <c r="N237" s="14">
        <v>0.28999999999999998</v>
      </c>
      <c r="O237" s="23">
        <v>946.9</v>
      </c>
      <c r="P237">
        <v>358.47</v>
      </c>
      <c r="Q237" s="12" t="str" cm="1">
        <f t="array" ref="Q237:R237">VLOOKUP(E237,store[],{3,5},FALSE)</f>
        <v>East</v>
      </c>
      <c r="R237" t="str">
        <v>Online</v>
      </c>
      <c r="S237" s="4">
        <f t="shared" si="3"/>
        <v>946.61</v>
      </c>
    </row>
    <row r="238" spans="1:19">
      <c r="A238" t="s">
        <v>719</v>
      </c>
      <c r="B238" s="3">
        <v>45809</v>
      </c>
      <c r="C238" t="s">
        <v>720</v>
      </c>
      <c r="D238" t="s">
        <v>377</v>
      </c>
      <c r="E238" t="s">
        <v>90</v>
      </c>
      <c r="F238">
        <v>4</v>
      </c>
      <c r="G238" t="s">
        <v>23</v>
      </c>
      <c r="H238">
        <v>64</v>
      </c>
      <c r="I238" s="12" t="s">
        <v>24</v>
      </c>
      <c r="J238" s="12" t="s">
        <v>214</v>
      </c>
      <c r="K238" s="12" t="s">
        <v>73</v>
      </c>
      <c r="L238" s="12" t="s">
        <v>379</v>
      </c>
      <c r="M238" s="12" t="s">
        <v>28</v>
      </c>
      <c r="N238" s="14">
        <v>0.19</v>
      </c>
      <c r="O238" s="23">
        <v>469.68</v>
      </c>
      <c r="P238">
        <v>144.53</v>
      </c>
      <c r="Q238" s="12" t="str" cm="1">
        <f t="array" ref="Q238:R238">VLOOKUP(E238,store[],{3,5},FALSE)</f>
        <v>East</v>
      </c>
      <c r="R238" t="str">
        <v>Flagship</v>
      </c>
      <c r="S238" s="4">
        <f t="shared" si="3"/>
        <v>1877.96</v>
      </c>
    </row>
    <row r="239" spans="1:19">
      <c r="A239" t="s">
        <v>721</v>
      </c>
      <c r="B239" s="3">
        <v>45559</v>
      </c>
      <c r="C239" t="s">
        <v>722</v>
      </c>
      <c r="D239" t="s">
        <v>567</v>
      </c>
      <c r="E239" t="s">
        <v>32</v>
      </c>
      <c r="F239">
        <v>4</v>
      </c>
      <c r="G239" t="s">
        <v>50</v>
      </c>
      <c r="H239">
        <v>21</v>
      </c>
      <c r="I239" s="12" t="s">
        <v>24</v>
      </c>
      <c r="J239" s="12" t="s">
        <v>118</v>
      </c>
      <c r="K239" s="12" t="s">
        <v>26</v>
      </c>
      <c r="L239" s="12" t="s">
        <v>568</v>
      </c>
      <c r="M239" s="12" t="s">
        <v>28</v>
      </c>
      <c r="N239" s="14">
        <v>0.2</v>
      </c>
      <c r="O239" s="23">
        <v>320.64</v>
      </c>
      <c r="P239">
        <v>38.76</v>
      </c>
      <c r="Q239" s="12" t="str" cm="1">
        <f t="array" ref="Q239:R239">VLOOKUP(E239,store[],{3,5},FALSE)</f>
        <v>North</v>
      </c>
      <c r="R239" t="str">
        <v>Flagship</v>
      </c>
      <c r="S239" s="4">
        <f t="shared" si="3"/>
        <v>1281.76</v>
      </c>
    </row>
    <row r="240" spans="1:19">
      <c r="A240" t="s">
        <v>723</v>
      </c>
      <c r="B240" s="3">
        <v>45253</v>
      </c>
      <c r="C240" t="s">
        <v>652</v>
      </c>
      <c r="D240" t="s">
        <v>65</v>
      </c>
      <c r="E240" t="s">
        <v>58</v>
      </c>
      <c r="F240">
        <v>1</v>
      </c>
      <c r="G240" t="s">
        <v>23</v>
      </c>
      <c r="H240">
        <v>33</v>
      </c>
      <c r="I240" s="12" t="s">
        <v>34</v>
      </c>
      <c r="J240" s="12" t="s">
        <v>209</v>
      </c>
      <c r="K240" s="12" t="s">
        <v>52</v>
      </c>
      <c r="L240" s="12" t="s">
        <v>68</v>
      </c>
      <c r="M240" s="12" t="s">
        <v>37</v>
      </c>
      <c r="N240" s="14">
        <v>0.21</v>
      </c>
      <c r="O240" s="23">
        <v>594.44000000000005</v>
      </c>
      <c r="P240">
        <v>465.34</v>
      </c>
      <c r="Q240" s="12" t="str" cm="1">
        <f t="array" ref="Q240:R240">VLOOKUP(E240,store[],{3,5},FALSE)</f>
        <v>North</v>
      </c>
      <c r="R240" t="str">
        <v>Outlet</v>
      </c>
      <c r="S240" s="4">
        <f t="shared" si="3"/>
        <v>594.23</v>
      </c>
    </row>
    <row r="241" spans="1:19">
      <c r="A241" t="s">
        <v>724</v>
      </c>
      <c r="B241" s="3">
        <v>45861</v>
      </c>
      <c r="C241" t="s">
        <v>725</v>
      </c>
      <c r="D241" t="s">
        <v>400</v>
      </c>
      <c r="E241" t="s">
        <v>43</v>
      </c>
      <c r="F241">
        <v>3</v>
      </c>
      <c r="G241" t="s">
        <v>50</v>
      </c>
      <c r="H241">
        <v>44</v>
      </c>
      <c r="I241" s="12" t="s">
        <v>24</v>
      </c>
      <c r="J241" s="12" t="s">
        <v>227</v>
      </c>
      <c r="K241" s="12" t="s">
        <v>52</v>
      </c>
      <c r="L241" s="12" t="s">
        <v>401</v>
      </c>
      <c r="M241" s="12" t="s">
        <v>75</v>
      </c>
      <c r="N241" s="14">
        <v>0.08</v>
      </c>
      <c r="O241" s="23">
        <v>91.7</v>
      </c>
      <c r="P241">
        <v>176.07</v>
      </c>
      <c r="Q241" s="12" t="str" cm="1">
        <f t="array" ref="Q241:R241">VLOOKUP(E241,store[],{3,5},FALSE)</f>
        <v>West</v>
      </c>
      <c r="R241" t="str">
        <v>Online</v>
      </c>
      <c r="S241" s="4">
        <f t="shared" si="3"/>
        <v>274.86</v>
      </c>
    </row>
    <row r="242" spans="1:19">
      <c r="A242" t="s">
        <v>726</v>
      </c>
      <c r="B242" s="3">
        <v>45917</v>
      </c>
      <c r="C242" t="s">
        <v>727</v>
      </c>
      <c r="D242" t="s">
        <v>661</v>
      </c>
      <c r="E242" t="s">
        <v>208</v>
      </c>
      <c r="F242">
        <v>3</v>
      </c>
      <c r="G242" t="s">
        <v>23</v>
      </c>
      <c r="H242">
        <v>41</v>
      </c>
      <c r="I242" s="12" t="s">
        <v>24</v>
      </c>
      <c r="J242" s="12" t="s">
        <v>609</v>
      </c>
      <c r="K242" s="12" t="s">
        <v>60</v>
      </c>
      <c r="L242" s="12" t="s">
        <v>662</v>
      </c>
      <c r="M242" s="12" t="s">
        <v>37</v>
      </c>
      <c r="N242" s="14">
        <v>0.03</v>
      </c>
      <c r="O242" s="23">
        <v>741.33</v>
      </c>
      <c r="P242">
        <v>86.42</v>
      </c>
      <c r="Q242" s="12" t="str" cm="1">
        <f t="array" ref="Q242:R242">VLOOKUP(E242,store[],{3,5},FALSE)</f>
        <v>North</v>
      </c>
      <c r="R242" t="str">
        <v>Online</v>
      </c>
      <c r="S242" s="4">
        <f t="shared" si="3"/>
        <v>2223.9</v>
      </c>
    </row>
    <row r="243" spans="1:19">
      <c r="A243" t="s">
        <v>728</v>
      </c>
      <c r="B243" s="3">
        <v>45754</v>
      </c>
      <c r="C243" t="s">
        <v>166</v>
      </c>
      <c r="D243" t="s">
        <v>226</v>
      </c>
      <c r="E243" t="s">
        <v>135</v>
      </c>
      <c r="F243">
        <v>1</v>
      </c>
      <c r="G243" t="s">
        <v>50</v>
      </c>
      <c r="H243">
        <v>33</v>
      </c>
      <c r="I243" s="12" t="s">
        <v>34</v>
      </c>
      <c r="J243" s="12" t="s">
        <v>169</v>
      </c>
      <c r="K243" s="12" t="s">
        <v>26</v>
      </c>
      <c r="L243" s="12" t="s">
        <v>228</v>
      </c>
      <c r="M243" s="12" t="s">
        <v>46</v>
      </c>
      <c r="N243" s="14">
        <v>0.28999999999999998</v>
      </c>
      <c r="O243" s="23">
        <v>922.78</v>
      </c>
      <c r="P243">
        <v>337.42</v>
      </c>
      <c r="Q243" s="12" t="str" cm="1">
        <f t="array" ref="Q243:R243">VLOOKUP(E243,store[],{3,5},FALSE)</f>
        <v>East</v>
      </c>
      <c r="R243" t="str">
        <v>Online</v>
      </c>
      <c r="S243" s="4">
        <f t="shared" si="3"/>
        <v>922.49</v>
      </c>
    </row>
    <row r="244" spans="1:19">
      <c r="A244" t="s">
        <v>729</v>
      </c>
      <c r="B244" s="3">
        <v>45312</v>
      </c>
      <c r="C244" t="s">
        <v>419</v>
      </c>
      <c r="D244" t="s">
        <v>484</v>
      </c>
      <c r="E244" t="s">
        <v>117</v>
      </c>
      <c r="F244">
        <v>1</v>
      </c>
      <c r="G244" t="s">
        <v>33</v>
      </c>
      <c r="H244">
        <v>60</v>
      </c>
      <c r="I244" s="12" t="s">
        <v>24</v>
      </c>
      <c r="J244" s="12" t="s">
        <v>199</v>
      </c>
      <c r="K244" s="12" t="s">
        <v>73</v>
      </c>
      <c r="L244" s="12" t="s">
        <v>485</v>
      </c>
      <c r="M244" s="12" t="s">
        <v>37</v>
      </c>
      <c r="N244" s="14">
        <v>0.09</v>
      </c>
      <c r="O244" s="23">
        <v>394.35</v>
      </c>
      <c r="P244">
        <v>439.07</v>
      </c>
      <c r="Q244" s="12" t="str" cm="1">
        <f t="array" ref="Q244:R244">VLOOKUP(E244,store[],{3,5},FALSE)</f>
        <v>West</v>
      </c>
      <c r="R244" t="str">
        <v>Flagship</v>
      </c>
      <c r="S244" s="4">
        <f t="shared" si="3"/>
        <v>394.26</v>
      </c>
    </row>
    <row r="245" spans="1:19">
      <c r="A245" t="s">
        <v>730</v>
      </c>
      <c r="B245" s="3">
        <v>45480</v>
      </c>
      <c r="C245" t="s">
        <v>731</v>
      </c>
      <c r="D245" t="s">
        <v>134</v>
      </c>
      <c r="E245" t="s">
        <v>272</v>
      </c>
      <c r="F245">
        <v>2</v>
      </c>
      <c r="G245" t="s">
        <v>23</v>
      </c>
      <c r="H245">
        <v>58</v>
      </c>
      <c r="I245" s="12" t="s">
        <v>24</v>
      </c>
      <c r="J245" s="12" t="s">
        <v>251</v>
      </c>
      <c r="K245" s="12" t="s">
        <v>73</v>
      </c>
      <c r="L245" s="12" t="s">
        <v>136</v>
      </c>
      <c r="M245" s="12" t="s">
        <v>28</v>
      </c>
      <c r="N245" s="14">
        <v>0.03</v>
      </c>
      <c r="O245" s="23">
        <v>703.95</v>
      </c>
      <c r="P245">
        <v>240.63</v>
      </c>
      <c r="Q245" s="12" t="str" cm="1">
        <f t="array" ref="Q245:R245">VLOOKUP(E245,store[],{3,5},FALSE)</f>
        <v>South</v>
      </c>
      <c r="R245" t="str">
        <v>Online</v>
      </c>
      <c r="S245" s="4">
        <f t="shared" si="3"/>
        <v>1407.84</v>
      </c>
    </row>
    <row r="246" spans="1:19">
      <c r="A246" t="s">
        <v>732</v>
      </c>
      <c r="B246" s="3">
        <v>45780</v>
      </c>
      <c r="C246" t="s">
        <v>191</v>
      </c>
      <c r="D246" t="s">
        <v>480</v>
      </c>
      <c r="E246" t="s">
        <v>90</v>
      </c>
      <c r="F246">
        <v>4</v>
      </c>
      <c r="G246" t="s">
        <v>33</v>
      </c>
      <c r="H246">
        <v>30</v>
      </c>
      <c r="I246" s="12" t="s">
        <v>24</v>
      </c>
      <c r="J246" s="12" t="s">
        <v>193</v>
      </c>
      <c r="K246" s="12" t="s">
        <v>52</v>
      </c>
      <c r="L246" s="12" t="s">
        <v>481</v>
      </c>
      <c r="M246" s="12" t="s">
        <v>75</v>
      </c>
      <c r="N246" s="14">
        <v>0.28000000000000003</v>
      </c>
      <c r="O246" s="23">
        <v>452.67</v>
      </c>
      <c r="P246">
        <v>48.01</v>
      </c>
      <c r="Q246" s="12" t="str" cm="1">
        <f t="array" ref="Q246:R246">VLOOKUP(E246,store[],{3,5},FALSE)</f>
        <v>East</v>
      </c>
      <c r="R246" t="str">
        <v>Flagship</v>
      </c>
      <c r="S246" s="4">
        <f t="shared" si="3"/>
        <v>1809.56</v>
      </c>
    </row>
    <row r="247" spans="1:19">
      <c r="A247" t="s">
        <v>733</v>
      </c>
      <c r="B247" s="3">
        <v>45349</v>
      </c>
      <c r="C247" t="s">
        <v>734</v>
      </c>
      <c r="D247" t="s">
        <v>484</v>
      </c>
      <c r="E247" t="s">
        <v>66</v>
      </c>
      <c r="F247">
        <v>2</v>
      </c>
      <c r="G247" t="s">
        <v>33</v>
      </c>
      <c r="H247">
        <v>36</v>
      </c>
      <c r="I247" s="12" t="s">
        <v>34</v>
      </c>
      <c r="J247" s="12" t="s">
        <v>440</v>
      </c>
      <c r="K247" s="12" t="s">
        <v>73</v>
      </c>
      <c r="L247" s="12" t="s">
        <v>485</v>
      </c>
      <c r="M247" s="12" t="s">
        <v>37</v>
      </c>
      <c r="N247" s="14">
        <v>0.15</v>
      </c>
      <c r="O247" s="23">
        <v>377.3</v>
      </c>
      <c r="P247">
        <v>439.07</v>
      </c>
      <c r="Q247" s="12" t="str" cm="1">
        <f t="array" ref="Q247:R247">VLOOKUP(E247,store[],{3,5},FALSE)</f>
        <v>South</v>
      </c>
      <c r="R247" t="str">
        <v>Online</v>
      </c>
      <c r="S247" s="4">
        <f t="shared" si="3"/>
        <v>754.3</v>
      </c>
    </row>
    <row r="248" spans="1:19">
      <c r="A248" t="s">
        <v>735</v>
      </c>
      <c r="B248" s="3">
        <v>45846</v>
      </c>
      <c r="C248" t="s">
        <v>220</v>
      </c>
      <c r="D248" t="s">
        <v>31</v>
      </c>
      <c r="E248" t="s">
        <v>66</v>
      </c>
      <c r="F248">
        <v>2</v>
      </c>
      <c r="G248" t="s">
        <v>33</v>
      </c>
      <c r="H248">
        <v>39</v>
      </c>
      <c r="I248" s="12" t="s">
        <v>24</v>
      </c>
      <c r="J248" s="12" t="s">
        <v>222</v>
      </c>
      <c r="K248" s="12" t="s">
        <v>26</v>
      </c>
      <c r="L248" s="12" t="s">
        <v>36</v>
      </c>
      <c r="M248" s="12" t="s">
        <v>37</v>
      </c>
      <c r="N248" s="14">
        <v>0.23</v>
      </c>
      <c r="O248" s="23">
        <v>130.47999999999999</v>
      </c>
      <c r="P248">
        <v>403.71</v>
      </c>
      <c r="Q248" s="12" t="str" cm="1">
        <f t="array" ref="Q248:R248">VLOOKUP(E248,store[],{3,5},FALSE)</f>
        <v>South</v>
      </c>
      <c r="R248" t="str">
        <v>Online</v>
      </c>
      <c r="S248" s="4">
        <f t="shared" si="3"/>
        <v>260.5</v>
      </c>
    </row>
    <row r="249" spans="1:19">
      <c r="A249" t="s">
        <v>736</v>
      </c>
      <c r="B249" s="3">
        <v>45729</v>
      </c>
      <c r="C249" t="s">
        <v>125</v>
      </c>
      <c r="D249" t="s">
        <v>242</v>
      </c>
      <c r="E249" t="s">
        <v>208</v>
      </c>
      <c r="F249">
        <v>1</v>
      </c>
      <c r="G249" t="s">
        <v>50</v>
      </c>
      <c r="H249">
        <v>37</v>
      </c>
      <c r="I249" s="12" t="s">
        <v>34</v>
      </c>
      <c r="J249" s="12" t="s">
        <v>128</v>
      </c>
      <c r="K249" s="12" t="s">
        <v>60</v>
      </c>
      <c r="L249" s="12" t="s">
        <v>243</v>
      </c>
      <c r="M249" s="12" t="s">
        <v>46</v>
      </c>
      <c r="N249" s="14">
        <v>0.09</v>
      </c>
      <c r="O249" s="23">
        <v>809.45</v>
      </c>
      <c r="P249">
        <v>358.47</v>
      </c>
      <c r="Q249" s="12" t="str" cm="1">
        <f t="array" ref="Q249:R249">VLOOKUP(E249,store[],{3,5},FALSE)</f>
        <v>North</v>
      </c>
      <c r="R249" t="str">
        <v>Online</v>
      </c>
      <c r="S249" s="4">
        <f t="shared" si="3"/>
        <v>809.36</v>
      </c>
    </row>
    <row r="250" spans="1:19">
      <c r="A250" t="s">
        <v>737</v>
      </c>
      <c r="B250" s="3">
        <v>45768</v>
      </c>
      <c r="C250" t="s">
        <v>738</v>
      </c>
      <c r="D250" t="s">
        <v>344</v>
      </c>
      <c r="E250" t="s">
        <v>127</v>
      </c>
      <c r="F250">
        <v>3</v>
      </c>
      <c r="G250" t="s">
        <v>33</v>
      </c>
      <c r="H250">
        <v>48</v>
      </c>
      <c r="I250" s="12" t="s">
        <v>34</v>
      </c>
      <c r="J250" s="12" t="s">
        <v>360</v>
      </c>
      <c r="K250" s="12" t="s">
        <v>73</v>
      </c>
      <c r="L250" s="12" t="s">
        <v>347</v>
      </c>
      <c r="M250" s="12" t="s">
        <v>28</v>
      </c>
      <c r="N250" s="14">
        <v>0.05</v>
      </c>
      <c r="O250" s="23">
        <v>499.12</v>
      </c>
      <c r="P250">
        <v>318.91000000000003</v>
      </c>
      <c r="Q250" s="12" t="str" cm="1">
        <f t="array" ref="Q250:R250">VLOOKUP(E250,store[],{3,5},FALSE)</f>
        <v>South</v>
      </c>
      <c r="R250" t="str">
        <v>Flagship</v>
      </c>
      <c r="S250" s="4">
        <f t="shared" si="3"/>
        <v>1497.21</v>
      </c>
    </row>
    <row r="251" spans="1:19">
      <c r="A251" t="s">
        <v>739</v>
      </c>
      <c r="B251" s="3">
        <v>45606</v>
      </c>
      <c r="C251" t="s">
        <v>740</v>
      </c>
      <c r="D251" t="s">
        <v>741</v>
      </c>
      <c r="E251" t="s">
        <v>22</v>
      </c>
      <c r="F251">
        <v>2</v>
      </c>
      <c r="G251" t="s">
        <v>23</v>
      </c>
      <c r="H251">
        <v>52</v>
      </c>
      <c r="I251" s="12" t="s">
        <v>34</v>
      </c>
      <c r="J251" s="12" t="s">
        <v>609</v>
      </c>
      <c r="K251" s="12" t="s">
        <v>60</v>
      </c>
      <c r="L251" s="12" t="s">
        <v>742</v>
      </c>
      <c r="M251" s="12" t="s">
        <v>75</v>
      </c>
      <c r="N251" s="14">
        <v>0.25</v>
      </c>
      <c r="O251" s="23">
        <v>894.58</v>
      </c>
      <c r="P251">
        <v>243.7</v>
      </c>
      <c r="Q251" s="12" t="str" cm="1">
        <f t="array" ref="Q251:R251">VLOOKUP(E251,store[],{3,5},FALSE)</f>
        <v>North</v>
      </c>
      <c r="R251" t="str">
        <v>Outlet</v>
      </c>
      <c r="S251" s="4">
        <f t="shared" si="3"/>
        <v>1788.66</v>
      </c>
    </row>
    <row r="252" spans="1:19">
      <c r="A252" t="s">
        <v>743</v>
      </c>
      <c r="B252" s="3">
        <v>45513</v>
      </c>
      <c r="C252" t="s">
        <v>417</v>
      </c>
      <c r="D252" t="s">
        <v>213</v>
      </c>
      <c r="E252" t="s">
        <v>127</v>
      </c>
      <c r="F252">
        <v>4</v>
      </c>
      <c r="G252" t="s">
        <v>23</v>
      </c>
      <c r="H252">
        <v>34</v>
      </c>
      <c r="I252" s="12" t="s">
        <v>34</v>
      </c>
      <c r="J252" s="12" t="s">
        <v>59</v>
      </c>
      <c r="K252" s="12" t="s">
        <v>73</v>
      </c>
      <c r="L252" s="12" t="s">
        <v>215</v>
      </c>
      <c r="M252" s="12" t="s">
        <v>130</v>
      </c>
      <c r="N252" s="14">
        <v>0.01</v>
      </c>
      <c r="O252" s="23">
        <v>578.39</v>
      </c>
      <c r="P252">
        <v>158.13999999999999</v>
      </c>
      <c r="Q252" s="12" t="str" cm="1">
        <f t="array" ref="Q252:R252">VLOOKUP(E252,store[],{3,5},FALSE)</f>
        <v>South</v>
      </c>
      <c r="R252" t="str">
        <v>Flagship</v>
      </c>
      <c r="S252" s="4">
        <f t="shared" si="3"/>
        <v>2313.52</v>
      </c>
    </row>
    <row r="253" spans="1:19">
      <c r="A253" t="s">
        <v>744</v>
      </c>
      <c r="B253" s="3">
        <v>45356</v>
      </c>
      <c r="C253" t="s">
        <v>598</v>
      </c>
      <c r="D253" t="s">
        <v>745</v>
      </c>
      <c r="E253" t="s">
        <v>32</v>
      </c>
      <c r="F253">
        <v>4</v>
      </c>
      <c r="G253" t="s">
        <v>33</v>
      </c>
      <c r="H253">
        <v>46</v>
      </c>
      <c r="I253" s="12" t="s">
        <v>34</v>
      </c>
      <c r="J253" s="12" t="s">
        <v>498</v>
      </c>
      <c r="K253" s="12" t="s">
        <v>73</v>
      </c>
      <c r="L253" s="12" t="s">
        <v>746</v>
      </c>
      <c r="M253" s="12" t="s">
        <v>28</v>
      </c>
      <c r="N253" s="14">
        <v>0.2</v>
      </c>
      <c r="O253" s="23">
        <v>982.45</v>
      </c>
      <c r="P253">
        <v>313.26</v>
      </c>
      <c r="Q253" s="12" t="str" cm="1">
        <f t="array" ref="Q253:R253">VLOOKUP(E253,store[],{3,5},FALSE)</f>
        <v>North</v>
      </c>
      <c r="R253" t="str">
        <v>Flagship</v>
      </c>
      <c r="S253" s="4">
        <f t="shared" si="3"/>
        <v>3929</v>
      </c>
    </row>
    <row r="254" spans="1:19">
      <c r="A254" t="s">
        <v>747</v>
      </c>
      <c r="B254" s="3">
        <v>45925</v>
      </c>
      <c r="C254" t="s">
        <v>748</v>
      </c>
      <c r="D254" t="s">
        <v>187</v>
      </c>
      <c r="E254" t="s">
        <v>135</v>
      </c>
      <c r="F254">
        <v>1</v>
      </c>
      <c r="G254" t="s">
        <v>33</v>
      </c>
      <c r="H254">
        <v>29</v>
      </c>
      <c r="I254" s="12" t="s">
        <v>24</v>
      </c>
      <c r="J254" s="12" t="s">
        <v>308</v>
      </c>
      <c r="K254" s="12" t="s">
        <v>73</v>
      </c>
      <c r="L254" s="12" t="s">
        <v>189</v>
      </c>
      <c r="M254" s="12" t="s">
        <v>37</v>
      </c>
      <c r="N254" s="14">
        <v>0.1</v>
      </c>
      <c r="O254" s="23">
        <v>549.52</v>
      </c>
      <c r="P254">
        <v>431.67</v>
      </c>
      <c r="Q254" s="12" t="str" cm="1">
        <f t="array" ref="Q254:R254">VLOOKUP(E254,store[],{3,5},FALSE)</f>
        <v>East</v>
      </c>
      <c r="R254" t="str">
        <v>Online</v>
      </c>
      <c r="S254" s="4">
        <f t="shared" si="3"/>
        <v>549.41999999999996</v>
      </c>
    </row>
    <row r="255" spans="1:19">
      <c r="A255" t="s">
        <v>749</v>
      </c>
      <c r="B255" s="3">
        <v>45876</v>
      </c>
      <c r="C255" t="s">
        <v>750</v>
      </c>
      <c r="D255" t="s">
        <v>603</v>
      </c>
      <c r="E255" t="s">
        <v>160</v>
      </c>
      <c r="F255">
        <v>2</v>
      </c>
      <c r="G255" t="s">
        <v>23</v>
      </c>
      <c r="H255">
        <v>59</v>
      </c>
      <c r="I255" s="12" t="s">
        <v>34</v>
      </c>
      <c r="J255" s="12" t="s">
        <v>209</v>
      </c>
      <c r="K255" s="12" t="s">
        <v>52</v>
      </c>
      <c r="L255" s="12" t="s">
        <v>604</v>
      </c>
      <c r="M255" s="12" t="s">
        <v>75</v>
      </c>
      <c r="N255" s="14">
        <v>0.16</v>
      </c>
      <c r="O255" s="23">
        <v>239.92</v>
      </c>
      <c r="P255">
        <v>447.43</v>
      </c>
      <c r="Q255" s="12" t="str" cm="1">
        <f t="array" ref="Q255:R255">VLOOKUP(E255,store[],{3,5},FALSE)</f>
        <v>East</v>
      </c>
      <c r="R255" t="str">
        <v>Flagship</v>
      </c>
      <c r="S255" s="4">
        <f t="shared" si="3"/>
        <v>479.52</v>
      </c>
    </row>
    <row r="256" spans="1:19">
      <c r="A256" t="s">
        <v>751</v>
      </c>
      <c r="B256" s="3">
        <v>45338</v>
      </c>
      <c r="C256" t="s">
        <v>752</v>
      </c>
      <c r="D256" t="s">
        <v>603</v>
      </c>
      <c r="E256" t="s">
        <v>179</v>
      </c>
      <c r="F256">
        <v>2</v>
      </c>
      <c r="G256" t="s">
        <v>33</v>
      </c>
      <c r="H256">
        <v>53</v>
      </c>
      <c r="I256" s="12" t="s">
        <v>24</v>
      </c>
      <c r="J256" s="12" t="s">
        <v>235</v>
      </c>
      <c r="K256" s="12" t="s">
        <v>73</v>
      </c>
      <c r="L256" s="12" t="s">
        <v>604</v>
      </c>
      <c r="M256" s="12" t="s">
        <v>75</v>
      </c>
      <c r="N256" s="14">
        <v>0.11</v>
      </c>
      <c r="O256" s="23">
        <v>878.05</v>
      </c>
      <c r="P256">
        <v>447.43</v>
      </c>
      <c r="Q256" s="12" t="str" cm="1">
        <f t="array" ref="Q256:R256">VLOOKUP(E256,store[],{3,5},FALSE)</f>
        <v>East</v>
      </c>
      <c r="R256" t="str">
        <v>Online</v>
      </c>
      <c r="S256" s="4">
        <f t="shared" si="3"/>
        <v>1755.88</v>
      </c>
    </row>
    <row r="257" spans="1:19">
      <c r="A257" t="s">
        <v>753</v>
      </c>
      <c r="B257" s="3">
        <v>45746</v>
      </c>
      <c r="C257" t="s">
        <v>754</v>
      </c>
      <c r="D257" t="s">
        <v>389</v>
      </c>
      <c r="E257" t="s">
        <v>127</v>
      </c>
      <c r="F257">
        <v>3</v>
      </c>
      <c r="G257" t="s">
        <v>23</v>
      </c>
      <c r="H257">
        <v>34</v>
      </c>
      <c r="I257" s="12" t="s">
        <v>24</v>
      </c>
      <c r="J257" s="12" t="s">
        <v>218</v>
      </c>
      <c r="K257" s="12" t="s">
        <v>73</v>
      </c>
      <c r="L257" s="12" t="s">
        <v>390</v>
      </c>
      <c r="M257" s="12" t="s">
        <v>130</v>
      </c>
      <c r="N257" s="14">
        <v>0.19</v>
      </c>
      <c r="O257" s="23">
        <v>546.96</v>
      </c>
      <c r="P257">
        <v>342.56</v>
      </c>
      <c r="Q257" s="12" t="str" cm="1">
        <f t="array" ref="Q257:R257">VLOOKUP(E257,store[],{3,5},FALSE)</f>
        <v>South</v>
      </c>
      <c r="R257" t="str">
        <v>Flagship</v>
      </c>
      <c r="S257" s="4">
        <f t="shared" si="3"/>
        <v>1640.31</v>
      </c>
    </row>
    <row r="258" spans="1:19">
      <c r="A258" t="s">
        <v>755</v>
      </c>
      <c r="B258" s="3">
        <v>45706</v>
      </c>
      <c r="C258" t="s">
        <v>756</v>
      </c>
      <c r="D258" t="s">
        <v>377</v>
      </c>
      <c r="E258" t="s">
        <v>168</v>
      </c>
      <c r="F258">
        <v>2</v>
      </c>
      <c r="G258" t="s">
        <v>23</v>
      </c>
      <c r="H258">
        <v>42</v>
      </c>
      <c r="I258" s="12" t="s">
        <v>24</v>
      </c>
      <c r="J258" s="12" t="s">
        <v>111</v>
      </c>
      <c r="K258" s="12" t="s">
        <v>52</v>
      </c>
      <c r="L258" s="12" t="s">
        <v>379</v>
      </c>
      <c r="M258" s="12" t="s">
        <v>28</v>
      </c>
      <c r="N258" s="14">
        <v>0.22</v>
      </c>
      <c r="O258" s="23">
        <v>71.77</v>
      </c>
      <c r="P258">
        <v>144.53</v>
      </c>
      <c r="Q258" s="12" t="str" cm="1">
        <f t="array" ref="Q258:R258">VLOOKUP(E258,store[],{3,5},FALSE)</f>
        <v>East</v>
      </c>
      <c r="R258" t="str">
        <v>Online</v>
      </c>
      <c r="S258" s="4">
        <f t="shared" ref="S258:S321" si="4">(O258-N258)*F258</f>
        <v>143.1</v>
      </c>
    </row>
    <row r="259" spans="1:19">
      <c r="A259" t="s">
        <v>757</v>
      </c>
      <c r="B259" s="3">
        <v>45717</v>
      </c>
      <c r="C259" t="s">
        <v>758</v>
      </c>
      <c r="D259" t="s">
        <v>97</v>
      </c>
      <c r="E259" t="s">
        <v>105</v>
      </c>
      <c r="F259">
        <v>2</v>
      </c>
      <c r="G259" t="s">
        <v>50</v>
      </c>
      <c r="H259">
        <v>32</v>
      </c>
      <c r="I259" s="12" t="s">
        <v>34</v>
      </c>
      <c r="J259" s="12" t="s">
        <v>111</v>
      </c>
      <c r="K259" s="12" t="s">
        <v>60</v>
      </c>
      <c r="L259" s="12" t="s">
        <v>100</v>
      </c>
      <c r="M259" s="12" t="s">
        <v>28</v>
      </c>
      <c r="N259" s="14">
        <v>0.22</v>
      </c>
      <c r="O259" s="23">
        <v>679.86</v>
      </c>
      <c r="P259">
        <v>166.06</v>
      </c>
      <c r="Q259" s="12" t="str" cm="1">
        <f t="array" ref="Q259:R259">VLOOKUP(E259,store[],{3,5},FALSE)</f>
        <v>North</v>
      </c>
      <c r="R259" t="str">
        <v>Flagship</v>
      </c>
      <c r="S259" s="4">
        <f t="shared" si="4"/>
        <v>1359.28</v>
      </c>
    </row>
    <row r="260" spans="1:19">
      <c r="A260" t="s">
        <v>759</v>
      </c>
      <c r="B260" s="3">
        <v>45300</v>
      </c>
      <c r="C260" t="s">
        <v>760</v>
      </c>
      <c r="D260" t="s">
        <v>487</v>
      </c>
      <c r="E260" t="s">
        <v>32</v>
      </c>
      <c r="F260">
        <v>1</v>
      </c>
      <c r="G260" t="s">
        <v>23</v>
      </c>
      <c r="H260">
        <v>29</v>
      </c>
      <c r="I260" s="12" t="s">
        <v>24</v>
      </c>
      <c r="J260" s="12" t="s">
        <v>761</v>
      </c>
      <c r="K260" s="12" t="s">
        <v>60</v>
      </c>
      <c r="L260" s="12" t="s">
        <v>488</v>
      </c>
      <c r="M260" s="12" t="s">
        <v>75</v>
      </c>
      <c r="N260" s="14">
        <v>0.19</v>
      </c>
      <c r="O260" s="23">
        <v>222.94</v>
      </c>
      <c r="P260">
        <v>382.22</v>
      </c>
      <c r="Q260" s="12" t="str" cm="1">
        <f t="array" ref="Q260:R260">VLOOKUP(E260,store[],{3,5},FALSE)</f>
        <v>North</v>
      </c>
      <c r="R260" t="str">
        <v>Flagship</v>
      </c>
      <c r="S260" s="4">
        <f t="shared" si="4"/>
        <v>222.75</v>
      </c>
    </row>
    <row r="261" spans="1:19">
      <c r="A261" t="s">
        <v>762</v>
      </c>
      <c r="B261" s="3">
        <v>45773</v>
      </c>
      <c r="C261" t="s">
        <v>763</v>
      </c>
      <c r="D261" t="s">
        <v>487</v>
      </c>
      <c r="E261" t="s">
        <v>198</v>
      </c>
      <c r="F261">
        <v>2</v>
      </c>
      <c r="G261" t="s">
        <v>33</v>
      </c>
      <c r="H261">
        <v>19</v>
      </c>
      <c r="I261" s="12" t="s">
        <v>24</v>
      </c>
      <c r="J261" s="12" t="s">
        <v>99</v>
      </c>
      <c r="K261" s="12" t="s">
        <v>26</v>
      </c>
      <c r="L261" s="12" t="s">
        <v>488</v>
      </c>
      <c r="M261" s="12" t="s">
        <v>75</v>
      </c>
      <c r="N261" s="14">
        <v>0.14799999999999999</v>
      </c>
      <c r="O261" s="23">
        <v>355.3</v>
      </c>
      <c r="P261">
        <v>382.22</v>
      </c>
      <c r="Q261" s="12" t="str" cm="1">
        <f t="array" ref="Q261:R261">VLOOKUP(E261,store[],{3,5},FALSE)</f>
        <v>South</v>
      </c>
      <c r="R261" t="str">
        <v>Outlet</v>
      </c>
      <c r="S261" s="4">
        <f t="shared" si="4"/>
        <v>710.30399999999997</v>
      </c>
    </row>
    <row r="262" spans="1:19">
      <c r="A262" t="s">
        <v>764</v>
      </c>
      <c r="B262" s="3">
        <v>45497</v>
      </c>
      <c r="C262" t="s">
        <v>765</v>
      </c>
      <c r="D262" t="s">
        <v>287</v>
      </c>
      <c r="E262" t="s">
        <v>135</v>
      </c>
      <c r="F262">
        <v>4</v>
      </c>
      <c r="G262" t="s">
        <v>33</v>
      </c>
      <c r="H262">
        <v>21</v>
      </c>
      <c r="I262" s="12" t="s">
        <v>24</v>
      </c>
      <c r="J262" s="12" t="s">
        <v>440</v>
      </c>
      <c r="K262" s="12" t="s">
        <v>73</v>
      </c>
      <c r="L262" s="12" t="s">
        <v>288</v>
      </c>
      <c r="M262" s="12" t="s">
        <v>46</v>
      </c>
      <c r="N262" s="14">
        <v>0.11</v>
      </c>
      <c r="O262" s="23">
        <v>611.29999999999995</v>
      </c>
      <c r="P262">
        <v>183.04</v>
      </c>
      <c r="Q262" s="12" t="str" cm="1">
        <f t="array" ref="Q262:R262">VLOOKUP(E262,store[],{3,5},FALSE)</f>
        <v>East</v>
      </c>
      <c r="R262" t="str">
        <v>Online</v>
      </c>
      <c r="S262" s="4">
        <f t="shared" si="4"/>
        <v>2444.7600000000002</v>
      </c>
    </row>
    <row r="263" spans="1:19">
      <c r="A263" t="s">
        <v>766</v>
      </c>
      <c r="B263" s="3">
        <v>45742</v>
      </c>
      <c r="C263" t="s">
        <v>767</v>
      </c>
      <c r="D263" t="s">
        <v>768</v>
      </c>
      <c r="E263" t="s">
        <v>43</v>
      </c>
      <c r="F263">
        <v>4</v>
      </c>
      <c r="G263" t="s">
        <v>23</v>
      </c>
      <c r="H263">
        <v>64</v>
      </c>
      <c r="I263" s="12" t="s">
        <v>34</v>
      </c>
      <c r="J263" s="12" t="s">
        <v>360</v>
      </c>
      <c r="K263" s="12" t="s">
        <v>26</v>
      </c>
      <c r="L263" s="12" t="s">
        <v>769</v>
      </c>
      <c r="M263" s="12" t="s">
        <v>37</v>
      </c>
      <c r="N263" s="14">
        <v>7.0000000000000007E-2</v>
      </c>
      <c r="O263" s="23">
        <v>849.21</v>
      </c>
      <c r="P263">
        <v>112.42</v>
      </c>
      <c r="Q263" s="12" t="str" cm="1">
        <f t="array" ref="Q263:R263">VLOOKUP(E263,store[],{3,5},FALSE)</f>
        <v>West</v>
      </c>
      <c r="R263" t="str">
        <v>Online</v>
      </c>
      <c r="S263" s="4">
        <f t="shared" si="4"/>
        <v>3396.56</v>
      </c>
    </row>
    <row r="264" spans="1:19">
      <c r="A264" t="s">
        <v>770</v>
      </c>
      <c r="B264" s="3">
        <v>45713</v>
      </c>
      <c r="C264" t="s">
        <v>771</v>
      </c>
      <c r="D264" t="s">
        <v>449</v>
      </c>
      <c r="E264" t="s">
        <v>66</v>
      </c>
      <c r="F264">
        <v>3</v>
      </c>
      <c r="G264" t="s">
        <v>50</v>
      </c>
      <c r="H264">
        <v>50</v>
      </c>
      <c r="I264" s="12" t="s">
        <v>34</v>
      </c>
      <c r="J264" s="12" t="s">
        <v>193</v>
      </c>
      <c r="K264" s="12" t="s">
        <v>52</v>
      </c>
      <c r="L264" s="12" t="s">
        <v>450</v>
      </c>
      <c r="M264" s="12" t="s">
        <v>37</v>
      </c>
      <c r="N264" s="14">
        <v>0.28000000000000003</v>
      </c>
      <c r="O264" s="23">
        <v>553.12</v>
      </c>
      <c r="P264">
        <v>450.71</v>
      </c>
      <c r="Q264" s="12" t="str" cm="1">
        <f t="array" ref="Q264:R264">VLOOKUP(E264,store[],{3,5},FALSE)</f>
        <v>South</v>
      </c>
      <c r="R264" t="str">
        <v>Online</v>
      </c>
      <c r="S264" s="4">
        <f t="shared" si="4"/>
        <v>1658.52</v>
      </c>
    </row>
    <row r="265" spans="1:19">
      <c r="A265" t="s">
        <v>772</v>
      </c>
      <c r="B265" s="3">
        <v>45826</v>
      </c>
      <c r="C265" t="s">
        <v>773</v>
      </c>
      <c r="D265" t="s">
        <v>372</v>
      </c>
      <c r="E265" t="s">
        <v>127</v>
      </c>
      <c r="F265">
        <v>2</v>
      </c>
      <c r="G265" t="s">
        <v>50</v>
      </c>
      <c r="H265">
        <v>46</v>
      </c>
      <c r="I265" s="12" t="s">
        <v>34</v>
      </c>
      <c r="J265" s="12" t="s">
        <v>204</v>
      </c>
      <c r="K265" s="12" t="s">
        <v>26</v>
      </c>
      <c r="L265" s="12" t="s">
        <v>374</v>
      </c>
      <c r="M265" s="12" t="s">
        <v>130</v>
      </c>
      <c r="N265" s="14">
        <v>0.18</v>
      </c>
      <c r="O265" s="23">
        <v>903.08</v>
      </c>
      <c r="P265">
        <v>438.25</v>
      </c>
      <c r="Q265" s="12" t="str" cm="1">
        <f t="array" ref="Q265:R265">VLOOKUP(E265,store[],{3,5},FALSE)</f>
        <v>South</v>
      </c>
      <c r="R265" t="str">
        <v>Flagship</v>
      </c>
      <c r="S265" s="4">
        <f t="shared" si="4"/>
        <v>1805.8</v>
      </c>
    </row>
    <row r="266" spans="1:19">
      <c r="A266" t="s">
        <v>774</v>
      </c>
      <c r="B266" s="3">
        <v>45648</v>
      </c>
      <c r="C266" t="s">
        <v>615</v>
      </c>
      <c r="D266" t="s">
        <v>226</v>
      </c>
      <c r="E266" t="s">
        <v>272</v>
      </c>
      <c r="F266">
        <v>4</v>
      </c>
      <c r="G266" t="s">
        <v>50</v>
      </c>
      <c r="H266">
        <v>59</v>
      </c>
      <c r="I266" s="12" t="s">
        <v>24</v>
      </c>
      <c r="J266" s="12" t="s">
        <v>345</v>
      </c>
      <c r="K266" s="12" t="s">
        <v>26</v>
      </c>
      <c r="L266" s="12" t="s">
        <v>228</v>
      </c>
      <c r="M266" s="12" t="s">
        <v>46</v>
      </c>
      <c r="N266" s="14">
        <v>0.06</v>
      </c>
      <c r="O266" s="23">
        <v>640.23</v>
      </c>
      <c r="P266">
        <v>337.42</v>
      </c>
      <c r="Q266" s="12" t="str" cm="1">
        <f t="array" ref="Q266:R266">VLOOKUP(E266,store[],{3,5},FALSE)</f>
        <v>South</v>
      </c>
      <c r="R266" t="str">
        <v>Online</v>
      </c>
      <c r="S266" s="4">
        <f t="shared" si="4"/>
        <v>2560.6799999999998</v>
      </c>
    </row>
    <row r="267" spans="1:19">
      <c r="A267" t="s">
        <v>775</v>
      </c>
      <c r="B267" s="3">
        <v>45836</v>
      </c>
      <c r="C267" t="s">
        <v>776</v>
      </c>
      <c r="D267" t="s">
        <v>279</v>
      </c>
      <c r="E267" t="s">
        <v>179</v>
      </c>
      <c r="F267">
        <v>1</v>
      </c>
      <c r="G267" t="s">
        <v>23</v>
      </c>
      <c r="H267">
        <v>30</v>
      </c>
      <c r="I267" s="12" t="s">
        <v>24</v>
      </c>
      <c r="J267" s="12" t="s">
        <v>227</v>
      </c>
      <c r="K267" s="12" t="s">
        <v>73</v>
      </c>
      <c r="L267" s="12" t="s">
        <v>280</v>
      </c>
      <c r="M267" s="12" t="s">
        <v>75</v>
      </c>
      <c r="N267" s="14">
        <v>0.25</v>
      </c>
      <c r="O267" s="23">
        <v>518</v>
      </c>
      <c r="P267">
        <v>123.46</v>
      </c>
      <c r="Q267" s="12" t="str" cm="1">
        <f t="array" ref="Q267:R267">VLOOKUP(E267,store[],{3,5},FALSE)</f>
        <v>East</v>
      </c>
      <c r="R267" t="str">
        <v>Online</v>
      </c>
      <c r="S267" s="4">
        <f t="shared" si="4"/>
        <v>517.75</v>
      </c>
    </row>
    <row r="268" spans="1:19">
      <c r="A268" t="s">
        <v>777</v>
      </c>
      <c r="B268" s="3">
        <v>45437</v>
      </c>
      <c r="C268" t="s">
        <v>778</v>
      </c>
      <c r="D268" t="s">
        <v>779</v>
      </c>
      <c r="E268" t="s">
        <v>72</v>
      </c>
      <c r="F268">
        <v>4</v>
      </c>
      <c r="G268" t="s">
        <v>23</v>
      </c>
      <c r="H268">
        <v>51</v>
      </c>
      <c r="I268" s="12" t="s">
        <v>34</v>
      </c>
      <c r="J268" s="12" t="s">
        <v>161</v>
      </c>
      <c r="K268" s="12" t="s">
        <v>60</v>
      </c>
      <c r="L268" s="12" t="s">
        <v>780</v>
      </c>
      <c r="M268" s="12" t="s">
        <v>46</v>
      </c>
      <c r="N268" s="14">
        <v>0.25</v>
      </c>
      <c r="O268" s="23">
        <v>779.25</v>
      </c>
      <c r="P268">
        <v>299.11</v>
      </c>
      <c r="Q268" s="12" t="str" cm="1">
        <f t="array" ref="Q268:R268">VLOOKUP(E268,store[],{3,5},FALSE)</f>
        <v>South</v>
      </c>
      <c r="R268" t="str">
        <v>Online</v>
      </c>
      <c r="S268" s="4">
        <f t="shared" si="4"/>
        <v>3116</v>
      </c>
    </row>
    <row r="269" spans="1:19">
      <c r="A269" t="s">
        <v>781</v>
      </c>
      <c r="B269" s="3">
        <v>45807</v>
      </c>
      <c r="C269" t="s">
        <v>782</v>
      </c>
      <c r="D269" t="s">
        <v>359</v>
      </c>
      <c r="E269" t="s">
        <v>66</v>
      </c>
      <c r="F269">
        <v>2</v>
      </c>
      <c r="G269" t="s">
        <v>23</v>
      </c>
      <c r="H269">
        <v>36</v>
      </c>
      <c r="I269" s="12" t="s">
        <v>24</v>
      </c>
      <c r="J269" s="12" t="s">
        <v>761</v>
      </c>
      <c r="K269" s="12" t="s">
        <v>52</v>
      </c>
      <c r="L269" s="12" t="s">
        <v>361</v>
      </c>
      <c r="M269" s="12" t="s">
        <v>46</v>
      </c>
      <c r="N269" s="14">
        <v>0.26</v>
      </c>
      <c r="O269" s="23">
        <v>467.75</v>
      </c>
      <c r="P269">
        <v>289.359375</v>
      </c>
      <c r="Q269" s="12" t="str" cm="1">
        <f t="array" ref="Q269:R269">VLOOKUP(E269,store[],{3,5},FALSE)</f>
        <v>South</v>
      </c>
      <c r="R269" t="str">
        <v>Online</v>
      </c>
      <c r="S269" s="4">
        <f t="shared" si="4"/>
        <v>934.98</v>
      </c>
    </row>
    <row r="270" spans="1:19">
      <c r="A270" t="s">
        <v>783</v>
      </c>
      <c r="B270" s="3">
        <v>45555</v>
      </c>
      <c r="C270" t="s">
        <v>398</v>
      </c>
      <c r="D270" t="s">
        <v>453</v>
      </c>
      <c r="E270" t="s">
        <v>160</v>
      </c>
      <c r="F270">
        <v>3</v>
      </c>
      <c r="G270" t="s">
        <v>23</v>
      </c>
      <c r="H270">
        <v>23</v>
      </c>
      <c r="I270" s="12" t="s">
        <v>34</v>
      </c>
      <c r="J270" s="12" t="s">
        <v>199</v>
      </c>
      <c r="K270" s="12" t="s">
        <v>26</v>
      </c>
      <c r="L270" s="12" t="s">
        <v>454</v>
      </c>
      <c r="M270" s="12" t="s">
        <v>37</v>
      </c>
      <c r="N270" s="14">
        <v>0.06</v>
      </c>
      <c r="O270" s="23">
        <v>513.98477215823698</v>
      </c>
      <c r="P270">
        <v>340.14</v>
      </c>
      <c r="Q270" s="12" t="str" cm="1">
        <f t="array" ref="Q270:R270">VLOOKUP(E270,store[],{3,5},FALSE)</f>
        <v>East</v>
      </c>
      <c r="R270" t="str">
        <v>Flagship</v>
      </c>
      <c r="S270" s="4">
        <f t="shared" si="4"/>
        <v>1541.7743164747101</v>
      </c>
    </row>
    <row r="271" spans="1:19">
      <c r="A271" t="s">
        <v>784</v>
      </c>
      <c r="B271" s="3">
        <v>45803</v>
      </c>
      <c r="C271" t="s">
        <v>785</v>
      </c>
      <c r="D271" t="s">
        <v>786</v>
      </c>
      <c r="E271" t="s">
        <v>90</v>
      </c>
      <c r="F271">
        <v>4</v>
      </c>
      <c r="G271" t="s">
        <v>33</v>
      </c>
      <c r="H271">
        <v>47</v>
      </c>
      <c r="I271" s="12" t="s">
        <v>34</v>
      </c>
      <c r="J271" s="12" t="s">
        <v>204</v>
      </c>
      <c r="K271" s="12" t="s">
        <v>26</v>
      </c>
      <c r="L271" s="12" t="s">
        <v>787</v>
      </c>
      <c r="M271" s="12" t="s">
        <v>130</v>
      </c>
      <c r="N271" s="14">
        <v>0.13</v>
      </c>
      <c r="O271" s="23">
        <v>747.01</v>
      </c>
      <c r="P271">
        <v>353.47</v>
      </c>
      <c r="Q271" s="12" t="str" cm="1">
        <f t="array" ref="Q271:R271">VLOOKUP(E271,store[],{3,5},FALSE)</f>
        <v>East</v>
      </c>
      <c r="R271" t="str">
        <v>Flagship</v>
      </c>
      <c r="S271" s="4">
        <f t="shared" si="4"/>
        <v>2987.52</v>
      </c>
    </row>
    <row r="272" spans="1:19">
      <c r="A272" t="s">
        <v>788</v>
      </c>
      <c r="B272" s="3">
        <v>45735</v>
      </c>
      <c r="C272" t="s">
        <v>789</v>
      </c>
      <c r="D272" t="s">
        <v>287</v>
      </c>
      <c r="E272" t="s">
        <v>208</v>
      </c>
      <c r="F272">
        <v>4</v>
      </c>
      <c r="G272" t="s">
        <v>33</v>
      </c>
      <c r="H272">
        <v>29</v>
      </c>
      <c r="I272" s="12" t="s">
        <v>24</v>
      </c>
      <c r="J272" s="12" t="s">
        <v>410</v>
      </c>
      <c r="K272" s="12" t="s">
        <v>26</v>
      </c>
      <c r="L272" s="12" t="s">
        <v>288</v>
      </c>
      <c r="M272" s="12" t="s">
        <v>46</v>
      </c>
      <c r="N272" s="14">
        <v>0.28000000000000003</v>
      </c>
      <c r="O272" s="23">
        <v>461.83</v>
      </c>
      <c r="P272">
        <v>183.04</v>
      </c>
      <c r="Q272" s="12" t="str" cm="1">
        <f t="array" ref="Q272:R272">VLOOKUP(E272,store[],{3,5},FALSE)</f>
        <v>North</v>
      </c>
      <c r="R272" t="str">
        <v>Online</v>
      </c>
      <c r="S272" s="4">
        <f t="shared" si="4"/>
        <v>1846.2</v>
      </c>
    </row>
    <row r="273" spans="1:19">
      <c r="A273" t="s">
        <v>790</v>
      </c>
      <c r="B273" s="3">
        <v>45750</v>
      </c>
      <c r="C273" t="s">
        <v>791</v>
      </c>
      <c r="D273" t="s">
        <v>79</v>
      </c>
      <c r="E273" t="s">
        <v>43</v>
      </c>
      <c r="F273">
        <v>2</v>
      </c>
      <c r="G273" t="s">
        <v>23</v>
      </c>
      <c r="H273">
        <v>54</v>
      </c>
      <c r="I273" s="12" t="s">
        <v>24</v>
      </c>
      <c r="J273" s="12" t="s">
        <v>91</v>
      </c>
      <c r="K273" s="12" t="s">
        <v>26</v>
      </c>
      <c r="L273" s="12" t="s">
        <v>81</v>
      </c>
      <c r="M273" s="12" t="s">
        <v>75</v>
      </c>
      <c r="N273" s="14">
        <v>0.06</v>
      </c>
      <c r="O273" s="23">
        <v>105.15</v>
      </c>
      <c r="P273">
        <v>138.05000000000001</v>
      </c>
      <c r="Q273" s="12" t="str" cm="1">
        <f t="array" ref="Q273:R273">VLOOKUP(E273,store[],{3,5},FALSE)</f>
        <v>West</v>
      </c>
      <c r="R273" t="str">
        <v>Online</v>
      </c>
      <c r="S273" s="4">
        <f t="shared" si="4"/>
        <v>210.18</v>
      </c>
    </row>
    <row r="274" spans="1:19">
      <c r="A274" t="s">
        <v>792</v>
      </c>
      <c r="B274" s="3">
        <v>45693</v>
      </c>
      <c r="C274" t="s">
        <v>620</v>
      </c>
      <c r="D274" t="s">
        <v>250</v>
      </c>
      <c r="E274" t="s">
        <v>22</v>
      </c>
      <c r="F274">
        <v>3</v>
      </c>
      <c r="G274" t="s">
        <v>50</v>
      </c>
      <c r="H274">
        <v>25</v>
      </c>
      <c r="I274" s="12" t="s">
        <v>24</v>
      </c>
      <c r="J274" s="12" t="s">
        <v>169</v>
      </c>
      <c r="K274" s="12" t="s">
        <v>52</v>
      </c>
      <c r="L274" s="12" t="s">
        <v>252</v>
      </c>
      <c r="M274" s="12" t="s">
        <v>130</v>
      </c>
      <c r="N274" s="14">
        <v>0.17</v>
      </c>
      <c r="O274" s="23">
        <v>610.24</v>
      </c>
      <c r="P274">
        <v>248.82191780821901</v>
      </c>
      <c r="Q274" s="12" t="str" cm="1">
        <f t="array" ref="Q274:R274">VLOOKUP(E274,store[],{3,5},FALSE)</f>
        <v>North</v>
      </c>
      <c r="R274" t="str">
        <v>Outlet</v>
      </c>
      <c r="S274" s="4">
        <f t="shared" si="4"/>
        <v>1830.21</v>
      </c>
    </row>
    <row r="275" spans="1:19">
      <c r="A275" t="s">
        <v>793</v>
      </c>
      <c r="B275" s="3">
        <v>45667</v>
      </c>
      <c r="C275" t="s">
        <v>794</v>
      </c>
      <c r="D275" t="s">
        <v>31</v>
      </c>
      <c r="E275" t="s">
        <v>43</v>
      </c>
      <c r="F275">
        <v>1</v>
      </c>
      <c r="G275" t="s">
        <v>33</v>
      </c>
      <c r="H275">
        <v>47</v>
      </c>
      <c r="I275" s="12" t="s">
        <v>34</v>
      </c>
      <c r="J275" s="12" t="s">
        <v>373</v>
      </c>
      <c r="K275" s="12" t="s">
        <v>60</v>
      </c>
      <c r="L275" s="12" t="s">
        <v>36</v>
      </c>
      <c r="M275" s="12" t="s">
        <v>37</v>
      </c>
      <c r="N275" s="14">
        <v>7.0000000000000007E-2</v>
      </c>
      <c r="O275" s="23">
        <v>872.12</v>
      </c>
      <c r="P275">
        <v>403.71</v>
      </c>
      <c r="Q275" s="12" t="str" cm="1">
        <f t="array" ref="Q275:R275">VLOOKUP(E275,store[],{3,5},FALSE)</f>
        <v>West</v>
      </c>
      <c r="R275" t="str">
        <v>Online</v>
      </c>
      <c r="S275" s="4">
        <f t="shared" si="4"/>
        <v>872.05</v>
      </c>
    </row>
    <row r="276" spans="1:19">
      <c r="A276" t="s">
        <v>795</v>
      </c>
      <c r="B276" s="3">
        <v>45316</v>
      </c>
      <c r="C276" t="s">
        <v>778</v>
      </c>
      <c r="D276" t="s">
        <v>234</v>
      </c>
      <c r="E276" t="s">
        <v>105</v>
      </c>
      <c r="F276">
        <v>1</v>
      </c>
      <c r="G276" t="s">
        <v>50</v>
      </c>
      <c r="H276">
        <v>51</v>
      </c>
      <c r="I276" s="12" t="s">
        <v>34</v>
      </c>
      <c r="J276" s="12" t="s">
        <v>161</v>
      </c>
      <c r="K276" s="12" t="s">
        <v>60</v>
      </c>
      <c r="L276" s="12" t="s">
        <v>236</v>
      </c>
      <c r="M276" s="12" t="s">
        <v>75</v>
      </c>
      <c r="N276" s="14">
        <v>0.03</v>
      </c>
      <c r="O276" s="23">
        <v>406.79</v>
      </c>
      <c r="P276">
        <v>298.86</v>
      </c>
      <c r="Q276" s="12" t="str" cm="1">
        <f t="array" ref="Q276:R276">VLOOKUP(E276,store[],{3,5},FALSE)</f>
        <v>North</v>
      </c>
      <c r="R276" t="str">
        <v>Flagship</v>
      </c>
      <c r="S276" s="4">
        <f t="shared" si="4"/>
        <v>406.76</v>
      </c>
    </row>
    <row r="277" spans="1:19">
      <c r="A277" t="s">
        <v>796</v>
      </c>
      <c r="B277" s="3">
        <v>45932</v>
      </c>
      <c r="C277" t="s">
        <v>330</v>
      </c>
      <c r="D277" t="s">
        <v>420</v>
      </c>
      <c r="E277" t="s">
        <v>98</v>
      </c>
      <c r="F277">
        <v>1</v>
      </c>
      <c r="G277" t="s">
        <v>33</v>
      </c>
      <c r="H277">
        <v>28</v>
      </c>
      <c r="I277" s="12" t="s">
        <v>24</v>
      </c>
      <c r="J277" s="12" t="s">
        <v>308</v>
      </c>
      <c r="K277" s="12" t="s">
        <v>73</v>
      </c>
      <c r="L277" s="12" t="s">
        <v>421</v>
      </c>
      <c r="M277" s="12" t="s">
        <v>28</v>
      </c>
      <c r="N277" s="14">
        <v>0.04</v>
      </c>
      <c r="O277" s="23">
        <v>606.01</v>
      </c>
      <c r="P277">
        <v>434.84</v>
      </c>
      <c r="Q277" s="12" t="str" cm="1">
        <f t="array" ref="Q277:R277">VLOOKUP(E277,store[],{3,5},FALSE)</f>
        <v>South</v>
      </c>
      <c r="R277" t="str">
        <v>Outlet</v>
      </c>
      <c r="S277" s="4">
        <f t="shared" si="4"/>
        <v>605.97</v>
      </c>
    </row>
    <row r="278" spans="1:19">
      <c r="A278" t="s">
        <v>797</v>
      </c>
      <c r="B278" s="3">
        <v>45483</v>
      </c>
      <c r="C278" t="s">
        <v>519</v>
      </c>
      <c r="D278" t="s">
        <v>377</v>
      </c>
      <c r="E278" t="s">
        <v>58</v>
      </c>
      <c r="F278">
        <v>4</v>
      </c>
      <c r="G278" t="s">
        <v>23</v>
      </c>
      <c r="H278">
        <v>31</v>
      </c>
      <c r="I278" s="12" t="s">
        <v>24</v>
      </c>
      <c r="J278" s="12" t="s">
        <v>444</v>
      </c>
      <c r="K278" s="12" t="s">
        <v>73</v>
      </c>
      <c r="L278" s="12" t="s">
        <v>379</v>
      </c>
      <c r="M278" s="12" t="s">
        <v>28</v>
      </c>
      <c r="N278" s="14">
        <v>0.06</v>
      </c>
      <c r="O278" s="23">
        <v>322.58</v>
      </c>
      <c r="P278">
        <v>144.53</v>
      </c>
      <c r="Q278" s="12" t="str" cm="1">
        <f t="array" ref="Q278:R278">VLOOKUP(E278,store[],{3,5},FALSE)</f>
        <v>North</v>
      </c>
      <c r="R278" t="str">
        <v>Outlet</v>
      </c>
      <c r="S278" s="4">
        <f t="shared" si="4"/>
        <v>1290.08</v>
      </c>
    </row>
    <row r="279" spans="1:19">
      <c r="A279" t="s">
        <v>798</v>
      </c>
      <c r="B279" s="3">
        <v>45661</v>
      </c>
      <c r="C279" t="s">
        <v>799</v>
      </c>
      <c r="D279" t="s">
        <v>192</v>
      </c>
      <c r="E279" t="s">
        <v>160</v>
      </c>
      <c r="F279">
        <v>4</v>
      </c>
      <c r="G279" t="s">
        <v>33</v>
      </c>
      <c r="H279">
        <v>32</v>
      </c>
      <c r="I279" s="12" t="s">
        <v>24</v>
      </c>
      <c r="J279" s="12" t="s">
        <v>463</v>
      </c>
      <c r="K279" s="12" t="s">
        <v>73</v>
      </c>
      <c r="L279" s="12" t="s">
        <v>194</v>
      </c>
      <c r="M279" s="12" t="s">
        <v>37</v>
      </c>
      <c r="N279" s="14">
        <v>0.06</v>
      </c>
      <c r="O279" s="23">
        <v>463.17</v>
      </c>
      <c r="P279">
        <v>480.9</v>
      </c>
      <c r="Q279" s="12" t="str" cm="1">
        <f t="array" ref="Q279:R279">VLOOKUP(E279,store[],{3,5},FALSE)</f>
        <v>East</v>
      </c>
      <c r="R279" t="str">
        <v>Flagship</v>
      </c>
      <c r="S279" s="4">
        <f t="shared" si="4"/>
        <v>1852.44</v>
      </c>
    </row>
    <row r="280" spans="1:19">
      <c r="A280" t="s">
        <v>800</v>
      </c>
      <c r="B280" s="3">
        <v>45798</v>
      </c>
      <c r="C280" t="s">
        <v>801</v>
      </c>
      <c r="D280" t="s">
        <v>425</v>
      </c>
      <c r="E280" t="s">
        <v>66</v>
      </c>
      <c r="F280">
        <v>4</v>
      </c>
      <c r="G280" t="s">
        <v>33</v>
      </c>
      <c r="H280">
        <v>34</v>
      </c>
      <c r="I280" s="12" t="s">
        <v>24</v>
      </c>
      <c r="J280" s="12" t="s">
        <v>336</v>
      </c>
      <c r="K280" s="12" t="s">
        <v>26</v>
      </c>
      <c r="L280" s="12" t="s">
        <v>426</v>
      </c>
      <c r="M280" s="12" t="s">
        <v>130</v>
      </c>
      <c r="N280" s="14">
        <v>0.18</v>
      </c>
      <c r="O280" s="23">
        <v>285.82</v>
      </c>
      <c r="P280">
        <v>174.02</v>
      </c>
      <c r="Q280" s="12" t="str" cm="1">
        <f t="array" ref="Q280:R280">VLOOKUP(E280,store[],{3,5},FALSE)</f>
        <v>South</v>
      </c>
      <c r="R280" t="str">
        <v>Online</v>
      </c>
      <c r="S280" s="4">
        <f t="shared" si="4"/>
        <v>1142.56</v>
      </c>
    </row>
    <row r="281" spans="1:19">
      <c r="A281" t="s">
        <v>802</v>
      </c>
      <c r="B281" s="3">
        <v>45868</v>
      </c>
      <c r="C281" t="s">
        <v>803</v>
      </c>
      <c r="D281" t="s">
        <v>786</v>
      </c>
      <c r="E281" t="s">
        <v>272</v>
      </c>
      <c r="F281">
        <v>3</v>
      </c>
      <c r="G281" t="s">
        <v>33</v>
      </c>
      <c r="H281">
        <v>58</v>
      </c>
      <c r="I281" s="12" t="s">
        <v>34</v>
      </c>
      <c r="J281" s="12" t="s">
        <v>67</v>
      </c>
      <c r="K281" s="12" t="s">
        <v>26</v>
      </c>
      <c r="L281" s="12" t="s">
        <v>787</v>
      </c>
      <c r="M281" s="12" t="s">
        <v>130</v>
      </c>
      <c r="N281" s="14">
        <v>0.1</v>
      </c>
      <c r="O281" s="23">
        <v>995.38</v>
      </c>
      <c r="P281">
        <v>353.47</v>
      </c>
      <c r="Q281" s="12" t="str" cm="1">
        <f t="array" ref="Q281:R281">VLOOKUP(E281,store[],{3,5},FALSE)</f>
        <v>South</v>
      </c>
      <c r="R281" t="str">
        <v>Online</v>
      </c>
      <c r="S281" s="4">
        <f t="shared" si="4"/>
        <v>2985.84</v>
      </c>
    </row>
    <row r="282" spans="1:19">
      <c r="A282" t="s">
        <v>804</v>
      </c>
      <c r="B282" s="3">
        <v>45757</v>
      </c>
      <c r="C282" t="s">
        <v>452</v>
      </c>
      <c r="D282" t="s">
        <v>661</v>
      </c>
      <c r="E282" t="s">
        <v>43</v>
      </c>
      <c r="F282">
        <v>1</v>
      </c>
      <c r="G282" t="s">
        <v>23</v>
      </c>
      <c r="H282">
        <v>40</v>
      </c>
      <c r="I282" s="12" t="s">
        <v>24</v>
      </c>
      <c r="J282" s="12" t="s">
        <v>51</v>
      </c>
      <c r="K282" s="12" t="s">
        <v>73</v>
      </c>
      <c r="L282" s="12" t="s">
        <v>662</v>
      </c>
      <c r="M282" s="12" t="s">
        <v>37</v>
      </c>
      <c r="N282" s="14">
        <v>0.09</v>
      </c>
      <c r="O282" s="23">
        <v>329.31</v>
      </c>
      <c r="P282">
        <v>86.42</v>
      </c>
      <c r="Q282" s="12" t="str" cm="1">
        <f t="array" ref="Q282:R282">VLOOKUP(E282,store[],{3,5},FALSE)</f>
        <v>West</v>
      </c>
      <c r="R282" t="str">
        <v>Online</v>
      </c>
      <c r="S282" s="4">
        <f t="shared" si="4"/>
        <v>329.22</v>
      </c>
    </row>
    <row r="283" spans="1:19">
      <c r="A283" t="s">
        <v>805</v>
      </c>
      <c r="B283" s="3">
        <v>45475</v>
      </c>
      <c r="C283" t="s">
        <v>806</v>
      </c>
      <c r="D283" t="s">
        <v>302</v>
      </c>
      <c r="E283" t="s">
        <v>117</v>
      </c>
      <c r="F283">
        <v>3</v>
      </c>
      <c r="G283" t="s">
        <v>50</v>
      </c>
      <c r="H283">
        <v>23</v>
      </c>
      <c r="I283" s="12" t="s">
        <v>24</v>
      </c>
      <c r="J283" s="12" t="s">
        <v>336</v>
      </c>
      <c r="K283" s="12" t="s">
        <v>52</v>
      </c>
      <c r="L283" s="12" t="s">
        <v>303</v>
      </c>
      <c r="M283" s="12" t="s">
        <v>46</v>
      </c>
      <c r="N283" s="14">
        <v>0.08</v>
      </c>
      <c r="O283" s="23">
        <v>64.2</v>
      </c>
      <c r="P283">
        <v>255.04901960784301</v>
      </c>
      <c r="Q283" s="12" t="str" cm="1">
        <f t="array" ref="Q283:R283">VLOOKUP(E283,store[],{3,5},FALSE)</f>
        <v>West</v>
      </c>
      <c r="R283" t="str">
        <v>Flagship</v>
      </c>
      <c r="S283" s="4">
        <f t="shared" si="4"/>
        <v>192.36</v>
      </c>
    </row>
    <row r="284" spans="1:19">
      <c r="A284" t="s">
        <v>807</v>
      </c>
      <c r="B284" s="3">
        <v>45829</v>
      </c>
      <c r="C284" t="s">
        <v>808</v>
      </c>
      <c r="D284" t="s">
        <v>555</v>
      </c>
      <c r="E284" t="s">
        <v>149</v>
      </c>
      <c r="F284">
        <v>3</v>
      </c>
      <c r="G284" t="s">
        <v>50</v>
      </c>
      <c r="H284">
        <v>60</v>
      </c>
      <c r="I284" s="12" t="s">
        <v>34</v>
      </c>
      <c r="J284" s="12" t="s">
        <v>111</v>
      </c>
      <c r="K284" s="12" t="s">
        <v>60</v>
      </c>
      <c r="L284" s="12" t="s">
        <v>556</v>
      </c>
      <c r="M284" s="12" t="s">
        <v>37</v>
      </c>
      <c r="N284" s="14">
        <v>0.25</v>
      </c>
      <c r="O284" s="23">
        <v>697.13</v>
      </c>
      <c r="P284">
        <v>449.4</v>
      </c>
      <c r="Q284" s="12" t="str" cm="1">
        <f t="array" ref="Q284:R284">VLOOKUP(E284,store[],{3,5},FALSE)</f>
        <v>East</v>
      </c>
      <c r="R284" t="str">
        <v>Flagship</v>
      </c>
      <c r="S284" s="4">
        <f t="shared" si="4"/>
        <v>2090.64</v>
      </c>
    </row>
    <row r="285" spans="1:19">
      <c r="A285" t="s">
        <v>809</v>
      </c>
      <c r="B285" s="3">
        <v>45639</v>
      </c>
      <c r="C285" t="s">
        <v>550</v>
      </c>
      <c r="D285" t="s">
        <v>810</v>
      </c>
      <c r="E285" t="s">
        <v>58</v>
      </c>
      <c r="F285">
        <v>3</v>
      </c>
      <c r="G285" t="s">
        <v>23</v>
      </c>
      <c r="H285">
        <v>33</v>
      </c>
      <c r="I285" s="12" t="s">
        <v>34</v>
      </c>
      <c r="J285" s="12" t="s">
        <v>218</v>
      </c>
      <c r="K285" s="12" t="s">
        <v>60</v>
      </c>
      <c r="L285" s="12" t="s">
        <v>811</v>
      </c>
      <c r="M285" s="12" t="s">
        <v>28</v>
      </c>
      <c r="N285" s="14">
        <v>0.14000000000000001</v>
      </c>
      <c r="O285" s="23">
        <v>134.30000000000001</v>
      </c>
      <c r="P285">
        <v>495.72</v>
      </c>
      <c r="Q285" s="12" t="str" cm="1">
        <f t="array" ref="Q285:R285">VLOOKUP(E285,store[],{3,5},FALSE)</f>
        <v>North</v>
      </c>
      <c r="R285" t="str">
        <v>Outlet</v>
      </c>
      <c r="S285" s="4">
        <f t="shared" si="4"/>
        <v>402.48</v>
      </c>
    </row>
    <row r="286" spans="1:19">
      <c r="A286" t="s">
        <v>812</v>
      </c>
      <c r="B286" s="3">
        <v>45518</v>
      </c>
      <c r="C286" t="s">
        <v>813</v>
      </c>
      <c r="D286" t="s">
        <v>814</v>
      </c>
      <c r="E286" t="s">
        <v>149</v>
      </c>
      <c r="F286">
        <v>1</v>
      </c>
      <c r="G286" t="s">
        <v>23</v>
      </c>
      <c r="H286">
        <v>63</v>
      </c>
      <c r="I286" s="12" t="s">
        <v>34</v>
      </c>
      <c r="J286" s="12" t="s">
        <v>251</v>
      </c>
      <c r="K286" s="12" t="s">
        <v>52</v>
      </c>
      <c r="L286" s="12" t="s">
        <v>815</v>
      </c>
      <c r="M286" s="12" t="s">
        <v>75</v>
      </c>
      <c r="N286" s="14">
        <v>0.15</v>
      </c>
      <c r="O286" s="23">
        <v>520.92999999999995</v>
      </c>
      <c r="P286">
        <v>388.46</v>
      </c>
      <c r="Q286" s="12" t="str" cm="1">
        <f t="array" ref="Q286:R286">VLOOKUP(E286,store[],{3,5},FALSE)</f>
        <v>East</v>
      </c>
      <c r="R286" t="str">
        <v>Flagship</v>
      </c>
      <c r="S286" s="4">
        <f t="shared" si="4"/>
        <v>520.78</v>
      </c>
    </row>
    <row r="287" spans="1:19">
      <c r="A287" t="s">
        <v>816</v>
      </c>
      <c r="B287" s="3">
        <v>45721</v>
      </c>
      <c r="C287" t="s">
        <v>817</v>
      </c>
      <c r="D287" t="s">
        <v>314</v>
      </c>
      <c r="E287" t="s">
        <v>66</v>
      </c>
      <c r="F287">
        <v>2</v>
      </c>
      <c r="G287" t="s">
        <v>50</v>
      </c>
      <c r="H287">
        <v>46</v>
      </c>
      <c r="I287" s="12" t="s">
        <v>34</v>
      </c>
      <c r="J287" s="12" t="s">
        <v>410</v>
      </c>
      <c r="K287" s="12" t="s">
        <v>52</v>
      </c>
      <c r="L287" s="12" t="s">
        <v>315</v>
      </c>
      <c r="M287" s="12" t="s">
        <v>28</v>
      </c>
      <c r="N287" s="14">
        <v>0.21</v>
      </c>
      <c r="O287" s="23">
        <v>350.12</v>
      </c>
      <c r="P287">
        <v>21.34</v>
      </c>
      <c r="Q287" s="12" t="str" cm="1">
        <f t="array" ref="Q287:R287">VLOOKUP(E287,store[],{3,5},FALSE)</f>
        <v>South</v>
      </c>
      <c r="R287" t="str">
        <v>Online</v>
      </c>
      <c r="S287" s="4">
        <f t="shared" si="4"/>
        <v>699.82</v>
      </c>
    </row>
    <row r="288" spans="1:19">
      <c r="A288" t="s">
        <v>818</v>
      </c>
      <c r="B288" s="3">
        <v>45308</v>
      </c>
      <c r="C288" t="s">
        <v>819</v>
      </c>
      <c r="D288" t="s">
        <v>505</v>
      </c>
      <c r="E288" t="s">
        <v>135</v>
      </c>
      <c r="F288">
        <v>3</v>
      </c>
      <c r="G288" t="s">
        <v>33</v>
      </c>
      <c r="H288">
        <v>18</v>
      </c>
      <c r="I288" s="12" t="s">
        <v>24</v>
      </c>
      <c r="J288" s="12" t="s">
        <v>510</v>
      </c>
      <c r="K288" s="12" t="s">
        <v>60</v>
      </c>
      <c r="L288" s="12" t="s">
        <v>506</v>
      </c>
      <c r="M288" s="12" t="s">
        <v>37</v>
      </c>
      <c r="N288" s="14">
        <v>0.1</v>
      </c>
      <c r="O288" s="23">
        <v>807.95</v>
      </c>
      <c r="P288">
        <v>177.98</v>
      </c>
      <c r="Q288" s="12" t="str" cm="1">
        <f t="array" ref="Q288:R288">VLOOKUP(E288,store[],{3,5},FALSE)</f>
        <v>East</v>
      </c>
      <c r="R288" t="str">
        <v>Online</v>
      </c>
      <c r="S288" s="4">
        <f t="shared" si="4"/>
        <v>2423.5500000000002</v>
      </c>
    </row>
    <row r="289" spans="1:19">
      <c r="A289" t="s">
        <v>820</v>
      </c>
      <c r="B289" s="3">
        <v>45889</v>
      </c>
      <c r="C289" t="s">
        <v>254</v>
      </c>
      <c r="D289" t="s">
        <v>340</v>
      </c>
      <c r="E289" t="s">
        <v>179</v>
      </c>
      <c r="F289">
        <v>4</v>
      </c>
      <c r="G289" t="s">
        <v>33</v>
      </c>
      <c r="H289">
        <v>37</v>
      </c>
      <c r="I289" s="12" t="s">
        <v>24</v>
      </c>
      <c r="J289" s="12" t="s">
        <v>256</v>
      </c>
      <c r="K289" s="12" t="s">
        <v>52</v>
      </c>
      <c r="L289" s="12" t="s">
        <v>341</v>
      </c>
      <c r="M289" s="12" t="s">
        <v>28</v>
      </c>
      <c r="N289" s="14">
        <v>0.28999999999999998</v>
      </c>
      <c r="O289" s="23">
        <v>766.03</v>
      </c>
      <c r="P289">
        <v>135.61000000000001</v>
      </c>
      <c r="Q289" s="12" t="str" cm="1">
        <f t="array" ref="Q289:R289">VLOOKUP(E289,store[],{3,5},FALSE)</f>
        <v>East</v>
      </c>
      <c r="R289" t="str">
        <v>Online</v>
      </c>
      <c r="S289" s="4">
        <f t="shared" si="4"/>
        <v>3062.96</v>
      </c>
    </row>
    <row r="290" spans="1:19">
      <c r="A290" t="s">
        <v>821</v>
      </c>
      <c r="B290" s="3">
        <v>45386</v>
      </c>
      <c r="C290" t="s">
        <v>432</v>
      </c>
      <c r="D290" t="s">
        <v>509</v>
      </c>
      <c r="E290" t="s">
        <v>43</v>
      </c>
      <c r="F290">
        <v>3</v>
      </c>
      <c r="G290" t="s">
        <v>50</v>
      </c>
      <c r="H290">
        <v>23</v>
      </c>
      <c r="I290" s="12" t="s">
        <v>34</v>
      </c>
      <c r="J290" s="12" t="s">
        <v>169</v>
      </c>
      <c r="K290" s="12" t="s">
        <v>60</v>
      </c>
      <c r="L290" s="12" t="s">
        <v>511</v>
      </c>
      <c r="M290" s="12" t="s">
        <v>28</v>
      </c>
      <c r="N290" s="14">
        <v>0.08</v>
      </c>
      <c r="O290" s="23">
        <v>545.1</v>
      </c>
      <c r="P290">
        <v>30.62</v>
      </c>
      <c r="Q290" s="12" t="str" cm="1">
        <f t="array" ref="Q290:R290">VLOOKUP(E290,store[],{3,5},FALSE)</f>
        <v>West</v>
      </c>
      <c r="R290" t="str">
        <v>Online</v>
      </c>
      <c r="S290" s="4">
        <f t="shared" si="4"/>
        <v>1635.06</v>
      </c>
    </row>
    <row r="291" spans="1:19">
      <c r="A291" t="s">
        <v>822</v>
      </c>
      <c r="B291" s="3">
        <v>45438</v>
      </c>
      <c r="C291" t="s">
        <v>823</v>
      </c>
      <c r="D291" t="s">
        <v>134</v>
      </c>
      <c r="E291" t="s">
        <v>66</v>
      </c>
      <c r="F291">
        <v>1</v>
      </c>
      <c r="G291" t="s">
        <v>50</v>
      </c>
      <c r="H291">
        <v>50</v>
      </c>
      <c r="I291" s="12" t="s">
        <v>24</v>
      </c>
      <c r="J291" s="12" t="s">
        <v>378</v>
      </c>
      <c r="K291" s="12" t="s">
        <v>73</v>
      </c>
      <c r="L291" s="12" t="s">
        <v>136</v>
      </c>
      <c r="M291" s="12" t="s">
        <v>28</v>
      </c>
      <c r="N291" s="14">
        <v>0.24</v>
      </c>
      <c r="O291" s="23">
        <v>203.61</v>
      </c>
      <c r="P291">
        <v>240.63</v>
      </c>
      <c r="Q291" s="12" t="str" cm="1">
        <f t="array" ref="Q291:R291">VLOOKUP(E291,store[],{3,5},FALSE)</f>
        <v>South</v>
      </c>
      <c r="R291" t="str">
        <v>Online</v>
      </c>
      <c r="S291" s="4">
        <f t="shared" si="4"/>
        <v>203.37</v>
      </c>
    </row>
    <row r="292" spans="1:19">
      <c r="A292" t="s">
        <v>824</v>
      </c>
      <c r="B292" s="3">
        <v>45856</v>
      </c>
      <c r="C292" t="s">
        <v>825</v>
      </c>
      <c r="D292" t="s">
        <v>21</v>
      </c>
      <c r="E292" t="s">
        <v>122</v>
      </c>
      <c r="F292">
        <v>4</v>
      </c>
      <c r="G292" t="s">
        <v>50</v>
      </c>
      <c r="H292">
        <v>64</v>
      </c>
      <c r="I292" s="12" t="s">
        <v>34</v>
      </c>
      <c r="J292" s="12" t="s">
        <v>256</v>
      </c>
      <c r="K292" s="12" t="s">
        <v>73</v>
      </c>
      <c r="L292" s="12" t="s">
        <v>27</v>
      </c>
      <c r="M292" s="12" t="s">
        <v>28</v>
      </c>
      <c r="N292" s="14">
        <v>0.24</v>
      </c>
      <c r="O292" s="23">
        <v>493.8</v>
      </c>
      <c r="P292">
        <v>245.98</v>
      </c>
      <c r="Q292" s="12" t="str" cm="1">
        <f t="array" ref="Q292:R292">VLOOKUP(E292,store[],{3,5},FALSE)</f>
        <v>North</v>
      </c>
      <c r="R292" t="str">
        <v>Flagship</v>
      </c>
      <c r="S292" s="4">
        <f t="shared" si="4"/>
        <v>1974.24</v>
      </c>
    </row>
    <row r="293" spans="1:19">
      <c r="A293" t="s">
        <v>826</v>
      </c>
      <c r="B293" s="3">
        <v>45485</v>
      </c>
      <c r="C293" t="s">
        <v>827</v>
      </c>
      <c r="D293" t="s">
        <v>745</v>
      </c>
      <c r="E293" t="s">
        <v>32</v>
      </c>
      <c r="F293">
        <v>1</v>
      </c>
      <c r="G293" t="s">
        <v>23</v>
      </c>
      <c r="H293">
        <v>60</v>
      </c>
      <c r="I293" s="12" t="s">
        <v>34</v>
      </c>
      <c r="J293" s="12" t="s">
        <v>360</v>
      </c>
      <c r="K293" s="12" t="s">
        <v>52</v>
      </c>
      <c r="L293" s="12" t="s">
        <v>746</v>
      </c>
      <c r="M293" s="12" t="s">
        <v>28</v>
      </c>
      <c r="N293" s="14">
        <v>0.25</v>
      </c>
      <c r="O293" s="23">
        <v>640.54999999999995</v>
      </c>
      <c r="P293">
        <v>313.26</v>
      </c>
      <c r="Q293" s="12" t="str" cm="1">
        <f t="array" ref="Q293:R293">VLOOKUP(E293,store[],{3,5},FALSE)</f>
        <v>North</v>
      </c>
      <c r="R293" t="str">
        <v>Flagship</v>
      </c>
      <c r="S293" s="4">
        <f t="shared" si="4"/>
        <v>640.29999999999995</v>
      </c>
    </row>
    <row r="294" spans="1:19">
      <c r="A294" t="s">
        <v>828</v>
      </c>
      <c r="B294" s="3">
        <v>45545</v>
      </c>
      <c r="C294" t="s">
        <v>452</v>
      </c>
      <c r="D294" t="s">
        <v>31</v>
      </c>
      <c r="E294" t="s">
        <v>72</v>
      </c>
      <c r="F294">
        <v>1</v>
      </c>
      <c r="G294" t="s">
        <v>23</v>
      </c>
      <c r="H294">
        <v>40</v>
      </c>
      <c r="I294" s="12" t="s">
        <v>24</v>
      </c>
      <c r="J294" s="12" t="s">
        <v>51</v>
      </c>
      <c r="K294" s="12" t="s">
        <v>73</v>
      </c>
      <c r="L294" s="12" t="s">
        <v>36</v>
      </c>
      <c r="M294" s="12" t="s">
        <v>37</v>
      </c>
      <c r="N294" s="14">
        <v>0.3</v>
      </c>
      <c r="O294" s="23">
        <v>702.53</v>
      </c>
      <c r="P294">
        <v>403.71</v>
      </c>
      <c r="Q294" s="12" t="str" cm="1">
        <f t="array" ref="Q294:R294">VLOOKUP(E294,store[],{3,5},FALSE)</f>
        <v>South</v>
      </c>
      <c r="R294" t="str">
        <v>Online</v>
      </c>
      <c r="S294" s="4">
        <f t="shared" si="4"/>
        <v>702.23</v>
      </c>
    </row>
    <row r="295" spans="1:19">
      <c r="A295" t="s">
        <v>829</v>
      </c>
      <c r="B295" s="3">
        <v>45826</v>
      </c>
      <c r="C295" t="s">
        <v>830</v>
      </c>
      <c r="D295" t="s">
        <v>104</v>
      </c>
      <c r="E295" t="s">
        <v>43</v>
      </c>
      <c r="F295">
        <v>4</v>
      </c>
      <c r="G295" t="s">
        <v>23</v>
      </c>
      <c r="H295">
        <v>29</v>
      </c>
      <c r="I295" s="12" t="s">
        <v>24</v>
      </c>
      <c r="J295" s="12" t="s">
        <v>80</v>
      </c>
      <c r="K295" s="12" t="s">
        <v>60</v>
      </c>
      <c r="L295" s="12" t="s">
        <v>107</v>
      </c>
      <c r="M295" s="12" t="s">
        <v>37</v>
      </c>
      <c r="N295" s="14">
        <v>0.24</v>
      </c>
      <c r="O295" s="23">
        <v>139.94</v>
      </c>
      <c r="P295">
        <v>326.06</v>
      </c>
      <c r="Q295" s="12" t="str" cm="1">
        <f t="array" ref="Q295:R295">VLOOKUP(E295,store[],{3,5},FALSE)</f>
        <v>West</v>
      </c>
      <c r="R295" t="str">
        <v>Online</v>
      </c>
      <c r="S295" s="4">
        <f t="shared" si="4"/>
        <v>558.79999999999995</v>
      </c>
    </row>
    <row r="296" spans="1:19">
      <c r="A296" t="s">
        <v>831</v>
      </c>
      <c r="B296" s="3">
        <v>45654</v>
      </c>
      <c r="C296" t="s">
        <v>490</v>
      </c>
      <c r="D296" t="s">
        <v>314</v>
      </c>
      <c r="E296" t="s">
        <v>43</v>
      </c>
      <c r="F296">
        <v>2</v>
      </c>
      <c r="G296" t="s">
        <v>23</v>
      </c>
      <c r="H296">
        <v>22</v>
      </c>
      <c r="I296" s="12" t="s">
        <v>34</v>
      </c>
      <c r="J296" s="12" t="s">
        <v>491</v>
      </c>
      <c r="K296" s="12" t="s">
        <v>52</v>
      </c>
      <c r="L296" s="12" t="s">
        <v>315</v>
      </c>
      <c r="M296" s="12" t="s">
        <v>28</v>
      </c>
      <c r="N296" s="14">
        <v>0.18</v>
      </c>
      <c r="O296" s="23">
        <v>230.85</v>
      </c>
      <c r="P296">
        <v>21.34</v>
      </c>
      <c r="Q296" s="12" t="str" cm="1">
        <f t="array" ref="Q296:R296">VLOOKUP(E296,store[],{3,5},FALSE)</f>
        <v>West</v>
      </c>
      <c r="R296" t="str">
        <v>Online</v>
      </c>
      <c r="S296" s="4">
        <f t="shared" si="4"/>
        <v>461.34</v>
      </c>
    </row>
    <row r="297" spans="1:19">
      <c r="A297" t="s">
        <v>832</v>
      </c>
      <c r="B297" s="3">
        <v>45556</v>
      </c>
      <c r="C297" t="s">
        <v>833</v>
      </c>
      <c r="D297" t="s">
        <v>462</v>
      </c>
      <c r="E297" t="s">
        <v>32</v>
      </c>
      <c r="F297">
        <v>4</v>
      </c>
      <c r="G297" t="s">
        <v>50</v>
      </c>
      <c r="H297">
        <v>20</v>
      </c>
      <c r="I297" s="12" t="s">
        <v>34</v>
      </c>
      <c r="J297" s="12" t="s">
        <v>373</v>
      </c>
      <c r="K297" s="12" t="s">
        <v>60</v>
      </c>
      <c r="L297" s="12" t="s">
        <v>464</v>
      </c>
      <c r="M297" s="12" t="s">
        <v>130</v>
      </c>
      <c r="N297" s="14">
        <v>0.25</v>
      </c>
      <c r="O297" s="23">
        <v>626.35</v>
      </c>
      <c r="P297">
        <v>119.57</v>
      </c>
      <c r="Q297" s="12" t="str" cm="1">
        <f t="array" ref="Q297:R297">VLOOKUP(E297,store[],{3,5},FALSE)</f>
        <v>North</v>
      </c>
      <c r="R297" t="str">
        <v>Flagship</v>
      </c>
      <c r="S297" s="4">
        <f t="shared" si="4"/>
        <v>2504.4</v>
      </c>
    </row>
    <row r="298" spans="1:19">
      <c r="A298" t="s">
        <v>834</v>
      </c>
      <c r="B298" s="3">
        <v>45434</v>
      </c>
      <c r="C298" t="s">
        <v>752</v>
      </c>
      <c r="D298" t="s">
        <v>745</v>
      </c>
      <c r="E298" t="s">
        <v>98</v>
      </c>
      <c r="F298">
        <v>4</v>
      </c>
      <c r="G298" t="s">
        <v>33</v>
      </c>
      <c r="H298">
        <v>53</v>
      </c>
      <c r="I298" s="12" t="s">
        <v>24</v>
      </c>
      <c r="J298" s="12" t="s">
        <v>235</v>
      </c>
      <c r="K298" s="12" t="s">
        <v>73</v>
      </c>
      <c r="L298" s="12" t="s">
        <v>746</v>
      </c>
      <c r="M298" s="12" t="s">
        <v>28</v>
      </c>
      <c r="N298" s="14">
        <v>0.18</v>
      </c>
      <c r="O298" s="23">
        <v>108.55</v>
      </c>
      <c r="P298">
        <v>313.26</v>
      </c>
      <c r="Q298" s="12" t="str" cm="1">
        <f t="array" ref="Q298:R298">VLOOKUP(E298,store[],{3,5},FALSE)</f>
        <v>South</v>
      </c>
      <c r="R298" t="str">
        <v>Outlet</v>
      </c>
      <c r="S298" s="4">
        <f t="shared" si="4"/>
        <v>433.48</v>
      </c>
    </row>
    <row r="299" spans="1:19">
      <c r="A299" t="s">
        <v>835</v>
      </c>
      <c r="B299" s="3">
        <v>45871</v>
      </c>
      <c r="C299" t="s">
        <v>836</v>
      </c>
      <c r="D299" t="s">
        <v>377</v>
      </c>
      <c r="E299" t="s">
        <v>105</v>
      </c>
      <c r="F299">
        <v>4</v>
      </c>
      <c r="G299" t="s">
        <v>50</v>
      </c>
      <c r="H299">
        <v>29</v>
      </c>
      <c r="I299" s="12" t="s">
        <v>34</v>
      </c>
      <c r="J299" s="12" t="s">
        <v>308</v>
      </c>
      <c r="K299" s="12" t="s">
        <v>73</v>
      </c>
      <c r="L299" s="12" t="s">
        <v>379</v>
      </c>
      <c r="M299" s="12" t="s">
        <v>28</v>
      </c>
      <c r="N299" s="14">
        <v>0.03</v>
      </c>
      <c r="O299" s="23">
        <v>353.67</v>
      </c>
      <c r="P299">
        <v>144.53</v>
      </c>
      <c r="Q299" s="12" t="str" cm="1">
        <f t="array" ref="Q299:R299">VLOOKUP(E299,store[],{3,5},FALSE)</f>
        <v>North</v>
      </c>
      <c r="R299" t="str">
        <v>Flagship</v>
      </c>
      <c r="S299" s="4">
        <f t="shared" si="4"/>
        <v>1414.56</v>
      </c>
    </row>
    <row r="300" spans="1:19">
      <c r="A300" t="s">
        <v>837</v>
      </c>
      <c r="B300" s="3">
        <v>45583</v>
      </c>
      <c r="C300" t="s">
        <v>96</v>
      </c>
      <c r="D300" t="s">
        <v>453</v>
      </c>
      <c r="E300" t="s">
        <v>105</v>
      </c>
      <c r="F300">
        <v>4</v>
      </c>
      <c r="G300" t="s">
        <v>23</v>
      </c>
      <c r="H300">
        <v>21</v>
      </c>
      <c r="I300" s="12" t="s">
        <v>34</v>
      </c>
      <c r="J300" s="12" t="s">
        <v>99</v>
      </c>
      <c r="K300" s="12" t="s">
        <v>60</v>
      </c>
      <c r="L300" s="12" t="s">
        <v>454</v>
      </c>
      <c r="M300" s="12" t="s">
        <v>37</v>
      </c>
      <c r="N300" s="14">
        <v>0.16</v>
      </c>
      <c r="O300" s="23">
        <v>61.98</v>
      </c>
      <c r="P300">
        <v>340.14</v>
      </c>
      <c r="Q300" s="12" t="str" cm="1">
        <f t="array" ref="Q300:R300">VLOOKUP(E300,store[],{3,5},FALSE)</f>
        <v>North</v>
      </c>
      <c r="R300" t="str">
        <v>Flagship</v>
      </c>
      <c r="S300" s="4">
        <f t="shared" si="4"/>
        <v>247.28</v>
      </c>
    </row>
    <row r="301" spans="1:19">
      <c r="A301" t="s">
        <v>838</v>
      </c>
      <c r="B301" s="3">
        <v>45348</v>
      </c>
      <c r="C301" t="s">
        <v>725</v>
      </c>
      <c r="D301" t="s">
        <v>443</v>
      </c>
      <c r="E301" t="s">
        <v>135</v>
      </c>
      <c r="F301">
        <v>2</v>
      </c>
      <c r="G301" t="s">
        <v>33</v>
      </c>
      <c r="H301">
        <v>44</v>
      </c>
      <c r="I301" s="12" t="s">
        <v>24</v>
      </c>
      <c r="J301" s="12" t="s">
        <v>227</v>
      </c>
      <c r="K301" s="12" t="s">
        <v>52</v>
      </c>
      <c r="L301" s="12" t="s">
        <v>445</v>
      </c>
      <c r="M301" s="12" t="s">
        <v>28</v>
      </c>
      <c r="N301" s="14">
        <v>0.12</v>
      </c>
      <c r="O301" s="23">
        <v>873.1</v>
      </c>
      <c r="P301">
        <v>484.62</v>
      </c>
      <c r="Q301" s="12" t="str" cm="1">
        <f t="array" ref="Q301:R301">VLOOKUP(E301,store[],{3,5},FALSE)</f>
        <v>East</v>
      </c>
      <c r="R301" t="str">
        <v>Online</v>
      </c>
      <c r="S301" s="4">
        <f t="shared" si="4"/>
        <v>1745.96</v>
      </c>
    </row>
    <row r="302" spans="1:19">
      <c r="A302" t="s">
        <v>839</v>
      </c>
      <c r="B302" s="3">
        <v>45268</v>
      </c>
      <c r="C302" t="s">
        <v>840</v>
      </c>
      <c r="D302" t="s">
        <v>173</v>
      </c>
      <c r="E302" t="s">
        <v>122</v>
      </c>
      <c r="F302">
        <v>4</v>
      </c>
      <c r="G302" t="s">
        <v>23</v>
      </c>
      <c r="H302">
        <v>54</v>
      </c>
      <c r="I302" s="12" t="s">
        <v>24</v>
      </c>
      <c r="J302" s="12" t="s">
        <v>35</v>
      </c>
      <c r="K302" s="12" t="s">
        <v>73</v>
      </c>
      <c r="L302" s="12" t="s">
        <v>174</v>
      </c>
      <c r="M302" s="12" t="s">
        <v>46</v>
      </c>
      <c r="N302" s="14">
        <v>0.24</v>
      </c>
      <c r="O302" s="23">
        <v>889.47</v>
      </c>
      <c r="P302">
        <v>115.82</v>
      </c>
      <c r="Q302" s="12" t="str" cm="1">
        <f t="array" ref="Q302:R302">VLOOKUP(E302,store[],{3,5},FALSE)</f>
        <v>North</v>
      </c>
      <c r="R302" t="str">
        <v>Flagship</v>
      </c>
      <c r="S302" s="4">
        <f t="shared" si="4"/>
        <v>3556.92</v>
      </c>
    </row>
    <row r="303" spans="1:19">
      <c r="A303" t="s">
        <v>841</v>
      </c>
      <c r="B303" s="3">
        <v>45596</v>
      </c>
      <c r="C303" t="s">
        <v>203</v>
      </c>
      <c r="D303" t="s">
        <v>31</v>
      </c>
      <c r="E303" t="s">
        <v>272</v>
      </c>
      <c r="F303">
        <v>3</v>
      </c>
      <c r="G303" t="s">
        <v>50</v>
      </c>
      <c r="H303">
        <v>27</v>
      </c>
      <c r="I303" s="12" t="s">
        <v>34</v>
      </c>
      <c r="J303" s="12" t="s">
        <v>204</v>
      </c>
      <c r="K303" s="12" t="s">
        <v>52</v>
      </c>
      <c r="L303" s="12" t="s">
        <v>36</v>
      </c>
      <c r="M303" s="12" t="s">
        <v>37</v>
      </c>
      <c r="N303" s="14">
        <v>0.19</v>
      </c>
      <c r="O303" s="23">
        <v>803.76</v>
      </c>
      <c r="P303">
        <v>403.71</v>
      </c>
      <c r="Q303" s="12" t="str" cm="1">
        <f t="array" ref="Q303:R303">VLOOKUP(E303,store[],{3,5},FALSE)</f>
        <v>South</v>
      </c>
      <c r="R303" t="str">
        <v>Online</v>
      </c>
      <c r="S303" s="4">
        <f t="shared" si="4"/>
        <v>2410.71</v>
      </c>
    </row>
    <row r="304" spans="1:19">
      <c r="A304" t="s">
        <v>842</v>
      </c>
      <c r="B304" s="3">
        <v>45624</v>
      </c>
      <c r="C304" t="s">
        <v>843</v>
      </c>
      <c r="D304" t="s">
        <v>213</v>
      </c>
      <c r="E304" t="s">
        <v>58</v>
      </c>
      <c r="F304">
        <v>2</v>
      </c>
      <c r="G304" t="s">
        <v>33</v>
      </c>
      <c r="H304">
        <v>45</v>
      </c>
      <c r="I304" s="12" t="s">
        <v>24</v>
      </c>
      <c r="J304" s="12" t="s">
        <v>35</v>
      </c>
      <c r="K304" s="12" t="s">
        <v>73</v>
      </c>
      <c r="L304" s="12" t="s">
        <v>215</v>
      </c>
      <c r="M304" s="12" t="s">
        <v>130</v>
      </c>
      <c r="N304" s="14">
        <v>0.2</v>
      </c>
      <c r="O304" s="23">
        <v>865.14</v>
      </c>
      <c r="P304">
        <v>158.13999999999999</v>
      </c>
      <c r="Q304" s="12" t="str" cm="1">
        <f t="array" ref="Q304:R304">VLOOKUP(E304,store[],{3,5},FALSE)</f>
        <v>North</v>
      </c>
      <c r="R304" t="str">
        <v>Outlet</v>
      </c>
      <c r="S304" s="4">
        <f t="shared" si="4"/>
        <v>1729.88</v>
      </c>
    </row>
    <row r="305" spans="1:19">
      <c r="A305" t="s">
        <v>844</v>
      </c>
      <c r="B305" s="3">
        <v>45813</v>
      </c>
      <c r="C305" t="s">
        <v>428</v>
      </c>
      <c r="D305" t="s">
        <v>311</v>
      </c>
      <c r="E305" t="s">
        <v>127</v>
      </c>
      <c r="F305">
        <v>2</v>
      </c>
      <c r="G305" t="s">
        <v>50</v>
      </c>
      <c r="H305">
        <v>36</v>
      </c>
      <c r="I305" s="12" t="s">
        <v>24</v>
      </c>
      <c r="J305" s="12" t="s">
        <v>345</v>
      </c>
      <c r="K305" s="12" t="s">
        <v>60</v>
      </c>
      <c r="L305" s="12" t="s">
        <v>312</v>
      </c>
      <c r="M305" s="12" t="s">
        <v>28</v>
      </c>
      <c r="N305" s="14">
        <v>0.3</v>
      </c>
      <c r="O305" s="23">
        <v>916.49</v>
      </c>
      <c r="P305">
        <v>204.39</v>
      </c>
      <c r="Q305" s="12" t="str" cm="1">
        <f t="array" ref="Q305:R305">VLOOKUP(E305,store[],{3,5},FALSE)</f>
        <v>South</v>
      </c>
      <c r="R305" t="str">
        <v>Flagship</v>
      </c>
      <c r="S305" s="4">
        <f t="shared" si="4"/>
        <v>1832.38</v>
      </c>
    </row>
    <row r="306" spans="1:19">
      <c r="A306" t="s">
        <v>845</v>
      </c>
      <c r="B306" s="3">
        <v>45615</v>
      </c>
      <c r="C306" t="s">
        <v>846</v>
      </c>
      <c r="D306" t="s">
        <v>501</v>
      </c>
      <c r="E306" t="s">
        <v>208</v>
      </c>
      <c r="F306">
        <v>3</v>
      </c>
      <c r="G306" t="s">
        <v>23</v>
      </c>
      <c r="H306">
        <v>19</v>
      </c>
      <c r="I306" s="12" t="s">
        <v>24</v>
      </c>
      <c r="J306" s="12" t="s">
        <v>440</v>
      </c>
      <c r="K306" s="12" t="s">
        <v>52</v>
      </c>
      <c r="L306" s="12" t="s">
        <v>502</v>
      </c>
      <c r="M306" s="12" t="s">
        <v>37</v>
      </c>
      <c r="N306" s="14">
        <v>0.12</v>
      </c>
      <c r="O306" s="23">
        <v>781.39</v>
      </c>
      <c r="P306">
        <v>88.49</v>
      </c>
      <c r="Q306" s="12" t="str" cm="1">
        <f t="array" ref="Q306:R306">VLOOKUP(E306,store[],{3,5},FALSE)</f>
        <v>North</v>
      </c>
      <c r="R306" t="str">
        <v>Online</v>
      </c>
      <c r="S306" s="4">
        <f t="shared" si="4"/>
        <v>2343.81</v>
      </c>
    </row>
    <row r="307" spans="1:19">
      <c r="A307" t="s">
        <v>847</v>
      </c>
      <c r="B307" s="3">
        <v>45431</v>
      </c>
      <c r="C307" t="s">
        <v>833</v>
      </c>
      <c r="D307" t="s">
        <v>340</v>
      </c>
      <c r="E307" t="s">
        <v>208</v>
      </c>
      <c r="F307">
        <v>4</v>
      </c>
      <c r="G307" t="s">
        <v>50</v>
      </c>
      <c r="H307">
        <v>20</v>
      </c>
      <c r="I307" s="12" t="s">
        <v>34</v>
      </c>
      <c r="J307" s="12" t="s">
        <v>373</v>
      </c>
      <c r="K307" s="12" t="s">
        <v>60</v>
      </c>
      <c r="L307" s="12" t="s">
        <v>341</v>
      </c>
      <c r="M307" s="12" t="s">
        <v>28</v>
      </c>
      <c r="N307" s="14">
        <v>0.13</v>
      </c>
      <c r="O307" s="23">
        <v>619.74</v>
      </c>
      <c r="P307">
        <v>135.61000000000001</v>
      </c>
      <c r="Q307" s="12" t="str" cm="1">
        <f t="array" ref="Q307:R307">VLOOKUP(E307,store[],{3,5},FALSE)</f>
        <v>North</v>
      </c>
      <c r="R307" t="str">
        <v>Online</v>
      </c>
      <c r="S307" s="4">
        <f t="shared" si="4"/>
        <v>2478.44</v>
      </c>
    </row>
    <row r="308" spans="1:19">
      <c r="A308" t="s">
        <v>848</v>
      </c>
      <c r="B308" s="3">
        <v>45679</v>
      </c>
      <c r="C308" t="s">
        <v>849</v>
      </c>
      <c r="D308" t="s">
        <v>661</v>
      </c>
      <c r="E308" t="s">
        <v>98</v>
      </c>
      <c r="F308">
        <v>2</v>
      </c>
      <c r="G308" t="s">
        <v>50</v>
      </c>
      <c r="H308">
        <v>21</v>
      </c>
      <c r="I308" s="12" t="s">
        <v>24</v>
      </c>
      <c r="J308" s="12" t="s">
        <v>360</v>
      </c>
      <c r="K308" s="12" t="s">
        <v>26</v>
      </c>
      <c r="L308" s="12" t="s">
        <v>662</v>
      </c>
      <c r="M308" s="12" t="s">
        <v>37</v>
      </c>
      <c r="N308" s="14">
        <v>0.03</v>
      </c>
      <c r="O308" s="23">
        <v>837.76</v>
      </c>
      <c r="P308">
        <v>86.42</v>
      </c>
      <c r="Q308" s="12" t="str" cm="1">
        <f t="array" ref="Q308:R308">VLOOKUP(E308,store[],{3,5},FALSE)</f>
        <v>South</v>
      </c>
      <c r="R308" t="str">
        <v>Outlet</v>
      </c>
      <c r="S308" s="4">
        <f t="shared" si="4"/>
        <v>1675.46</v>
      </c>
    </row>
    <row r="309" spans="1:19">
      <c r="A309" t="s">
        <v>850</v>
      </c>
      <c r="B309" s="3">
        <v>45842</v>
      </c>
      <c r="C309" t="s">
        <v>851</v>
      </c>
      <c r="D309" t="s">
        <v>453</v>
      </c>
      <c r="E309" t="s">
        <v>105</v>
      </c>
      <c r="F309">
        <v>3</v>
      </c>
      <c r="G309" t="s">
        <v>23</v>
      </c>
      <c r="H309">
        <v>46</v>
      </c>
      <c r="I309" s="12" t="s">
        <v>24</v>
      </c>
      <c r="J309" s="12" t="s">
        <v>222</v>
      </c>
      <c r="K309" s="12" t="s">
        <v>26</v>
      </c>
      <c r="L309" s="12" t="s">
        <v>454</v>
      </c>
      <c r="M309" s="12" t="s">
        <v>37</v>
      </c>
      <c r="N309" s="14">
        <v>0.2</v>
      </c>
      <c r="O309" s="23">
        <v>135.94</v>
      </c>
      <c r="P309">
        <v>340.14</v>
      </c>
      <c r="Q309" s="12" t="str" cm="1">
        <f t="array" ref="Q309:R309">VLOOKUP(E309,store[],{3,5},FALSE)</f>
        <v>North</v>
      </c>
      <c r="R309" t="str">
        <v>Flagship</v>
      </c>
      <c r="S309" s="4">
        <f t="shared" si="4"/>
        <v>407.22</v>
      </c>
    </row>
    <row r="310" spans="1:19">
      <c r="A310" t="s">
        <v>852</v>
      </c>
      <c r="B310" s="3">
        <v>45796</v>
      </c>
      <c r="C310" t="s">
        <v>853</v>
      </c>
      <c r="D310" t="s">
        <v>31</v>
      </c>
      <c r="E310" t="s">
        <v>105</v>
      </c>
      <c r="F310">
        <v>4</v>
      </c>
      <c r="G310" t="s">
        <v>33</v>
      </c>
      <c r="H310">
        <v>40</v>
      </c>
      <c r="I310" s="12" t="s">
        <v>24</v>
      </c>
      <c r="J310" s="12" t="s">
        <v>356</v>
      </c>
      <c r="K310" s="12" t="s">
        <v>73</v>
      </c>
      <c r="L310" s="12" t="s">
        <v>36</v>
      </c>
      <c r="M310" s="12" t="s">
        <v>37</v>
      </c>
      <c r="N310" s="14">
        <v>7.0000000000000007E-2</v>
      </c>
      <c r="O310" s="23">
        <v>396.53</v>
      </c>
      <c r="P310">
        <v>403.71</v>
      </c>
      <c r="Q310" s="12" t="str" cm="1">
        <f t="array" ref="Q310:R310">VLOOKUP(E310,store[],{3,5},FALSE)</f>
        <v>North</v>
      </c>
      <c r="R310" t="str">
        <v>Flagship</v>
      </c>
      <c r="S310" s="4">
        <f t="shared" si="4"/>
        <v>1585.84</v>
      </c>
    </row>
    <row r="311" spans="1:19">
      <c r="A311" t="s">
        <v>854</v>
      </c>
      <c r="B311" s="3">
        <v>45264</v>
      </c>
      <c r="C311" t="s">
        <v>855</v>
      </c>
      <c r="D311" t="s">
        <v>255</v>
      </c>
      <c r="E311" t="s">
        <v>98</v>
      </c>
      <c r="F311">
        <v>2</v>
      </c>
      <c r="G311" t="s">
        <v>33</v>
      </c>
      <c r="H311">
        <v>50</v>
      </c>
      <c r="I311" s="12" t="s">
        <v>34</v>
      </c>
      <c r="J311" s="12" t="s">
        <v>463</v>
      </c>
      <c r="K311" s="12" t="s">
        <v>73</v>
      </c>
      <c r="L311" s="12" t="s">
        <v>257</v>
      </c>
      <c r="M311" s="12" t="s">
        <v>75</v>
      </c>
      <c r="N311" s="14">
        <v>0.22</v>
      </c>
      <c r="O311" s="23">
        <v>722.45</v>
      </c>
      <c r="P311">
        <v>218.48</v>
      </c>
      <c r="Q311" s="12" t="str" cm="1">
        <f t="array" ref="Q311:R311">VLOOKUP(E311,store[],{3,5},FALSE)</f>
        <v>South</v>
      </c>
      <c r="R311" t="str">
        <v>Outlet</v>
      </c>
      <c r="S311" s="4">
        <f t="shared" si="4"/>
        <v>1444.46</v>
      </c>
    </row>
    <row r="312" spans="1:19">
      <c r="A312" t="s">
        <v>856</v>
      </c>
      <c r="B312" s="3">
        <v>45504</v>
      </c>
      <c r="C312" t="s">
        <v>857</v>
      </c>
      <c r="D312" t="s">
        <v>779</v>
      </c>
      <c r="E312" t="s">
        <v>198</v>
      </c>
      <c r="F312">
        <v>2</v>
      </c>
      <c r="G312" t="s">
        <v>23</v>
      </c>
      <c r="H312">
        <v>54</v>
      </c>
      <c r="I312" s="12" t="s">
        <v>34</v>
      </c>
      <c r="J312" s="12" t="s">
        <v>99</v>
      </c>
      <c r="K312" s="12" t="s">
        <v>60</v>
      </c>
      <c r="L312" s="12" t="s">
        <v>780</v>
      </c>
      <c r="M312" s="12" t="s">
        <v>46</v>
      </c>
      <c r="N312" s="14">
        <v>0.02</v>
      </c>
      <c r="O312" s="23">
        <v>138.41</v>
      </c>
      <c r="P312">
        <v>299.11</v>
      </c>
      <c r="Q312" s="12" t="str" cm="1">
        <f t="array" ref="Q312:R312">VLOOKUP(E312,store[],{3,5},FALSE)</f>
        <v>South</v>
      </c>
      <c r="R312" t="str">
        <v>Outlet</v>
      </c>
      <c r="S312" s="4">
        <f t="shared" si="4"/>
        <v>276.77999999999997</v>
      </c>
    </row>
    <row r="313" spans="1:19">
      <c r="A313" t="s">
        <v>858</v>
      </c>
      <c r="B313" s="3">
        <v>45679</v>
      </c>
      <c r="C313" t="s">
        <v>320</v>
      </c>
      <c r="D313" t="s">
        <v>429</v>
      </c>
      <c r="E313" t="s">
        <v>198</v>
      </c>
      <c r="F313">
        <v>4</v>
      </c>
      <c r="G313" t="s">
        <v>50</v>
      </c>
      <c r="H313">
        <v>62</v>
      </c>
      <c r="I313" s="12" t="s">
        <v>34</v>
      </c>
      <c r="J313" s="12" t="s">
        <v>251</v>
      </c>
      <c r="K313" s="12" t="s">
        <v>26</v>
      </c>
      <c r="L313" s="12" t="s">
        <v>430</v>
      </c>
      <c r="M313" s="12" t="s">
        <v>75</v>
      </c>
      <c r="N313" s="14">
        <v>0.09</v>
      </c>
      <c r="O313" s="23">
        <v>741.51</v>
      </c>
      <c r="P313">
        <v>143.43</v>
      </c>
      <c r="Q313" s="12" t="str" cm="1">
        <f t="array" ref="Q313:R313">VLOOKUP(E313,store[],{3,5},FALSE)</f>
        <v>South</v>
      </c>
      <c r="R313" t="str">
        <v>Outlet</v>
      </c>
      <c r="S313" s="4">
        <f t="shared" si="4"/>
        <v>2965.68</v>
      </c>
    </row>
    <row r="314" spans="1:19">
      <c r="A314" t="s">
        <v>859</v>
      </c>
      <c r="B314" s="3">
        <v>45611</v>
      </c>
      <c r="C314" t="s">
        <v>740</v>
      </c>
      <c r="D314" t="s">
        <v>429</v>
      </c>
      <c r="E314" t="s">
        <v>32</v>
      </c>
      <c r="F314">
        <v>2</v>
      </c>
      <c r="G314" t="s">
        <v>33</v>
      </c>
      <c r="H314">
        <v>52</v>
      </c>
      <c r="I314" s="12" t="s">
        <v>34</v>
      </c>
      <c r="J314" s="12" t="s">
        <v>609</v>
      </c>
      <c r="K314" s="12" t="s">
        <v>60</v>
      </c>
      <c r="L314" s="12" t="s">
        <v>430</v>
      </c>
      <c r="M314" s="12" t="s">
        <v>75</v>
      </c>
      <c r="N314" s="14">
        <v>0.19</v>
      </c>
      <c r="O314" s="23">
        <v>588.9</v>
      </c>
      <c r="P314">
        <v>143.43</v>
      </c>
      <c r="Q314" s="12" t="str" cm="1">
        <f t="array" ref="Q314:R314">VLOOKUP(E314,store[],{3,5},FALSE)</f>
        <v>North</v>
      </c>
      <c r="R314" t="str">
        <v>Flagship</v>
      </c>
      <c r="S314" s="4">
        <f t="shared" si="4"/>
        <v>1177.42</v>
      </c>
    </row>
    <row r="315" spans="1:19">
      <c r="A315" t="s">
        <v>860</v>
      </c>
      <c r="B315" s="3">
        <v>45389</v>
      </c>
      <c r="C315" t="s">
        <v>861</v>
      </c>
      <c r="D315" t="s">
        <v>409</v>
      </c>
      <c r="E315" t="s">
        <v>198</v>
      </c>
      <c r="F315">
        <v>1</v>
      </c>
      <c r="G315" t="s">
        <v>33</v>
      </c>
      <c r="H315">
        <v>41</v>
      </c>
      <c r="I315" s="12" t="s">
        <v>24</v>
      </c>
      <c r="J315" s="12" t="s">
        <v>333</v>
      </c>
      <c r="K315" s="12" t="s">
        <v>60</v>
      </c>
      <c r="L315" s="12" t="s">
        <v>411</v>
      </c>
      <c r="M315" s="12" t="s">
        <v>28</v>
      </c>
      <c r="N315" s="14">
        <v>0.19</v>
      </c>
      <c r="O315" s="23">
        <v>88.92</v>
      </c>
      <c r="P315">
        <v>190.29</v>
      </c>
      <c r="Q315" s="12" t="str" cm="1">
        <f t="array" ref="Q315:R315">VLOOKUP(E315,store[],{3,5},FALSE)</f>
        <v>South</v>
      </c>
      <c r="R315" t="str">
        <v>Outlet</v>
      </c>
      <c r="S315" s="4">
        <f t="shared" si="4"/>
        <v>88.73</v>
      </c>
    </row>
    <row r="316" spans="1:19">
      <c r="A316" t="s">
        <v>862</v>
      </c>
      <c r="B316" s="3">
        <v>45339</v>
      </c>
      <c r="C316" t="s">
        <v>782</v>
      </c>
      <c r="D316" t="s">
        <v>698</v>
      </c>
      <c r="E316" t="s">
        <v>117</v>
      </c>
      <c r="F316">
        <v>1</v>
      </c>
      <c r="G316" t="s">
        <v>50</v>
      </c>
      <c r="H316">
        <v>36</v>
      </c>
      <c r="I316" s="12" t="s">
        <v>24</v>
      </c>
      <c r="J316" s="12" t="s">
        <v>761</v>
      </c>
      <c r="K316" s="12" t="s">
        <v>52</v>
      </c>
      <c r="L316" s="12" t="s">
        <v>699</v>
      </c>
      <c r="M316" s="12" t="s">
        <v>28</v>
      </c>
      <c r="N316" s="14">
        <v>0.1</v>
      </c>
      <c r="O316" s="23">
        <v>299.13</v>
      </c>
      <c r="P316">
        <v>103.45</v>
      </c>
      <c r="Q316" s="12" t="str" cm="1">
        <f t="array" ref="Q316:R316">VLOOKUP(E316,store[],{3,5},FALSE)</f>
        <v>West</v>
      </c>
      <c r="R316" t="str">
        <v>Flagship</v>
      </c>
      <c r="S316" s="4">
        <f t="shared" si="4"/>
        <v>299.02999999999997</v>
      </c>
    </row>
    <row r="317" spans="1:19">
      <c r="A317" t="s">
        <v>863</v>
      </c>
      <c r="B317" s="3">
        <v>45433</v>
      </c>
      <c r="C317" t="s">
        <v>64</v>
      </c>
      <c r="D317" t="s">
        <v>192</v>
      </c>
      <c r="E317" t="s">
        <v>22</v>
      </c>
      <c r="F317">
        <v>2</v>
      </c>
      <c r="G317" t="s">
        <v>23</v>
      </c>
      <c r="H317">
        <v>18</v>
      </c>
      <c r="I317" s="12" t="s">
        <v>34</v>
      </c>
      <c r="J317" s="12" t="s">
        <v>67</v>
      </c>
      <c r="K317" s="12" t="s">
        <v>52</v>
      </c>
      <c r="L317" s="12" t="s">
        <v>194</v>
      </c>
      <c r="M317" s="12" t="s">
        <v>37</v>
      </c>
      <c r="N317" s="14">
        <v>0.23</v>
      </c>
      <c r="O317" s="23">
        <v>548.29999999999995</v>
      </c>
      <c r="P317">
        <v>480.9</v>
      </c>
      <c r="Q317" s="12" t="str" cm="1">
        <f t="array" ref="Q317:R317">VLOOKUP(E317,store[],{3,5},FALSE)</f>
        <v>North</v>
      </c>
      <c r="R317" t="str">
        <v>Outlet</v>
      </c>
      <c r="S317" s="4">
        <f t="shared" si="4"/>
        <v>1096.1400000000001</v>
      </c>
    </row>
    <row r="318" spans="1:19">
      <c r="A318" t="s">
        <v>864</v>
      </c>
      <c r="B318" s="3">
        <v>45435</v>
      </c>
      <c r="C318" t="s">
        <v>808</v>
      </c>
      <c r="D318" t="s">
        <v>420</v>
      </c>
      <c r="E318" t="s">
        <v>168</v>
      </c>
      <c r="F318">
        <v>3</v>
      </c>
      <c r="G318" t="s">
        <v>33</v>
      </c>
      <c r="H318">
        <v>60</v>
      </c>
      <c r="I318" s="12" t="s">
        <v>34</v>
      </c>
      <c r="J318" s="12" t="s">
        <v>111</v>
      </c>
      <c r="K318" s="12" t="s">
        <v>60</v>
      </c>
      <c r="L318" s="12" t="s">
        <v>421</v>
      </c>
      <c r="M318" s="12" t="s">
        <v>28</v>
      </c>
      <c r="N318" s="14">
        <v>0.02</v>
      </c>
      <c r="O318" s="23">
        <v>977.55</v>
      </c>
      <c r="P318">
        <v>434.84</v>
      </c>
      <c r="Q318" s="12" t="str" cm="1">
        <f t="array" ref="Q318:R318">VLOOKUP(E318,store[],{3,5},FALSE)</f>
        <v>East</v>
      </c>
      <c r="R318" t="str">
        <v>Online</v>
      </c>
      <c r="S318" s="4">
        <f t="shared" si="4"/>
        <v>2932.59</v>
      </c>
    </row>
    <row r="319" spans="1:19">
      <c r="A319" t="s">
        <v>865</v>
      </c>
      <c r="B319" s="3">
        <v>45823</v>
      </c>
      <c r="C319" t="s">
        <v>48</v>
      </c>
      <c r="D319" t="s">
        <v>275</v>
      </c>
      <c r="E319" t="s">
        <v>160</v>
      </c>
      <c r="F319">
        <v>1</v>
      </c>
      <c r="G319" t="s">
        <v>50</v>
      </c>
      <c r="H319">
        <v>58</v>
      </c>
      <c r="I319" s="12" t="s">
        <v>34</v>
      </c>
      <c r="J319" s="12" t="s">
        <v>51</v>
      </c>
      <c r="K319" s="12" t="s">
        <v>52</v>
      </c>
      <c r="L319" s="12" t="s">
        <v>276</v>
      </c>
      <c r="M319" s="12" t="s">
        <v>28</v>
      </c>
      <c r="N319" s="14">
        <v>0.28000000000000003</v>
      </c>
      <c r="O319" s="23">
        <v>459.42</v>
      </c>
      <c r="P319">
        <v>167.12</v>
      </c>
      <c r="Q319" s="12" t="str" cm="1">
        <f t="array" ref="Q319:R319">VLOOKUP(E319,store[],{3,5},FALSE)</f>
        <v>East</v>
      </c>
      <c r="R319" t="str">
        <v>Flagship</v>
      </c>
      <c r="S319" s="4">
        <f t="shared" si="4"/>
        <v>459.14</v>
      </c>
    </row>
    <row r="320" spans="1:19">
      <c r="A320" t="s">
        <v>866</v>
      </c>
      <c r="B320" s="3">
        <v>45663</v>
      </c>
      <c r="C320" t="s">
        <v>867</v>
      </c>
      <c r="D320" t="s">
        <v>868</v>
      </c>
      <c r="E320" t="s">
        <v>72</v>
      </c>
      <c r="F320">
        <v>2</v>
      </c>
      <c r="G320" t="s">
        <v>23</v>
      </c>
      <c r="H320">
        <v>58</v>
      </c>
      <c r="I320" s="12" t="s">
        <v>24</v>
      </c>
      <c r="J320" s="12" t="s">
        <v>140</v>
      </c>
      <c r="K320" s="12" t="s">
        <v>60</v>
      </c>
      <c r="L320" s="12" t="s">
        <v>869</v>
      </c>
      <c r="M320" s="12" t="s">
        <v>130</v>
      </c>
      <c r="N320" s="14">
        <v>0.19</v>
      </c>
      <c r="O320" s="23">
        <v>123.19</v>
      </c>
      <c r="P320">
        <v>254.62086956521699</v>
      </c>
      <c r="Q320" s="12" t="str" cm="1">
        <f t="array" ref="Q320:R320">VLOOKUP(E320,store[],{3,5},FALSE)</f>
        <v>South</v>
      </c>
      <c r="R320" t="str">
        <v>Online</v>
      </c>
      <c r="S320" s="4">
        <f t="shared" si="4"/>
        <v>246</v>
      </c>
    </row>
    <row r="321" spans="1:19">
      <c r="A321" t="s">
        <v>870</v>
      </c>
      <c r="B321" s="3">
        <v>45879</v>
      </c>
      <c r="C321" t="s">
        <v>871</v>
      </c>
      <c r="D321" t="s">
        <v>564</v>
      </c>
      <c r="E321" t="s">
        <v>135</v>
      </c>
      <c r="F321">
        <v>1</v>
      </c>
      <c r="G321" t="s">
        <v>33</v>
      </c>
      <c r="H321">
        <v>60</v>
      </c>
      <c r="I321" s="12" t="s">
        <v>34</v>
      </c>
      <c r="J321" s="12" t="s">
        <v>231</v>
      </c>
      <c r="K321" s="12" t="s">
        <v>26</v>
      </c>
      <c r="L321" s="12" t="s">
        <v>565</v>
      </c>
      <c r="M321" s="12" t="s">
        <v>75</v>
      </c>
      <c r="N321" s="14">
        <v>0.02</v>
      </c>
      <c r="O321" s="23">
        <v>222.95</v>
      </c>
      <c r="P321">
        <v>81.75</v>
      </c>
      <c r="Q321" s="12" t="str" cm="1">
        <f t="array" ref="Q321:R321">VLOOKUP(E321,store[],{3,5},FALSE)</f>
        <v>East</v>
      </c>
      <c r="R321" t="str">
        <v>Online</v>
      </c>
      <c r="S321" s="4">
        <f t="shared" si="4"/>
        <v>222.93</v>
      </c>
    </row>
    <row r="322" spans="1:19">
      <c r="A322" t="s">
        <v>872</v>
      </c>
      <c r="B322" s="3">
        <v>45840</v>
      </c>
      <c r="C322" t="s">
        <v>873</v>
      </c>
      <c r="D322" t="s">
        <v>579</v>
      </c>
      <c r="E322" t="s">
        <v>72</v>
      </c>
      <c r="F322">
        <v>3</v>
      </c>
      <c r="G322" t="s">
        <v>23</v>
      </c>
      <c r="H322">
        <v>34</v>
      </c>
      <c r="I322" s="12" t="s">
        <v>34</v>
      </c>
      <c r="J322" s="12" t="s">
        <v>218</v>
      </c>
      <c r="K322" s="12" t="s">
        <v>73</v>
      </c>
      <c r="L322" s="12" t="s">
        <v>580</v>
      </c>
      <c r="M322" s="12" t="s">
        <v>46</v>
      </c>
      <c r="N322" s="14">
        <v>0.14000000000000001</v>
      </c>
      <c r="O322" s="23">
        <v>601.92999999999995</v>
      </c>
      <c r="P322">
        <v>283.83</v>
      </c>
      <c r="Q322" s="12" t="str" cm="1">
        <f t="array" ref="Q322:R322">VLOOKUP(E322,store[],{3,5},FALSE)</f>
        <v>South</v>
      </c>
      <c r="R322" t="str">
        <v>Online</v>
      </c>
      <c r="S322" s="4">
        <f t="shared" ref="S322:S385" si="5">(O322-N322)*F322</f>
        <v>1805.37</v>
      </c>
    </row>
    <row r="323" spans="1:19">
      <c r="A323" t="s">
        <v>874</v>
      </c>
      <c r="B323" s="3">
        <v>45380</v>
      </c>
      <c r="C323" t="s">
        <v>875</v>
      </c>
      <c r="D323" t="s">
        <v>167</v>
      </c>
      <c r="E323" t="s">
        <v>198</v>
      </c>
      <c r="F323">
        <v>1</v>
      </c>
      <c r="G323" t="s">
        <v>23</v>
      </c>
      <c r="H323">
        <v>47</v>
      </c>
      <c r="I323" s="12" t="s">
        <v>34</v>
      </c>
      <c r="J323" s="12" t="s">
        <v>80</v>
      </c>
      <c r="K323" s="12" t="s">
        <v>60</v>
      </c>
      <c r="L323" s="12" t="s">
        <v>170</v>
      </c>
      <c r="M323" s="12" t="s">
        <v>130</v>
      </c>
      <c r="N323" s="14">
        <v>0.03</v>
      </c>
      <c r="O323" s="23">
        <v>564.1</v>
      </c>
      <c r="P323">
        <v>218.22</v>
      </c>
      <c r="Q323" s="12" t="str" cm="1">
        <f t="array" ref="Q323:R323">VLOOKUP(E323,store[],{3,5},FALSE)</f>
        <v>South</v>
      </c>
      <c r="R323" t="str">
        <v>Outlet</v>
      </c>
      <c r="S323" s="4">
        <f t="shared" si="5"/>
        <v>564.07000000000005</v>
      </c>
    </row>
    <row r="324" spans="1:19">
      <c r="A324" t="s">
        <v>876</v>
      </c>
      <c r="B324" s="3">
        <v>45672</v>
      </c>
      <c r="C324" t="s">
        <v>294</v>
      </c>
      <c r="D324" t="s">
        <v>429</v>
      </c>
      <c r="E324" t="s">
        <v>58</v>
      </c>
      <c r="F324">
        <v>1</v>
      </c>
      <c r="G324" t="s">
        <v>23</v>
      </c>
      <c r="H324">
        <v>62</v>
      </c>
      <c r="I324" s="12" t="s">
        <v>34</v>
      </c>
      <c r="J324" s="12" t="s">
        <v>161</v>
      </c>
      <c r="K324" s="12" t="s">
        <v>52</v>
      </c>
      <c r="L324" s="12" t="s">
        <v>430</v>
      </c>
      <c r="M324" s="12" t="s">
        <v>75</v>
      </c>
      <c r="N324" s="14">
        <v>0.18</v>
      </c>
      <c r="O324" s="23">
        <v>516.62</v>
      </c>
      <c r="P324">
        <v>143.43</v>
      </c>
      <c r="Q324" s="12" t="str" cm="1">
        <f t="array" ref="Q324:R324">VLOOKUP(E324,store[],{3,5},FALSE)</f>
        <v>North</v>
      </c>
      <c r="R324" t="str">
        <v>Outlet</v>
      </c>
      <c r="S324" s="4">
        <f t="shared" si="5"/>
        <v>516.44000000000005</v>
      </c>
    </row>
    <row r="325" spans="1:19">
      <c r="A325" t="s">
        <v>877</v>
      </c>
      <c r="B325" s="3">
        <v>45497</v>
      </c>
      <c r="C325" t="s">
        <v>878</v>
      </c>
      <c r="D325" t="s">
        <v>625</v>
      </c>
      <c r="E325" t="s">
        <v>208</v>
      </c>
      <c r="F325">
        <v>1</v>
      </c>
      <c r="G325" t="s">
        <v>33</v>
      </c>
      <c r="H325">
        <v>59</v>
      </c>
      <c r="I325" s="12" t="s">
        <v>34</v>
      </c>
      <c r="J325" s="12" t="s">
        <v>51</v>
      </c>
      <c r="K325" s="12" t="s">
        <v>52</v>
      </c>
      <c r="L325" s="12" t="s">
        <v>626</v>
      </c>
      <c r="M325" s="12" t="s">
        <v>46</v>
      </c>
      <c r="N325" s="14">
        <v>0.11</v>
      </c>
      <c r="O325" s="23">
        <v>934.75</v>
      </c>
      <c r="P325">
        <v>266.86</v>
      </c>
      <c r="Q325" s="12" t="str" cm="1">
        <f t="array" ref="Q325:R325">VLOOKUP(E325,store[],{3,5},FALSE)</f>
        <v>North</v>
      </c>
      <c r="R325" t="str">
        <v>Online</v>
      </c>
      <c r="S325" s="4">
        <f t="shared" si="5"/>
        <v>934.64</v>
      </c>
    </row>
    <row r="326" spans="1:19">
      <c r="A326" t="s">
        <v>879</v>
      </c>
      <c r="B326" s="3">
        <v>45407</v>
      </c>
      <c r="C326" t="s">
        <v>880</v>
      </c>
      <c r="D326" t="s">
        <v>187</v>
      </c>
      <c r="E326" t="s">
        <v>66</v>
      </c>
      <c r="F326">
        <v>4</v>
      </c>
      <c r="G326" t="s">
        <v>33</v>
      </c>
      <c r="H326">
        <v>43</v>
      </c>
      <c r="I326" s="12" t="s">
        <v>34</v>
      </c>
      <c r="J326" s="12" t="s">
        <v>333</v>
      </c>
      <c r="K326" s="12" t="s">
        <v>26</v>
      </c>
      <c r="L326" s="12" t="s">
        <v>189</v>
      </c>
      <c r="M326" s="12" t="s">
        <v>37</v>
      </c>
      <c r="N326" s="14">
        <v>0.05</v>
      </c>
      <c r="O326" s="23">
        <v>548.44000000000005</v>
      </c>
      <c r="P326">
        <v>431.67</v>
      </c>
      <c r="Q326" s="12" t="str" cm="1">
        <f t="array" ref="Q326:R326">VLOOKUP(E326,store[],{3,5},FALSE)</f>
        <v>South</v>
      </c>
      <c r="R326" t="str">
        <v>Online</v>
      </c>
      <c r="S326" s="4">
        <f t="shared" si="5"/>
        <v>2193.56</v>
      </c>
    </row>
    <row r="327" spans="1:19">
      <c r="A327" t="s">
        <v>881</v>
      </c>
      <c r="B327" s="3">
        <v>45764</v>
      </c>
      <c r="C327" t="s">
        <v>758</v>
      </c>
      <c r="D327" t="s">
        <v>786</v>
      </c>
      <c r="E327" t="s">
        <v>22</v>
      </c>
      <c r="F327">
        <v>3</v>
      </c>
      <c r="G327" t="s">
        <v>23</v>
      </c>
      <c r="H327">
        <v>32</v>
      </c>
      <c r="I327" s="12" t="s">
        <v>34</v>
      </c>
      <c r="J327" s="12" t="s">
        <v>111</v>
      </c>
      <c r="K327" s="12" t="s">
        <v>60</v>
      </c>
      <c r="L327" s="12" t="s">
        <v>787</v>
      </c>
      <c r="M327" s="12" t="s">
        <v>130</v>
      </c>
      <c r="N327" s="14">
        <v>0.06</v>
      </c>
      <c r="O327" s="23">
        <v>361.11</v>
      </c>
      <c r="P327">
        <v>353.47</v>
      </c>
      <c r="Q327" s="12" t="str" cm="1">
        <f t="array" ref="Q327:R327">VLOOKUP(E327,store[],{3,5},FALSE)</f>
        <v>North</v>
      </c>
      <c r="R327" t="str">
        <v>Outlet</v>
      </c>
      <c r="S327" s="4">
        <f t="shared" si="5"/>
        <v>1083.1500000000001</v>
      </c>
    </row>
    <row r="328" spans="1:19">
      <c r="A328" t="s">
        <v>882</v>
      </c>
      <c r="B328" s="3">
        <v>45924</v>
      </c>
      <c r="C328" t="s">
        <v>84</v>
      </c>
      <c r="D328" t="s">
        <v>197</v>
      </c>
      <c r="E328" t="s">
        <v>105</v>
      </c>
      <c r="F328">
        <v>2</v>
      </c>
      <c r="G328" t="s">
        <v>33</v>
      </c>
      <c r="H328">
        <v>60</v>
      </c>
      <c r="I328" s="12" t="s">
        <v>34</v>
      </c>
      <c r="J328" s="12" t="s">
        <v>59</v>
      </c>
      <c r="K328" s="12" t="s">
        <v>52</v>
      </c>
      <c r="L328" s="12" t="s">
        <v>200</v>
      </c>
      <c r="M328" s="12" t="s">
        <v>37</v>
      </c>
      <c r="N328" s="14">
        <v>0.1</v>
      </c>
      <c r="O328" s="23">
        <v>610.37</v>
      </c>
      <c r="P328">
        <v>242.23</v>
      </c>
      <c r="Q328" s="12" t="str" cm="1">
        <f t="array" ref="Q328:R328">VLOOKUP(E328,store[],{3,5},FALSE)</f>
        <v>North</v>
      </c>
      <c r="R328" t="str">
        <v>Flagship</v>
      </c>
      <c r="S328" s="4">
        <f t="shared" si="5"/>
        <v>1220.54</v>
      </c>
    </row>
    <row r="329" spans="1:19">
      <c r="A329" t="s">
        <v>883</v>
      </c>
      <c r="B329" s="3">
        <v>45240</v>
      </c>
      <c r="C329" t="s">
        <v>639</v>
      </c>
      <c r="D329" t="s">
        <v>501</v>
      </c>
      <c r="E329" t="s">
        <v>117</v>
      </c>
      <c r="F329">
        <v>1</v>
      </c>
      <c r="G329" t="s">
        <v>23</v>
      </c>
      <c r="H329">
        <v>50</v>
      </c>
      <c r="I329" s="12" t="s">
        <v>34</v>
      </c>
      <c r="J329" s="12" t="s">
        <v>440</v>
      </c>
      <c r="K329" s="12" t="s">
        <v>60</v>
      </c>
      <c r="L329" s="12" t="s">
        <v>502</v>
      </c>
      <c r="M329" s="12" t="s">
        <v>37</v>
      </c>
      <c r="N329" s="14">
        <v>0.3</v>
      </c>
      <c r="O329" s="23">
        <v>272.2</v>
      </c>
      <c r="P329">
        <v>88.49</v>
      </c>
      <c r="Q329" s="12" t="str" cm="1">
        <f t="array" ref="Q329:R329">VLOOKUP(E329,store[],{3,5},FALSE)</f>
        <v>West</v>
      </c>
      <c r="R329" t="str">
        <v>Flagship</v>
      </c>
      <c r="S329" s="4">
        <f t="shared" si="5"/>
        <v>271.89999999999998</v>
      </c>
    </row>
    <row r="330" spans="1:19">
      <c r="A330" t="s">
        <v>884</v>
      </c>
      <c r="B330" s="3">
        <v>45349</v>
      </c>
      <c r="C330" t="s">
        <v>878</v>
      </c>
      <c r="D330" t="s">
        <v>192</v>
      </c>
      <c r="E330" t="s">
        <v>179</v>
      </c>
      <c r="F330">
        <v>3</v>
      </c>
      <c r="G330" t="s">
        <v>50</v>
      </c>
      <c r="H330">
        <v>59</v>
      </c>
      <c r="I330" s="12" t="s">
        <v>34</v>
      </c>
      <c r="J330" s="12" t="s">
        <v>51</v>
      </c>
      <c r="K330" s="12" t="s">
        <v>52</v>
      </c>
      <c r="L330" s="12" t="s">
        <v>194</v>
      </c>
      <c r="M330" s="12" t="s">
        <v>37</v>
      </c>
      <c r="N330" s="14">
        <v>0.16</v>
      </c>
      <c r="O330" s="23">
        <v>573.1</v>
      </c>
      <c r="P330">
        <v>480.9</v>
      </c>
      <c r="Q330" s="12" t="str" cm="1">
        <f t="array" ref="Q330:R330">VLOOKUP(E330,store[],{3,5},FALSE)</f>
        <v>East</v>
      </c>
      <c r="R330" t="str">
        <v>Online</v>
      </c>
      <c r="S330" s="4">
        <f t="shared" si="5"/>
        <v>1718.82</v>
      </c>
    </row>
    <row r="331" spans="1:19">
      <c r="A331" t="s">
        <v>885</v>
      </c>
      <c r="B331" s="3">
        <v>45756</v>
      </c>
      <c r="C331" t="s">
        <v>886</v>
      </c>
      <c r="D331" t="s">
        <v>887</v>
      </c>
      <c r="E331" t="s">
        <v>90</v>
      </c>
      <c r="F331">
        <v>4</v>
      </c>
      <c r="G331" t="s">
        <v>23</v>
      </c>
      <c r="H331">
        <v>54</v>
      </c>
      <c r="I331" s="12" t="s">
        <v>24</v>
      </c>
      <c r="J331" s="12" t="s">
        <v>25</v>
      </c>
      <c r="K331" s="12" t="s">
        <v>73</v>
      </c>
      <c r="L331" s="12" t="s">
        <v>888</v>
      </c>
      <c r="M331" s="12" t="s">
        <v>46</v>
      </c>
      <c r="N331" s="14">
        <v>0.28000000000000003</v>
      </c>
      <c r="O331" s="23">
        <v>24.72</v>
      </c>
      <c r="P331">
        <v>312.8</v>
      </c>
      <c r="Q331" s="12" t="str" cm="1">
        <f t="array" ref="Q331:R331">VLOOKUP(E331,store[],{3,5},FALSE)</f>
        <v>East</v>
      </c>
      <c r="R331" t="str">
        <v>Flagship</v>
      </c>
      <c r="S331" s="4">
        <f t="shared" si="5"/>
        <v>97.76</v>
      </c>
    </row>
    <row r="332" spans="1:19">
      <c r="A332" t="s">
        <v>889</v>
      </c>
      <c r="B332" s="3">
        <v>45478</v>
      </c>
      <c r="C332" t="s">
        <v>890</v>
      </c>
      <c r="D332" t="s">
        <v>810</v>
      </c>
      <c r="E332" t="s">
        <v>127</v>
      </c>
      <c r="F332">
        <v>3</v>
      </c>
      <c r="G332" t="s">
        <v>50</v>
      </c>
      <c r="H332">
        <v>64</v>
      </c>
      <c r="I332" s="12" t="s">
        <v>24</v>
      </c>
      <c r="J332" s="12" t="s">
        <v>59</v>
      </c>
      <c r="K332" s="12" t="s">
        <v>60</v>
      </c>
      <c r="L332" s="12" t="s">
        <v>811</v>
      </c>
      <c r="M332" s="12" t="s">
        <v>28</v>
      </c>
      <c r="N332" s="14">
        <v>7.0000000000000007E-2</v>
      </c>
      <c r="O332" s="23">
        <v>268.89</v>
      </c>
      <c r="P332">
        <v>495.72</v>
      </c>
      <c r="Q332" s="12" t="str" cm="1">
        <f t="array" ref="Q332:R332">VLOOKUP(E332,store[],{3,5},FALSE)</f>
        <v>South</v>
      </c>
      <c r="R332" t="str">
        <v>Flagship</v>
      </c>
      <c r="S332" s="4">
        <f t="shared" si="5"/>
        <v>806.46</v>
      </c>
    </row>
    <row r="333" spans="1:19">
      <c r="A333" t="s">
        <v>891</v>
      </c>
      <c r="B333" s="3">
        <v>45890</v>
      </c>
      <c r="C333" t="s">
        <v>461</v>
      </c>
      <c r="D333" t="s">
        <v>741</v>
      </c>
      <c r="E333" t="s">
        <v>127</v>
      </c>
      <c r="F333">
        <v>1</v>
      </c>
      <c r="G333" t="s">
        <v>50</v>
      </c>
      <c r="H333">
        <v>42</v>
      </c>
      <c r="I333" s="12" t="s">
        <v>24</v>
      </c>
      <c r="J333" s="12" t="s">
        <v>463</v>
      </c>
      <c r="K333" s="12" t="s">
        <v>60</v>
      </c>
      <c r="L333" s="12" t="s">
        <v>742</v>
      </c>
      <c r="M333" s="12" t="s">
        <v>75</v>
      </c>
      <c r="N333" s="14">
        <v>0.17</v>
      </c>
      <c r="O333" s="23">
        <v>78.5</v>
      </c>
      <c r="P333">
        <v>243.7</v>
      </c>
      <c r="Q333" s="12" t="str" cm="1">
        <f t="array" ref="Q333:R333">VLOOKUP(E333,store[],{3,5},FALSE)</f>
        <v>South</v>
      </c>
      <c r="R333" t="str">
        <v>Flagship</v>
      </c>
      <c r="S333" s="4">
        <f t="shared" si="5"/>
        <v>78.33</v>
      </c>
    </row>
    <row r="334" spans="1:19">
      <c r="A334" t="s">
        <v>892</v>
      </c>
      <c r="B334" s="3">
        <v>45815</v>
      </c>
      <c r="C334" t="s">
        <v>893</v>
      </c>
      <c r="D334" t="s">
        <v>126</v>
      </c>
      <c r="E334" t="s">
        <v>72</v>
      </c>
      <c r="F334">
        <v>3</v>
      </c>
      <c r="G334" t="s">
        <v>23</v>
      </c>
      <c r="H334">
        <v>62</v>
      </c>
      <c r="I334" s="12" t="s">
        <v>34</v>
      </c>
      <c r="J334" s="12" t="s">
        <v>235</v>
      </c>
      <c r="K334" s="12" t="s">
        <v>73</v>
      </c>
      <c r="L334" s="12" t="s">
        <v>129</v>
      </c>
      <c r="M334" s="12" t="s">
        <v>130</v>
      </c>
      <c r="N334" s="14">
        <v>0.02</v>
      </c>
      <c r="O334" s="23">
        <v>399.42</v>
      </c>
      <c r="P334">
        <v>223.43</v>
      </c>
      <c r="Q334" s="12" t="str" cm="1">
        <f t="array" ref="Q334:R334">VLOOKUP(E334,store[],{3,5},FALSE)</f>
        <v>South</v>
      </c>
      <c r="R334" t="str">
        <v>Online</v>
      </c>
      <c r="S334" s="4">
        <f t="shared" si="5"/>
        <v>1198.2</v>
      </c>
    </row>
    <row r="335" spans="1:19">
      <c r="A335" t="s">
        <v>894</v>
      </c>
      <c r="B335" s="3">
        <v>45891</v>
      </c>
      <c r="C335" t="s">
        <v>895</v>
      </c>
      <c r="D335" t="s">
        <v>311</v>
      </c>
      <c r="E335" t="s">
        <v>135</v>
      </c>
      <c r="F335">
        <v>3</v>
      </c>
      <c r="G335" t="s">
        <v>33</v>
      </c>
      <c r="H335">
        <v>36</v>
      </c>
      <c r="I335" s="12" t="s">
        <v>24</v>
      </c>
      <c r="J335" s="12" t="s">
        <v>44</v>
      </c>
      <c r="K335" s="12" t="s">
        <v>60</v>
      </c>
      <c r="L335" s="12" t="s">
        <v>312</v>
      </c>
      <c r="M335" s="12" t="s">
        <v>28</v>
      </c>
      <c r="N335" s="14">
        <v>0.01</v>
      </c>
      <c r="O335" s="23">
        <v>455.82</v>
      </c>
      <c r="P335">
        <v>204.39</v>
      </c>
      <c r="Q335" s="12" t="str" cm="1">
        <f t="array" ref="Q335:R335">VLOOKUP(E335,store[],{3,5},FALSE)</f>
        <v>East</v>
      </c>
      <c r="R335" t="str">
        <v>Online</v>
      </c>
      <c r="S335" s="4">
        <f t="shared" si="5"/>
        <v>1367.43</v>
      </c>
    </row>
    <row r="336" spans="1:19">
      <c r="A336" t="s">
        <v>896</v>
      </c>
      <c r="B336" s="3">
        <v>45609</v>
      </c>
      <c r="C336" t="s">
        <v>519</v>
      </c>
      <c r="D336" t="s">
        <v>409</v>
      </c>
      <c r="E336" t="s">
        <v>58</v>
      </c>
      <c r="F336">
        <v>2</v>
      </c>
      <c r="G336" t="s">
        <v>33</v>
      </c>
      <c r="H336">
        <v>31</v>
      </c>
      <c r="I336" s="12" t="s">
        <v>24</v>
      </c>
      <c r="J336" s="12" t="s">
        <v>444</v>
      </c>
      <c r="K336" s="12" t="s">
        <v>73</v>
      </c>
      <c r="L336" s="12" t="s">
        <v>411</v>
      </c>
      <c r="M336" s="12" t="s">
        <v>28</v>
      </c>
      <c r="N336" s="14">
        <v>0.15</v>
      </c>
      <c r="O336" s="23">
        <v>613.23</v>
      </c>
      <c r="P336">
        <v>190.29</v>
      </c>
      <c r="Q336" s="12" t="str" cm="1">
        <f t="array" ref="Q336:R336">VLOOKUP(E336,store[],{3,5},FALSE)</f>
        <v>North</v>
      </c>
      <c r="R336" t="str">
        <v>Outlet</v>
      </c>
      <c r="S336" s="4">
        <f t="shared" si="5"/>
        <v>1226.1600000000001</v>
      </c>
    </row>
    <row r="337" spans="1:19">
      <c r="A337" t="s">
        <v>897</v>
      </c>
      <c r="B337" s="3">
        <v>45309</v>
      </c>
      <c r="C337" t="s">
        <v>898</v>
      </c>
      <c r="D337" t="s">
        <v>868</v>
      </c>
      <c r="E337" t="s">
        <v>98</v>
      </c>
      <c r="F337">
        <v>4</v>
      </c>
      <c r="G337" t="s">
        <v>33</v>
      </c>
      <c r="H337">
        <v>62</v>
      </c>
      <c r="I337" s="12" t="s">
        <v>34</v>
      </c>
      <c r="J337" s="12" t="s">
        <v>44</v>
      </c>
      <c r="K337" s="12" t="s">
        <v>60</v>
      </c>
      <c r="L337" s="12" t="s">
        <v>869</v>
      </c>
      <c r="M337" s="12" t="s">
        <v>130</v>
      </c>
      <c r="N337" s="14">
        <v>0.28000000000000003</v>
      </c>
      <c r="O337" s="23">
        <v>971.9</v>
      </c>
      <c r="P337">
        <v>254.62086956521699</v>
      </c>
      <c r="Q337" s="12" t="str" cm="1">
        <f t="array" ref="Q337:R337">VLOOKUP(E337,store[],{3,5},FALSE)</f>
        <v>South</v>
      </c>
      <c r="R337" t="str">
        <v>Outlet</v>
      </c>
      <c r="S337" s="4">
        <f t="shared" si="5"/>
        <v>3886.48</v>
      </c>
    </row>
    <row r="338" spans="1:19">
      <c r="A338" t="s">
        <v>899</v>
      </c>
      <c r="B338" s="3">
        <v>45519</v>
      </c>
      <c r="C338" t="s">
        <v>900</v>
      </c>
      <c r="D338" t="s">
        <v>567</v>
      </c>
      <c r="E338" t="s">
        <v>66</v>
      </c>
      <c r="F338">
        <v>3</v>
      </c>
      <c r="G338" t="s">
        <v>33</v>
      </c>
      <c r="H338">
        <v>27</v>
      </c>
      <c r="I338" s="12" t="s">
        <v>34</v>
      </c>
      <c r="J338" s="12" t="s">
        <v>336</v>
      </c>
      <c r="K338" s="12" t="s">
        <v>52</v>
      </c>
      <c r="L338" s="12" t="s">
        <v>568</v>
      </c>
      <c r="M338" s="12" t="s">
        <v>28</v>
      </c>
      <c r="N338" s="14">
        <v>0.06</v>
      </c>
      <c r="O338" s="23">
        <v>884.92</v>
      </c>
      <c r="P338">
        <v>38.76</v>
      </c>
      <c r="Q338" s="12" t="str" cm="1">
        <f t="array" ref="Q338:R338">VLOOKUP(E338,store[],{3,5},FALSE)</f>
        <v>South</v>
      </c>
      <c r="R338" t="str">
        <v>Online</v>
      </c>
      <c r="S338" s="4">
        <f t="shared" si="5"/>
        <v>2654.58</v>
      </c>
    </row>
    <row r="339" spans="1:19">
      <c r="A339" t="s">
        <v>901</v>
      </c>
      <c r="B339" s="3">
        <v>45921</v>
      </c>
      <c r="C339" t="s">
        <v>456</v>
      </c>
      <c r="D339" t="s">
        <v>484</v>
      </c>
      <c r="E339" t="s">
        <v>127</v>
      </c>
      <c r="F339">
        <v>1</v>
      </c>
      <c r="G339" t="s">
        <v>23</v>
      </c>
      <c r="H339">
        <v>58</v>
      </c>
      <c r="I339" s="12" t="s">
        <v>34</v>
      </c>
      <c r="J339" s="12" t="s">
        <v>457</v>
      </c>
      <c r="K339" s="12" t="s">
        <v>73</v>
      </c>
      <c r="L339" s="12" t="s">
        <v>485</v>
      </c>
      <c r="M339" s="12" t="s">
        <v>37</v>
      </c>
      <c r="N339" s="14">
        <v>0.23</v>
      </c>
      <c r="O339" s="23">
        <v>125</v>
      </c>
      <c r="P339">
        <v>439.07</v>
      </c>
      <c r="Q339" s="12" t="str" cm="1">
        <f t="array" ref="Q339:R339">VLOOKUP(E339,store[],{3,5},FALSE)</f>
        <v>South</v>
      </c>
      <c r="R339" t="str">
        <v>Flagship</v>
      </c>
      <c r="S339" s="4">
        <f t="shared" si="5"/>
        <v>124.77</v>
      </c>
    </row>
    <row r="340" spans="1:19">
      <c r="A340" t="s">
        <v>902</v>
      </c>
      <c r="B340" s="3">
        <v>45465</v>
      </c>
      <c r="C340" t="s">
        <v>606</v>
      </c>
      <c r="D340" t="s">
        <v>234</v>
      </c>
      <c r="E340" t="s">
        <v>122</v>
      </c>
      <c r="F340">
        <v>2</v>
      </c>
      <c r="G340" t="s">
        <v>33</v>
      </c>
      <c r="H340">
        <v>45</v>
      </c>
      <c r="I340" s="12" t="s">
        <v>24</v>
      </c>
      <c r="J340" s="12" t="s">
        <v>140</v>
      </c>
      <c r="K340" s="12" t="s">
        <v>60</v>
      </c>
      <c r="L340" s="12" t="s">
        <v>236</v>
      </c>
      <c r="M340" s="12" t="s">
        <v>75</v>
      </c>
      <c r="N340" s="14">
        <v>0.08</v>
      </c>
      <c r="O340" s="23">
        <v>188.25</v>
      </c>
      <c r="P340">
        <v>298.86</v>
      </c>
      <c r="Q340" s="12" t="str" cm="1">
        <f t="array" ref="Q340:R340">VLOOKUP(E340,store[],{3,5},FALSE)</f>
        <v>North</v>
      </c>
      <c r="R340" t="str">
        <v>Flagship</v>
      </c>
      <c r="S340" s="4">
        <f t="shared" si="5"/>
        <v>376.34</v>
      </c>
    </row>
    <row r="341" spans="1:19">
      <c r="A341" t="s">
        <v>903</v>
      </c>
      <c r="B341" s="3">
        <v>45303</v>
      </c>
      <c r="C341" t="s">
        <v>904</v>
      </c>
      <c r="D341" t="s">
        <v>381</v>
      </c>
      <c r="E341" t="s">
        <v>179</v>
      </c>
      <c r="F341">
        <v>4</v>
      </c>
      <c r="G341" t="s">
        <v>33</v>
      </c>
      <c r="H341">
        <v>35</v>
      </c>
      <c r="I341" s="12" t="s">
        <v>24</v>
      </c>
      <c r="J341" s="12" t="s">
        <v>222</v>
      </c>
      <c r="K341" s="12" t="s">
        <v>52</v>
      </c>
      <c r="L341" s="12" t="s">
        <v>382</v>
      </c>
      <c r="M341" s="12" t="s">
        <v>130</v>
      </c>
      <c r="N341" s="14">
        <v>0.25</v>
      </c>
      <c r="O341" s="23">
        <v>344.12</v>
      </c>
      <c r="P341">
        <v>167.34</v>
      </c>
      <c r="Q341" s="12" t="str" cm="1">
        <f t="array" ref="Q341:R341">VLOOKUP(E341,store[],{3,5},FALSE)</f>
        <v>East</v>
      </c>
      <c r="R341" t="str">
        <v>Online</v>
      </c>
      <c r="S341" s="4">
        <f t="shared" si="5"/>
        <v>1375.48</v>
      </c>
    </row>
    <row r="342" spans="1:19">
      <c r="A342" t="s">
        <v>905</v>
      </c>
      <c r="B342" s="3">
        <v>45218</v>
      </c>
      <c r="C342" t="s">
        <v>857</v>
      </c>
      <c r="D342" t="s">
        <v>377</v>
      </c>
      <c r="E342" t="s">
        <v>135</v>
      </c>
      <c r="F342">
        <v>3</v>
      </c>
      <c r="G342" t="s">
        <v>50</v>
      </c>
      <c r="H342">
        <v>54</v>
      </c>
      <c r="I342" s="12" t="s">
        <v>34</v>
      </c>
      <c r="J342" s="12" t="s">
        <v>99</v>
      </c>
      <c r="K342" s="12" t="s">
        <v>60</v>
      </c>
      <c r="L342" s="12" t="s">
        <v>379</v>
      </c>
      <c r="M342" s="12" t="s">
        <v>28</v>
      </c>
      <c r="N342" s="14">
        <v>0.09</v>
      </c>
      <c r="O342" s="23">
        <v>997.95</v>
      </c>
      <c r="P342">
        <v>144.53</v>
      </c>
      <c r="Q342" s="12" t="str" cm="1">
        <f t="array" ref="Q342:R342">VLOOKUP(E342,store[],{3,5},FALSE)</f>
        <v>East</v>
      </c>
      <c r="R342" t="str">
        <v>Online</v>
      </c>
      <c r="S342" s="4">
        <f t="shared" si="5"/>
        <v>2993.58</v>
      </c>
    </row>
    <row r="343" spans="1:19">
      <c r="A343" t="s">
        <v>906</v>
      </c>
      <c r="B343" s="3">
        <v>45727</v>
      </c>
      <c r="C343" t="s">
        <v>907</v>
      </c>
      <c r="D343" t="s">
        <v>555</v>
      </c>
      <c r="E343" t="s">
        <v>122</v>
      </c>
      <c r="F343">
        <v>3</v>
      </c>
      <c r="G343" t="s">
        <v>33</v>
      </c>
      <c r="H343">
        <v>24</v>
      </c>
      <c r="I343" s="12" t="s">
        <v>24</v>
      </c>
      <c r="J343" s="12" t="s">
        <v>231</v>
      </c>
      <c r="K343" s="12" t="s">
        <v>26</v>
      </c>
      <c r="L343" s="12" t="s">
        <v>556</v>
      </c>
      <c r="M343" s="12" t="s">
        <v>37</v>
      </c>
      <c r="N343" s="14">
        <v>7.0000000000000007E-2</v>
      </c>
      <c r="O343" s="23">
        <v>121.64</v>
      </c>
      <c r="P343">
        <v>449.4</v>
      </c>
      <c r="Q343" s="12" t="str" cm="1">
        <f t="array" ref="Q343:R343">VLOOKUP(E343,store[],{3,5},FALSE)</f>
        <v>North</v>
      </c>
      <c r="R343" t="str">
        <v>Flagship</v>
      </c>
      <c r="S343" s="4">
        <f t="shared" si="5"/>
        <v>364.71</v>
      </c>
    </row>
    <row r="344" spans="1:19">
      <c r="A344" t="s">
        <v>908</v>
      </c>
      <c r="B344" s="3">
        <v>45557</v>
      </c>
      <c r="C344" t="s">
        <v>358</v>
      </c>
      <c r="D344" t="s">
        <v>741</v>
      </c>
      <c r="E344" t="s">
        <v>168</v>
      </c>
      <c r="F344">
        <v>2</v>
      </c>
      <c r="G344" t="s">
        <v>33</v>
      </c>
      <c r="H344">
        <v>38</v>
      </c>
      <c r="I344" s="12" t="s">
        <v>24</v>
      </c>
      <c r="J344" s="12" t="s">
        <v>360</v>
      </c>
      <c r="K344" s="12" t="s">
        <v>52</v>
      </c>
      <c r="L344" s="12" t="s">
        <v>742</v>
      </c>
      <c r="M344" s="12" t="s">
        <v>75</v>
      </c>
      <c r="N344" s="14">
        <v>0.13</v>
      </c>
      <c r="O344" s="23">
        <v>692.72</v>
      </c>
      <c r="P344">
        <v>243.7</v>
      </c>
      <c r="Q344" s="12" t="str" cm="1">
        <f t="array" ref="Q344:R344">VLOOKUP(E344,store[],{3,5},FALSE)</f>
        <v>East</v>
      </c>
      <c r="R344" t="str">
        <v>Online</v>
      </c>
      <c r="S344" s="4">
        <f t="shared" si="5"/>
        <v>1385.18</v>
      </c>
    </row>
    <row r="345" spans="1:19">
      <c r="A345" t="s">
        <v>909</v>
      </c>
      <c r="B345" s="3">
        <v>45623</v>
      </c>
      <c r="C345" t="s">
        <v>910</v>
      </c>
      <c r="D345" t="s">
        <v>97</v>
      </c>
      <c r="E345" t="s">
        <v>135</v>
      </c>
      <c r="F345">
        <v>3</v>
      </c>
      <c r="G345" t="s">
        <v>33</v>
      </c>
      <c r="H345">
        <v>31</v>
      </c>
      <c r="I345" s="12" t="s">
        <v>24</v>
      </c>
      <c r="J345" s="12" t="s">
        <v>410</v>
      </c>
      <c r="K345" s="12" t="s">
        <v>346</v>
      </c>
      <c r="L345" s="12" t="s">
        <v>100</v>
      </c>
      <c r="M345" s="12" t="s">
        <v>28</v>
      </c>
      <c r="N345" s="14">
        <v>0.03</v>
      </c>
      <c r="O345" s="23">
        <v>794.59</v>
      </c>
      <c r="P345">
        <v>166.06</v>
      </c>
      <c r="Q345" s="12" t="str" cm="1">
        <f t="array" ref="Q345:R345">VLOOKUP(E345,store[],{3,5},FALSE)</f>
        <v>East</v>
      </c>
      <c r="R345" t="str">
        <v>Online</v>
      </c>
      <c r="S345" s="4">
        <f t="shared" si="5"/>
        <v>2383.6799999999998</v>
      </c>
    </row>
    <row r="346" spans="1:19">
      <c r="A346" t="s">
        <v>911</v>
      </c>
      <c r="B346" s="3">
        <v>45224</v>
      </c>
      <c r="C346" t="s">
        <v>912</v>
      </c>
      <c r="D346" t="s">
        <v>246</v>
      </c>
      <c r="E346" t="s">
        <v>127</v>
      </c>
      <c r="F346">
        <v>1</v>
      </c>
      <c r="G346" t="s">
        <v>33</v>
      </c>
      <c r="H346">
        <v>53</v>
      </c>
      <c r="I346" s="12" t="s">
        <v>34</v>
      </c>
      <c r="J346" s="12" t="s">
        <v>761</v>
      </c>
      <c r="K346" s="12" t="s">
        <v>60</v>
      </c>
      <c r="L346" s="12" t="s">
        <v>247</v>
      </c>
      <c r="M346" s="12" t="s">
        <v>37</v>
      </c>
      <c r="N346" s="14">
        <v>0.1</v>
      </c>
      <c r="O346" s="23">
        <v>907.95</v>
      </c>
      <c r="P346">
        <v>322.41000000000003</v>
      </c>
      <c r="Q346" s="12" t="str" cm="1">
        <f t="array" ref="Q346:R346">VLOOKUP(E346,store[],{3,5},FALSE)</f>
        <v>South</v>
      </c>
      <c r="R346" t="str">
        <v>Flagship</v>
      </c>
      <c r="S346" s="4">
        <f t="shared" si="5"/>
        <v>907.85</v>
      </c>
    </row>
    <row r="347" spans="1:19">
      <c r="A347" t="s">
        <v>913</v>
      </c>
      <c r="B347" s="3">
        <v>45940</v>
      </c>
      <c r="C347" t="s">
        <v>413</v>
      </c>
      <c r="D347" t="s">
        <v>409</v>
      </c>
      <c r="E347" t="s">
        <v>90</v>
      </c>
      <c r="F347">
        <v>2</v>
      </c>
      <c r="G347" t="s">
        <v>23</v>
      </c>
      <c r="H347">
        <v>22</v>
      </c>
      <c r="I347" s="12" t="s">
        <v>34</v>
      </c>
      <c r="J347" s="12" t="s">
        <v>35</v>
      </c>
      <c r="K347" s="12" t="s">
        <v>26</v>
      </c>
      <c r="L347" s="12" t="s">
        <v>411</v>
      </c>
      <c r="M347" s="12" t="s">
        <v>28</v>
      </c>
      <c r="N347" s="14">
        <v>0.18</v>
      </c>
      <c r="O347" s="23">
        <v>660.81</v>
      </c>
      <c r="P347">
        <v>190.29</v>
      </c>
      <c r="Q347" s="12" t="str" cm="1">
        <f t="array" ref="Q347:R347">VLOOKUP(E347,store[],{3,5},FALSE)</f>
        <v>East</v>
      </c>
      <c r="R347" t="str">
        <v>Flagship</v>
      </c>
      <c r="S347" s="4">
        <f t="shared" si="5"/>
        <v>1321.26</v>
      </c>
    </row>
    <row r="348" spans="1:19">
      <c r="A348" t="s">
        <v>914</v>
      </c>
      <c r="B348" s="3">
        <v>45915</v>
      </c>
      <c r="C348" t="s">
        <v>915</v>
      </c>
      <c r="D348" t="s">
        <v>501</v>
      </c>
      <c r="E348" t="s">
        <v>43</v>
      </c>
      <c r="F348">
        <v>3</v>
      </c>
      <c r="G348" t="s">
        <v>50</v>
      </c>
      <c r="H348">
        <v>23</v>
      </c>
      <c r="I348" s="12" t="s">
        <v>24</v>
      </c>
      <c r="J348" s="12" t="s">
        <v>80</v>
      </c>
      <c r="K348" s="12" t="s">
        <v>60</v>
      </c>
      <c r="L348" s="12" t="s">
        <v>502</v>
      </c>
      <c r="M348" s="12" t="s">
        <v>37</v>
      </c>
      <c r="N348" s="14">
        <v>0.22</v>
      </c>
      <c r="O348" s="23">
        <v>564.94000000000005</v>
      </c>
      <c r="P348">
        <v>88.49</v>
      </c>
      <c r="Q348" s="12" t="str" cm="1">
        <f t="array" ref="Q348:R348">VLOOKUP(E348,store[],{3,5},FALSE)</f>
        <v>West</v>
      </c>
      <c r="R348" t="str">
        <v>Online</v>
      </c>
      <c r="S348" s="4">
        <f t="shared" si="5"/>
        <v>1694.16</v>
      </c>
    </row>
    <row r="349" spans="1:19">
      <c r="A349" t="s">
        <v>916</v>
      </c>
      <c r="B349" s="3">
        <v>45541</v>
      </c>
      <c r="C349" t="s">
        <v>384</v>
      </c>
      <c r="D349" t="s">
        <v>65</v>
      </c>
      <c r="E349" t="s">
        <v>122</v>
      </c>
      <c r="F349">
        <v>2</v>
      </c>
      <c r="G349" t="s">
        <v>50</v>
      </c>
      <c r="H349">
        <v>24</v>
      </c>
      <c r="I349" s="12" t="s">
        <v>24</v>
      </c>
      <c r="J349" s="12" t="s">
        <v>169</v>
      </c>
      <c r="K349" s="12" t="s">
        <v>52</v>
      </c>
      <c r="L349" s="12" t="s">
        <v>68</v>
      </c>
      <c r="M349" s="12" t="s">
        <v>37</v>
      </c>
      <c r="N349" s="14">
        <v>0.22</v>
      </c>
      <c r="O349" s="23">
        <v>280.37</v>
      </c>
      <c r="P349">
        <v>465.34</v>
      </c>
      <c r="Q349" s="12" t="str" cm="1">
        <f t="array" ref="Q349:R349">VLOOKUP(E349,store[],{3,5},FALSE)</f>
        <v>North</v>
      </c>
      <c r="R349" t="str">
        <v>Flagship</v>
      </c>
      <c r="S349" s="4">
        <f t="shared" si="5"/>
        <v>560.29999999999995</v>
      </c>
    </row>
    <row r="350" spans="1:19">
      <c r="A350" t="s">
        <v>917</v>
      </c>
      <c r="B350" s="3">
        <v>45489</v>
      </c>
      <c r="C350" t="s">
        <v>330</v>
      </c>
      <c r="D350" t="s">
        <v>409</v>
      </c>
      <c r="E350" t="s">
        <v>22</v>
      </c>
      <c r="F350">
        <v>2</v>
      </c>
      <c r="G350" t="s">
        <v>23</v>
      </c>
      <c r="H350">
        <v>28</v>
      </c>
      <c r="I350" s="12" t="s">
        <v>24</v>
      </c>
      <c r="J350" s="12" t="s">
        <v>308</v>
      </c>
      <c r="K350" s="12" t="s">
        <v>73</v>
      </c>
      <c r="L350" s="12" t="s">
        <v>411</v>
      </c>
      <c r="M350" s="12" t="s">
        <v>28</v>
      </c>
      <c r="N350" s="14">
        <v>0.13</v>
      </c>
      <c r="O350" s="23">
        <v>85.23</v>
      </c>
      <c r="P350">
        <v>190.29</v>
      </c>
      <c r="Q350" s="12" t="str" cm="1">
        <f t="array" ref="Q350:R350">VLOOKUP(E350,store[],{3,5},FALSE)</f>
        <v>North</v>
      </c>
      <c r="R350" t="str">
        <v>Outlet</v>
      </c>
      <c r="S350" s="4">
        <f t="shared" si="5"/>
        <v>170.2</v>
      </c>
    </row>
    <row r="351" spans="1:19">
      <c r="A351" t="s">
        <v>918</v>
      </c>
      <c r="B351" s="3">
        <v>45748</v>
      </c>
      <c r="C351" t="s">
        <v>794</v>
      </c>
      <c r="D351" t="s">
        <v>139</v>
      </c>
      <c r="E351" t="s">
        <v>149</v>
      </c>
      <c r="F351">
        <v>2</v>
      </c>
      <c r="G351" t="s">
        <v>23</v>
      </c>
      <c r="H351">
        <v>47</v>
      </c>
      <c r="I351" s="12" t="s">
        <v>34</v>
      </c>
      <c r="J351" s="12" t="s">
        <v>373</v>
      </c>
      <c r="K351" s="12" t="s">
        <v>60</v>
      </c>
      <c r="L351" s="12" t="s">
        <v>141</v>
      </c>
      <c r="M351" s="12" t="s">
        <v>75</v>
      </c>
      <c r="N351" s="14">
        <v>0.26</v>
      </c>
      <c r="O351" s="23">
        <v>563.29999999999995</v>
      </c>
      <c r="P351">
        <v>250.02157142857101</v>
      </c>
      <c r="Q351" s="12" t="str" cm="1">
        <f t="array" ref="Q351:R351">VLOOKUP(E351,store[],{3,5},FALSE)</f>
        <v>East</v>
      </c>
      <c r="R351" t="str">
        <v>Flagship</v>
      </c>
      <c r="S351" s="4">
        <f t="shared" si="5"/>
        <v>1126.08</v>
      </c>
    </row>
    <row r="352" spans="1:19">
      <c r="A352" t="s">
        <v>919</v>
      </c>
      <c r="B352" s="3">
        <v>45309</v>
      </c>
      <c r="C352" t="s">
        <v>620</v>
      </c>
      <c r="D352" t="s">
        <v>429</v>
      </c>
      <c r="E352" t="s">
        <v>160</v>
      </c>
      <c r="F352">
        <v>2</v>
      </c>
      <c r="G352" t="s">
        <v>33</v>
      </c>
      <c r="H352">
        <v>25</v>
      </c>
      <c r="I352" s="12" t="s">
        <v>24</v>
      </c>
      <c r="J352" s="12" t="s">
        <v>169</v>
      </c>
      <c r="K352" s="12" t="s">
        <v>52</v>
      </c>
      <c r="L352" s="12" t="s">
        <v>430</v>
      </c>
      <c r="M352" s="12" t="s">
        <v>75</v>
      </c>
      <c r="N352" s="14">
        <v>0.04</v>
      </c>
      <c r="O352" s="23">
        <v>827.81</v>
      </c>
      <c r="P352">
        <v>143.43</v>
      </c>
      <c r="Q352" s="12" t="str" cm="1">
        <f t="array" ref="Q352:R352">VLOOKUP(E352,store[],{3,5},FALSE)</f>
        <v>East</v>
      </c>
      <c r="R352" t="str">
        <v>Flagship</v>
      </c>
      <c r="S352" s="4">
        <f t="shared" si="5"/>
        <v>1655.54</v>
      </c>
    </row>
    <row r="353" spans="1:19">
      <c r="A353" t="s">
        <v>920</v>
      </c>
      <c r="B353" s="3">
        <v>45621</v>
      </c>
      <c r="C353" t="s">
        <v>447</v>
      </c>
      <c r="D353" t="s">
        <v>173</v>
      </c>
      <c r="E353" t="s">
        <v>160</v>
      </c>
      <c r="F353">
        <v>3</v>
      </c>
      <c r="G353" t="s">
        <v>33</v>
      </c>
      <c r="H353">
        <v>61</v>
      </c>
      <c r="I353" s="12" t="s">
        <v>24</v>
      </c>
      <c r="J353" s="12" t="s">
        <v>111</v>
      </c>
      <c r="K353" s="12" t="s">
        <v>26</v>
      </c>
      <c r="L353" s="12" t="s">
        <v>174</v>
      </c>
      <c r="M353" s="12" t="s">
        <v>46</v>
      </c>
      <c r="N353" s="14">
        <v>0.12</v>
      </c>
      <c r="O353" s="23">
        <v>877.71</v>
      </c>
      <c r="P353">
        <v>115.82</v>
      </c>
      <c r="Q353" s="12" t="str" cm="1">
        <f t="array" ref="Q353:R353">VLOOKUP(E353,store[],{3,5},FALSE)</f>
        <v>East</v>
      </c>
      <c r="R353" t="str">
        <v>Flagship</v>
      </c>
      <c r="S353" s="4">
        <f t="shared" si="5"/>
        <v>2632.77</v>
      </c>
    </row>
    <row r="354" spans="1:19">
      <c r="A354" t="s">
        <v>921</v>
      </c>
      <c r="B354" s="3">
        <v>45603</v>
      </c>
      <c r="C354" t="s">
        <v>461</v>
      </c>
      <c r="D354" t="s">
        <v>509</v>
      </c>
      <c r="E354" t="s">
        <v>127</v>
      </c>
      <c r="F354">
        <v>4</v>
      </c>
      <c r="G354" t="s">
        <v>50</v>
      </c>
      <c r="H354">
        <v>42</v>
      </c>
      <c r="I354" s="12" t="s">
        <v>24</v>
      </c>
      <c r="J354" s="12" t="s">
        <v>463</v>
      </c>
      <c r="K354" s="12" t="s">
        <v>60</v>
      </c>
      <c r="L354" s="12" t="s">
        <v>511</v>
      </c>
      <c r="M354" s="12" t="s">
        <v>28</v>
      </c>
      <c r="N354" s="14">
        <v>0.26</v>
      </c>
      <c r="O354" s="23">
        <v>488.56</v>
      </c>
      <c r="P354">
        <v>30.62</v>
      </c>
      <c r="Q354" s="12" t="str" cm="1">
        <f t="array" ref="Q354:R354">VLOOKUP(E354,store[],{3,5},FALSE)</f>
        <v>South</v>
      </c>
      <c r="R354" t="str">
        <v>Flagship</v>
      </c>
      <c r="S354" s="4">
        <f t="shared" si="5"/>
        <v>1953.2</v>
      </c>
    </row>
    <row r="355" spans="1:19">
      <c r="A355" t="s">
        <v>922</v>
      </c>
      <c r="B355" s="3">
        <v>45501</v>
      </c>
      <c r="C355" t="s">
        <v>923</v>
      </c>
      <c r="D355" t="s">
        <v>425</v>
      </c>
      <c r="E355" t="s">
        <v>208</v>
      </c>
      <c r="F355">
        <v>4</v>
      </c>
      <c r="G355" t="s">
        <v>33</v>
      </c>
      <c r="H355">
        <v>64</v>
      </c>
      <c r="I355" s="12" t="s">
        <v>24</v>
      </c>
      <c r="J355" s="12" t="s">
        <v>360</v>
      </c>
      <c r="K355" s="12" t="s">
        <v>60</v>
      </c>
      <c r="L355" s="12" t="s">
        <v>426</v>
      </c>
      <c r="M355" s="12" t="s">
        <v>130</v>
      </c>
      <c r="N355" s="14">
        <v>0.13</v>
      </c>
      <c r="O355" s="23">
        <v>175.91</v>
      </c>
      <c r="P355">
        <v>174.02</v>
      </c>
      <c r="Q355" s="12" t="str" cm="1">
        <f t="array" ref="Q355:R355">VLOOKUP(E355,store[],{3,5},FALSE)</f>
        <v>North</v>
      </c>
      <c r="R355" t="str">
        <v>Online</v>
      </c>
      <c r="S355" s="4">
        <f t="shared" si="5"/>
        <v>703.12</v>
      </c>
    </row>
    <row r="356" spans="1:19">
      <c r="A356" t="s">
        <v>924</v>
      </c>
      <c r="B356" s="3">
        <v>45398</v>
      </c>
      <c r="C356" t="s">
        <v>763</v>
      </c>
      <c r="D356" t="s">
        <v>514</v>
      </c>
      <c r="E356" t="s">
        <v>43</v>
      </c>
      <c r="F356">
        <v>4</v>
      </c>
      <c r="G356" t="s">
        <v>50</v>
      </c>
      <c r="H356">
        <v>19</v>
      </c>
      <c r="I356" s="12" t="s">
        <v>24</v>
      </c>
      <c r="J356" s="12" t="s">
        <v>99</v>
      </c>
      <c r="K356" s="12" t="s">
        <v>26</v>
      </c>
      <c r="L356" s="12" t="s">
        <v>515</v>
      </c>
      <c r="M356" s="12" t="s">
        <v>75</v>
      </c>
      <c r="N356" s="14">
        <v>0.25</v>
      </c>
      <c r="O356" s="23">
        <v>289.66000000000003</v>
      </c>
      <c r="P356">
        <v>371.38</v>
      </c>
      <c r="Q356" s="12" t="str" cm="1">
        <f t="array" ref="Q356:R356">VLOOKUP(E356,store[],{3,5},FALSE)</f>
        <v>West</v>
      </c>
      <c r="R356" t="str">
        <v>Online</v>
      </c>
      <c r="S356" s="4">
        <f t="shared" si="5"/>
        <v>1157.6400000000001</v>
      </c>
    </row>
    <row r="357" spans="1:19">
      <c r="A357" t="s">
        <v>925</v>
      </c>
      <c r="B357" s="3">
        <v>45304</v>
      </c>
      <c r="C357" t="s">
        <v>926</v>
      </c>
      <c r="D357" t="s">
        <v>65</v>
      </c>
      <c r="E357" t="s">
        <v>122</v>
      </c>
      <c r="F357">
        <v>2</v>
      </c>
      <c r="G357" t="s">
        <v>23</v>
      </c>
      <c r="H357">
        <v>31</v>
      </c>
      <c r="I357" s="12" t="s">
        <v>24</v>
      </c>
      <c r="J357" s="12" t="s">
        <v>498</v>
      </c>
      <c r="K357" s="12" t="s">
        <v>52</v>
      </c>
      <c r="L357" s="12" t="s">
        <v>68</v>
      </c>
      <c r="M357" s="12" t="s">
        <v>37</v>
      </c>
      <c r="N357" s="14">
        <v>0.17</v>
      </c>
      <c r="O357" s="23">
        <v>899.27</v>
      </c>
      <c r="P357">
        <v>465.34</v>
      </c>
      <c r="Q357" s="12" t="str" cm="1">
        <f t="array" ref="Q357:R357">VLOOKUP(E357,store[],{3,5},FALSE)</f>
        <v>North</v>
      </c>
      <c r="R357" t="str">
        <v>Flagship</v>
      </c>
      <c r="S357" s="4">
        <f t="shared" si="5"/>
        <v>1798.2</v>
      </c>
    </row>
    <row r="358" spans="1:19">
      <c r="A358" t="s">
        <v>927</v>
      </c>
      <c r="B358" s="3">
        <v>45299</v>
      </c>
      <c r="C358" t="s">
        <v>96</v>
      </c>
      <c r="D358" t="s">
        <v>928</v>
      </c>
      <c r="E358" t="s">
        <v>105</v>
      </c>
      <c r="F358">
        <v>1</v>
      </c>
      <c r="G358" t="s">
        <v>50</v>
      </c>
      <c r="H358">
        <v>21</v>
      </c>
      <c r="I358" s="12" t="s">
        <v>34</v>
      </c>
      <c r="J358" s="12" t="s">
        <v>99</v>
      </c>
      <c r="K358" s="12" t="s">
        <v>60</v>
      </c>
      <c r="L358" s="12" t="s">
        <v>929</v>
      </c>
      <c r="M358" s="12" t="s">
        <v>130</v>
      </c>
      <c r="N358" s="14">
        <v>0.11</v>
      </c>
      <c r="O358" s="23">
        <v>691.38</v>
      </c>
      <c r="P358">
        <v>245.77831168831199</v>
      </c>
      <c r="Q358" s="12" t="str" cm="1">
        <f t="array" ref="Q358:R358">VLOOKUP(E358,store[],{3,5},FALSE)</f>
        <v>North</v>
      </c>
      <c r="R358" t="str">
        <v>Flagship</v>
      </c>
      <c r="S358" s="4">
        <f t="shared" si="5"/>
        <v>691.27</v>
      </c>
    </row>
    <row r="359" spans="1:19">
      <c r="A359" t="s">
        <v>930</v>
      </c>
      <c r="B359" s="3">
        <v>45564</v>
      </c>
      <c r="C359" t="s">
        <v>931</v>
      </c>
      <c r="D359" t="s">
        <v>139</v>
      </c>
      <c r="E359" t="s">
        <v>90</v>
      </c>
      <c r="F359">
        <v>3</v>
      </c>
      <c r="G359" t="s">
        <v>23</v>
      </c>
      <c r="H359">
        <v>47</v>
      </c>
      <c r="I359" s="12" t="s">
        <v>34</v>
      </c>
      <c r="J359" s="12" t="s">
        <v>932</v>
      </c>
      <c r="K359" s="12" t="s">
        <v>52</v>
      </c>
      <c r="L359" s="12" t="s">
        <v>141</v>
      </c>
      <c r="M359" s="12" t="s">
        <v>75</v>
      </c>
      <c r="N359" s="14">
        <v>0.13</v>
      </c>
      <c r="O359" s="23">
        <v>158.72</v>
      </c>
      <c r="P359">
        <v>250.02157142857101</v>
      </c>
      <c r="Q359" s="12" t="str" cm="1">
        <f t="array" ref="Q359:R359">VLOOKUP(E359,store[],{3,5},FALSE)</f>
        <v>East</v>
      </c>
      <c r="R359" t="str">
        <v>Flagship</v>
      </c>
      <c r="S359" s="4">
        <f t="shared" si="5"/>
        <v>475.77</v>
      </c>
    </row>
    <row r="360" spans="1:19">
      <c r="A360" t="s">
        <v>933</v>
      </c>
      <c r="B360" s="3">
        <v>45413</v>
      </c>
      <c r="C360" t="s">
        <v>934</v>
      </c>
      <c r="D360" t="s">
        <v>148</v>
      </c>
      <c r="E360" t="s">
        <v>117</v>
      </c>
      <c r="F360">
        <v>4</v>
      </c>
      <c r="G360" t="s">
        <v>50</v>
      </c>
      <c r="H360">
        <v>48</v>
      </c>
      <c r="I360" s="12" t="s">
        <v>24</v>
      </c>
      <c r="J360" s="12" t="s">
        <v>360</v>
      </c>
      <c r="K360" s="12" t="s">
        <v>60</v>
      </c>
      <c r="L360" s="12" t="s">
        <v>150</v>
      </c>
      <c r="M360" s="12" t="s">
        <v>46</v>
      </c>
      <c r="N360" s="14">
        <v>0.06</v>
      </c>
      <c r="O360" s="23">
        <v>537.15</v>
      </c>
      <c r="P360">
        <v>482.75</v>
      </c>
      <c r="Q360" s="12" t="str" cm="1">
        <f t="array" ref="Q360:R360">VLOOKUP(E360,store[],{3,5},FALSE)</f>
        <v>West</v>
      </c>
      <c r="R360" t="str">
        <v>Flagship</v>
      </c>
      <c r="S360" s="4">
        <f t="shared" si="5"/>
        <v>2148.36</v>
      </c>
    </row>
    <row r="361" spans="1:19">
      <c r="A361" t="s">
        <v>935</v>
      </c>
      <c r="B361" s="3">
        <v>45480</v>
      </c>
      <c r="C361" t="s">
        <v>825</v>
      </c>
      <c r="D361" t="s">
        <v>745</v>
      </c>
      <c r="E361" t="s">
        <v>127</v>
      </c>
      <c r="F361">
        <v>3</v>
      </c>
      <c r="G361" t="s">
        <v>50</v>
      </c>
      <c r="H361">
        <v>64</v>
      </c>
      <c r="I361" s="12" t="s">
        <v>34</v>
      </c>
      <c r="J361" s="12" t="s">
        <v>256</v>
      </c>
      <c r="K361" s="12" t="s">
        <v>73</v>
      </c>
      <c r="L361" s="12" t="s">
        <v>746</v>
      </c>
      <c r="M361" s="12" t="s">
        <v>28</v>
      </c>
      <c r="N361" s="14">
        <v>0.05</v>
      </c>
      <c r="O361" s="23">
        <v>771.7</v>
      </c>
      <c r="P361">
        <v>313.26</v>
      </c>
      <c r="Q361" s="12" t="str" cm="1">
        <f t="array" ref="Q361:R361">VLOOKUP(E361,store[],{3,5},FALSE)</f>
        <v>South</v>
      </c>
      <c r="R361" t="str">
        <v>Flagship</v>
      </c>
      <c r="S361" s="4">
        <f t="shared" si="5"/>
        <v>2314.9499999999998</v>
      </c>
    </row>
    <row r="362" spans="1:19">
      <c r="A362" t="s">
        <v>936</v>
      </c>
      <c r="B362" s="3">
        <v>45610</v>
      </c>
      <c r="C362" t="s">
        <v>589</v>
      </c>
      <c r="D362" t="s">
        <v>110</v>
      </c>
      <c r="E362" t="s">
        <v>105</v>
      </c>
      <c r="F362">
        <v>4</v>
      </c>
      <c r="G362" t="s">
        <v>33</v>
      </c>
      <c r="H362">
        <v>38</v>
      </c>
      <c r="I362" s="12" t="s">
        <v>24</v>
      </c>
      <c r="J362" s="12" t="s">
        <v>214</v>
      </c>
      <c r="K362" s="12" t="s">
        <v>73</v>
      </c>
      <c r="L362" s="12" t="s">
        <v>112</v>
      </c>
      <c r="M362" s="12" t="s">
        <v>28</v>
      </c>
      <c r="N362" s="14">
        <v>0.14000000000000001</v>
      </c>
      <c r="O362" s="23">
        <v>677.25</v>
      </c>
      <c r="P362">
        <v>131.24</v>
      </c>
      <c r="Q362" s="12" t="str" cm="1">
        <f t="array" ref="Q362:R362">VLOOKUP(E362,store[],{3,5},FALSE)</f>
        <v>North</v>
      </c>
      <c r="R362" t="str">
        <v>Flagship</v>
      </c>
      <c r="S362" s="4">
        <f t="shared" si="5"/>
        <v>2708.44</v>
      </c>
    </row>
    <row r="363" spans="1:19">
      <c r="A363" t="s">
        <v>937</v>
      </c>
      <c r="B363" s="3">
        <v>45763</v>
      </c>
      <c r="C363" t="s">
        <v>938</v>
      </c>
      <c r="D363" t="s">
        <v>187</v>
      </c>
      <c r="E363" t="s">
        <v>272</v>
      </c>
      <c r="F363">
        <v>1</v>
      </c>
      <c r="G363" t="s">
        <v>50</v>
      </c>
      <c r="H363">
        <v>34</v>
      </c>
      <c r="I363" s="12" t="s">
        <v>34</v>
      </c>
      <c r="J363" s="12" t="s">
        <v>44</v>
      </c>
      <c r="K363" s="12" t="s">
        <v>73</v>
      </c>
      <c r="L363" s="12" t="s">
        <v>189</v>
      </c>
      <c r="M363" s="12" t="s">
        <v>37</v>
      </c>
      <c r="N363" s="14">
        <v>0.26</v>
      </c>
      <c r="O363" s="23">
        <v>645.48</v>
      </c>
      <c r="P363">
        <v>431.67</v>
      </c>
      <c r="Q363" s="12" t="str" cm="1">
        <f t="array" ref="Q363:R363">VLOOKUP(E363,store[],{3,5},FALSE)</f>
        <v>South</v>
      </c>
      <c r="R363" t="str">
        <v>Online</v>
      </c>
      <c r="S363" s="4">
        <f t="shared" si="5"/>
        <v>645.22</v>
      </c>
    </row>
    <row r="364" spans="1:19">
      <c r="A364" t="s">
        <v>939</v>
      </c>
      <c r="B364" s="3">
        <v>45856</v>
      </c>
      <c r="C364" t="s">
        <v>940</v>
      </c>
      <c r="D364" t="s">
        <v>575</v>
      </c>
      <c r="E364" t="s">
        <v>198</v>
      </c>
      <c r="F364">
        <v>2</v>
      </c>
      <c r="G364" t="s">
        <v>50</v>
      </c>
      <c r="H364">
        <v>34</v>
      </c>
      <c r="I364" s="12" t="s">
        <v>24</v>
      </c>
      <c r="J364" s="12" t="s">
        <v>140</v>
      </c>
      <c r="K364" s="12" t="s">
        <v>52</v>
      </c>
      <c r="L364" s="12" t="s">
        <v>576</v>
      </c>
      <c r="M364" s="12" t="s">
        <v>28</v>
      </c>
      <c r="N364" s="14">
        <v>0.3</v>
      </c>
      <c r="O364" s="23">
        <v>934</v>
      </c>
      <c r="P364">
        <v>107.06</v>
      </c>
      <c r="Q364" s="12" t="str" cm="1">
        <f t="array" ref="Q364:R364">VLOOKUP(E364,store[],{3,5},FALSE)</f>
        <v>South</v>
      </c>
      <c r="R364" t="str">
        <v>Outlet</v>
      </c>
      <c r="S364" s="4">
        <f t="shared" si="5"/>
        <v>1867.4</v>
      </c>
    </row>
    <row r="365" spans="1:19">
      <c r="A365" t="s">
        <v>941</v>
      </c>
      <c r="B365" s="3">
        <v>45712</v>
      </c>
      <c r="C365" t="s">
        <v>639</v>
      </c>
      <c r="D365" t="s">
        <v>381</v>
      </c>
      <c r="E365" t="s">
        <v>198</v>
      </c>
      <c r="F365">
        <v>1</v>
      </c>
      <c r="G365" t="s">
        <v>23</v>
      </c>
      <c r="H365">
        <v>50</v>
      </c>
      <c r="I365" s="12" t="s">
        <v>34</v>
      </c>
      <c r="J365" s="12" t="s">
        <v>440</v>
      </c>
      <c r="K365" s="12" t="s">
        <v>60</v>
      </c>
      <c r="L365" s="12" t="s">
        <v>382</v>
      </c>
      <c r="M365" s="12" t="s">
        <v>130</v>
      </c>
      <c r="N365" s="14">
        <v>0.2</v>
      </c>
      <c r="O365" s="23">
        <v>669.53</v>
      </c>
      <c r="P365">
        <v>167.34</v>
      </c>
      <c r="Q365" s="12" t="str" cm="1">
        <f t="array" ref="Q365:R365">VLOOKUP(E365,store[],{3,5},FALSE)</f>
        <v>South</v>
      </c>
      <c r="R365" t="str">
        <v>Outlet</v>
      </c>
      <c r="S365" s="4">
        <f t="shared" si="5"/>
        <v>669.33</v>
      </c>
    </row>
    <row r="366" spans="1:19">
      <c r="A366" t="s">
        <v>942</v>
      </c>
      <c r="B366" s="3">
        <v>45723</v>
      </c>
      <c r="C366" t="s">
        <v>725</v>
      </c>
      <c r="D366" t="s">
        <v>487</v>
      </c>
      <c r="E366" t="s">
        <v>160</v>
      </c>
      <c r="F366">
        <v>1</v>
      </c>
      <c r="G366" t="s">
        <v>50</v>
      </c>
      <c r="H366">
        <v>44</v>
      </c>
      <c r="I366" s="12" t="s">
        <v>24</v>
      </c>
      <c r="J366" s="12" t="s">
        <v>227</v>
      </c>
      <c r="K366" s="12" t="s">
        <v>52</v>
      </c>
      <c r="L366" s="12" t="s">
        <v>488</v>
      </c>
      <c r="M366" s="12" t="s">
        <v>75</v>
      </c>
      <c r="N366" s="14">
        <v>0.28000000000000003</v>
      </c>
      <c r="O366" s="23">
        <v>213.69</v>
      </c>
      <c r="P366">
        <v>382.22</v>
      </c>
      <c r="Q366" s="12" t="str" cm="1">
        <f t="array" ref="Q366:R366">VLOOKUP(E366,store[],{3,5},FALSE)</f>
        <v>East</v>
      </c>
      <c r="R366" t="str">
        <v>Flagship</v>
      </c>
      <c r="S366" s="4">
        <f t="shared" si="5"/>
        <v>213.41</v>
      </c>
    </row>
    <row r="367" spans="1:19">
      <c r="A367" t="s">
        <v>943</v>
      </c>
      <c r="B367" s="3">
        <v>45706</v>
      </c>
      <c r="C367" t="s">
        <v>944</v>
      </c>
      <c r="D367" t="s">
        <v>279</v>
      </c>
      <c r="E367" t="s">
        <v>135</v>
      </c>
      <c r="F367">
        <v>2</v>
      </c>
      <c r="G367" t="s">
        <v>33</v>
      </c>
      <c r="H367">
        <v>29</v>
      </c>
      <c r="I367" s="12" t="s">
        <v>24</v>
      </c>
      <c r="J367" s="12" t="s">
        <v>35</v>
      </c>
      <c r="K367" s="12" t="s">
        <v>26</v>
      </c>
      <c r="L367" s="12" t="s">
        <v>280</v>
      </c>
      <c r="M367" s="12" t="s">
        <v>75</v>
      </c>
      <c r="N367" s="14">
        <v>0.2</v>
      </c>
      <c r="O367" s="23">
        <v>99.1</v>
      </c>
      <c r="P367">
        <v>123.46</v>
      </c>
      <c r="Q367" s="12" t="str" cm="1">
        <f t="array" ref="Q367:R367">VLOOKUP(E367,store[],{3,5},FALSE)</f>
        <v>East</v>
      </c>
      <c r="R367" t="str">
        <v>Online</v>
      </c>
      <c r="S367" s="4">
        <f t="shared" si="5"/>
        <v>197.8</v>
      </c>
    </row>
    <row r="368" spans="1:19">
      <c r="A368" t="s">
        <v>945</v>
      </c>
      <c r="B368" s="3">
        <v>45469</v>
      </c>
      <c r="C368" t="s">
        <v>946</v>
      </c>
      <c r="D368" t="s">
        <v>786</v>
      </c>
      <c r="E368" t="s">
        <v>117</v>
      </c>
      <c r="F368">
        <v>1</v>
      </c>
      <c r="G368" t="s">
        <v>50</v>
      </c>
      <c r="H368">
        <v>45</v>
      </c>
      <c r="I368" s="12" t="s">
        <v>24</v>
      </c>
      <c r="J368" s="12" t="s">
        <v>260</v>
      </c>
      <c r="K368" s="12" t="s">
        <v>60</v>
      </c>
      <c r="L368" s="12" t="s">
        <v>787</v>
      </c>
      <c r="M368" s="12" t="s">
        <v>130</v>
      </c>
      <c r="N368" s="14">
        <v>0.03</v>
      </c>
      <c r="O368" s="23">
        <v>628.98</v>
      </c>
      <c r="P368">
        <v>353.47</v>
      </c>
      <c r="Q368" s="12" t="str" cm="1">
        <f t="array" ref="Q368:R368">VLOOKUP(E368,store[],{3,5},FALSE)</f>
        <v>West</v>
      </c>
      <c r="R368" t="str">
        <v>Flagship</v>
      </c>
      <c r="S368" s="4">
        <f t="shared" si="5"/>
        <v>628.95000000000005</v>
      </c>
    </row>
    <row r="369" spans="1:19">
      <c r="A369" t="s">
        <v>947</v>
      </c>
      <c r="B369" s="3">
        <v>45711</v>
      </c>
      <c r="C369" t="s">
        <v>895</v>
      </c>
      <c r="D369" t="s">
        <v>814</v>
      </c>
      <c r="E369" t="s">
        <v>72</v>
      </c>
      <c r="F369">
        <v>3</v>
      </c>
      <c r="G369" t="s">
        <v>23</v>
      </c>
      <c r="H369">
        <v>36</v>
      </c>
      <c r="I369" s="12" t="s">
        <v>24</v>
      </c>
      <c r="J369" s="12" t="s">
        <v>44</v>
      </c>
      <c r="K369" s="12" t="s">
        <v>60</v>
      </c>
      <c r="L369" s="12" t="s">
        <v>815</v>
      </c>
      <c r="M369" s="12" t="s">
        <v>75</v>
      </c>
      <c r="N369" s="14">
        <v>0.26</v>
      </c>
      <c r="O369" s="23">
        <v>944.64</v>
      </c>
      <c r="P369">
        <v>388.46</v>
      </c>
      <c r="Q369" s="12" t="str" cm="1">
        <f t="array" ref="Q369:R369">VLOOKUP(E369,store[],{3,5},FALSE)</f>
        <v>South</v>
      </c>
      <c r="R369" t="str">
        <v>Online</v>
      </c>
      <c r="S369" s="4">
        <f t="shared" si="5"/>
        <v>2833.14</v>
      </c>
    </row>
    <row r="370" spans="1:19">
      <c r="A370" t="s">
        <v>948</v>
      </c>
      <c r="B370" s="3">
        <v>45823</v>
      </c>
      <c r="C370" t="s">
        <v>756</v>
      </c>
      <c r="D370" t="s">
        <v>317</v>
      </c>
      <c r="E370" t="s">
        <v>208</v>
      </c>
      <c r="F370">
        <v>2</v>
      </c>
      <c r="G370" t="s">
        <v>50</v>
      </c>
      <c r="H370">
        <v>42</v>
      </c>
      <c r="I370" s="12" t="s">
        <v>24</v>
      </c>
      <c r="J370" s="12" t="s">
        <v>111</v>
      </c>
      <c r="K370" s="12" t="s">
        <v>52</v>
      </c>
      <c r="L370" s="12" t="s">
        <v>318</v>
      </c>
      <c r="M370" s="12" t="s">
        <v>37</v>
      </c>
      <c r="N370" s="14">
        <v>0.06</v>
      </c>
      <c r="O370" s="23">
        <v>121.7</v>
      </c>
      <c r="P370">
        <v>377.52</v>
      </c>
      <c r="Q370" s="12" t="str" cm="1">
        <f t="array" ref="Q370:R370">VLOOKUP(E370,store[],{3,5},FALSE)</f>
        <v>North</v>
      </c>
      <c r="R370" t="str">
        <v>Online</v>
      </c>
      <c r="S370" s="4">
        <f t="shared" si="5"/>
        <v>243.28</v>
      </c>
    </row>
    <row r="371" spans="1:19">
      <c r="A371" t="s">
        <v>949</v>
      </c>
      <c r="B371" s="3">
        <v>45217</v>
      </c>
      <c r="C371" t="s">
        <v>654</v>
      </c>
      <c r="D371" t="s">
        <v>134</v>
      </c>
      <c r="E371" t="s">
        <v>22</v>
      </c>
      <c r="F371">
        <v>4</v>
      </c>
      <c r="G371" t="s">
        <v>33</v>
      </c>
      <c r="H371">
        <v>64</v>
      </c>
      <c r="I371" s="12" t="s">
        <v>34</v>
      </c>
      <c r="J371" s="12" t="s">
        <v>25</v>
      </c>
      <c r="K371" s="12" t="s">
        <v>73</v>
      </c>
      <c r="L371" s="12" t="s">
        <v>136</v>
      </c>
      <c r="M371" s="12" t="s">
        <v>28</v>
      </c>
      <c r="N371" s="14">
        <v>7.0000000000000007E-2</v>
      </c>
      <c r="O371" s="23">
        <v>269.49</v>
      </c>
      <c r="P371">
        <v>240.63</v>
      </c>
      <c r="Q371" s="12" t="str" cm="1">
        <f t="array" ref="Q371:R371">VLOOKUP(E371,store[],{3,5},FALSE)</f>
        <v>North</v>
      </c>
      <c r="R371" t="str">
        <v>Outlet</v>
      </c>
      <c r="S371" s="4">
        <f t="shared" si="5"/>
        <v>1077.68</v>
      </c>
    </row>
    <row r="372" spans="1:19">
      <c r="A372" t="s">
        <v>950</v>
      </c>
      <c r="B372" s="3">
        <v>45733</v>
      </c>
      <c r="C372" t="s">
        <v>694</v>
      </c>
      <c r="D372" t="s">
        <v>443</v>
      </c>
      <c r="E372" t="s">
        <v>160</v>
      </c>
      <c r="F372">
        <v>1</v>
      </c>
      <c r="G372" t="s">
        <v>23</v>
      </c>
      <c r="H372">
        <v>35</v>
      </c>
      <c r="I372" s="12" t="s">
        <v>24</v>
      </c>
      <c r="J372" s="12" t="s">
        <v>51</v>
      </c>
      <c r="K372" s="12" t="s">
        <v>60</v>
      </c>
      <c r="L372" s="12" t="s">
        <v>445</v>
      </c>
      <c r="M372" s="12" t="s">
        <v>28</v>
      </c>
      <c r="N372" s="14">
        <v>0.14000000000000001</v>
      </c>
      <c r="O372" s="23">
        <v>678.2</v>
      </c>
      <c r="P372">
        <v>484.62</v>
      </c>
      <c r="Q372" s="12" t="str" cm="1">
        <f t="array" ref="Q372:R372">VLOOKUP(E372,store[],{3,5},FALSE)</f>
        <v>East</v>
      </c>
      <c r="R372" t="str">
        <v>Flagship</v>
      </c>
      <c r="S372" s="4">
        <f t="shared" si="5"/>
        <v>678.06</v>
      </c>
    </row>
    <row r="373" spans="1:19">
      <c r="A373" t="s">
        <v>951</v>
      </c>
      <c r="B373" s="3">
        <v>45520</v>
      </c>
      <c r="C373" t="s">
        <v>474</v>
      </c>
      <c r="D373" t="s">
        <v>453</v>
      </c>
      <c r="E373" t="s">
        <v>149</v>
      </c>
      <c r="F373">
        <v>1</v>
      </c>
      <c r="G373" t="s">
        <v>50</v>
      </c>
      <c r="H373">
        <v>22</v>
      </c>
      <c r="I373" s="12" t="s">
        <v>34</v>
      </c>
      <c r="J373" s="12" t="s">
        <v>457</v>
      </c>
      <c r="K373" s="12" t="s">
        <v>73</v>
      </c>
      <c r="L373" s="12" t="s">
        <v>454</v>
      </c>
      <c r="M373" s="12" t="s">
        <v>37</v>
      </c>
      <c r="N373" s="14">
        <v>0.21</v>
      </c>
      <c r="O373" s="23">
        <v>752.45</v>
      </c>
      <c r="P373">
        <v>340.14</v>
      </c>
      <c r="Q373" s="12" t="str" cm="1">
        <f t="array" ref="Q373:R373">VLOOKUP(E373,store[],{3,5},FALSE)</f>
        <v>East</v>
      </c>
      <c r="R373" t="str">
        <v>Flagship</v>
      </c>
      <c r="S373" s="4">
        <f t="shared" si="5"/>
        <v>752.24</v>
      </c>
    </row>
    <row r="374" spans="1:19">
      <c r="A374" t="s">
        <v>952</v>
      </c>
      <c r="B374" s="3">
        <v>45373</v>
      </c>
      <c r="C374" t="s">
        <v>343</v>
      </c>
      <c r="D374" t="s">
        <v>242</v>
      </c>
      <c r="E374" t="s">
        <v>149</v>
      </c>
      <c r="F374">
        <v>2</v>
      </c>
      <c r="G374" t="s">
        <v>23</v>
      </c>
      <c r="H374">
        <v>27</v>
      </c>
      <c r="I374" s="12" t="s">
        <v>34</v>
      </c>
      <c r="J374" s="12" t="s">
        <v>345</v>
      </c>
      <c r="K374" s="12" t="s">
        <v>346</v>
      </c>
      <c r="L374" s="12" t="s">
        <v>243</v>
      </c>
      <c r="M374" s="12" t="s">
        <v>46</v>
      </c>
      <c r="N374" s="14">
        <v>0.21</v>
      </c>
      <c r="O374" s="23">
        <v>209.66</v>
      </c>
      <c r="P374">
        <v>358.47</v>
      </c>
      <c r="Q374" s="12" t="str" cm="1">
        <f t="array" ref="Q374:R374">VLOOKUP(E374,store[],{3,5},FALSE)</f>
        <v>East</v>
      </c>
      <c r="R374" t="str">
        <v>Flagship</v>
      </c>
      <c r="S374" s="4">
        <f t="shared" si="5"/>
        <v>418.9</v>
      </c>
    </row>
    <row r="375" spans="1:19">
      <c r="A375" t="s">
        <v>953</v>
      </c>
      <c r="B375" s="3">
        <v>45688</v>
      </c>
      <c r="C375" t="s">
        <v>954</v>
      </c>
      <c r="D375" t="s">
        <v>21</v>
      </c>
      <c r="E375" t="s">
        <v>135</v>
      </c>
      <c r="F375">
        <v>2</v>
      </c>
      <c r="G375" t="s">
        <v>50</v>
      </c>
      <c r="H375">
        <v>18</v>
      </c>
      <c r="I375" s="12" t="s">
        <v>34</v>
      </c>
      <c r="J375" s="12" t="s">
        <v>251</v>
      </c>
      <c r="K375" s="12" t="s">
        <v>60</v>
      </c>
      <c r="L375" s="12" t="s">
        <v>27</v>
      </c>
      <c r="M375" s="12" t="s">
        <v>28</v>
      </c>
      <c r="N375" s="14">
        <v>0.1</v>
      </c>
      <c r="O375" s="23">
        <v>739.95</v>
      </c>
      <c r="P375">
        <v>245.98</v>
      </c>
      <c r="Q375" s="12" t="str" cm="1">
        <f t="array" ref="Q375:R375">VLOOKUP(E375,store[],{3,5},FALSE)</f>
        <v>East</v>
      </c>
      <c r="R375" t="str">
        <v>Online</v>
      </c>
      <c r="S375" s="4">
        <f t="shared" si="5"/>
        <v>1479.7</v>
      </c>
    </row>
    <row r="376" spans="1:19">
      <c r="A376" t="s">
        <v>955</v>
      </c>
      <c r="B376" s="3">
        <v>45276</v>
      </c>
      <c r="C376" t="s">
        <v>956</v>
      </c>
      <c r="D376" t="s">
        <v>344</v>
      </c>
      <c r="E376" t="s">
        <v>122</v>
      </c>
      <c r="F376">
        <v>1</v>
      </c>
      <c r="G376" t="s">
        <v>50</v>
      </c>
      <c r="H376">
        <v>19</v>
      </c>
      <c r="I376" s="12" t="s">
        <v>24</v>
      </c>
      <c r="J376" s="12" t="s">
        <v>410</v>
      </c>
      <c r="K376" s="12" t="s">
        <v>26</v>
      </c>
      <c r="L376" s="12" t="s">
        <v>347</v>
      </c>
      <c r="M376" s="12" t="s">
        <v>28</v>
      </c>
      <c r="N376" s="14">
        <v>0.08</v>
      </c>
      <c r="O376" s="23">
        <v>496.19</v>
      </c>
      <c r="P376">
        <v>318.91000000000003</v>
      </c>
      <c r="Q376" s="12" t="str" cm="1">
        <f t="array" ref="Q376:R376">VLOOKUP(E376,store[],{3,5},FALSE)</f>
        <v>North</v>
      </c>
      <c r="R376" t="str">
        <v>Flagship</v>
      </c>
      <c r="S376" s="4">
        <f t="shared" si="5"/>
        <v>496.11</v>
      </c>
    </row>
    <row r="377" spans="1:19">
      <c r="A377" t="s">
        <v>957</v>
      </c>
      <c r="B377" s="3">
        <v>45756</v>
      </c>
      <c r="C377" t="s">
        <v>754</v>
      </c>
      <c r="D377" t="s">
        <v>810</v>
      </c>
      <c r="E377" t="s">
        <v>208</v>
      </c>
      <c r="F377">
        <v>1</v>
      </c>
      <c r="G377" t="s">
        <v>33</v>
      </c>
      <c r="H377">
        <v>34</v>
      </c>
      <c r="I377" s="12" t="s">
        <v>24</v>
      </c>
      <c r="J377" s="12" t="s">
        <v>218</v>
      </c>
      <c r="K377" s="12" t="s">
        <v>73</v>
      </c>
      <c r="L377" s="12" t="s">
        <v>811</v>
      </c>
      <c r="M377" s="12" t="s">
        <v>28</v>
      </c>
      <c r="N377" s="14">
        <v>0.01</v>
      </c>
      <c r="O377" s="23">
        <v>306.36</v>
      </c>
      <c r="P377">
        <v>495.72</v>
      </c>
      <c r="Q377" s="12" t="str" cm="1">
        <f t="array" ref="Q377:R377">VLOOKUP(E377,store[],{3,5},FALSE)</f>
        <v>North</v>
      </c>
      <c r="R377" t="str">
        <v>Online</v>
      </c>
      <c r="S377" s="4">
        <f t="shared" si="5"/>
        <v>306.35000000000002</v>
      </c>
    </row>
    <row r="378" spans="1:19">
      <c r="A378" t="s">
        <v>958</v>
      </c>
      <c r="B378" s="3">
        <v>45309</v>
      </c>
      <c r="C378" t="s">
        <v>959</v>
      </c>
      <c r="D378" t="s">
        <v>575</v>
      </c>
      <c r="E378" t="s">
        <v>72</v>
      </c>
      <c r="F378">
        <v>4</v>
      </c>
      <c r="G378" t="s">
        <v>33</v>
      </c>
      <c r="H378">
        <v>44</v>
      </c>
      <c r="I378" s="12" t="s">
        <v>34</v>
      </c>
      <c r="J378" s="12" t="s">
        <v>44</v>
      </c>
      <c r="K378" s="12" t="s">
        <v>52</v>
      </c>
      <c r="L378" s="12" t="s">
        <v>576</v>
      </c>
      <c r="M378" s="12" t="s">
        <v>28</v>
      </c>
      <c r="N378" s="14">
        <v>0.05</v>
      </c>
      <c r="O378" s="23">
        <v>693.16</v>
      </c>
      <c r="P378">
        <v>107.06</v>
      </c>
      <c r="Q378" s="12" t="str" cm="1">
        <f t="array" ref="Q378:R378">VLOOKUP(E378,store[],{3,5},FALSE)</f>
        <v>South</v>
      </c>
      <c r="R378" t="str">
        <v>Online</v>
      </c>
      <c r="S378" s="4">
        <f t="shared" si="5"/>
        <v>2772.44</v>
      </c>
    </row>
    <row r="379" spans="1:19">
      <c r="A379" t="s">
        <v>960</v>
      </c>
      <c r="B379" s="3">
        <v>45744</v>
      </c>
      <c r="C379" t="s">
        <v>961</v>
      </c>
      <c r="D379" t="s">
        <v>359</v>
      </c>
      <c r="E379" t="s">
        <v>168</v>
      </c>
      <c r="F379">
        <v>1</v>
      </c>
      <c r="G379" t="s">
        <v>33</v>
      </c>
      <c r="H379">
        <v>54</v>
      </c>
      <c r="I379" s="12" t="s">
        <v>24</v>
      </c>
      <c r="J379" s="12" t="s">
        <v>932</v>
      </c>
      <c r="K379" s="12" t="s">
        <v>26</v>
      </c>
      <c r="L379" s="12" t="s">
        <v>361</v>
      </c>
      <c r="M379" s="12" t="s">
        <v>46</v>
      </c>
      <c r="N379" s="14">
        <v>0.22</v>
      </c>
      <c r="O379" s="23">
        <v>995.52</v>
      </c>
      <c r="P379">
        <v>289.359375</v>
      </c>
      <c r="Q379" s="12" t="str" cm="1">
        <f t="array" ref="Q379:R379">VLOOKUP(E379,store[],{3,5},FALSE)</f>
        <v>East</v>
      </c>
      <c r="R379" t="str">
        <v>Online</v>
      </c>
      <c r="S379" s="4">
        <f t="shared" si="5"/>
        <v>995.3</v>
      </c>
    </row>
    <row r="380" spans="1:19">
      <c r="A380" t="s">
        <v>962</v>
      </c>
      <c r="B380" s="3">
        <v>45535</v>
      </c>
      <c r="C380" t="s">
        <v>963</v>
      </c>
      <c r="D380" t="s">
        <v>645</v>
      </c>
      <c r="E380" t="s">
        <v>160</v>
      </c>
      <c r="F380">
        <v>4</v>
      </c>
      <c r="G380" t="s">
        <v>50</v>
      </c>
      <c r="H380">
        <v>64</v>
      </c>
      <c r="I380" s="12" t="s">
        <v>34</v>
      </c>
      <c r="J380" s="12" t="s">
        <v>193</v>
      </c>
      <c r="K380" s="12" t="s">
        <v>52</v>
      </c>
      <c r="L380" s="12" t="s">
        <v>646</v>
      </c>
      <c r="M380" s="12" t="s">
        <v>75</v>
      </c>
      <c r="N380" s="14">
        <v>0.28999999999999998</v>
      </c>
      <c r="O380" s="23">
        <v>241.32</v>
      </c>
      <c r="P380">
        <v>218.86</v>
      </c>
      <c r="Q380" s="12" t="str" cm="1">
        <f t="array" ref="Q380:R380">VLOOKUP(E380,store[],{3,5},FALSE)</f>
        <v>East</v>
      </c>
      <c r="R380" t="str">
        <v>Flagship</v>
      </c>
      <c r="S380" s="4">
        <f t="shared" si="5"/>
        <v>964.12</v>
      </c>
    </row>
    <row r="381" spans="1:19">
      <c r="A381" t="s">
        <v>964</v>
      </c>
      <c r="B381" s="3">
        <v>45240</v>
      </c>
      <c r="C381" t="s">
        <v>147</v>
      </c>
      <c r="D381" t="s">
        <v>267</v>
      </c>
      <c r="E381" t="s">
        <v>105</v>
      </c>
      <c r="F381">
        <v>3</v>
      </c>
      <c r="G381" t="s">
        <v>50</v>
      </c>
      <c r="H381">
        <v>58</v>
      </c>
      <c r="I381" s="12" t="s">
        <v>34</v>
      </c>
      <c r="J381" s="12" t="s">
        <v>99</v>
      </c>
      <c r="K381" s="12" t="s">
        <v>52</v>
      </c>
      <c r="L381" s="12" t="s">
        <v>268</v>
      </c>
      <c r="M381" s="12" t="s">
        <v>75</v>
      </c>
      <c r="N381" s="14">
        <v>0.06</v>
      </c>
      <c r="O381" s="23">
        <v>636.03</v>
      </c>
      <c r="P381">
        <v>325.26</v>
      </c>
      <c r="Q381" s="12" t="str" cm="1">
        <f t="array" ref="Q381:R381">VLOOKUP(E381,store[],{3,5},FALSE)</f>
        <v>North</v>
      </c>
      <c r="R381" t="str">
        <v>Flagship</v>
      </c>
      <c r="S381" s="4">
        <f t="shared" si="5"/>
        <v>1907.91</v>
      </c>
    </row>
    <row r="382" spans="1:19">
      <c r="A382" t="s">
        <v>965</v>
      </c>
      <c r="B382" s="3">
        <v>45275</v>
      </c>
      <c r="C382" t="s">
        <v>701</v>
      </c>
      <c r="D382" t="s">
        <v>634</v>
      </c>
      <c r="E382" t="s">
        <v>135</v>
      </c>
      <c r="F382">
        <v>4</v>
      </c>
      <c r="G382" t="s">
        <v>23</v>
      </c>
      <c r="H382">
        <v>30</v>
      </c>
      <c r="I382" s="12" t="s">
        <v>34</v>
      </c>
      <c r="J382" s="12" t="s">
        <v>378</v>
      </c>
      <c r="K382" s="12" t="s">
        <v>52</v>
      </c>
      <c r="L382" s="12" t="s">
        <v>635</v>
      </c>
      <c r="M382" s="12" t="s">
        <v>130</v>
      </c>
      <c r="N382" s="14">
        <v>0.15</v>
      </c>
      <c r="O382" s="23">
        <v>603.30999999999995</v>
      </c>
      <c r="P382">
        <v>306.45999999999998</v>
      </c>
      <c r="Q382" s="12" t="str" cm="1">
        <f t="array" ref="Q382:R382">VLOOKUP(E382,store[],{3,5},FALSE)</f>
        <v>East</v>
      </c>
      <c r="R382" t="str">
        <v>Online</v>
      </c>
      <c r="S382" s="4">
        <f t="shared" si="5"/>
        <v>2412.64</v>
      </c>
    </row>
    <row r="383" spans="1:19">
      <c r="A383" t="s">
        <v>966</v>
      </c>
      <c r="B383" s="3">
        <v>45427</v>
      </c>
      <c r="C383" t="s">
        <v>692</v>
      </c>
      <c r="D383" t="s">
        <v>287</v>
      </c>
      <c r="E383" t="s">
        <v>168</v>
      </c>
      <c r="F383">
        <v>3</v>
      </c>
      <c r="G383" t="s">
        <v>50</v>
      </c>
      <c r="H383">
        <v>61</v>
      </c>
      <c r="I383" s="12" t="s">
        <v>34</v>
      </c>
      <c r="J383" s="12" t="s">
        <v>227</v>
      </c>
      <c r="K383" s="12" t="s">
        <v>26</v>
      </c>
      <c r="L383" s="12" t="s">
        <v>288</v>
      </c>
      <c r="M383" s="12" t="s">
        <v>46</v>
      </c>
      <c r="N383" s="14">
        <v>0.27</v>
      </c>
      <c r="O383" s="23">
        <v>437.96</v>
      </c>
      <c r="P383">
        <v>183.04</v>
      </c>
      <c r="Q383" s="12" t="str" cm="1">
        <f t="array" ref="Q383:R383">VLOOKUP(E383,store[],{3,5},FALSE)</f>
        <v>East</v>
      </c>
      <c r="R383" t="str">
        <v>Online</v>
      </c>
      <c r="S383" s="4">
        <f t="shared" si="5"/>
        <v>1313.07</v>
      </c>
    </row>
    <row r="384" spans="1:19">
      <c r="A384" t="s">
        <v>967</v>
      </c>
      <c r="B384" s="3">
        <v>45322</v>
      </c>
      <c r="C384" t="s">
        <v>968</v>
      </c>
      <c r="D384" t="s">
        <v>116</v>
      </c>
      <c r="E384" t="s">
        <v>72</v>
      </c>
      <c r="F384">
        <v>2</v>
      </c>
      <c r="G384" t="s">
        <v>50</v>
      </c>
      <c r="H384">
        <v>54</v>
      </c>
      <c r="I384" s="12" t="s">
        <v>24</v>
      </c>
      <c r="J384" s="12" t="s">
        <v>378</v>
      </c>
      <c r="K384" s="12" t="s">
        <v>52</v>
      </c>
      <c r="L384" s="12" t="s">
        <v>119</v>
      </c>
      <c r="M384" s="12" t="s">
        <v>37</v>
      </c>
      <c r="N384" s="14">
        <v>0.08</v>
      </c>
      <c r="O384" s="23">
        <v>56.91</v>
      </c>
      <c r="P384">
        <v>419.28</v>
      </c>
      <c r="Q384" s="12" t="str" cm="1">
        <f t="array" ref="Q384:R384">VLOOKUP(E384,store[],{3,5},FALSE)</f>
        <v>South</v>
      </c>
      <c r="R384" t="str">
        <v>Online</v>
      </c>
      <c r="S384" s="4">
        <f t="shared" si="5"/>
        <v>113.66</v>
      </c>
    </row>
    <row r="385" spans="1:19">
      <c r="A385" t="s">
        <v>969</v>
      </c>
      <c r="B385" s="3">
        <v>45266</v>
      </c>
      <c r="C385" t="s">
        <v>639</v>
      </c>
      <c r="D385" t="s">
        <v>49</v>
      </c>
      <c r="E385" t="s">
        <v>179</v>
      </c>
      <c r="F385">
        <v>1</v>
      </c>
      <c r="G385" t="s">
        <v>23</v>
      </c>
      <c r="H385">
        <v>50</v>
      </c>
      <c r="I385" s="12" t="s">
        <v>34</v>
      </c>
      <c r="J385" s="12" t="s">
        <v>440</v>
      </c>
      <c r="K385" s="12" t="s">
        <v>60</v>
      </c>
      <c r="L385" s="12" t="s">
        <v>53</v>
      </c>
      <c r="M385" s="12" t="s">
        <v>37</v>
      </c>
      <c r="N385" s="14">
        <v>0.1</v>
      </c>
      <c r="O385" s="23">
        <v>141.79</v>
      </c>
      <c r="P385">
        <v>392.89</v>
      </c>
      <c r="Q385" s="12" t="str" cm="1">
        <f t="array" ref="Q385:R385">VLOOKUP(E385,store[],{3,5},FALSE)</f>
        <v>East</v>
      </c>
      <c r="R385" t="str">
        <v>Online</v>
      </c>
      <c r="S385" s="4">
        <f t="shared" si="5"/>
        <v>141.69</v>
      </c>
    </row>
    <row r="386" spans="1:19">
      <c r="A386" t="s">
        <v>970</v>
      </c>
      <c r="B386" s="3">
        <v>45302</v>
      </c>
      <c r="C386" t="s">
        <v>328</v>
      </c>
      <c r="D386" t="s">
        <v>810</v>
      </c>
      <c r="E386" t="s">
        <v>122</v>
      </c>
      <c r="F386">
        <v>4</v>
      </c>
      <c r="G386" t="s">
        <v>50</v>
      </c>
      <c r="H386">
        <v>48</v>
      </c>
      <c r="I386" s="12" t="s">
        <v>24</v>
      </c>
      <c r="J386" s="12" t="s">
        <v>99</v>
      </c>
      <c r="K386" s="12" t="s">
        <v>26</v>
      </c>
      <c r="L386" s="12" t="s">
        <v>811</v>
      </c>
      <c r="M386" s="12" t="s">
        <v>28</v>
      </c>
      <c r="N386" s="14">
        <v>0.16</v>
      </c>
      <c r="O386" s="23">
        <v>355.14</v>
      </c>
      <c r="P386">
        <v>495.72</v>
      </c>
      <c r="Q386" s="12" t="str" cm="1">
        <f t="array" ref="Q386:R386">VLOOKUP(E386,store[],{3,5},FALSE)</f>
        <v>North</v>
      </c>
      <c r="R386" t="str">
        <v>Flagship</v>
      </c>
      <c r="S386" s="4">
        <f t="shared" ref="S386:S449" si="6">(O386-N386)*F386</f>
        <v>1419.92</v>
      </c>
    </row>
    <row r="387" spans="1:19">
      <c r="A387" t="s">
        <v>971</v>
      </c>
      <c r="B387" s="3">
        <v>45907</v>
      </c>
      <c r="C387" t="s">
        <v>833</v>
      </c>
      <c r="D387" t="s">
        <v>340</v>
      </c>
      <c r="E387" t="s">
        <v>179</v>
      </c>
      <c r="F387">
        <v>4</v>
      </c>
      <c r="G387" t="s">
        <v>50</v>
      </c>
      <c r="H387">
        <v>20</v>
      </c>
      <c r="I387" s="12" t="s">
        <v>34</v>
      </c>
      <c r="J387" s="12" t="s">
        <v>373</v>
      </c>
      <c r="K387" s="12" t="s">
        <v>60</v>
      </c>
      <c r="L387" s="12" t="s">
        <v>341</v>
      </c>
      <c r="M387" s="12" t="s">
        <v>28</v>
      </c>
      <c r="N387" s="14">
        <v>0.15</v>
      </c>
      <c r="O387" s="23">
        <v>960.38</v>
      </c>
      <c r="P387">
        <v>135.61000000000001</v>
      </c>
      <c r="Q387" s="12" t="str" cm="1">
        <f t="array" ref="Q387:R387">VLOOKUP(E387,store[],{3,5},FALSE)</f>
        <v>East</v>
      </c>
      <c r="R387" t="str">
        <v>Online</v>
      </c>
      <c r="S387" s="4">
        <f t="shared" si="6"/>
        <v>3840.92</v>
      </c>
    </row>
    <row r="388" spans="1:19">
      <c r="A388" t="s">
        <v>972</v>
      </c>
      <c r="B388" s="3">
        <v>45433</v>
      </c>
      <c r="C388" t="s">
        <v>278</v>
      </c>
      <c r="D388" t="s">
        <v>167</v>
      </c>
      <c r="E388" t="s">
        <v>117</v>
      </c>
      <c r="F388">
        <v>3</v>
      </c>
      <c r="G388" t="s">
        <v>33</v>
      </c>
      <c r="H388">
        <v>60</v>
      </c>
      <c r="I388" s="12" t="s">
        <v>24</v>
      </c>
      <c r="J388" s="12" t="s">
        <v>256</v>
      </c>
      <c r="K388" s="12" t="s">
        <v>73</v>
      </c>
      <c r="L388" s="12" t="s">
        <v>170</v>
      </c>
      <c r="M388" s="12" t="s">
        <v>130</v>
      </c>
      <c r="N388" s="14">
        <v>0.06</v>
      </c>
      <c r="O388" s="23">
        <v>847.21</v>
      </c>
      <c r="P388">
        <v>218.22</v>
      </c>
      <c r="Q388" s="12" t="str" cm="1">
        <f t="array" ref="Q388:R388">VLOOKUP(E388,store[],{3,5},FALSE)</f>
        <v>West</v>
      </c>
      <c r="R388" t="str">
        <v>Flagship</v>
      </c>
      <c r="S388" s="4">
        <f t="shared" si="6"/>
        <v>2541.4499999999998</v>
      </c>
    </row>
    <row r="389" spans="1:19">
      <c r="A389" t="s">
        <v>973</v>
      </c>
      <c r="B389" s="3">
        <v>45892</v>
      </c>
      <c r="C389" t="s">
        <v>611</v>
      </c>
      <c r="D389" t="s">
        <v>429</v>
      </c>
      <c r="E389" t="s">
        <v>168</v>
      </c>
      <c r="F389">
        <v>4</v>
      </c>
      <c r="G389" t="s">
        <v>50</v>
      </c>
      <c r="H389">
        <v>27</v>
      </c>
      <c r="I389" s="12" t="s">
        <v>34</v>
      </c>
      <c r="J389" s="12" t="s">
        <v>214</v>
      </c>
      <c r="K389" s="12" t="s">
        <v>60</v>
      </c>
      <c r="L389" s="12" t="s">
        <v>430</v>
      </c>
      <c r="M389" s="12" t="s">
        <v>75</v>
      </c>
      <c r="N389" s="14">
        <v>0.08</v>
      </c>
      <c r="O389" s="23">
        <v>773.81</v>
      </c>
      <c r="P389">
        <v>143.43</v>
      </c>
      <c r="Q389" s="12" t="str" cm="1">
        <f t="array" ref="Q389:R389">VLOOKUP(E389,store[],{3,5},FALSE)</f>
        <v>East</v>
      </c>
      <c r="R389" t="str">
        <v>Online</v>
      </c>
      <c r="S389" s="4">
        <f t="shared" si="6"/>
        <v>3094.92</v>
      </c>
    </row>
    <row r="390" spans="1:19">
      <c r="A390" t="s">
        <v>974</v>
      </c>
      <c r="B390" s="3">
        <v>45780</v>
      </c>
      <c r="C390" t="s">
        <v>975</v>
      </c>
      <c r="D390" t="s">
        <v>625</v>
      </c>
      <c r="E390" t="s">
        <v>117</v>
      </c>
      <c r="F390">
        <v>1</v>
      </c>
      <c r="G390" t="s">
        <v>33</v>
      </c>
      <c r="H390">
        <v>55</v>
      </c>
      <c r="I390" s="12" t="s">
        <v>24</v>
      </c>
      <c r="J390" s="12" t="s">
        <v>256</v>
      </c>
      <c r="K390" s="12" t="s">
        <v>346</v>
      </c>
      <c r="L390" s="12" t="s">
        <v>626</v>
      </c>
      <c r="M390" s="12" t="s">
        <v>46</v>
      </c>
      <c r="N390" s="14">
        <v>0.1</v>
      </c>
      <c r="O390" s="23">
        <v>664.71</v>
      </c>
      <c r="P390">
        <v>266.86</v>
      </c>
      <c r="Q390" s="12" t="str" cm="1">
        <f t="array" ref="Q390:R390">VLOOKUP(E390,store[],{3,5},FALSE)</f>
        <v>West</v>
      </c>
      <c r="R390" t="str">
        <v>Flagship</v>
      </c>
      <c r="S390" s="4">
        <f t="shared" si="6"/>
        <v>664.61</v>
      </c>
    </row>
    <row r="391" spans="1:19">
      <c r="A391" t="s">
        <v>976</v>
      </c>
      <c r="B391" s="3">
        <v>45233</v>
      </c>
      <c r="C391" t="s">
        <v>977</v>
      </c>
      <c r="D391" t="s">
        <v>786</v>
      </c>
      <c r="E391" t="s">
        <v>66</v>
      </c>
      <c r="F391">
        <v>4</v>
      </c>
      <c r="G391" t="s">
        <v>33</v>
      </c>
      <c r="H391">
        <v>39</v>
      </c>
      <c r="I391" s="12" t="s">
        <v>34</v>
      </c>
      <c r="J391" s="12" t="s">
        <v>440</v>
      </c>
      <c r="K391" s="12" t="s">
        <v>26</v>
      </c>
      <c r="L391" s="12" t="s">
        <v>787</v>
      </c>
      <c r="M391" s="12" t="s">
        <v>130</v>
      </c>
      <c r="N391" s="14">
        <v>7.0000000000000007E-2</v>
      </c>
      <c r="O391" s="23">
        <v>482.06</v>
      </c>
      <c r="P391">
        <v>353.47</v>
      </c>
      <c r="Q391" s="12" t="str" cm="1">
        <f t="array" ref="Q391:R391">VLOOKUP(E391,store[],{3,5},FALSE)</f>
        <v>South</v>
      </c>
      <c r="R391" t="str">
        <v>Online</v>
      </c>
      <c r="S391" s="4">
        <f t="shared" si="6"/>
        <v>1927.96</v>
      </c>
    </row>
    <row r="392" spans="1:19">
      <c r="A392" t="s">
        <v>978</v>
      </c>
      <c r="B392" s="3">
        <v>45742</v>
      </c>
      <c r="C392" t="s">
        <v>979</v>
      </c>
      <c r="D392" t="s">
        <v>509</v>
      </c>
      <c r="E392" t="s">
        <v>22</v>
      </c>
      <c r="F392">
        <v>4</v>
      </c>
      <c r="G392" t="s">
        <v>33</v>
      </c>
      <c r="H392">
        <v>43</v>
      </c>
      <c r="I392" s="12" t="s">
        <v>24</v>
      </c>
      <c r="J392" s="12" t="s">
        <v>199</v>
      </c>
      <c r="K392" s="12" t="s">
        <v>52</v>
      </c>
      <c r="L392" s="12" t="s">
        <v>511</v>
      </c>
      <c r="M392" s="12" t="s">
        <v>28</v>
      </c>
      <c r="N392" s="14">
        <v>0.19</v>
      </c>
      <c r="O392" s="23">
        <v>995.55</v>
      </c>
      <c r="P392">
        <v>30.62</v>
      </c>
      <c r="Q392" s="12" t="str" cm="1">
        <f t="array" ref="Q392:R392">VLOOKUP(E392,store[],{3,5},FALSE)</f>
        <v>North</v>
      </c>
      <c r="R392" t="str">
        <v>Outlet</v>
      </c>
      <c r="S392" s="4">
        <f t="shared" si="6"/>
        <v>3981.44</v>
      </c>
    </row>
    <row r="393" spans="1:19">
      <c r="A393" t="s">
        <v>980</v>
      </c>
      <c r="B393" s="3">
        <v>45478</v>
      </c>
      <c r="C393" t="s">
        <v>776</v>
      </c>
      <c r="D393" t="s">
        <v>317</v>
      </c>
      <c r="E393" t="s">
        <v>149</v>
      </c>
      <c r="F393">
        <v>2</v>
      </c>
      <c r="G393" t="s">
        <v>33</v>
      </c>
      <c r="H393">
        <v>30</v>
      </c>
      <c r="I393" s="12" t="s">
        <v>24</v>
      </c>
      <c r="J393" s="12" t="s">
        <v>227</v>
      </c>
      <c r="K393" s="12" t="s">
        <v>73</v>
      </c>
      <c r="L393" s="12" t="s">
        <v>318</v>
      </c>
      <c r="M393" s="12" t="s">
        <v>37</v>
      </c>
      <c r="N393" s="14">
        <v>0.27</v>
      </c>
      <c r="O393" s="23">
        <v>153.84</v>
      </c>
      <c r="P393">
        <v>377.52</v>
      </c>
      <c r="Q393" s="12" t="str" cm="1">
        <f t="array" ref="Q393:R393">VLOOKUP(E393,store[],{3,5},FALSE)</f>
        <v>East</v>
      </c>
      <c r="R393" t="str">
        <v>Flagship</v>
      </c>
      <c r="S393" s="4">
        <f t="shared" si="6"/>
        <v>307.14</v>
      </c>
    </row>
    <row r="394" spans="1:19">
      <c r="A394" t="s">
        <v>981</v>
      </c>
      <c r="B394" s="3">
        <v>45789</v>
      </c>
      <c r="C394" t="s">
        <v>685</v>
      </c>
      <c r="D394" t="s">
        <v>267</v>
      </c>
      <c r="E394" t="s">
        <v>179</v>
      </c>
      <c r="F394">
        <v>3</v>
      </c>
      <c r="G394" t="s">
        <v>50</v>
      </c>
      <c r="H394">
        <v>31</v>
      </c>
      <c r="I394" s="12" t="s">
        <v>24</v>
      </c>
      <c r="J394" s="12" t="s">
        <v>188</v>
      </c>
      <c r="K394" s="12" t="s">
        <v>73</v>
      </c>
      <c r="L394" s="12" t="s">
        <v>268</v>
      </c>
      <c r="M394" s="12" t="s">
        <v>75</v>
      </c>
      <c r="N394" s="14">
        <v>0.23</v>
      </c>
      <c r="O394" s="23">
        <v>362.11</v>
      </c>
      <c r="P394">
        <v>325.26</v>
      </c>
      <c r="Q394" s="12" t="str" cm="1">
        <f t="array" ref="Q394:R394">VLOOKUP(E394,store[],{3,5},FALSE)</f>
        <v>East</v>
      </c>
      <c r="R394" t="str">
        <v>Online</v>
      </c>
      <c r="S394" s="4">
        <f t="shared" si="6"/>
        <v>1085.6400000000001</v>
      </c>
    </row>
    <row r="395" spans="1:19">
      <c r="A395" t="s">
        <v>982</v>
      </c>
      <c r="B395" s="3">
        <v>45561</v>
      </c>
      <c r="C395" t="s">
        <v>664</v>
      </c>
      <c r="D395" t="s">
        <v>159</v>
      </c>
      <c r="E395" t="s">
        <v>43</v>
      </c>
      <c r="F395">
        <v>3</v>
      </c>
      <c r="G395" t="s">
        <v>23</v>
      </c>
      <c r="H395">
        <v>42</v>
      </c>
      <c r="I395" s="12" t="s">
        <v>24</v>
      </c>
      <c r="J395" s="12" t="s">
        <v>463</v>
      </c>
      <c r="K395" s="12" t="s">
        <v>60</v>
      </c>
      <c r="L395" s="12" t="s">
        <v>162</v>
      </c>
      <c r="M395" s="12" t="s">
        <v>37</v>
      </c>
      <c r="N395" s="14">
        <v>0.11</v>
      </c>
      <c r="O395" s="23">
        <v>112.26</v>
      </c>
      <c r="P395">
        <v>253.33</v>
      </c>
      <c r="Q395" s="12" t="str" cm="1">
        <f t="array" ref="Q395:R395">VLOOKUP(E395,store[],{3,5},FALSE)</f>
        <v>West</v>
      </c>
      <c r="R395" t="str">
        <v>Online</v>
      </c>
      <c r="S395" s="4">
        <f t="shared" si="6"/>
        <v>336.45</v>
      </c>
    </row>
    <row r="396" spans="1:19">
      <c r="A396" t="s">
        <v>983</v>
      </c>
      <c r="B396" s="3">
        <v>45378</v>
      </c>
      <c r="C396" t="s">
        <v>262</v>
      </c>
      <c r="D396" t="s">
        <v>242</v>
      </c>
      <c r="E396" t="s">
        <v>135</v>
      </c>
      <c r="F396">
        <v>2</v>
      </c>
      <c r="G396" t="s">
        <v>50</v>
      </c>
      <c r="H396">
        <v>47</v>
      </c>
      <c r="I396" s="12" t="s">
        <v>24</v>
      </c>
      <c r="J396" s="12" t="s">
        <v>106</v>
      </c>
      <c r="K396" s="12" t="s">
        <v>52</v>
      </c>
      <c r="L396" s="12" t="s">
        <v>243</v>
      </c>
      <c r="M396" s="12" t="s">
        <v>46</v>
      </c>
      <c r="N396" s="14">
        <v>0.06</v>
      </c>
      <c r="O396" s="23">
        <v>962.81</v>
      </c>
      <c r="P396">
        <v>358.47</v>
      </c>
      <c r="Q396" s="12" t="str" cm="1">
        <f t="array" ref="Q396:R396">VLOOKUP(E396,store[],{3,5},FALSE)</f>
        <v>East</v>
      </c>
      <c r="R396" t="str">
        <v>Online</v>
      </c>
      <c r="S396" s="4">
        <f t="shared" si="6"/>
        <v>1925.5</v>
      </c>
    </row>
    <row r="397" spans="1:19">
      <c r="A397" t="s">
        <v>984</v>
      </c>
      <c r="B397" s="3">
        <v>45308</v>
      </c>
      <c r="C397" t="s">
        <v>186</v>
      </c>
      <c r="D397" t="s">
        <v>279</v>
      </c>
      <c r="E397" t="s">
        <v>90</v>
      </c>
      <c r="F397">
        <v>4</v>
      </c>
      <c r="G397" t="s">
        <v>23</v>
      </c>
      <c r="H397">
        <v>42</v>
      </c>
      <c r="I397" s="12" t="s">
        <v>34</v>
      </c>
      <c r="J397" s="12" t="s">
        <v>188</v>
      </c>
      <c r="K397" s="12" t="s">
        <v>52</v>
      </c>
      <c r="L397" s="12" t="s">
        <v>280</v>
      </c>
      <c r="M397" s="12" t="s">
        <v>75</v>
      </c>
      <c r="N397" s="14">
        <v>0.12</v>
      </c>
      <c r="O397" s="23">
        <v>276.23</v>
      </c>
      <c r="P397">
        <v>123.46</v>
      </c>
      <c r="Q397" s="12" t="str" cm="1">
        <f t="array" ref="Q397:R397">VLOOKUP(E397,store[],{3,5},FALSE)</f>
        <v>East</v>
      </c>
      <c r="R397" t="str">
        <v>Flagship</v>
      </c>
      <c r="S397" s="4">
        <f t="shared" si="6"/>
        <v>1104.44</v>
      </c>
    </row>
    <row r="398" spans="1:19">
      <c r="A398" t="s">
        <v>985</v>
      </c>
      <c r="B398" s="3">
        <v>45407</v>
      </c>
      <c r="C398" t="s">
        <v>986</v>
      </c>
      <c r="D398" t="s">
        <v>928</v>
      </c>
      <c r="E398" t="s">
        <v>98</v>
      </c>
      <c r="F398">
        <v>3</v>
      </c>
      <c r="G398" t="s">
        <v>33</v>
      </c>
      <c r="H398">
        <v>49</v>
      </c>
      <c r="I398" s="12" t="s">
        <v>34</v>
      </c>
      <c r="J398" s="12" t="s">
        <v>91</v>
      </c>
      <c r="K398" s="12" t="s">
        <v>52</v>
      </c>
      <c r="L398" s="12" t="s">
        <v>929</v>
      </c>
      <c r="M398" s="12" t="s">
        <v>130</v>
      </c>
      <c r="N398" s="14">
        <v>0.1</v>
      </c>
      <c r="O398" s="23">
        <v>991.37</v>
      </c>
      <c r="P398">
        <v>245.77831168831199</v>
      </c>
      <c r="Q398" s="12" t="str" cm="1">
        <f t="array" ref="Q398:R398">VLOOKUP(E398,store[],{3,5},FALSE)</f>
        <v>South</v>
      </c>
      <c r="R398" t="str">
        <v>Outlet</v>
      </c>
      <c r="S398" s="4">
        <f t="shared" si="6"/>
        <v>2973.81</v>
      </c>
    </row>
    <row r="399" spans="1:19">
      <c r="A399" t="s">
        <v>987</v>
      </c>
      <c r="B399" s="3">
        <v>45929</v>
      </c>
      <c r="C399" t="s">
        <v>338</v>
      </c>
      <c r="D399" t="s">
        <v>279</v>
      </c>
      <c r="E399" t="s">
        <v>149</v>
      </c>
      <c r="F399">
        <v>3</v>
      </c>
      <c r="G399" t="s">
        <v>23</v>
      </c>
      <c r="H399">
        <v>36</v>
      </c>
      <c r="I399" s="12" t="s">
        <v>34</v>
      </c>
      <c r="J399" s="12" t="s">
        <v>235</v>
      </c>
      <c r="K399" s="12" t="s">
        <v>52</v>
      </c>
      <c r="L399" s="12" t="s">
        <v>280</v>
      </c>
      <c r="M399" s="12" t="s">
        <v>75</v>
      </c>
      <c r="N399" s="14">
        <v>0.05</v>
      </c>
      <c r="O399" s="23">
        <v>977.47</v>
      </c>
      <c r="P399">
        <v>123.46</v>
      </c>
      <c r="Q399" s="12" t="str" cm="1">
        <f t="array" ref="Q399:R399">VLOOKUP(E399,store[],{3,5},FALSE)</f>
        <v>East</v>
      </c>
      <c r="R399" t="str">
        <v>Flagship</v>
      </c>
      <c r="S399" s="4">
        <f t="shared" si="6"/>
        <v>2932.26</v>
      </c>
    </row>
    <row r="400" spans="1:19">
      <c r="A400" t="s">
        <v>988</v>
      </c>
      <c r="B400" s="3">
        <v>45844</v>
      </c>
      <c r="C400" t="s">
        <v>989</v>
      </c>
      <c r="D400" t="s">
        <v>242</v>
      </c>
      <c r="E400" t="s">
        <v>208</v>
      </c>
      <c r="F400">
        <v>2</v>
      </c>
      <c r="G400" t="s">
        <v>33</v>
      </c>
      <c r="H400">
        <v>26</v>
      </c>
      <c r="I400" s="12" t="s">
        <v>34</v>
      </c>
      <c r="J400" s="12" t="s">
        <v>51</v>
      </c>
      <c r="K400" s="12" t="s">
        <v>60</v>
      </c>
      <c r="L400" s="12" t="s">
        <v>243</v>
      </c>
      <c r="M400" s="12" t="s">
        <v>46</v>
      </c>
      <c r="N400" s="14">
        <v>0.2</v>
      </c>
      <c r="O400" s="23">
        <v>308.7</v>
      </c>
      <c r="P400">
        <v>358.47</v>
      </c>
      <c r="Q400" s="12" t="str" cm="1">
        <f t="array" ref="Q400:R400">VLOOKUP(E400,store[],{3,5},FALSE)</f>
        <v>North</v>
      </c>
      <c r="R400" t="str">
        <v>Online</v>
      </c>
      <c r="S400" s="4">
        <f t="shared" si="6"/>
        <v>617</v>
      </c>
    </row>
    <row r="401" spans="1:19">
      <c r="A401" t="s">
        <v>990</v>
      </c>
      <c r="B401" s="3">
        <v>45579</v>
      </c>
      <c r="C401" t="s">
        <v>343</v>
      </c>
      <c r="D401" t="s">
        <v>887</v>
      </c>
      <c r="E401" t="s">
        <v>117</v>
      </c>
      <c r="F401">
        <v>2</v>
      </c>
      <c r="G401" t="s">
        <v>33</v>
      </c>
      <c r="H401">
        <v>27</v>
      </c>
      <c r="I401" s="12" t="s">
        <v>34</v>
      </c>
      <c r="J401" s="12" t="s">
        <v>345</v>
      </c>
      <c r="K401" s="12" t="s">
        <v>346</v>
      </c>
      <c r="L401" s="12" t="s">
        <v>888</v>
      </c>
      <c r="M401" s="12" t="s">
        <v>46</v>
      </c>
      <c r="N401" s="14">
        <v>0.1</v>
      </c>
      <c r="O401" s="23">
        <v>733.87</v>
      </c>
      <c r="P401">
        <v>312.8</v>
      </c>
      <c r="Q401" s="12" t="str" cm="1">
        <f t="array" ref="Q401:R401">VLOOKUP(E401,store[],{3,5},FALSE)</f>
        <v>West</v>
      </c>
      <c r="R401" t="str">
        <v>Flagship</v>
      </c>
      <c r="S401" s="4">
        <f t="shared" si="6"/>
        <v>1467.54</v>
      </c>
    </row>
    <row r="402" spans="1:19">
      <c r="A402" t="s">
        <v>991</v>
      </c>
      <c r="B402" s="3">
        <v>45227</v>
      </c>
      <c r="C402" t="s">
        <v>294</v>
      </c>
      <c r="D402" t="s">
        <v>314</v>
      </c>
      <c r="E402" t="s">
        <v>117</v>
      </c>
      <c r="F402">
        <v>2</v>
      </c>
      <c r="G402" t="s">
        <v>33</v>
      </c>
      <c r="H402">
        <v>62</v>
      </c>
      <c r="I402" s="12" t="s">
        <v>34</v>
      </c>
      <c r="J402" s="12" t="s">
        <v>161</v>
      </c>
      <c r="K402" s="12" t="s">
        <v>52</v>
      </c>
      <c r="L402" s="12" t="s">
        <v>315</v>
      </c>
      <c r="M402" s="12" t="s">
        <v>28</v>
      </c>
      <c r="N402" s="14">
        <v>0.22</v>
      </c>
      <c r="O402" s="23">
        <v>22.47</v>
      </c>
      <c r="P402">
        <v>21.34</v>
      </c>
      <c r="Q402" s="12" t="str" cm="1">
        <f t="array" ref="Q402:R402">VLOOKUP(E402,store[],{3,5},FALSE)</f>
        <v>West</v>
      </c>
      <c r="R402" t="str">
        <v>Flagship</v>
      </c>
      <c r="S402" s="4">
        <f t="shared" si="6"/>
        <v>44.5</v>
      </c>
    </row>
    <row r="403" spans="1:19">
      <c r="A403" t="s">
        <v>992</v>
      </c>
      <c r="B403" s="3">
        <v>45380</v>
      </c>
      <c r="C403" t="s">
        <v>121</v>
      </c>
      <c r="D403" t="s">
        <v>509</v>
      </c>
      <c r="E403" t="s">
        <v>149</v>
      </c>
      <c r="F403">
        <v>4</v>
      </c>
      <c r="G403" t="s">
        <v>23</v>
      </c>
      <c r="H403">
        <v>55</v>
      </c>
      <c r="I403" s="12" t="s">
        <v>24</v>
      </c>
      <c r="J403" s="12" t="s">
        <v>44</v>
      </c>
      <c r="K403" s="12" t="s">
        <v>60</v>
      </c>
      <c r="L403" s="12" t="s">
        <v>511</v>
      </c>
      <c r="M403" s="12" t="s">
        <v>28</v>
      </c>
      <c r="N403" s="14">
        <v>0.13</v>
      </c>
      <c r="O403" s="23">
        <v>651.36</v>
      </c>
      <c r="P403">
        <v>30.62</v>
      </c>
      <c r="Q403" s="12" t="str" cm="1">
        <f t="array" ref="Q403:R403">VLOOKUP(E403,store[],{3,5},FALSE)</f>
        <v>East</v>
      </c>
      <c r="R403" t="str">
        <v>Flagship</v>
      </c>
      <c r="S403" s="4">
        <f t="shared" si="6"/>
        <v>2604.92</v>
      </c>
    </row>
    <row r="404" spans="1:19">
      <c r="A404" t="s">
        <v>993</v>
      </c>
      <c r="B404" s="3">
        <v>45817</v>
      </c>
      <c r="C404" t="s">
        <v>994</v>
      </c>
      <c r="D404" t="s">
        <v>480</v>
      </c>
      <c r="E404" t="s">
        <v>168</v>
      </c>
      <c r="F404">
        <v>1</v>
      </c>
      <c r="G404" t="s">
        <v>50</v>
      </c>
      <c r="H404">
        <v>28</v>
      </c>
      <c r="I404" s="12" t="s">
        <v>34</v>
      </c>
      <c r="J404" s="12" t="s">
        <v>356</v>
      </c>
      <c r="K404" s="12" t="s">
        <v>73</v>
      </c>
      <c r="L404" s="12" t="s">
        <v>481</v>
      </c>
      <c r="M404" s="12" t="s">
        <v>75</v>
      </c>
      <c r="N404" s="14">
        <v>0.04</v>
      </c>
      <c r="O404" s="23">
        <v>753.39</v>
      </c>
      <c r="P404">
        <v>48.01</v>
      </c>
      <c r="Q404" s="12" t="str" cm="1">
        <f t="array" ref="Q404:R404">VLOOKUP(E404,store[],{3,5},FALSE)</f>
        <v>East</v>
      </c>
      <c r="R404" t="str">
        <v>Online</v>
      </c>
      <c r="S404" s="4">
        <f t="shared" si="6"/>
        <v>753.35</v>
      </c>
    </row>
    <row r="405" spans="1:19">
      <c r="A405" t="s">
        <v>995</v>
      </c>
      <c r="B405" s="3">
        <v>45576</v>
      </c>
      <c r="C405" t="s">
        <v>513</v>
      </c>
      <c r="D405" t="s">
        <v>368</v>
      </c>
      <c r="E405" t="s">
        <v>208</v>
      </c>
      <c r="F405">
        <v>4</v>
      </c>
      <c r="G405" t="s">
        <v>50</v>
      </c>
      <c r="H405">
        <v>25</v>
      </c>
      <c r="I405" s="12" t="s">
        <v>34</v>
      </c>
      <c r="J405" s="12" t="s">
        <v>209</v>
      </c>
      <c r="K405" s="12" t="s">
        <v>73</v>
      </c>
      <c r="L405" s="12" t="s">
        <v>369</v>
      </c>
      <c r="M405" s="12" t="s">
        <v>46</v>
      </c>
      <c r="N405" s="14">
        <v>0.12</v>
      </c>
      <c r="O405" s="23">
        <v>849.17</v>
      </c>
      <c r="P405">
        <v>214.32</v>
      </c>
      <c r="Q405" s="12" t="str" cm="1">
        <f t="array" ref="Q405:R405">VLOOKUP(E405,store[],{3,5},FALSE)</f>
        <v>North</v>
      </c>
      <c r="R405" t="str">
        <v>Online</v>
      </c>
      <c r="S405" s="4">
        <f t="shared" si="6"/>
        <v>3396.2</v>
      </c>
    </row>
    <row r="406" spans="1:19">
      <c r="A406" t="s">
        <v>996</v>
      </c>
      <c r="B406" s="3">
        <v>45495</v>
      </c>
      <c r="C406" t="s">
        <v>997</v>
      </c>
      <c r="D406" t="s">
        <v>291</v>
      </c>
      <c r="E406" t="s">
        <v>90</v>
      </c>
      <c r="F406">
        <v>4</v>
      </c>
      <c r="G406" t="s">
        <v>50</v>
      </c>
      <c r="H406">
        <v>34</v>
      </c>
      <c r="I406" s="12" t="s">
        <v>34</v>
      </c>
      <c r="J406" s="12" t="s">
        <v>106</v>
      </c>
      <c r="K406" s="12" t="s">
        <v>26</v>
      </c>
      <c r="L406" s="12" t="s">
        <v>292</v>
      </c>
      <c r="M406" s="12" t="s">
        <v>28</v>
      </c>
      <c r="N406" s="14">
        <v>0.25</v>
      </c>
      <c r="O406" s="23">
        <v>585.45000000000005</v>
      </c>
      <c r="P406">
        <v>131.51</v>
      </c>
      <c r="Q406" s="12" t="str" cm="1">
        <f t="array" ref="Q406:R406">VLOOKUP(E406,store[],{3,5},FALSE)</f>
        <v>East</v>
      </c>
      <c r="R406" t="str">
        <v>Flagship</v>
      </c>
      <c r="S406" s="4">
        <f t="shared" si="6"/>
        <v>2340.8000000000002</v>
      </c>
    </row>
    <row r="407" spans="1:19">
      <c r="A407" t="s">
        <v>998</v>
      </c>
      <c r="B407" s="3">
        <v>45628</v>
      </c>
      <c r="C407" t="s">
        <v>166</v>
      </c>
      <c r="D407" t="s">
        <v>213</v>
      </c>
      <c r="E407" t="s">
        <v>117</v>
      </c>
      <c r="F407">
        <v>1</v>
      </c>
      <c r="G407" t="s">
        <v>50</v>
      </c>
      <c r="H407">
        <v>33</v>
      </c>
      <c r="I407" s="12" t="s">
        <v>34</v>
      </c>
      <c r="J407" s="12" t="s">
        <v>169</v>
      </c>
      <c r="K407" s="12" t="s">
        <v>26</v>
      </c>
      <c r="L407" s="12" t="s">
        <v>215</v>
      </c>
      <c r="M407" s="12" t="s">
        <v>130</v>
      </c>
      <c r="N407" s="14">
        <v>0.25</v>
      </c>
      <c r="O407" s="23">
        <v>745.15</v>
      </c>
      <c r="P407">
        <v>158.13999999999999</v>
      </c>
      <c r="Q407" s="12" t="str" cm="1">
        <f t="array" ref="Q407:R407">VLOOKUP(E407,store[],{3,5},FALSE)</f>
        <v>West</v>
      </c>
      <c r="R407" t="str">
        <v>Flagship</v>
      </c>
      <c r="S407" s="4">
        <f t="shared" si="6"/>
        <v>744.9</v>
      </c>
    </row>
    <row r="408" spans="1:19">
      <c r="A408" t="s">
        <v>999</v>
      </c>
      <c r="B408" s="3">
        <v>45244</v>
      </c>
      <c r="C408" t="s">
        <v>1000</v>
      </c>
      <c r="D408" t="s">
        <v>85</v>
      </c>
      <c r="E408" t="s">
        <v>198</v>
      </c>
      <c r="F408">
        <v>1</v>
      </c>
      <c r="G408" t="s">
        <v>50</v>
      </c>
      <c r="H408">
        <v>61</v>
      </c>
      <c r="I408" s="12" t="s">
        <v>34</v>
      </c>
      <c r="J408" s="12" t="s">
        <v>932</v>
      </c>
      <c r="K408" s="12" t="s">
        <v>26</v>
      </c>
      <c r="L408" s="12" t="s">
        <v>86</v>
      </c>
      <c r="M408" s="12" t="s">
        <v>75</v>
      </c>
      <c r="N408" s="14">
        <v>0.04</v>
      </c>
      <c r="O408" s="23">
        <v>848.69</v>
      </c>
      <c r="P408">
        <v>201.41</v>
      </c>
      <c r="Q408" s="12" t="str" cm="1">
        <f t="array" ref="Q408:R408">VLOOKUP(E408,store[],{3,5},FALSE)</f>
        <v>South</v>
      </c>
      <c r="R408" t="str">
        <v>Outlet</v>
      </c>
      <c r="S408" s="4">
        <f t="shared" si="6"/>
        <v>848.65</v>
      </c>
    </row>
    <row r="409" spans="1:19">
      <c r="A409" t="s">
        <v>1001</v>
      </c>
      <c r="B409" s="3">
        <v>45336</v>
      </c>
      <c r="C409" t="s">
        <v>1002</v>
      </c>
      <c r="D409" t="s">
        <v>79</v>
      </c>
      <c r="E409" t="s">
        <v>98</v>
      </c>
      <c r="F409">
        <v>2</v>
      </c>
      <c r="G409" t="s">
        <v>33</v>
      </c>
      <c r="H409">
        <v>59</v>
      </c>
      <c r="I409" s="12" t="s">
        <v>34</v>
      </c>
      <c r="J409" s="12" t="s">
        <v>128</v>
      </c>
      <c r="K409" s="12" t="s">
        <v>73</v>
      </c>
      <c r="L409" s="12" t="s">
        <v>81</v>
      </c>
      <c r="M409" s="12" t="s">
        <v>75</v>
      </c>
      <c r="N409" s="14">
        <v>0.1</v>
      </c>
      <c r="O409" s="23">
        <v>247.67</v>
      </c>
      <c r="P409">
        <v>138.05000000000001</v>
      </c>
      <c r="Q409" s="12" t="str" cm="1">
        <f t="array" ref="Q409:R409">VLOOKUP(E409,store[],{3,5},FALSE)</f>
        <v>South</v>
      </c>
      <c r="R409" t="str">
        <v>Outlet</v>
      </c>
      <c r="S409" s="4">
        <f t="shared" si="6"/>
        <v>495.14</v>
      </c>
    </row>
    <row r="410" spans="1:19">
      <c r="A410" t="s">
        <v>1003</v>
      </c>
      <c r="B410" s="3">
        <v>45465</v>
      </c>
      <c r="C410" t="s">
        <v>1004</v>
      </c>
      <c r="D410" t="s">
        <v>31</v>
      </c>
      <c r="E410" t="s">
        <v>22</v>
      </c>
      <c r="F410">
        <v>3</v>
      </c>
      <c r="G410" t="s">
        <v>33</v>
      </c>
      <c r="H410">
        <v>55</v>
      </c>
      <c r="I410" s="12" t="s">
        <v>34</v>
      </c>
      <c r="J410" s="12" t="s">
        <v>209</v>
      </c>
      <c r="K410" s="12" t="s">
        <v>26</v>
      </c>
      <c r="L410" s="12" t="s">
        <v>36</v>
      </c>
      <c r="M410" s="12" t="s">
        <v>37</v>
      </c>
      <c r="N410" s="14">
        <v>0.02</v>
      </c>
      <c r="O410" s="23">
        <v>220.51</v>
      </c>
      <c r="P410">
        <v>403.71</v>
      </c>
      <c r="Q410" s="12" t="str" cm="1">
        <f t="array" ref="Q410:R410">VLOOKUP(E410,store[],{3,5},FALSE)</f>
        <v>North</v>
      </c>
      <c r="R410" t="str">
        <v>Outlet</v>
      </c>
      <c r="S410" s="4">
        <f t="shared" si="6"/>
        <v>661.47</v>
      </c>
    </row>
    <row r="411" spans="1:19">
      <c r="A411" t="s">
        <v>1005</v>
      </c>
      <c r="B411" s="3">
        <v>45837</v>
      </c>
      <c r="C411" t="s">
        <v>388</v>
      </c>
      <c r="D411" t="s">
        <v>65</v>
      </c>
      <c r="E411" t="s">
        <v>117</v>
      </c>
      <c r="F411">
        <v>4</v>
      </c>
      <c r="G411" t="s">
        <v>23</v>
      </c>
      <c r="H411">
        <v>62</v>
      </c>
      <c r="I411" s="12" t="s">
        <v>34</v>
      </c>
      <c r="J411" s="12" t="s">
        <v>161</v>
      </c>
      <c r="K411" s="12" t="s">
        <v>73</v>
      </c>
      <c r="L411" s="12" t="s">
        <v>68</v>
      </c>
      <c r="M411" s="12" t="s">
        <v>37</v>
      </c>
      <c r="N411" s="14">
        <v>0.08</v>
      </c>
      <c r="O411" s="23">
        <v>370.63</v>
      </c>
      <c r="P411">
        <v>465.34</v>
      </c>
      <c r="Q411" s="12" t="str" cm="1">
        <f t="array" ref="Q411:R411">VLOOKUP(E411,store[],{3,5},FALSE)</f>
        <v>West</v>
      </c>
      <c r="R411" t="str">
        <v>Flagship</v>
      </c>
      <c r="S411" s="4">
        <f t="shared" si="6"/>
        <v>1482.2</v>
      </c>
    </row>
    <row r="412" spans="1:19">
      <c r="A412" t="s">
        <v>1006</v>
      </c>
      <c r="B412" s="3">
        <v>45706</v>
      </c>
      <c r="C412" t="s">
        <v>1007</v>
      </c>
      <c r="D412" t="s">
        <v>255</v>
      </c>
      <c r="E412" t="s">
        <v>135</v>
      </c>
      <c r="F412">
        <v>4</v>
      </c>
      <c r="G412" t="s">
        <v>23</v>
      </c>
      <c r="H412">
        <v>40</v>
      </c>
      <c r="I412" s="12" t="s">
        <v>34</v>
      </c>
      <c r="J412" s="12" t="s">
        <v>609</v>
      </c>
      <c r="K412" s="12" t="s">
        <v>73</v>
      </c>
      <c r="L412" s="12" t="s">
        <v>257</v>
      </c>
      <c r="M412" s="12" t="s">
        <v>75</v>
      </c>
      <c r="N412" s="14">
        <v>0.11</v>
      </c>
      <c r="O412" s="23">
        <v>349.84</v>
      </c>
      <c r="P412">
        <v>218.48</v>
      </c>
      <c r="Q412" s="12" t="str" cm="1">
        <f t="array" ref="Q412:R412">VLOOKUP(E412,store[],{3,5},FALSE)</f>
        <v>East</v>
      </c>
      <c r="R412" t="str">
        <v>Online</v>
      </c>
      <c r="S412" s="4">
        <f t="shared" si="6"/>
        <v>1398.92</v>
      </c>
    </row>
    <row r="413" spans="1:19">
      <c r="A413" t="s">
        <v>1008</v>
      </c>
      <c r="B413" s="3">
        <v>45823</v>
      </c>
      <c r="C413" t="s">
        <v>1009</v>
      </c>
      <c r="D413" t="s">
        <v>104</v>
      </c>
      <c r="E413" t="s">
        <v>208</v>
      </c>
      <c r="F413">
        <v>1</v>
      </c>
      <c r="G413" t="s">
        <v>50</v>
      </c>
      <c r="H413">
        <v>45</v>
      </c>
      <c r="I413" s="12" t="s">
        <v>24</v>
      </c>
      <c r="J413" s="12" t="s">
        <v>35</v>
      </c>
      <c r="K413" s="12" t="s">
        <v>26</v>
      </c>
      <c r="L413" s="12" t="s">
        <v>107</v>
      </c>
      <c r="M413" s="12" t="s">
        <v>37</v>
      </c>
      <c r="N413" s="14">
        <v>0.1</v>
      </c>
      <c r="O413" s="23">
        <v>770.87</v>
      </c>
      <c r="P413">
        <v>326.06</v>
      </c>
      <c r="Q413" s="12" t="str" cm="1">
        <f t="array" ref="Q413:R413">VLOOKUP(E413,store[],{3,5},FALSE)</f>
        <v>North</v>
      </c>
      <c r="R413" t="str">
        <v>Online</v>
      </c>
      <c r="S413" s="4">
        <f t="shared" si="6"/>
        <v>770.77</v>
      </c>
    </row>
    <row r="414" spans="1:19">
      <c r="A414" t="s">
        <v>1010</v>
      </c>
      <c r="B414" s="3">
        <v>45518</v>
      </c>
      <c r="C414" t="s">
        <v>853</v>
      </c>
      <c r="D414" t="s">
        <v>85</v>
      </c>
      <c r="E414" t="s">
        <v>32</v>
      </c>
      <c r="F414">
        <v>3</v>
      </c>
      <c r="G414" t="s">
        <v>33</v>
      </c>
      <c r="H414">
        <v>40</v>
      </c>
      <c r="I414" s="12" t="s">
        <v>24</v>
      </c>
      <c r="J414" s="12" t="s">
        <v>356</v>
      </c>
      <c r="K414" s="12" t="s">
        <v>73</v>
      </c>
      <c r="L414" s="12" t="s">
        <v>86</v>
      </c>
      <c r="M414" s="12" t="s">
        <v>75</v>
      </c>
      <c r="N414" s="14">
        <v>0.06</v>
      </c>
      <c r="O414" s="23">
        <v>507.33</v>
      </c>
      <c r="P414">
        <v>201.41</v>
      </c>
      <c r="Q414" s="12" t="str" cm="1">
        <f t="array" ref="Q414:R414">VLOOKUP(E414,store[],{3,5},FALSE)</f>
        <v>North</v>
      </c>
      <c r="R414" t="str">
        <v>Flagship</v>
      </c>
      <c r="S414" s="4">
        <f t="shared" si="6"/>
        <v>1521.81</v>
      </c>
    </row>
    <row r="415" spans="1:19">
      <c r="A415" t="s">
        <v>1011</v>
      </c>
      <c r="B415" s="3">
        <v>45863</v>
      </c>
      <c r="C415" t="s">
        <v>670</v>
      </c>
      <c r="D415" t="s">
        <v>532</v>
      </c>
      <c r="E415" t="s">
        <v>127</v>
      </c>
      <c r="F415">
        <v>1</v>
      </c>
      <c r="G415" t="s">
        <v>23</v>
      </c>
      <c r="H415">
        <v>54</v>
      </c>
      <c r="I415" s="12" t="s">
        <v>34</v>
      </c>
      <c r="J415" s="12" t="s">
        <v>204</v>
      </c>
      <c r="K415" s="12" t="s">
        <v>52</v>
      </c>
      <c r="L415" s="12" t="s">
        <v>533</v>
      </c>
      <c r="M415" s="12" t="s">
        <v>46</v>
      </c>
      <c r="N415" s="14">
        <v>0.06</v>
      </c>
      <c r="O415" s="23">
        <v>87.78</v>
      </c>
      <c r="P415">
        <v>340.39</v>
      </c>
      <c r="Q415" s="12" t="str" cm="1">
        <f t="array" ref="Q415:R415">VLOOKUP(E415,store[],{3,5},FALSE)</f>
        <v>South</v>
      </c>
      <c r="R415" t="str">
        <v>Flagship</v>
      </c>
      <c r="S415" s="4">
        <f t="shared" si="6"/>
        <v>87.72</v>
      </c>
    </row>
    <row r="416" spans="1:19">
      <c r="A416" t="s">
        <v>1012</v>
      </c>
      <c r="B416" s="3">
        <v>45666</v>
      </c>
      <c r="C416" t="s">
        <v>1013</v>
      </c>
      <c r="D416" t="s">
        <v>317</v>
      </c>
      <c r="E416" t="s">
        <v>72</v>
      </c>
      <c r="F416">
        <v>2</v>
      </c>
      <c r="G416" t="s">
        <v>23</v>
      </c>
      <c r="H416">
        <v>29</v>
      </c>
      <c r="I416" s="12" t="s">
        <v>34</v>
      </c>
      <c r="J416" s="12" t="s">
        <v>345</v>
      </c>
      <c r="K416" s="12" t="s">
        <v>52</v>
      </c>
      <c r="L416" s="12" t="s">
        <v>318</v>
      </c>
      <c r="M416" s="12" t="s">
        <v>37</v>
      </c>
      <c r="N416" s="14">
        <v>0.22</v>
      </c>
      <c r="O416" s="23">
        <v>772.24</v>
      </c>
      <c r="P416">
        <v>377.52</v>
      </c>
      <c r="Q416" s="12" t="str" cm="1">
        <f t="array" ref="Q416:R416">VLOOKUP(E416,store[],{3,5},FALSE)</f>
        <v>South</v>
      </c>
      <c r="R416" t="str">
        <v>Online</v>
      </c>
      <c r="S416" s="4">
        <f t="shared" si="6"/>
        <v>1544.04</v>
      </c>
    </row>
    <row r="417" spans="1:19">
      <c r="A417" t="s">
        <v>1014</v>
      </c>
      <c r="B417" s="3">
        <v>45813</v>
      </c>
      <c r="C417" t="s">
        <v>857</v>
      </c>
      <c r="D417" t="s">
        <v>79</v>
      </c>
      <c r="E417" t="s">
        <v>98</v>
      </c>
      <c r="F417">
        <v>1</v>
      </c>
      <c r="G417" t="s">
        <v>50</v>
      </c>
      <c r="H417">
        <v>54</v>
      </c>
      <c r="I417" s="12" t="s">
        <v>34</v>
      </c>
      <c r="J417" s="12" t="s">
        <v>99</v>
      </c>
      <c r="K417" s="12" t="s">
        <v>60</v>
      </c>
      <c r="L417" s="12" t="s">
        <v>81</v>
      </c>
      <c r="M417" s="12" t="s">
        <v>75</v>
      </c>
      <c r="N417" s="14">
        <v>0.1</v>
      </c>
      <c r="O417" s="23">
        <v>108.27</v>
      </c>
      <c r="P417">
        <v>138.05000000000001</v>
      </c>
      <c r="Q417" s="12" t="str" cm="1">
        <f t="array" ref="Q417:R417">VLOOKUP(E417,store[],{3,5},FALSE)</f>
        <v>South</v>
      </c>
      <c r="R417" t="str">
        <v>Outlet</v>
      </c>
      <c r="S417" s="4">
        <f t="shared" si="6"/>
        <v>108.17</v>
      </c>
    </row>
    <row r="418" spans="1:19">
      <c r="A418" t="s">
        <v>1015</v>
      </c>
      <c r="B418" s="3">
        <v>45633</v>
      </c>
      <c r="C418" t="s">
        <v>977</v>
      </c>
      <c r="D418" t="s">
        <v>340</v>
      </c>
      <c r="E418" t="s">
        <v>32</v>
      </c>
      <c r="F418">
        <v>2</v>
      </c>
      <c r="G418" t="s">
        <v>33</v>
      </c>
      <c r="H418">
        <v>39</v>
      </c>
      <c r="I418" s="12" t="s">
        <v>34</v>
      </c>
      <c r="J418" s="12" t="s">
        <v>440</v>
      </c>
      <c r="K418" s="12" t="s">
        <v>26</v>
      </c>
      <c r="L418" s="12" t="s">
        <v>341</v>
      </c>
      <c r="M418" s="12" t="s">
        <v>28</v>
      </c>
      <c r="N418" s="14">
        <v>0.21</v>
      </c>
      <c r="O418" s="23">
        <v>839.24</v>
      </c>
      <c r="P418">
        <v>135.61000000000001</v>
      </c>
      <c r="Q418" s="12" t="str" cm="1">
        <f t="array" ref="Q418:R418">VLOOKUP(E418,store[],{3,5},FALSE)</f>
        <v>North</v>
      </c>
      <c r="R418" t="str">
        <v>Flagship</v>
      </c>
      <c r="S418" s="4">
        <f t="shared" si="6"/>
        <v>1678.06</v>
      </c>
    </row>
    <row r="419" spans="1:19">
      <c r="A419" t="s">
        <v>1016</v>
      </c>
      <c r="B419" s="3">
        <v>45331</v>
      </c>
      <c r="C419" t="s">
        <v>1017</v>
      </c>
      <c r="D419" t="s">
        <v>714</v>
      </c>
      <c r="E419" t="s">
        <v>168</v>
      </c>
      <c r="F419">
        <v>2</v>
      </c>
      <c r="G419" t="s">
        <v>33</v>
      </c>
      <c r="H419">
        <v>27</v>
      </c>
      <c r="I419" s="12" t="s">
        <v>34</v>
      </c>
      <c r="J419" s="12" t="s">
        <v>457</v>
      </c>
      <c r="K419" s="12" t="s">
        <v>60</v>
      </c>
      <c r="L419" s="12" t="s">
        <v>715</v>
      </c>
      <c r="M419" s="12" t="s">
        <v>130</v>
      </c>
      <c r="N419" s="14">
        <v>0.11</v>
      </c>
      <c r="O419" s="23">
        <v>466.27</v>
      </c>
      <c r="P419">
        <v>113.83</v>
      </c>
      <c r="Q419" s="12" t="str" cm="1">
        <f t="array" ref="Q419:R419">VLOOKUP(E419,store[],{3,5},FALSE)</f>
        <v>East</v>
      </c>
      <c r="R419" t="str">
        <v>Online</v>
      </c>
      <c r="S419" s="4">
        <f t="shared" si="6"/>
        <v>932.32</v>
      </c>
    </row>
    <row r="420" spans="1:19">
      <c r="A420" t="s">
        <v>1018</v>
      </c>
      <c r="B420" s="3">
        <v>45942</v>
      </c>
      <c r="C420" t="s">
        <v>212</v>
      </c>
      <c r="D420" t="s">
        <v>661</v>
      </c>
      <c r="E420" t="s">
        <v>98</v>
      </c>
      <c r="F420">
        <v>3</v>
      </c>
      <c r="G420" t="s">
        <v>23</v>
      </c>
      <c r="H420">
        <v>54</v>
      </c>
      <c r="I420" s="12" t="s">
        <v>24</v>
      </c>
      <c r="J420" s="12" t="s">
        <v>214</v>
      </c>
      <c r="K420" s="12" t="s">
        <v>73</v>
      </c>
      <c r="L420" s="12" t="s">
        <v>662</v>
      </c>
      <c r="M420" s="12" t="s">
        <v>37</v>
      </c>
      <c r="N420" s="14">
        <v>0.02</v>
      </c>
      <c r="O420" s="23">
        <v>969.83</v>
      </c>
      <c r="P420">
        <v>86.42</v>
      </c>
      <c r="Q420" s="12" t="str" cm="1">
        <f t="array" ref="Q420:R420">VLOOKUP(E420,store[],{3,5},FALSE)</f>
        <v>South</v>
      </c>
      <c r="R420" t="str">
        <v>Outlet</v>
      </c>
      <c r="S420" s="4">
        <f t="shared" si="6"/>
        <v>2909.43</v>
      </c>
    </row>
    <row r="421" spans="1:19">
      <c r="A421" t="s">
        <v>1019</v>
      </c>
      <c r="B421" s="3">
        <v>45824</v>
      </c>
      <c r="C421" t="s">
        <v>825</v>
      </c>
      <c r="D421" t="s">
        <v>372</v>
      </c>
      <c r="E421" t="s">
        <v>135</v>
      </c>
      <c r="F421">
        <v>2</v>
      </c>
      <c r="G421" t="s">
        <v>33</v>
      </c>
      <c r="H421">
        <v>64</v>
      </c>
      <c r="I421" s="12" t="s">
        <v>34</v>
      </c>
      <c r="J421" s="12" t="s">
        <v>256</v>
      </c>
      <c r="K421" s="12" t="s">
        <v>73</v>
      </c>
      <c r="L421" s="12" t="s">
        <v>374</v>
      </c>
      <c r="M421" s="12" t="s">
        <v>130</v>
      </c>
      <c r="N421" s="14">
        <v>0.17</v>
      </c>
      <c r="O421" s="23">
        <v>782.11</v>
      </c>
      <c r="P421">
        <v>438.25</v>
      </c>
      <c r="Q421" s="12" t="str" cm="1">
        <f t="array" ref="Q421:R421">VLOOKUP(E421,store[],{3,5},FALSE)</f>
        <v>East</v>
      </c>
      <c r="R421" t="str">
        <v>Online</v>
      </c>
      <c r="S421" s="4">
        <f t="shared" si="6"/>
        <v>1563.88</v>
      </c>
    </row>
    <row r="422" spans="1:19">
      <c r="A422" t="s">
        <v>1020</v>
      </c>
      <c r="B422" s="3">
        <v>45921</v>
      </c>
      <c r="C422" t="s">
        <v>851</v>
      </c>
      <c r="D422" t="s">
        <v>295</v>
      </c>
      <c r="E422" t="s">
        <v>272</v>
      </c>
      <c r="F422">
        <v>2</v>
      </c>
      <c r="G422" t="s">
        <v>33</v>
      </c>
      <c r="H422">
        <v>46</v>
      </c>
      <c r="I422" s="12" t="s">
        <v>24</v>
      </c>
      <c r="J422" s="12" t="s">
        <v>222</v>
      </c>
      <c r="K422" s="12" t="s">
        <v>26</v>
      </c>
      <c r="L422" s="12" t="s">
        <v>296</v>
      </c>
      <c r="M422" s="12" t="s">
        <v>37</v>
      </c>
      <c r="N422" s="14">
        <v>0.01</v>
      </c>
      <c r="O422" s="23">
        <v>74.63</v>
      </c>
      <c r="P422">
        <v>38.520000000000003</v>
      </c>
      <c r="Q422" s="12" t="str" cm="1">
        <f t="array" ref="Q422:R422">VLOOKUP(E422,store[],{3,5},FALSE)</f>
        <v>South</v>
      </c>
      <c r="R422" t="str">
        <v>Online</v>
      </c>
      <c r="S422" s="4">
        <f t="shared" si="6"/>
        <v>149.24</v>
      </c>
    </row>
    <row r="423" spans="1:19">
      <c r="A423" t="s">
        <v>1021</v>
      </c>
      <c r="B423" s="3">
        <v>45909</v>
      </c>
      <c r="C423" t="s">
        <v>442</v>
      </c>
      <c r="D423" t="s">
        <v>462</v>
      </c>
      <c r="E423" t="s">
        <v>179</v>
      </c>
      <c r="F423">
        <v>3</v>
      </c>
      <c r="G423" t="s">
        <v>33</v>
      </c>
      <c r="H423">
        <v>21</v>
      </c>
      <c r="I423" s="12" t="s">
        <v>24</v>
      </c>
      <c r="J423" s="12" t="s">
        <v>444</v>
      </c>
      <c r="K423" s="12" t="s">
        <v>52</v>
      </c>
      <c r="L423" s="12" t="s">
        <v>464</v>
      </c>
      <c r="M423" s="12" t="s">
        <v>130</v>
      </c>
      <c r="N423" s="14">
        <v>0.25</v>
      </c>
      <c r="O423" s="23">
        <v>522.78</v>
      </c>
      <c r="P423">
        <v>119.57</v>
      </c>
      <c r="Q423" s="12" t="str" cm="1">
        <f t="array" ref="Q423:R423">VLOOKUP(E423,store[],{3,5},FALSE)</f>
        <v>East</v>
      </c>
      <c r="R423" t="str">
        <v>Online</v>
      </c>
      <c r="S423" s="4">
        <f t="shared" si="6"/>
        <v>1567.59</v>
      </c>
    </row>
    <row r="424" spans="1:19">
      <c r="A424" t="s">
        <v>1022</v>
      </c>
      <c r="B424" s="3">
        <v>45853</v>
      </c>
      <c r="C424" t="s">
        <v>439</v>
      </c>
      <c r="D424" t="s">
        <v>197</v>
      </c>
      <c r="E424" t="s">
        <v>122</v>
      </c>
      <c r="F424">
        <v>1</v>
      </c>
      <c r="G424" t="s">
        <v>33</v>
      </c>
      <c r="H424">
        <v>46</v>
      </c>
      <c r="I424" s="12" t="s">
        <v>34</v>
      </c>
      <c r="J424" s="12" t="s">
        <v>440</v>
      </c>
      <c r="K424" s="12" t="s">
        <v>60</v>
      </c>
      <c r="L424" s="12" t="s">
        <v>200</v>
      </c>
      <c r="M424" s="12" t="s">
        <v>37</v>
      </c>
      <c r="N424" s="14">
        <v>0.15</v>
      </c>
      <c r="O424" s="23">
        <v>206.45</v>
      </c>
      <c r="P424">
        <v>242.23</v>
      </c>
      <c r="Q424" s="12" t="str" cm="1">
        <f t="array" ref="Q424:R424">VLOOKUP(E424,store[],{3,5},FALSE)</f>
        <v>North</v>
      </c>
      <c r="R424" t="str">
        <v>Flagship</v>
      </c>
      <c r="S424" s="4">
        <f t="shared" si="6"/>
        <v>206.3</v>
      </c>
    </row>
    <row r="425" spans="1:19">
      <c r="A425" t="s">
        <v>1023</v>
      </c>
      <c r="B425" s="3">
        <v>45580</v>
      </c>
      <c r="C425" t="s">
        <v>1024</v>
      </c>
      <c r="D425" t="s">
        <v>167</v>
      </c>
      <c r="E425" t="s">
        <v>58</v>
      </c>
      <c r="F425">
        <v>1</v>
      </c>
      <c r="G425" t="s">
        <v>33</v>
      </c>
      <c r="H425">
        <v>46</v>
      </c>
      <c r="I425" s="12" t="s">
        <v>24</v>
      </c>
      <c r="J425" s="12" t="s">
        <v>260</v>
      </c>
      <c r="K425" s="12" t="s">
        <v>52</v>
      </c>
      <c r="L425" s="12" t="s">
        <v>170</v>
      </c>
      <c r="M425" s="12" t="s">
        <v>130</v>
      </c>
      <c r="N425" s="14">
        <v>0.3</v>
      </c>
      <c r="O425" s="23">
        <v>815.53</v>
      </c>
      <c r="P425">
        <v>218.22</v>
      </c>
      <c r="Q425" s="12" t="str" cm="1">
        <f t="array" ref="Q425:R425">VLOOKUP(E425,store[],{3,5},FALSE)</f>
        <v>North</v>
      </c>
      <c r="R425" t="str">
        <v>Outlet</v>
      </c>
      <c r="S425" s="4">
        <f t="shared" si="6"/>
        <v>815.23</v>
      </c>
    </row>
    <row r="426" spans="1:19">
      <c r="A426" t="s">
        <v>1025</v>
      </c>
      <c r="B426" s="3">
        <v>45220</v>
      </c>
      <c r="C426" t="s">
        <v>343</v>
      </c>
      <c r="D426" t="s">
        <v>221</v>
      </c>
      <c r="E426" t="s">
        <v>149</v>
      </c>
      <c r="F426">
        <v>1</v>
      </c>
      <c r="G426" t="s">
        <v>50</v>
      </c>
      <c r="H426">
        <v>27</v>
      </c>
      <c r="I426" s="12" t="s">
        <v>34</v>
      </c>
      <c r="J426" s="12" t="s">
        <v>345</v>
      </c>
      <c r="K426" s="12" t="s">
        <v>346</v>
      </c>
      <c r="L426" s="12" t="s">
        <v>223</v>
      </c>
      <c r="M426" s="12" t="s">
        <v>75</v>
      </c>
      <c r="N426" s="14">
        <v>0.28000000000000003</v>
      </c>
      <c r="O426" s="23">
        <v>823.61</v>
      </c>
      <c r="P426">
        <v>228.53</v>
      </c>
      <c r="Q426" s="12" t="str" cm="1">
        <f t="array" ref="Q426:R426">VLOOKUP(E426,store[],{3,5},FALSE)</f>
        <v>East</v>
      </c>
      <c r="R426" t="str">
        <v>Flagship</v>
      </c>
      <c r="S426" s="4">
        <f t="shared" si="6"/>
        <v>823.33</v>
      </c>
    </row>
    <row r="427" spans="1:19">
      <c r="A427" t="s">
        <v>1026</v>
      </c>
      <c r="B427" s="3">
        <v>45807</v>
      </c>
      <c r="C427" t="s">
        <v>615</v>
      </c>
      <c r="D427" t="s">
        <v>514</v>
      </c>
      <c r="E427" t="s">
        <v>127</v>
      </c>
      <c r="F427">
        <v>2</v>
      </c>
      <c r="G427" t="s">
        <v>23</v>
      </c>
      <c r="H427">
        <v>59</v>
      </c>
      <c r="I427" s="12" t="s">
        <v>24</v>
      </c>
      <c r="J427" s="12" t="s">
        <v>345</v>
      </c>
      <c r="K427" s="12" t="s">
        <v>26</v>
      </c>
      <c r="L427" s="12" t="s">
        <v>515</v>
      </c>
      <c r="M427" s="12" t="s">
        <v>75</v>
      </c>
      <c r="N427" s="14">
        <v>0</v>
      </c>
      <c r="O427" s="23">
        <v>209.96</v>
      </c>
      <c r="P427">
        <v>371.38</v>
      </c>
      <c r="Q427" s="12" t="str" cm="1">
        <f t="array" ref="Q427:R427">VLOOKUP(E427,store[],{3,5},FALSE)</f>
        <v>South</v>
      </c>
      <c r="R427" t="str">
        <v>Flagship</v>
      </c>
      <c r="S427" s="4">
        <f t="shared" si="6"/>
        <v>419.92</v>
      </c>
    </row>
    <row r="428" spans="1:19">
      <c r="A428" t="s">
        <v>1027</v>
      </c>
      <c r="B428" s="3">
        <v>45462</v>
      </c>
      <c r="C428" t="s">
        <v>595</v>
      </c>
      <c r="D428" t="s">
        <v>768</v>
      </c>
      <c r="E428" t="s">
        <v>117</v>
      </c>
      <c r="F428">
        <v>4</v>
      </c>
      <c r="G428" t="s">
        <v>50</v>
      </c>
      <c r="H428">
        <v>56</v>
      </c>
      <c r="I428" s="12" t="s">
        <v>24</v>
      </c>
      <c r="J428" s="12" t="s">
        <v>218</v>
      </c>
      <c r="K428" s="12" t="s">
        <v>52</v>
      </c>
      <c r="L428" s="12" t="s">
        <v>769</v>
      </c>
      <c r="M428" s="12" t="s">
        <v>37</v>
      </c>
      <c r="N428" s="14">
        <v>0.05</v>
      </c>
      <c r="O428" s="23">
        <v>897.93</v>
      </c>
      <c r="P428">
        <v>112.42</v>
      </c>
      <c r="Q428" s="12" t="str" cm="1">
        <f t="array" ref="Q428:R428">VLOOKUP(E428,store[],{3,5},FALSE)</f>
        <v>West</v>
      </c>
      <c r="R428" t="str">
        <v>Flagship</v>
      </c>
      <c r="S428" s="4">
        <f t="shared" si="6"/>
        <v>3591.52</v>
      </c>
    </row>
    <row r="429" spans="1:19">
      <c r="A429" t="s">
        <v>1028</v>
      </c>
      <c r="B429" s="3">
        <v>45646</v>
      </c>
      <c r="C429" t="s">
        <v>1029</v>
      </c>
      <c r="D429" t="s">
        <v>625</v>
      </c>
      <c r="E429" t="s">
        <v>90</v>
      </c>
      <c r="F429">
        <v>4</v>
      </c>
      <c r="G429" t="s">
        <v>50</v>
      </c>
      <c r="H429">
        <v>60</v>
      </c>
      <c r="I429" s="12" t="s">
        <v>24</v>
      </c>
      <c r="J429" s="12" t="s">
        <v>161</v>
      </c>
      <c r="K429" s="12" t="s">
        <v>73</v>
      </c>
      <c r="L429" s="12" t="s">
        <v>626</v>
      </c>
      <c r="M429" s="12" t="s">
        <v>46</v>
      </c>
      <c r="N429" s="14">
        <v>0.16</v>
      </c>
      <c r="O429" s="23">
        <v>925.95</v>
      </c>
      <c r="P429">
        <v>266.86</v>
      </c>
      <c r="Q429" s="12" t="str" cm="1">
        <f t="array" ref="Q429:R429">VLOOKUP(E429,store[],{3,5},FALSE)</f>
        <v>East</v>
      </c>
      <c r="R429" t="str">
        <v>Flagship</v>
      </c>
      <c r="S429" s="4">
        <f t="shared" si="6"/>
        <v>3703.16</v>
      </c>
    </row>
    <row r="430" spans="1:19">
      <c r="A430" t="s">
        <v>1030</v>
      </c>
      <c r="B430" s="3">
        <v>45520</v>
      </c>
      <c r="C430" t="s">
        <v>259</v>
      </c>
      <c r="D430" t="s">
        <v>501</v>
      </c>
      <c r="E430" t="s">
        <v>179</v>
      </c>
      <c r="F430">
        <v>2</v>
      </c>
      <c r="G430" t="s">
        <v>50</v>
      </c>
      <c r="H430">
        <v>26</v>
      </c>
      <c r="I430" s="12" t="s">
        <v>34</v>
      </c>
      <c r="J430" s="12" t="s">
        <v>260</v>
      </c>
      <c r="K430" s="12" t="s">
        <v>52</v>
      </c>
      <c r="L430" s="12" t="s">
        <v>502</v>
      </c>
      <c r="M430" s="12" t="s">
        <v>37</v>
      </c>
      <c r="N430" s="14">
        <v>0.03</v>
      </c>
      <c r="O430" s="23">
        <v>573.09</v>
      </c>
      <c r="P430">
        <v>88.49</v>
      </c>
      <c r="Q430" s="12" t="str" cm="1">
        <f t="array" ref="Q430:R430">VLOOKUP(E430,store[],{3,5},FALSE)</f>
        <v>East</v>
      </c>
      <c r="R430" t="str">
        <v>Online</v>
      </c>
      <c r="S430" s="4">
        <f t="shared" si="6"/>
        <v>1146.1199999999999</v>
      </c>
    </row>
    <row r="431" spans="1:19">
      <c r="A431" t="s">
        <v>1031</v>
      </c>
      <c r="B431" s="3">
        <v>45731</v>
      </c>
      <c r="C431" t="s">
        <v>392</v>
      </c>
      <c r="D431" t="s">
        <v>645</v>
      </c>
      <c r="E431" t="s">
        <v>72</v>
      </c>
      <c r="F431">
        <v>4</v>
      </c>
      <c r="G431" t="s">
        <v>23</v>
      </c>
      <c r="H431">
        <v>18</v>
      </c>
      <c r="I431" s="12" t="s">
        <v>24</v>
      </c>
      <c r="J431" s="12" t="s">
        <v>161</v>
      </c>
      <c r="K431" s="12" t="s">
        <v>52</v>
      </c>
      <c r="L431" s="12" t="s">
        <v>646</v>
      </c>
      <c r="M431" s="12" t="s">
        <v>75</v>
      </c>
      <c r="N431" s="14">
        <v>0.02</v>
      </c>
      <c r="O431" s="23">
        <v>149.83000000000001</v>
      </c>
      <c r="P431">
        <v>218.86</v>
      </c>
      <c r="Q431" s="12" t="str" cm="1">
        <f t="array" ref="Q431:R431">VLOOKUP(E431,store[],{3,5},FALSE)</f>
        <v>South</v>
      </c>
      <c r="R431" t="str">
        <v>Online</v>
      </c>
      <c r="S431" s="4">
        <f t="shared" si="6"/>
        <v>599.24</v>
      </c>
    </row>
    <row r="432" spans="1:19">
      <c r="A432" t="s">
        <v>1032</v>
      </c>
      <c r="B432" s="3">
        <v>45445</v>
      </c>
      <c r="C432" t="s">
        <v>1033</v>
      </c>
      <c r="D432" t="s">
        <v>501</v>
      </c>
      <c r="E432" t="s">
        <v>98</v>
      </c>
      <c r="F432">
        <v>3</v>
      </c>
      <c r="G432" t="s">
        <v>50</v>
      </c>
      <c r="H432">
        <v>26</v>
      </c>
      <c r="I432" s="12" t="s">
        <v>34</v>
      </c>
      <c r="J432" s="12" t="s">
        <v>188</v>
      </c>
      <c r="K432" s="12" t="s">
        <v>52</v>
      </c>
      <c r="L432" s="12" t="s">
        <v>502</v>
      </c>
      <c r="M432" s="12" t="s">
        <v>37</v>
      </c>
      <c r="N432" s="14">
        <v>0.03</v>
      </c>
      <c r="O432" s="23">
        <v>287.70999999999998</v>
      </c>
      <c r="P432">
        <v>88.49</v>
      </c>
      <c r="Q432" s="12" t="str" cm="1">
        <f t="array" ref="Q432:R432">VLOOKUP(E432,store[],{3,5},FALSE)</f>
        <v>South</v>
      </c>
      <c r="R432" t="str">
        <v>Outlet</v>
      </c>
      <c r="S432" s="4">
        <f t="shared" si="6"/>
        <v>863.04</v>
      </c>
    </row>
    <row r="433" spans="1:19">
      <c r="A433" t="s">
        <v>1034</v>
      </c>
      <c r="B433" s="3">
        <v>45860</v>
      </c>
      <c r="C433" t="s">
        <v>145</v>
      </c>
      <c r="D433" t="s">
        <v>178</v>
      </c>
      <c r="E433" t="s">
        <v>179</v>
      </c>
      <c r="F433">
        <v>2</v>
      </c>
      <c r="G433" t="s">
        <v>50</v>
      </c>
      <c r="H433">
        <v>43</v>
      </c>
      <c r="I433" s="12" t="s">
        <v>34</v>
      </c>
      <c r="J433" s="12" t="s">
        <v>99</v>
      </c>
      <c r="K433" s="12" t="s">
        <v>26</v>
      </c>
      <c r="L433" s="12" t="s">
        <v>180</v>
      </c>
      <c r="M433" s="12" t="s">
        <v>37</v>
      </c>
      <c r="N433" s="14">
        <v>0.06</v>
      </c>
      <c r="O433" s="23">
        <v>849.8</v>
      </c>
      <c r="P433">
        <v>349.17</v>
      </c>
      <c r="Q433" s="12" t="str" cm="1">
        <f t="array" ref="Q433:R433">VLOOKUP(E433,store[],{3,5},FALSE)</f>
        <v>East</v>
      </c>
      <c r="R433" t="str">
        <v>Online</v>
      </c>
      <c r="S433" s="4">
        <f t="shared" si="6"/>
        <v>1699.48</v>
      </c>
    </row>
    <row r="434" spans="1:19">
      <c r="A434" t="s">
        <v>1035</v>
      </c>
      <c r="B434" s="3">
        <v>45725</v>
      </c>
      <c r="C434" t="s">
        <v>70</v>
      </c>
      <c r="D434" t="s">
        <v>745</v>
      </c>
      <c r="E434" t="s">
        <v>22</v>
      </c>
      <c r="F434">
        <v>3</v>
      </c>
      <c r="G434" t="s">
        <v>33</v>
      </c>
      <c r="H434">
        <v>24</v>
      </c>
      <c r="I434" s="12" t="s">
        <v>34</v>
      </c>
      <c r="J434" s="12" t="s">
        <v>44</v>
      </c>
      <c r="K434" s="12" t="s">
        <v>73</v>
      </c>
      <c r="L434" s="12" t="s">
        <v>746</v>
      </c>
      <c r="M434" s="12" t="s">
        <v>28</v>
      </c>
      <c r="N434" s="14">
        <v>0.28000000000000003</v>
      </c>
      <c r="O434" s="23">
        <v>482.58</v>
      </c>
      <c r="P434">
        <v>313.26</v>
      </c>
      <c r="Q434" s="12" t="str" cm="1">
        <f t="array" ref="Q434:R434">VLOOKUP(E434,store[],{3,5},FALSE)</f>
        <v>North</v>
      </c>
      <c r="R434" t="str">
        <v>Outlet</v>
      </c>
      <c r="S434" s="4">
        <f t="shared" si="6"/>
        <v>1446.9</v>
      </c>
    </row>
    <row r="435" spans="1:19">
      <c r="A435" t="s">
        <v>1036</v>
      </c>
      <c r="B435" s="3">
        <v>45699</v>
      </c>
      <c r="C435" t="s">
        <v>1037</v>
      </c>
      <c r="D435" t="s">
        <v>57</v>
      </c>
      <c r="E435" t="s">
        <v>198</v>
      </c>
      <c r="F435">
        <v>2</v>
      </c>
      <c r="G435" t="s">
        <v>23</v>
      </c>
      <c r="H435">
        <v>30</v>
      </c>
      <c r="I435" s="12" t="s">
        <v>24</v>
      </c>
      <c r="J435" s="12" t="s">
        <v>99</v>
      </c>
      <c r="K435" s="12" t="s">
        <v>73</v>
      </c>
      <c r="L435" s="12" t="s">
        <v>61</v>
      </c>
      <c r="M435" s="12" t="s">
        <v>46</v>
      </c>
      <c r="N435" s="14">
        <v>0</v>
      </c>
      <c r="O435" s="23">
        <v>64.7</v>
      </c>
      <c r="P435">
        <v>17.309999999999999</v>
      </c>
      <c r="Q435" s="12" t="str" cm="1">
        <f t="array" ref="Q435:R435">VLOOKUP(E435,store[],{3,5},FALSE)</f>
        <v>South</v>
      </c>
      <c r="R435" t="str">
        <v>Outlet</v>
      </c>
      <c r="S435" s="4">
        <f t="shared" si="6"/>
        <v>129.4</v>
      </c>
    </row>
    <row r="436" spans="1:19">
      <c r="A436" t="s">
        <v>1038</v>
      </c>
      <c r="B436" s="3">
        <v>45266</v>
      </c>
      <c r="C436" t="s">
        <v>196</v>
      </c>
      <c r="D436" t="s">
        <v>183</v>
      </c>
      <c r="E436" t="s">
        <v>58</v>
      </c>
      <c r="F436">
        <v>3</v>
      </c>
      <c r="G436" t="s">
        <v>23</v>
      </c>
      <c r="H436">
        <v>42</v>
      </c>
      <c r="I436" s="12" t="s">
        <v>34</v>
      </c>
      <c r="J436" s="12" t="s">
        <v>199</v>
      </c>
      <c r="K436" s="12" t="s">
        <v>73</v>
      </c>
      <c r="L436" s="12" t="s">
        <v>184</v>
      </c>
      <c r="M436" s="12" t="s">
        <v>130</v>
      </c>
      <c r="N436" s="14">
        <v>0.26</v>
      </c>
      <c r="O436" s="23">
        <v>589.83000000000004</v>
      </c>
      <c r="P436">
        <v>261</v>
      </c>
      <c r="Q436" s="12" t="str" cm="1">
        <f t="array" ref="Q436:R436">VLOOKUP(E436,store[],{3,5},FALSE)</f>
        <v>North</v>
      </c>
      <c r="R436" t="str">
        <v>Outlet</v>
      </c>
      <c r="S436" s="4">
        <f t="shared" si="6"/>
        <v>1768.71</v>
      </c>
    </row>
    <row r="437" spans="1:19">
      <c r="A437" t="s">
        <v>1039</v>
      </c>
      <c r="B437" s="3">
        <v>45889</v>
      </c>
      <c r="C437" t="s">
        <v>1040</v>
      </c>
      <c r="D437" t="s">
        <v>414</v>
      </c>
      <c r="E437" t="s">
        <v>127</v>
      </c>
      <c r="F437">
        <v>4</v>
      </c>
      <c r="G437" t="s">
        <v>50</v>
      </c>
      <c r="H437">
        <v>58</v>
      </c>
      <c r="I437" s="12" t="s">
        <v>24</v>
      </c>
      <c r="J437" s="12" t="s">
        <v>440</v>
      </c>
      <c r="K437" s="12" t="s">
        <v>26</v>
      </c>
      <c r="L437" s="12" t="s">
        <v>415</v>
      </c>
      <c r="M437" s="12" t="s">
        <v>130</v>
      </c>
      <c r="N437" s="14">
        <v>0.16</v>
      </c>
      <c r="O437" s="23">
        <v>758.49</v>
      </c>
      <c r="P437">
        <v>364.67</v>
      </c>
      <c r="Q437" s="12" t="str" cm="1">
        <f t="array" ref="Q437:R437">VLOOKUP(E437,store[],{3,5},FALSE)</f>
        <v>South</v>
      </c>
      <c r="R437" t="str">
        <v>Flagship</v>
      </c>
      <c r="S437" s="4">
        <f t="shared" si="6"/>
        <v>3033.32</v>
      </c>
    </row>
    <row r="438" spans="1:19">
      <c r="A438" t="s">
        <v>1041</v>
      </c>
      <c r="B438" s="3">
        <v>45555</v>
      </c>
      <c r="C438" t="s">
        <v>1042</v>
      </c>
      <c r="D438" t="s">
        <v>786</v>
      </c>
      <c r="E438" t="s">
        <v>208</v>
      </c>
      <c r="F438">
        <v>4</v>
      </c>
      <c r="G438" t="s">
        <v>50</v>
      </c>
      <c r="H438">
        <v>37</v>
      </c>
      <c r="I438" s="12" t="s">
        <v>34</v>
      </c>
      <c r="J438" s="12" t="s">
        <v>209</v>
      </c>
      <c r="K438" s="12" t="s">
        <v>26</v>
      </c>
      <c r="L438" s="12" t="s">
        <v>787</v>
      </c>
      <c r="M438" s="12" t="s">
        <v>130</v>
      </c>
      <c r="N438" s="14">
        <v>0.09</v>
      </c>
      <c r="O438" s="23">
        <v>747.56</v>
      </c>
      <c r="P438">
        <v>353.47</v>
      </c>
      <c r="Q438" s="12" t="str" cm="1">
        <f t="array" ref="Q438:R438">VLOOKUP(E438,store[],{3,5},FALSE)</f>
        <v>North</v>
      </c>
      <c r="R438" t="str">
        <v>Online</v>
      </c>
      <c r="S438" s="4">
        <f t="shared" si="6"/>
        <v>2989.88</v>
      </c>
    </row>
    <row r="439" spans="1:19">
      <c r="A439" t="s">
        <v>1043</v>
      </c>
      <c r="B439" s="3">
        <v>45813</v>
      </c>
      <c r="C439" t="s">
        <v>367</v>
      </c>
      <c r="D439" t="s">
        <v>295</v>
      </c>
      <c r="E439" t="s">
        <v>32</v>
      </c>
      <c r="F439">
        <v>3</v>
      </c>
      <c r="G439" t="s">
        <v>33</v>
      </c>
      <c r="H439">
        <v>32</v>
      </c>
      <c r="I439" s="12" t="s">
        <v>24</v>
      </c>
      <c r="J439" s="12" t="s">
        <v>199</v>
      </c>
      <c r="K439" s="12" t="s">
        <v>73</v>
      </c>
      <c r="L439" s="12" t="s">
        <v>296</v>
      </c>
      <c r="M439" s="12" t="s">
        <v>37</v>
      </c>
      <c r="N439" s="14">
        <v>0.12</v>
      </c>
      <c r="O439" s="23">
        <v>551.22</v>
      </c>
      <c r="P439">
        <v>38.520000000000003</v>
      </c>
      <c r="Q439" s="12" t="str" cm="1">
        <f t="array" ref="Q439:R439">VLOOKUP(E439,store[],{3,5},FALSE)</f>
        <v>North</v>
      </c>
      <c r="R439" t="str">
        <v>Flagship</v>
      </c>
      <c r="S439" s="4">
        <f t="shared" si="6"/>
        <v>1653.3</v>
      </c>
    </row>
    <row r="440" spans="1:19">
      <c r="A440" t="s">
        <v>1044</v>
      </c>
      <c r="B440" s="3">
        <v>45811</v>
      </c>
      <c r="C440" t="s">
        <v>1045</v>
      </c>
      <c r="D440" t="s">
        <v>167</v>
      </c>
      <c r="E440" t="s">
        <v>98</v>
      </c>
      <c r="F440">
        <v>2</v>
      </c>
      <c r="G440" t="s">
        <v>33</v>
      </c>
      <c r="H440">
        <v>46</v>
      </c>
      <c r="I440" s="12" t="s">
        <v>34</v>
      </c>
      <c r="J440" s="12" t="s">
        <v>204</v>
      </c>
      <c r="K440" s="12" t="s">
        <v>26</v>
      </c>
      <c r="L440" s="12" t="s">
        <v>170</v>
      </c>
      <c r="M440" s="12" t="s">
        <v>130</v>
      </c>
      <c r="N440" s="14">
        <v>0.17</v>
      </c>
      <c r="O440" s="23">
        <v>527.05999999999995</v>
      </c>
      <c r="P440">
        <v>218.22</v>
      </c>
      <c r="Q440" s="12" t="str" cm="1">
        <f t="array" ref="Q440:R440">VLOOKUP(E440,store[],{3,5},FALSE)</f>
        <v>South</v>
      </c>
      <c r="R440" t="str">
        <v>Outlet</v>
      </c>
      <c r="S440" s="4">
        <f t="shared" si="6"/>
        <v>1053.78</v>
      </c>
    </row>
    <row r="441" spans="1:19">
      <c r="A441" t="s">
        <v>1046</v>
      </c>
      <c r="B441" s="3">
        <v>45670</v>
      </c>
      <c r="C441" t="s">
        <v>1047</v>
      </c>
      <c r="D441" t="s">
        <v>661</v>
      </c>
      <c r="E441" t="s">
        <v>58</v>
      </c>
      <c r="F441">
        <v>4</v>
      </c>
      <c r="G441" t="s">
        <v>23</v>
      </c>
      <c r="H441">
        <v>24</v>
      </c>
      <c r="I441" s="12" t="s">
        <v>24</v>
      </c>
      <c r="J441" s="12" t="s">
        <v>444</v>
      </c>
      <c r="K441" s="12" t="s">
        <v>26</v>
      </c>
      <c r="L441" s="12" t="s">
        <v>662</v>
      </c>
      <c r="M441" s="12" t="s">
        <v>37</v>
      </c>
      <c r="N441" s="14">
        <v>0.27</v>
      </c>
      <c r="O441" s="23">
        <v>875.41</v>
      </c>
      <c r="P441">
        <v>86.42</v>
      </c>
      <c r="Q441" s="12" t="str" cm="1">
        <f t="array" ref="Q441:R441">VLOOKUP(E441,store[],{3,5},FALSE)</f>
        <v>North</v>
      </c>
      <c r="R441" t="str">
        <v>Outlet</v>
      </c>
      <c r="S441" s="4">
        <f t="shared" si="6"/>
        <v>3500.56</v>
      </c>
    </row>
    <row r="442" spans="1:19">
      <c r="A442" t="s">
        <v>1048</v>
      </c>
      <c r="B442" s="3">
        <v>45736</v>
      </c>
      <c r="C442" t="s">
        <v>355</v>
      </c>
      <c r="D442" t="s">
        <v>462</v>
      </c>
      <c r="E442" t="s">
        <v>90</v>
      </c>
      <c r="F442">
        <v>2</v>
      </c>
      <c r="G442" t="s">
        <v>23</v>
      </c>
      <c r="H442">
        <v>29</v>
      </c>
      <c r="I442" s="12" t="s">
        <v>34</v>
      </c>
      <c r="J442" s="12" t="s">
        <v>356</v>
      </c>
      <c r="K442" s="12" t="s">
        <v>73</v>
      </c>
      <c r="L442" s="12" t="s">
        <v>464</v>
      </c>
      <c r="M442" s="12" t="s">
        <v>130</v>
      </c>
      <c r="N442" s="14">
        <v>0.03</v>
      </c>
      <c r="O442" s="23">
        <v>226.43</v>
      </c>
      <c r="P442">
        <v>119.57</v>
      </c>
      <c r="Q442" s="12" t="str" cm="1">
        <f t="array" ref="Q442:R442">VLOOKUP(E442,store[],{3,5},FALSE)</f>
        <v>East</v>
      </c>
      <c r="R442" t="str">
        <v>Flagship</v>
      </c>
      <c r="S442" s="4">
        <f t="shared" si="6"/>
        <v>452.8</v>
      </c>
    </row>
    <row r="443" spans="1:19">
      <c r="A443" t="s">
        <v>1049</v>
      </c>
      <c r="B443" s="3">
        <v>45480</v>
      </c>
      <c r="C443" t="s">
        <v>351</v>
      </c>
      <c r="D443" t="s">
        <v>221</v>
      </c>
      <c r="E443" t="s">
        <v>58</v>
      </c>
      <c r="F443">
        <v>2</v>
      </c>
      <c r="G443" t="s">
        <v>23</v>
      </c>
      <c r="H443">
        <v>52</v>
      </c>
      <c r="I443" s="12" t="s">
        <v>24</v>
      </c>
      <c r="J443" s="12" t="s">
        <v>188</v>
      </c>
      <c r="K443" s="12" t="s">
        <v>60</v>
      </c>
      <c r="L443" s="12" t="s">
        <v>223</v>
      </c>
      <c r="M443" s="12" t="s">
        <v>75</v>
      </c>
      <c r="N443" s="14">
        <v>0.1</v>
      </c>
      <c r="O443" s="23">
        <v>285.39</v>
      </c>
      <c r="P443">
        <v>228.53</v>
      </c>
      <c r="Q443" s="12" t="str" cm="1">
        <f t="array" ref="Q443:R443">VLOOKUP(E443,store[],{3,5},FALSE)</f>
        <v>North</v>
      </c>
      <c r="R443" t="str">
        <v>Outlet</v>
      </c>
      <c r="S443" s="4">
        <f t="shared" si="6"/>
        <v>570.58000000000004</v>
      </c>
    </row>
    <row r="444" spans="1:19">
      <c r="A444" t="s">
        <v>1050</v>
      </c>
      <c r="B444" s="3">
        <v>45929</v>
      </c>
      <c r="C444" t="s">
        <v>639</v>
      </c>
      <c r="D444" t="s">
        <v>555</v>
      </c>
      <c r="E444" t="s">
        <v>122</v>
      </c>
      <c r="F444">
        <v>2</v>
      </c>
      <c r="G444" t="s">
        <v>23</v>
      </c>
      <c r="H444">
        <v>50</v>
      </c>
      <c r="I444" s="12" t="s">
        <v>34</v>
      </c>
      <c r="J444" s="12" t="s">
        <v>440</v>
      </c>
      <c r="K444" s="12" t="s">
        <v>60</v>
      </c>
      <c r="L444" s="12" t="s">
        <v>556</v>
      </c>
      <c r="M444" s="12" t="s">
        <v>37</v>
      </c>
      <c r="N444" s="14">
        <v>0.05</v>
      </c>
      <c r="O444" s="23">
        <v>298.01</v>
      </c>
      <c r="P444">
        <v>449.4</v>
      </c>
      <c r="Q444" s="12" t="str" cm="1">
        <f t="array" ref="Q444:R444">VLOOKUP(E444,store[],{3,5},FALSE)</f>
        <v>North</v>
      </c>
      <c r="R444" t="str">
        <v>Flagship</v>
      </c>
      <c r="S444" s="4">
        <f t="shared" si="6"/>
        <v>595.91999999999996</v>
      </c>
    </row>
    <row r="445" spans="1:19">
      <c r="A445" t="s">
        <v>1051</v>
      </c>
      <c r="B445" s="3">
        <v>45626</v>
      </c>
      <c r="C445" t="s">
        <v>1045</v>
      </c>
      <c r="D445" t="s">
        <v>295</v>
      </c>
      <c r="E445" t="s">
        <v>72</v>
      </c>
      <c r="F445">
        <v>4</v>
      </c>
      <c r="G445" t="s">
        <v>50</v>
      </c>
      <c r="H445">
        <v>46</v>
      </c>
      <c r="I445" s="12" t="s">
        <v>34</v>
      </c>
      <c r="J445" s="12" t="s">
        <v>204</v>
      </c>
      <c r="K445" s="12" t="s">
        <v>26</v>
      </c>
      <c r="L445" s="12" t="s">
        <v>296</v>
      </c>
      <c r="M445" s="12" t="s">
        <v>37</v>
      </c>
      <c r="N445" s="14">
        <v>0.26</v>
      </c>
      <c r="O445" s="23">
        <v>753.49</v>
      </c>
      <c r="P445">
        <v>38.520000000000003</v>
      </c>
      <c r="Q445" s="12" t="str" cm="1">
        <f t="array" ref="Q445:R445">VLOOKUP(E445,store[],{3,5},FALSE)</f>
        <v>South</v>
      </c>
      <c r="R445" t="str">
        <v>Online</v>
      </c>
      <c r="S445" s="4">
        <f t="shared" si="6"/>
        <v>3012.92</v>
      </c>
    </row>
    <row r="446" spans="1:19">
      <c r="A446" t="s">
        <v>1052</v>
      </c>
      <c r="B446" s="3">
        <v>45460</v>
      </c>
      <c r="C446" t="s">
        <v>1053</v>
      </c>
      <c r="D446" t="s">
        <v>267</v>
      </c>
      <c r="E446" t="s">
        <v>208</v>
      </c>
      <c r="F446">
        <v>2</v>
      </c>
      <c r="G446" t="s">
        <v>33</v>
      </c>
      <c r="H446">
        <v>23</v>
      </c>
      <c r="I446" s="12" t="s">
        <v>34</v>
      </c>
      <c r="J446" s="12" t="s">
        <v>227</v>
      </c>
      <c r="K446" s="12" t="s">
        <v>52</v>
      </c>
      <c r="L446" s="12" t="s">
        <v>268</v>
      </c>
      <c r="M446" s="12" t="s">
        <v>75</v>
      </c>
      <c r="N446" s="14">
        <v>0.17</v>
      </c>
      <c r="O446" s="23">
        <v>130.38999999999999</v>
      </c>
      <c r="P446">
        <v>325.26</v>
      </c>
      <c r="Q446" s="12" t="str" cm="1">
        <f t="array" ref="Q446:R446">VLOOKUP(E446,store[],{3,5},FALSE)</f>
        <v>North</v>
      </c>
      <c r="R446" t="str">
        <v>Online</v>
      </c>
      <c r="S446" s="4">
        <f t="shared" si="6"/>
        <v>260.44</v>
      </c>
    </row>
    <row r="447" spans="1:19">
      <c r="A447" t="s">
        <v>1054</v>
      </c>
      <c r="B447" s="3">
        <v>45709</v>
      </c>
      <c r="C447" t="s">
        <v>1055</v>
      </c>
      <c r="D447" t="s">
        <v>443</v>
      </c>
      <c r="E447" t="s">
        <v>127</v>
      </c>
      <c r="F447">
        <v>4</v>
      </c>
      <c r="G447" t="s">
        <v>33</v>
      </c>
      <c r="H447">
        <v>33</v>
      </c>
      <c r="I447" s="12" t="s">
        <v>24</v>
      </c>
      <c r="J447" s="12" t="s">
        <v>169</v>
      </c>
      <c r="K447" s="12" t="s">
        <v>73</v>
      </c>
      <c r="L447" s="12" t="s">
        <v>445</v>
      </c>
      <c r="M447" s="12" t="s">
        <v>28</v>
      </c>
      <c r="N447" s="14">
        <v>0.01</v>
      </c>
      <c r="O447" s="23">
        <v>164.02</v>
      </c>
      <c r="P447">
        <v>484.62</v>
      </c>
      <c r="Q447" s="12" t="str" cm="1">
        <f t="array" ref="Q447:R447">VLOOKUP(E447,store[],{3,5},FALSE)</f>
        <v>South</v>
      </c>
      <c r="R447" t="str">
        <v>Flagship</v>
      </c>
      <c r="S447" s="4">
        <f t="shared" si="6"/>
        <v>656.04</v>
      </c>
    </row>
    <row r="448" spans="1:19">
      <c r="A448" t="s">
        <v>1056</v>
      </c>
      <c r="B448" s="3">
        <v>45551</v>
      </c>
      <c r="C448" t="s">
        <v>504</v>
      </c>
      <c r="D448" t="s">
        <v>255</v>
      </c>
      <c r="E448" t="s">
        <v>72</v>
      </c>
      <c r="F448">
        <v>2</v>
      </c>
      <c r="G448" t="s">
        <v>33</v>
      </c>
      <c r="H448">
        <v>39</v>
      </c>
      <c r="I448" s="12" t="s">
        <v>34</v>
      </c>
      <c r="J448" s="12" t="s">
        <v>360</v>
      </c>
      <c r="K448" s="12" t="s">
        <v>60</v>
      </c>
      <c r="L448" s="12" t="s">
        <v>257</v>
      </c>
      <c r="M448" s="12" t="s">
        <v>75</v>
      </c>
      <c r="N448" s="14">
        <v>0.18</v>
      </c>
      <c r="O448" s="23">
        <v>527.51</v>
      </c>
      <c r="P448">
        <v>218.48</v>
      </c>
      <c r="Q448" s="12" t="str" cm="1">
        <f t="array" ref="Q448:R448">VLOOKUP(E448,store[],{3,5},FALSE)</f>
        <v>South</v>
      </c>
      <c r="R448" t="str">
        <v>Online</v>
      </c>
      <c r="S448" s="4">
        <f t="shared" si="6"/>
        <v>1054.6600000000001</v>
      </c>
    </row>
    <row r="449" spans="1:19">
      <c r="A449" t="s">
        <v>1057</v>
      </c>
      <c r="B449" s="3">
        <v>45939</v>
      </c>
      <c r="C449" t="s">
        <v>367</v>
      </c>
      <c r="D449" t="s">
        <v>509</v>
      </c>
      <c r="E449" t="s">
        <v>149</v>
      </c>
      <c r="F449">
        <v>3</v>
      </c>
      <c r="G449" t="s">
        <v>23</v>
      </c>
      <c r="H449">
        <v>32</v>
      </c>
      <c r="I449" s="12" t="s">
        <v>24</v>
      </c>
      <c r="J449" s="12" t="s">
        <v>199</v>
      </c>
      <c r="K449" s="12" t="s">
        <v>73</v>
      </c>
      <c r="L449" s="12" t="s">
        <v>511</v>
      </c>
      <c r="M449" s="12" t="s">
        <v>28</v>
      </c>
      <c r="N449" s="14">
        <v>0.26</v>
      </c>
      <c r="O449" s="23">
        <v>628.17999999999995</v>
      </c>
      <c r="P449">
        <v>30.62</v>
      </c>
      <c r="Q449" s="12" t="str" cm="1">
        <f t="array" ref="Q449:R449">VLOOKUP(E449,store[],{3,5},FALSE)</f>
        <v>East</v>
      </c>
      <c r="R449" t="str">
        <v>Flagship</v>
      </c>
      <c r="S449" s="4">
        <f t="shared" si="6"/>
        <v>1883.76</v>
      </c>
    </row>
    <row r="450" spans="1:19">
      <c r="A450" t="s">
        <v>1058</v>
      </c>
      <c r="B450" s="3">
        <v>45553</v>
      </c>
      <c r="C450" t="s">
        <v>326</v>
      </c>
      <c r="D450" t="s">
        <v>71</v>
      </c>
      <c r="E450" t="s">
        <v>22</v>
      </c>
      <c r="F450">
        <v>1</v>
      </c>
      <c r="G450" t="s">
        <v>23</v>
      </c>
      <c r="H450">
        <v>45</v>
      </c>
      <c r="I450" s="12" t="s">
        <v>34</v>
      </c>
      <c r="J450" s="12" t="s">
        <v>227</v>
      </c>
      <c r="K450" s="12" t="s">
        <v>60</v>
      </c>
      <c r="L450" s="12" t="s">
        <v>74</v>
      </c>
      <c r="M450" s="12" t="s">
        <v>75</v>
      </c>
      <c r="N450" s="14">
        <v>0.06</v>
      </c>
      <c r="O450" s="23">
        <v>862.31</v>
      </c>
      <c r="P450">
        <v>461.47</v>
      </c>
      <c r="Q450" s="12" t="str" cm="1">
        <f t="array" ref="Q450:R450">VLOOKUP(E450,store[],{3,5},FALSE)</f>
        <v>North</v>
      </c>
      <c r="R450" t="str">
        <v>Outlet</v>
      </c>
      <c r="S450" s="4">
        <f t="shared" ref="S450:S513" si="7">(O450-N450)*F450</f>
        <v>862.25</v>
      </c>
    </row>
    <row r="451" spans="1:19">
      <c r="A451" t="s">
        <v>1059</v>
      </c>
      <c r="B451" s="3">
        <v>45806</v>
      </c>
      <c r="C451" t="s">
        <v>1060</v>
      </c>
      <c r="D451" t="s">
        <v>359</v>
      </c>
      <c r="E451" t="s">
        <v>98</v>
      </c>
      <c r="F451">
        <v>2</v>
      </c>
      <c r="G451" t="s">
        <v>50</v>
      </c>
      <c r="H451">
        <v>61</v>
      </c>
      <c r="I451" s="12" t="s">
        <v>34</v>
      </c>
      <c r="J451" s="12" t="s">
        <v>222</v>
      </c>
      <c r="K451" s="12" t="s">
        <v>26</v>
      </c>
      <c r="L451" s="12" t="s">
        <v>361</v>
      </c>
      <c r="M451" s="12" t="s">
        <v>46</v>
      </c>
      <c r="N451" s="14">
        <v>0.03</v>
      </c>
      <c r="O451" s="23">
        <v>541.39</v>
      </c>
      <c r="P451">
        <v>289.359375</v>
      </c>
      <c r="Q451" s="12" t="str" cm="1">
        <f t="array" ref="Q451:R451">VLOOKUP(E451,store[],{3,5},FALSE)</f>
        <v>South</v>
      </c>
      <c r="R451" t="str">
        <v>Outlet</v>
      </c>
      <c r="S451" s="4">
        <f t="shared" si="7"/>
        <v>1082.72</v>
      </c>
    </row>
    <row r="452" spans="1:19">
      <c r="A452" t="s">
        <v>1061</v>
      </c>
      <c r="B452" s="3">
        <v>45811</v>
      </c>
      <c r="C452" t="s">
        <v>1062</v>
      </c>
      <c r="D452" t="s">
        <v>49</v>
      </c>
      <c r="E452" t="s">
        <v>117</v>
      </c>
      <c r="F452">
        <v>3</v>
      </c>
      <c r="G452" t="s">
        <v>50</v>
      </c>
      <c r="H452">
        <v>41</v>
      </c>
      <c r="I452" s="12" t="s">
        <v>34</v>
      </c>
      <c r="J452" s="12" t="s">
        <v>333</v>
      </c>
      <c r="K452" s="12" t="s">
        <v>52</v>
      </c>
      <c r="L452" s="12" t="s">
        <v>53</v>
      </c>
      <c r="M452" s="12" t="s">
        <v>37</v>
      </c>
      <c r="N452" s="14">
        <v>0.06</v>
      </c>
      <c r="O452" s="23">
        <v>761.8</v>
      </c>
      <c r="P452">
        <v>392.89</v>
      </c>
      <c r="Q452" s="12" t="str" cm="1">
        <f t="array" ref="Q452:R452">VLOOKUP(E452,store[],{3,5},FALSE)</f>
        <v>West</v>
      </c>
      <c r="R452" t="str">
        <v>Flagship</v>
      </c>
      <c r="S452" s="4">
        <f t="shared" si="7"/>
        <v>2285.2199999999998</v>
      </c>
    </row>
    <row r="453" spans="1:19">
      <c r="A453" t="s">
        <v>1063</v>
      </c>
      <c r="B453" s="3">
        <v>45508</v>
      </c>
      <c r="C453" t="s">
        <v>1064</v>
      </c>
      <c r="D453" t="s">
        <v>42</v>
      </c>
      <c r="E453" t="s">
        <v>198</v>
      </c>
      <c r="F453">
        <v>4</v>
      </c>
      <c r="G453" t="s">
        <v>33</v>
      </c>
      <c r="H453">
        <v>42</v>
      </c>
      <c r="I453" s="12" t="s">
        <v>34</v>
      </c>
      <c r="J453" s="12" t="s">
        <v>333</v>
      </c>
      <c r="K453" s="12" t="s">
        <v>52</v>
      </c>
      <c r="L453" s="12" t="s">
        <v>45</v>
      </c>
      <c r="M453" s="12" t="s">
        <v>46</v>
      </c>
      <c r="N453" s="14">
        <v>0.11</v>
      </c>
      <c r="O453" s="23">
        <v>829.36</v>
      </c>
      <c r="P453">
        <v>43.29</v>
      </c>
      <c r="Q453" s="12" t="str" cm="1">
        <f t="array" ref="Q453:R453">VLOOKUP(E453,store[],{3,5},FALSE)</f>
        <v>South</v>
      </c>
      <c r="R453" t="str">
        <v>Outlet</v>
      </c>
      <c r="S453" s="4">
        <f t="shared" si="7"/>
        <v>3317</v>
      </c>
    </row>
    <row r="454" spans="1:19">
      <c r="A454" t="s">
        <v>1065</v>
      </c>
      <c r="B454" s="3">
        <v>45460</v>
      </c>
      <c r="C454" t="s">
        <v>305</v>
      </c>
      <c r="D454" t="s">
        <v>250</v>
      </c>
      <c r="E454" t="s">
        <v>117</v>
      </c>
      <c r="F454">
        <v>2</v>
      </c>
      <c r="G454" t="s">
        <v>33</v>
      </c>
      <c r="H454">
        <v>22</v>
      </c>
      <c r="I454" s="12" t="s">
        <v>34</v>
      </c>
      <c r="J454" s="12" t="s">
        <v>140</v>
      </c>
      <c r="K454" s="12" t="s">
        <v>60</v>
      </c>
      <c r="L454" s="12" t="s">
        <v>252</v>
      </c>
      <c r="M454" s="12" t="s">
        <v>130</v>
      </c>
      <c r="N454" s="14">
        <v>0.09</v>
      </c>
      <c r="O454" s="23">
        <v>425.06</v>
      </c>
      <c r="P454">
        <v>248.82191780821901</v>
      </c>
      <c r="Q454" s="12" t="str" cm="1">
        <f t="array" ref="Q454:R454">VLOOKUP(E454,store[],{3,5},FALSE)</f>
        <v>West</v>
      </c>
      <c r="R454" t="str">
        <v>Flagship</v>
      </c>
      <c r="S454" s="4">
        <f t="shared" si="7"/>
        <v>849.94</v>
      </c>
    </row>
    <row r="455" spans="1:19">
      <c r="A455" t="s">
        <v>1066</v>
      </c>
      <c r="B455" s="3">
        <v>45311</v>
      </c>
      <c r="C455" t="s">
        <v>1067</v>
      </c>
      <c r="D455" t="s">
        <v>564</v>
      </c>
      <c r="E455" t="s">
        <v>90</v>
      </c>
      <c r="F455">
        <v>2</v>
      </c>
      <c r="G455" t="s">
        <v>23</v>
      </c>
      <c r="H455">
        <v>39</v>
      </c>
      <c r="I455" s="12" t="s">
        <v>24</v>
      </c>
      <c r="J455" s="12" t="s">
        <v>35</v>
      </c>
      <c r="K455" s="12" t="s">
        <v>52</v>
      </c>
      <c r="L455" s="12" t="s">
        <v>565</v>
      </c>
      <c r="M455" s="12" t="s">
        <v>75</v>
      </c>
      <c r="N455" s="14">
        <v>0.1</v>
      </c>
      <c r="O455" s="23">
        <v>911.14</v>
      </c>
      <c r="P455">
        <v>81.75</v>
      </c>
      <c r="Q455" s="12" t="str" cm="1">
        <f t="array" ref="Q455:R455">VLOOKUP(E455,store[],{3,5},FALSE)</f>
        <v>East</v>
      </c>
      <c r="R455" t="str">
        <v>Flagship</v>
      </c>
      <c r="S455" s="4">
        <f t="shared" si="7"/>
        <v>1822.08</v>
      </c>
    </row>
    <row r="456" spans="1:19">
      <c r="A456" t="s">
        <v>1068</v>
      </c>
      <c r="B456" s="3">
        <v>45906</v>
      </c>
      <c r="C456" t="s">
        <v>259</v>
      </c>
      <c r="D456" t="s">
        <v>741</v>
      </c>
      <c r="E456" t="s">
        <v>43</v>
      </c>
      <c r="F456">
        <v>3</v>
      </c>
      <c r="G456" t="s">
        <v>23</v>
      </c>
      <c r="H456">
        <v>26</v>
      </c>
      <c r="I456" s="12" t="s">
        <v>34</v>
      </c>
      <c r="J456" s="12" t="s">
        <v>260</v>
      </c>
      <c r="K456" s="12" t="s">
        <v>52</v>
      </c>
      <c r="L456" s="12" t="s">
        <v>742</v>
      </c>
      <c r="M456" s="12" t="s">
        <v>75</v>
      </c>
      <c r="N456" s="14">
        <v>0.28999999999999998</v>
      </c>
      <c r="O456" s="23">
        <v>811.96</v>
      </c>
      <c r="P456">
        <v>243.7</v>
      </c>
      <c r="Q456" s="12" t="str" cm="1">
        <f t="array" ref="Q456:R456">VLOOKUP(E456,store[],{3,5},FALSE)</f>
        <v>West</v>
      </c>
      <c r="R456" t="str">
        <v>Online</v>
      </c>
      <c r="S456" s="4">
        <f t="shared" si="7"/>
        <v>2435.0100000000002</v>
      </c>
    </row>
    <row r="457" spans="1:19">
      <c r="A457" t="s">
        <v>1069</v>
      </c>
      <c r="B457" s="3">
        <v>45380</v>
      </c>
      <c r="C457" t="s">
        <v>349</v>
      </c>
      <c r="D457" t="s">
        <v>311</v>
      </c>
      <c r="E457" t="s">
        <v>168</v>
      </c>
      <c r="F457">
        <v>2</v>
      </c>
      <c r="G457" t="s">
        <v>50</v>
      </c>
      <c r="H457">
        <v>23</v>
      </c>
      <c r="I457" s="12" t="s">
        <v>24</v>
      </c>
      <c r="J457" s="12" t="s">
        <v>231</v>
      </c>
      <c r="K457" s="12" t="s">
        <v>73</v>
      </c>
      <c r="L457" s="12" t="s">
        <v>312</v>
      </c>
      <c r="M457" s="12" t="s">
        <v>28</v>
      </c>
      <c r="N457" s="14">
        <v>0.12</v>
      </c>
      <c r="O457" s="23">
        <v>780.05</v>
      </c>
      <c r="P457">
        <v>204.39</v>
      </c>
      <c r="Q457" s="12" t="str" cm="1">
        <f t="array" ref="Q457:R457">VLOOKUP(E457,store[],{3,5},FALSE)</f>
        <v>East</v>
      </c>
      <c r="R457" t="str">
        <v>Online</v>
      </c>
      <c r="S457" s="4">
        <f t="shared" si="7"/>
        <v>1559.86</v>
      </c>
    </row>
    <row r="458" spans="1:19">
      <c r="A458" t="s">
        <v>1070</v>
      </c>
      <c r="B458" s="3">
        <v>45527</v>
      </c>
      <c r="C458" t="s">
        <v>1071</v>
      </c>
      <c r="D458" t="s">
        <v>579</v>
      </c>
      <c r="E458" t="s">
        <v>127</v>
      </c>
      <c r="F458">
        <v>4</v>
      </c>
      <c r="G458" t="s">
        <v>50</v>
      </c>
      <c r="H458">
        <v>50</v>
      </c>
      <c r="I458" s="12" t="s">
        <v>34</v>
      </c>
      <c r="J458" s="12" t="s">
        <v>609</v>
      </c>
      <c r="K458" s="12" t="s">
        <v>26</v>
      </c>
      <c r="L458" s="12" t="s">
        <v>580</v>
      </c>
      <c r="M458" s="12" t="s">
        <v>46</v>
      </c>
      <c r="N458" s="14">
        <v>0.19</v>
      </c>
      <c r="O458" s="23">
        <v>315.95</v>
      </c>
      <c r="P458">
        <v>283.83</v>
      </c>
      <c r="Q458" s="12" t="str" cm="1">
        <f t="array" ref="Q458:R458">VLOOKUP(E458,store[],{3,5},FALSE)</f>
        <v>South</v>
      </c>
      <c r="R458" t="str">
        <v>Flagship</v>
      </c>
      <c r="S458" s="4">
        <f t="shared" si="7"/>
        <v>1263.04</v>
      </c>
    </row>
    <row r="459" spans="1:19">
      <c r="A459" t="s">
        <v>1072</v>
      </c>
      <c r="B459" s="3">
        <v>45796</v>
      </c>
      <c r="C459" t="s">
        <v>1073</v>
      </c>
      <c r="D459" t="s">
        <v>282</v>
      </c>
      <c r="E459" t="s">
        <v>127</v>
      </c>
      <c r="F459">
        <v>2</v>
      </c>
      <c r="G459" t="s">
        <v>23</v>
      </c>
      <c r="H459">
        <v>32</v>
      </c>
      <c r="I459" s="12" t="s">
        <v>34</v>
      </c>
      <c r="J459" s="12" t="s">
        <v>336</v>
      </c>
      <c r="K459" s="12" t="s">
        <v>73</v>
      </c>
      <c r="L459" s="12" t="s">
        <v>283</v>
      </c>
      <c r="M459" s="12" t="s">
        <v>28</v>
      </c>
      <c r="N459" s="14">
        <v>0.27</v>
      </c>
      <c r="O459" s="23">
        <v>810.17</v>
      </c>
      <c r="P459">
        <v>212.26</v>
      </c>
      <c r="Q459" s="12" t="str" cm="1">
        <f t="array" ref="Q459:R459">VLOOKUP(E459,store[],{3,5},FALSE)</f>
        <v>South</v>
      </c>
      <c r="R459" t="str">
        <v>Flagship</v>
      </c>
      <c r="S459" s="4">
        <f t="shared" si="7"/>
        <v>1619.8</v>
      </c>
    </row>
    <row r="460" spans="1:19">
      <c r="A460" t="s">
        <v>1074</v>
      </c>
      <c r="B460" s="3">
        <v>45389</v>
      </c>
      <c r="C460" t="s">
        <v>1075</v>
      </c>
      <c r="D460" t="s">
        <v>814</v>
      </c>
      <c r="E460" t="s">
        <v>72</v>
      </c>
      <c r="F460">
        <v>3</v>
      </c>
      <c r="G460" t="s">
        <v>33</v>
      </c>
      <c r="H460">
        <v>44</v>
      </c>
      <c r="I460" s="12" t="s">
        <v>34</v>
      </c>
      <c r="J460" s="12" t="s">
        <v>204</v>
      </c>
      <c r="K460" s="12" t="s">
        <v>26</v>
      </c>
      <c r="L460" s="12" t="s">
        <v>815</v>
      </c>
      <c r="M460" s="12" t="s">
        <v>75</v>
      </c>
      <c r="N460" s="14">
        <v>0.02</v>
      </c>
      <c r="O460" s="23">
        <v>505.01</v>
      </c>
      <c r="P460">
        <v>388.46</v>
      </c>
      <c r="Q460" s="12" t="str" cm="1">
        <f t="array" ref="Q460:R460">VLOOKUP(E460,store[],{3,5},FALSE)</f>
        <v>South</v>
      </c>
      <c r="R460" t="str">
        <v>Online</v>
      </c>
      <c r="S460" s="4">
        <f t="shared" si="7"/>
        <v>1514.97</v>
      </c>
    </row>
    <row r="461" spans="1:19">
      <c r="A461" t="s">
        <v>1076</v>
      </c>
      <c r="B461" s="3">
        <v>45315</v>
      </c>
      <c r="C461" t="s">
        <v>30</v>
      </c>
      <c r="D461" t="s">
        <v>155</v>
      </c>
      <c r="E461" t="s">
        <v>32</v>
      </c>
      <c r="F461">
        <v>2</v>
      </c>
      <c r="G461" t="s">
        <v>23</v>
      </c>
      <c r="H461">
        <v>63</v>
      </c>
      <c r="I461" s="12" t="s">
        <v>34</v>
      </c>
      <c r="J461" s="12" t="s">
        <v>35</v>
      </c>
      <c r="K461" s="12" t="s">
        <v>26</v>
      </c>
      <c r="L461" s="12" t="s">
        <v>156</v>
      </c>
      <c r="M461" s="12" t="s">
        <v>28</v>
      </c>
      <c r="N461" s="14">
        <v>0.18</v>
      </c>
      <c r="O461" s="23">
        <v>736.75</v>
      </c>
      <c r="P461">
        <v>477.61</v>
      </c>
      <c r="Q461" s="12" t="str" cm="1">
        <f t="array" ref="Q461:R461">VLOOKUP(E461,store[],{3,5},FALSE)</f>
        <v>North</v>
      </c>
      <c r="R461" t="str">
        <v>Flagship</v>
      </c>
      <c r="S461" s="4">
        <f t="shared" si="7"/>
        <v>1473.14</v>
      </c>
    </row>
    <row r="462" spans="1:19">
      <c r="A462" t="s">
        <v>1077</v>
      </c>
      <c r="B462" s="3">
        <v>45311</v>
      </c>
      <c r="C462" t="s">
        <v>910</v>
      </c>
      <c r="D462" t="s">
        <v>192</v>
      </c>
      <c r="E462" t="s">
        <v>127</v>
      </c>
      <c r="F462">
        <v>4</v>
      </c>
      <c r="G462" t="s">
        <v>33</v>
      </c>
      <c r="H462">
        <v>31</v>
      </c>
      <c r="I462" s="12" t="s">
        <v>24</v>
      </c>
      <c r="J462" s="12" t="s">
        <v>410</v>
      </c>
      <c r="K462" s="12" t="s">
        <v>346</v>
      </c>
      <c r="L462" s="12" t="s">
        <v>194</v>
      </c>
      <c r="M462" s="12" t="s">
        <v>37</v>
      </c>
      <c r="N462" s="14">
        <v>0.2</v>
      </c>
      <c r="O462" s="23">
        <v>700.31</v>
      </c>
      <c r="P462">
        <v>480.9</v>
      </c>
      <c r="Q462" s="12" t="str" cm="1">
        <f t="array" ref="Q462:R462">VLOOKUP(E462,store[],{3,5},FALSE)</f>
        <v>South</v>
      </c>
      <c r="R462" t="str">
        <v>Flagship</v>
      </c>
      <c r="S462" s="4">
        <f t="shared" si="7"/>
        <v>2800.44</v>
      </c>
    </row>
    <row r="463" spans="1:19">
      <c r="A463" t="s">
        <v>1078</v>
      </c>
      <c r="B463" s="3">
        <v>45270</v>
      </c>
      <c r="C463" t="s">
        <v>1079</v>
      </c>
      <c r="D463" t="s">
        <v>372</v>
      </c>
      <c r="E463" t="s">
        <v>272</v>
      </c>
      <c r="F463">
        <v>4</v>
      </c>
      <c r="G463" t="s">
        <v>23</v>
      </c>
      <c r="H463">
        <v>43</v>
      </c>
      <c r="I463" s="12" t="s">
        <v>34</v>
      </c>
      <c r="J463" s="12" t="s">
        <v>345</v>
      </c>
      <c r="K463" s="12" t="s">
        <v>60</v>
      </c>
      <c r="L463" s="12" t="s">
        <v>374</v>
      </c>
      <c r="M463" s="12" t="s">
        <v>130</v>
      </c>
      <c r="N463" s="14">
        <v>0.24</v>
      </c>
      <c r="O463" s="23">
        <v>202.46</v>
      </c>
      <c r="P463">
        <v>438.25</v>
      </c>
      <c r="Q463" s="12" t="str" cm="1">
        <f t="array" ref="Q463:R463">VLOOKUP(E463,store[],{3,5},FALSE)</f>
        <v>South</v>
      </c>
      <c r="R463" t="str">
        <v>Online</v>
      </c>
      <c r="S463" s="4">
        <f t="shared" si="7"/>
        <v>808.88</v>
      </c>
    </row>
    <row r="464" spans="1:19">
      <c r="A464" t="s">
        <v>1080</v>
      </c>
      <c r="B464" s="3">
        <v>45279</v>
      </c>
      <c r="C464" t="s">
        <v>1081</v>
      </c>
      <c r="D464" t="s">
        <v>514</v>
      </c>
      <c r="E464" t="s">
        <v>105</v>
      </c>
      <c r="F464">
        <v>2</v>
      </c>
      <c r="G464" t="s">
        <v>33</v>
      </c>
      <c r="H464">
        <v>38</v>
      </c>
      <c r="I464" s="12" t="s">
        <v>24</v>
      </c>
      <c r="J464" s="12" t="s">
        <v>51</v>
      </c>
      <c r="K464" s="12" t="s">
        <v>60</v>
      </c>
      <c r="L464" s="12" t="s">
        <v>515</v>
      </c>
      <c r="M464" s="12" t="s">
        <v>75</v>
      </c>
      <c r="N464" s="14">
        <v>0.25</v>
      </c>
      <c r="O464" s="23">
        <v>291.83999999999997</v>
      </c>
      <c r="P464">
        <v>371.38</v>
      </c>
      <c r="Q464" s="12" t="str" cm="1">
        <f t="array" ref="Q464:R464">VLOOKUP(E464,store[],{3,5},FALSE)</f>
        <v>North</v>
      </c>
      <c r="R464" t="str">
        <v>Flagship</v>
      </c>
      <c r="S464" s="4">
        <f t="shared" si="7"/>
        <v>583.17999999999995</v>
      </c>
    </row>
    <row r="465" spans="1:19">
      <c r="A465" t="s">
        <v>1082</v>
      </c>
      <c r="B465" s="3">
        <v>45252</v>
      </c>
      <c r="C465" t="s">
        <v>1083</v>
      </c>
      <c r="D465" t="s">
        <v>21</v>
      </c>
      <c r="E465" t="s">
        <v>58</v>
      </c>
      <c r="F465">
        <v>2</v>
      </c>
      <c r="G465" t="s">
        <v>23</v>
      </c>
      <c r="H465">
        <v>21</v>
      </c>
      <c r="I465" s="12" t="s">
        <v>24</v>
      </c>
      <c r="J465" s="12" t="s">
        <v>932</v>
      </c>
      <c r="K465" s="12" t="s">
        <v>73</v>
      </c>
      <c r="L465" s="12" t="s">
        <v>27</v>
      </c>
      <c r="M465" s="12" t="s">
        <v>28</v>
      </c>
      <c r="N465" s="14">
        <v>0.17</v>
      </c>
      <c r="O465" s="23">
        <v>261.48</v>
      </c>
      <c r="P465">
        <v>245.98</v>
      </c>
      <c r="Q465" s="12" t="str" cm="1">
        <f t="array" ref="Q465:R465">VLOOKUP(E465,store[],{3,5},FALSE)</f>
        <v>North</v>
      </c>
      <c r="R465" t="str">
        <v>Outlet</v>
      </c>
      <c r="S465" s="4">
        <f t="shared" si="7"/>
        <v>522.62</v>
      </c>
    </row>
    <row r="466" spans="1:19">
      <c r="A466" t="s">
        <v>1084</v>
      </c>
      <c r="B466" s="3">
        <v>45938</v>
      </c>
      <c r="C466" t="s">
        <v>1085</v>
      </c>
      <c r="D466" t="s">
        <v>126</v>
      </c>
      <c r="E466" t="s">
        <v>98</v>
      </c>
      <c r="F466">
        <v>1</v>
      </c>
      <c r="G466" t="s">
        <v>33</v>
      </c>
      <c r="H466">
        <v>29</v>
      </c>
      <c r="I466" s="12" t="s">
        <v>24</v>
      </c>
      <c r="J466" s="12" t="s">
        <v>609</v>
      </c>
      <c r="K466" s="12" t="s">
        <v>60</v>
      </c>
      <c r="L466" s="12" t="s">
        <v>129</v>
      </c>
      <c r="M466" s="12" t="s">
        <v>130</v>
      </c>
      <c r="N466" s="14">
        <v>0.28000000000000003</v>
      </c>
      <c r="O466" s="23">
        <v>850.83</v>
      </c>
      <c r="P466">
        <v>223.43</v>
      </c>
      <c r="Q466" s="12" t="str" cm="1">
        <f t="array" ref="Q466:R466">VLOOKUP(E466,store[],{3,5},FALSE)</f>
        <v>South</v>
      </c>
      <c r="R466" t="str">
        <v>Outlet</v>
      </c>
      <c r="S466" s="4">
        <f t="shared" si="7"/>
        <v>850.55</v>
      </c>
    </row>
    <row r="467" spans="1:19">
      <c r="A467" t="s">
        <v>1086</v>
      </c>
      <c r="B467" s="3">
        <v>45711</v>
      </c>
      <c r="C467" t="s">
        <v>558</v>
      </c>
      <c r="D467" t="s">
        <v>381</v>
      </c>
      <c r="E467" t="s">
        <v>127</v>
      </c>
      <c r="F467">
        <v>1</v>
      </c>
      <c r="G467" t="s">
        <v>23</v>
      </c>
      <c r="H467">
        <v>18</v>
      </c>
      <c r="I467" s="12" t="s">
        <v>34</v>
      </c>
      <c r="J467" s="12" t="s">
        <v>378</v>
      </c>
      <c r="K467" s="12" t="s">
        <v>26</v>
      </c>
      <c r="L467" s="12" t="s">
        <v>382</v>
      </c>
      <c r="M467" s="12" t="s">
        <v>130</v>
      </c>
      <c r="N467" s="14">
        <v>0.05</v>
      </c>
      <c r="O467" s="23">
        <v>83.83</v>
      </c>
      <c r="P467">
        <v>167.34</v>
      </c>
      <c r="Q467" s="12" t="str" cm="1">
        <f t="array" ref="Q467:R467">VLOOKUP(E467,store[],{3,5},FALSE)</f>
        <v>South</v>
      </c>
      <c r="R467" t="str">
        <v>Flagship</v>
      </c>
      <c r="S467" s="4">
        <f t="shared" si="7"/>
        <v>83.78</v>
      </c>
    </row>
    <row r="468" spans="1:19">
      <c r="A468" t="s">
        <v>1087</v>
      </c>
      <c r="B468" s="3">
        <v>45713</v>
      </c>
      <c r="C468" t="s">
        <v>1013</v>
      </c>
      <c r="D468" t="s">
        <v>110</v>
      </c>
      <c r="E468" t="s">
        <v>117</v>
      </c>
      <c r="F468">
        <v>3</v>
      </c>
      <c r="G468" t="s">
        <v>50</v>
      </c>
      <c r="H468">
        <v>29</v>
      </c>
      <c r="I468" s="12" t="s">
        <v>34</v>
      </c>
      <c r="J468" s="12" t="s">
        <v>345</v>
      </c>
      <c r="K468" s="12" t="s">
        <v>52</v>
      </c>
      <c r="L468" s="12" t="s">
        <v>112</v>
      </c>
      <c r="M468" s="12" t="s">
        <v>28</v>
      </c>
      <c r="N468" s="14">
        <v>0.28000000000000003</v>
      </c>
      <c r="O468" s="23">
        <v>649.95000000000005</v>
      </c>
      <c r="P468">
        <v>131.24</v>
      </c>
      <c r="Q468" s="12" t="str" cm="1">
        <f t="array" ref="Q468:R468">VLOOKUP(E468,store[],{3,5},FALSE)</f>
        <v>West</v>
      </c>
      <c r="R468" t="str">
        <v>Flagship</v>
      </c>
      <c r="S468" s="4">
        <f t="shared" si="7"/>
        <v>1949.01</v>
      </c>
    </row>
    <row r="469" spans="1:19">
      <c r="A469" t="s">
        <v>1088</v>
      </c>
      <c r="B469" s="3">
        <v>45565</v>
      </c>
      <c r="C469" t="s">
        <v>1089</v>
      </c>
      <c r="D469" t="s">
        <v>575</v>
      </c>
      <c r="E469" t="s">
        <v>179</v>
      </c>
      <c r="F469">
        <v>4</v>
      </c>
      <c r="G469" t="s">
        <v>33</v>
      </c>
      <c r="H469">
        <v>40</v>
      </c>
      <c r="I469" s="12" t="s">
        <v>34</v>
      </c>
      <c r="J469" s="12" t="s">
        <v>59</v>
      </c>
      <c r="K469" s="12" t="s">
        <v>52</v>
      </c>
      <c r="L469" s="12" t="s">
        <v>576</v>
      </c>
      <c r="M469" s="12" t="s">
        <v>28</v>
      </c>
      <c r="N469" s="14">
        <v>0.18</v>
      </c>
      <c r="O469" s="23">
        <v>934.96</v>
      </c>
      <c r="P469">
        <v>107.06</v>
      </c>
      <c r="Q469" s="12" t="str" cm="1">
        <f t="array" ref="Q469:R469">VLOOKUP(E469,store[],{3,5},FALSE)</f>
        <v>East</v>
      </c>
      <c r="R469" t="str">
        <v>Online</v>
      </c>
      <c r="S469" s="4">
        <f t="shared" si="7"/>
        <v>3739.12</v>
      </c>
    </row>
    <row r="470" spans="1:19">
      <c r="A470" t="s">
        <v>1090</v>
      </c>
      <c r="B470" s="3">
        <v>45279</v>
      </c>
      <c r="C470" t="s">
        <v>989</v>
      </c>
      <c r="D470" t="s">
        <v>377</v>
      </c>
      <c r="E470" t="s">
        <v>98</v>
      </c>
      <c r="F470">
        <v>1</v>
      </c>
      <c r="G470" t="s">
        <v>50</v>
      </c>
      <c r="H470">
        <v>26</v>
      </c>
      <c r="I470" s="12" t="s">
        <v>34</v>
      </c>
      <c r="J470" s="12" t="s">
        <v>51</v>
      </c>
      <c r="K470" s="12" t="s">
        <v>60</v>
      </c>
      <c r="L470" s="12" t="s">
        <v>379</v>
      </c>
      <c r="M470" s="12" t="s">
        <v>28</v>
      </c>
      <c r="N470" s="14">
        <v>0.13</v>
      </c>
      <c r="O470" s="23">
        <v>880.89</v>
      </c>
      <c r="P470">
        <v>144.53</v>
      </c>
      <c r="Q470" s="12" t="str" cm="1">
        <f t="array" ref="Q470:R470">VLOOKUP(E470,store[],{3,5},FALSE)</f>
        <v>South</v>
      </c>
      <c r="R470" t="str">
        <v>Outlet</v>
      </c>
      <c r="S470" s="4">
        <f t="shared" si="7"/>
        <v>880.76</v>
      </c>
    </row>
    <row r="471" spans="1:19">
      <c r="A471" t="s">
        <v>1091</v>
      </c>
      <c r="B471" s="3">
        <v>45614</v>
      </c>
      <c r="C471" t="s">
        <v>1062</v>
      </c>
      <c r="D471" t="s">
        <v>187</v>
      </c>
      <c r="E471" t="s">
        <v>43</v>
      </c>
      <c r="F471">
        <v>4</v>
      </c>
      <c r="G471" t="s">
        <v>33</v>
      </c>
      <c r="H471">
        <v>41</v>
      </c>
      <c r="I471" s="12" t="s">
        <v>34</v>
      </c>
      <c r="J471" s="12" t="s">
        <v>333</v>
      </c>
      <c r="K471" s="12" t="s">
        <v>52</v>
      </c>
      <c r="L471" s="12" t="s">
        <v>189</v>
      </c>
      <c r="M471" s="12" t="s">
        <v>37</v>
      </c>
      <c r="N471" s="14">
        <v>0.1</v>
      </c>
      <c r="O471" s="23">
        <v>610.6</v>
      </c>
      <c r="P471">
        <v>431.67</v>
      </c>
      <c r="Q471" s="12" t="str" cm="1">
        <f t="array" ref="Q471:R471">VLOOKUP(E471,store[],{3,5},FALSE)</f>
        <v>West</v>
      </c>
      <c r="R471" t="str">
        <v>Online</v>
      </c>
      <c r="S471" s="4">
        <f t="shared" si="7"/>
        <v>2442</v>
      </c>
    </row>
    <row r="472" spans="1:19">
      <c r="A472" t="s">
        <v>1092</v>
      </c>
      <c r="B472" s="3">
        <v>45912</v>
      </c>
      <c r="C472" t="s">
        <v>692</v>
      </c>
      <c r="D472" t="s">
        <v>567</v>
      </c>
      <c r="E472" t="s">
        <v>160</v>
      </c>
      <c r="F472">
        <v>1</v>
      </c>
      <c r="G472" t="s">
        <v>23</v>
      </c>
      <c r="H472">
        <v>61</v>
      </c>
      <c r="I472" s="12" t="s">
        <v>34</v>
      </c>
      <c r="J472" s="12" t="s">
        <v>227</v>
      </c>
      <c r="K472" s="12" t="s">
        <v>26</v>
      </c>
      <c r="L472" s="12" t="s">
        <v>568</v>
      </c>
      <c r="M472" s="12" t="s">
        <v>28</v>
      </c>
      <c r="N472" s="14">
        <v>0.2</v>
      </c>
      <c r="O472" s="23">
        <v>514.19000000000005</v>
      </c>
      <c r="P472">
        <v>38.76</v>
      </c>
      <c r="Q472" s="12" t="str" cm="1">
        <f t="array" ref="Q472:R472">VLOOKUP(E472,store[],{3,5},FALSE)</f>
        <v>East</v>
      </c>
      <c r="R472" t="str">
        <v>Flagship</v>
      </c>
      <c r="S472" s="4">
        <f t="shared" si="7"/>
        <v>513.99</v>
      </c>
    </row>
    <row r="473" spans="1:19">
      <c r="A473" t="s">
        <v>1093</v>
      </c>
      <c r="B473" s="3">
        <v>45688</v>
      </c>
      <c r="C473" t="s">
        <v>531</v>
      </c>
      <c r="D473" t="s">
        <v>786</v>
      </c>
      <c r="E473" t="s">
        <v>149</v>
      </c>
      <c r="F473">
        <v>1</v>
      </c>
      <c r="G473" t="s">
        <v>33</v>
      </c>
      <c r="H473">
        <v>27</v>
      </c>
      <c r="I473" s="12" t="s">
        <v>24</v>
      </c>
      <c r="J473" s="12" t="s">
        <v>193</v>
      </c>
      <c r="K473" s="12" t="s">
        <v>73</v>
      </c>
      <c r="L473" s="12" t="s">
        <v>787</v>
      </c>
      <c r="M473" s="12" t="s">
        <v>130</v>
      </c>
      <c r="N473" s="14">
        <v>0.22</v>
      </c>
      <c r="O473" s="23">
        <v>546.20000000000005</v>
      </c>
      <c r="P473">
        <v>353.47</v>
      </c>
      <c r="Q473" s="12" t="str" cm="1">
        <f t="array" ref="Q473:R473">VLOOKUP(E473,store[],{3,5},FALSE)</f>
        <v>East</v>
      </c>
      <c r="R473" t="str">
        <v>Flagship</v>
      </c>
      <c r="S473" s="4">
        <f t="shared" si="7"/>
        <v>545.98</v>
      </c>
    </row>
    <row r="474" spans="1:19">
      <c r="A474" t="s">
        <v>1094</v>
      </c>
      <c r="B474" s="3">
        <v>45591</v>
      </c>
      <c r="C474" t="s">
        <v>1095</v>
      </c>
      <c r="D474" t="s">
        <v>786</v>
      </c>
      <c r="E474" t="s">
        <v>90</v>
      </c>
      <c r="F474">
        <v>3</v>
      </c>
      <c r="G474" t="s">
        <v>23</v>
      </c>
      <c r="H474">
        <v>45</v>
      </c>
      <c r="I474" s="12" t="s">
        <v>34</v>
      </c>
      <c r="J474" s="12" t="s">
        <v>510</v>
      </c>
      <c r="K474" s="12" t="s">
        <v>52</v>
      </c>
      <c r="L474" s="12" t="s">
        <v>787</v>
      </c>
      <c r="M474" s="12" t="s">
        <v>130</v>
      </c>
      <c r="N474" s="14">
        <v>0.02</v>
      </c>
      <c r="O474" s="23">
        <v>416.01</v>
      </c>
      <c r="P474">
        <v>353.47</v>
      </c>
      <c r="Q474" s="12" t="str" cm="1">
        <f t="array" ref="Q474:R474">VLOOKUP(E474,store[],{3,5},FALSE)</f>
        <v>East</v>
      </c>
      <c r="R474" t="str">
        <v>Flagship</v>
      </c>
      <c r="S474" s="4">
        <f t="shared" si="7"/>
        <v>1247.97</v>
      </c>
    </row>
    <row r="475" spans="1:19">
      <c r="A475" t="s">
        <v>1096</v>
      </c>
      <c r="B475" s="3">
        <v>45864</v>
      </c>
      <c r="C475" t="s">
        <v>1097</v>
      </c>
      <c r="D475" t="s">
        <v>31</v>
      </c>
      <c r="E475" t="s">
        <v>168</v>
      </c>
      <c r="F475">
        <v>1</v>
      </c>
      <c r="G475" t="s">
        <v>50</v>
      </c>
      <c r="H475">
        <v>52</v>
      </c>
      <c r="I475" s="12" t="s">
        <v>34</v>
      </c>
      <c r="J475" s="12" t="s">
        <v>106</v>
      </c>
      <c r="K475" s="12" t="s">
        <v>73</v>
      </c>
      <c r="L475" s="12" t="s">
        <v>36</v>
      </c>
      <c r="M475" s="12" t="s">
        <v>37</v>
      </c>
      <c r="N475" s="14">
        <v>0.21</v>
      </c>
      <c r="O475" s="23">
        <v>30.94</v>
      </c>
      <c r="P475">
        <v>403.71</v>
      </c>
      <c r="Q475" s="12" t="str" cm="1">
        <f t="array" ref="Q475:R475">VLOOKUP(E475,store[],{3,5},FALSE)</f>
        <v>East</v>
      </c>
      <c r="R475" t="str">
        <v>Online</v>
      </c>
      <c r="S475" s="4">
        <f t="shared" si="7"/>
        <v>30.73</v>
      </c>
    </row>
    <row r="476" spans="1:19">
      <c r="A476" t="s">
        <v>1098</v>
      </c>
      <c r="B476" s="3">
        <v>45875</v>
      </c>
      <c r="C476" t="s">
        <v>191</v>
      </c>
      <c r="D476" t="s">
        <v>714</v>
      </c>
      <c r="E476" t="s">
        <v>117</v>
      </c>
      <c r="F476">
        <v>3</v>
      </c>
      <c r="G476" t="s">
        <v>50</v>
      </c>
      <c r="H476">
        <v>30</v>
      </c>
      <c r="I476" s="12" t="s">
        <v>24</v>
      </c>
      <c r="J476" s="12" t="s">
        <v>193</v>
      </c>
      <c r="K476" s="12" t="s">
        <v>52</v>
      </c>
      <c r="L476" s="12" t="s">
        <v>715</v>
      </c>
      <c r="M476" s="12" t="s">
        <v>130</v>
      </c>
      <c r="N476" s="14">
        <v>0.21</v>
      </c>
      <c r="O476" s="23">
        <v>666.39</v>
      </c>
      <c r="P476">
        <v>113.83</v>
      </c>
      <c r="Q476" s="12" t="str" cm="1">
        <f t="array" ref="Q476:R476">VLOOKUP(E476,store[],{3,5},FALSE)</f>
        <v>West</v>
      </c>
      <c r="R476" t="str">
        <v>Flagship</v>
      </c>
      <c r="S476" s="4">
        <f t="shared" si="7"/>
        <v>1998.54</v>
      </c>
    </row>
    <row r="477" spans="1:19">
      <c r="A477" t="s">
        <v>1099</v>
      </c>
      <c r="B477" s="3">
        <v>45797</v>
      </c>
      <c r="C477" t="s">
        <v>1100</v>
      </c>
      <c r="D477" t="s">
        <v>630</v>
      </c>
      <c r="E477" t="s">
        <v>168</v>
      </c>
      <c r="F477">
        <v>2</v>
      </c>
      <c r="G477" t="s">
        <v>33</v>
      </c>
      <c r="H477">
        <v>25</v>
      </c>
      <c r="I477" s="12" t="s">
        <v>34</v>
      </c>
      <c r="J477" s="12" t="s">
        <v>209</v>
      </c>
      <c r="K477" s="12" t="s">
        <v>60</v>
      </c>
      <c r="L477" s="12" t="s">
        <v>631</v>
      </c>
      <c r="M477" s="12" t="s">
        <v>28</v>
      </c>
      <c r="N477" s="14">
        <v>0.19</v>
      </c>
      <c r="O477" s="23">
        <v>145.26</v>
      </c>
      <c r="P477">
        <v>285.54000000000002</v>
      </c>
      <c r="Q477" s="12" t="str" cm="1">
        <f t="array" ref="Q477:R477">VLOOKUP(E477,store[],{3,5},FALSE)</f>
        <v>East</v>
      </c>
      <c r="R477" t="str">
        <v>Online</v>
      </c>
      <c r="S477" s="4">
        <f t="shared" si="7"/>
        <v>290.14</v>
      </c>
    </row>
    <row r="478" spans="1:19">
      <c r="A478" t="s">
        <v>1101</v>
      </c>
      <c r="B478" s="3">
        <v>45364</v>
      </c>
      <c r="C478" t="s">
        <v>782</v>
      </c>
      <c r="D478" t="s">
        <v>372</v>
      </c>
      <c r="E478" t="s">
        <v>58</v>
      </c>
      <c r="F478">
        <v>4</v>
      </c>
      <c r="G478" t="s">
        <v>50</v>
      </c>
      <c r="H478">
        <v>36</v>
      </c>
      <c r="I478" s="12" t="s">
        <v>24</v>
      </c>
      <c r="J478" s="12" t="s">
        <v>761</v>
      </c>
      <c r="K478" s="12" t="s">
        <v>52</v>
      </c>
      <c r="L478" s="12" t="s">
        <v>374</v>
      </c>
      <c r="M478" s="12" t="s">
        <v>130</v>
      </c>
      <c r="N478" s="14">
        <v>0.24</v>
      </c>
      <c r="O478" s="23">
        <v>940.77</v>
      </c>
      <c r="P478">
        <v>438.25</v>
      </c>
      <c r="Q478" s="12" t="str" cm="1">
        <f t="array" ref="Q478:R478">VLOOKUP(E478,store[],{3,5},FALSE)</f>
        <v>North</v>
      </c>
      <c r="R478" t="str">
        <v>Outlet</v>
      </c>
      <c r="S478" s="4">
        <f t="shared" si="7"/>
        <v>3762.12</v>
      </c>
    </row>
    <row r="479" spans="1:19">
      <c r="A479" t="s">
        <v>1102</v>
      </c>
      <c r="B479" s="3">
        <v>45700</v>
      </c>
      <c r="C479" t="s">
        <v>956</v>
      </c>
      <c r="D479" t="s">
        <v>381</v>
      </c>
      <c r="E479" t="s">
        <v>32</v>
      </c>
      <c r="F479">
        <v>1</v>
      </c>
      <c r="G479" t="s">
        <v>23</v>
      </c>
      <c r="H479">
        <v>19</v>
      </c>
      <c r="I479" s="12" t="s">
        <v>24</v>
      </c>
      <c r="J479" s="12" t="s">
        <v>410</v>
      </c>
      <c r="K479" s="12" t="s">
        <v>26</v>
      </c>
      <c r="L479" s="12" t="s">
        <v>382</v>
      </c>
      <c r="M479" s="12" t="s">
        <v>130</v>
      </c>
      <c r="N479" s="14">
        <v>0.09</v>
      </c>
      <c r="O479" s="23">
        <v>708.88</v>
      </c>
      <c r="P479">
        <v>167.34</v>
      </c>
      <c r="Q479" s="12" t="str" cm="1">
        <f t="array" ref="Q479:R479">VLOOKUP(E479,store[],{3,5},FALSE)</f>
        <v>North</v>
      </c>
      <c r="R479" t="str">
        <v>Flagship</v>
      </c>
      <c r="S479" s="4">
        <f t="shared" si="7"/>
        <v>708.79</v>
      </c>
    </row>
    <row r="480" spans="1:19">
      <c r="A480" t="s">
        <v>1103</v>
      </c>
      <c r="B480" s="3">
        <v>45924</v>
      </c>
      <c r="C480" t="s">
        <v>560</v>
      </c>
      <c r="D480" t="s">
        <v>271</v>
      </c>
      <c r="E480" t="s">
        <v>198</v>
      </c>
      <c r="F480">
        <v>1</v>
      </c>
      <c r="G480" t="s">
        <v>33</v>
      </c>
      <c r="H480">
        <v>56</v>
      </c>
      <c r="I480" s="12" t="s">
        <v>34</v>
      </c>
      <c r="J480" s="12" t="s">
        <v>59</v>
      </c>
      <c r="K480" s="12" t="s">
        <v>73</v>
      </c>
      <c r="L480" s="12" t="s">
        <v>273</v>
      </c>
      <c r="M480" s="12" t="s">
        <v>75</v>
      </c>
      <c r="N480" s="14">
        <v>0.24</v>
      </c>
      <c r="O480" s="23">
        <v>790.73</v>
      </c>
      <c r="P480">
        <v>19.52</v>
      </c>
      <c r="Q480" s="12" t="str" cm="1">
        <f t="array" ref="Q480:R480">VLOOKUP(E480,store[],{3,5},FALSE)</f>
        <v>South</v>
      </c>
      <c r="R480" t="str">
        <v>Outlet</v>
      </c>
      <c r="S480" s="4">
        <f t="shared" si="7"/>
        <v>790.49</v>
      </c>
    </row>
    <row r="481" spans="1:19">
      <c r="A481" t="s">
        <v>1104</v>
      </c>
      <c r="B481" s="3">
        <v>45574</v>
      </c>
      <c r="C481" t="s">
        <v>748</v>
      </c>
      <c r="D481" t="s">
        <v>65</v>
      </c>
      <c r="E481" t="s">
        <v>127</v>
      </c>
      <c r="F481">
        <v>3</v>
      </c>
      <c r="G481" t="s">
        <v>33</v>
      </c>
      <c r="H481">
        <v>29</v>
      </c>
      <c r="I481" s="12" t="s">
        <v>24</v>
      </c>
      <c r="J481" s="12" t="s">
        <v>308</v>
      </c>
      <c r="K481" s="12" t="s">
        <v>73</v>
      </c>
      <c r="L481" s="12" t="s">
        <v>68</v>
      </c>
      <c r="M481" s="12" t="s">
        <v>37</v>
      </c>
      <c r="N481" s="14">
        <v>0.09</v>
      </c>
      <c r="O481" s="23">
        <v>635.13</v>
      </c>
      <c r="P481">
        <v>465.34</v>
      </c>
      <c r="Q481" s="12" t="str" cm="1">
        <f t="array" ref="Q481:R481">VLOOKUP(E481,store[],{3,5},FALSE)</f>
        <v>South</v>
      </c>
      <c r="R481" t="str">
        <v>Flagship</v>
      </c>
      <c r="S481" s="4">
        <f t="shared" si="7"/>
        <v>1905.12</v>
      </c>
    </row>
    <row r="482" spans="1:19">
      <c r="A482" t="s">
        <v>1105</v>
      </c>
      <c r="B482" s="3">
        <v>45233</v>
      </c>
      <c r="C482" t="s">
        <v>687</v>
      </c>
      <c r="D482" t="s">
        <v>317</v>
      </c>
      <c r="E482" t="s">
        <v>98</v>
      </c>
      <c r="F482">
        <v>1</v>
      </c>
      <c r="G482" t="s">
        <v>50</v>
      </c>
      <c r="H482">
        <v>32</v>
      </c>
      <c r="I482" s="12" t="s">
        <v>34</v>
      </c>
      <c r="J482" s="12" t="s">
        <v>239</v>
      </c>
      <c r="K482" s="12" t="s">
        <v>73</v>
      </c>
      <c r="L482" s="12" t="s">
        <v>318</v>
      </c>
      <c r="M482" s="12" t="s">
        <v>37</v>
      </c>
      <c r="N482" s="14">
        <v>0.15</v>
      </c>
      <c r="O482" s="23">
        <v>744.88</v>
      </c>
      <c r="P482">
        <v>377.52</v>
      </c>
      <c r="Q482" s="12" t="str" cm="1">
        <f t="array" ref="Q482:R482">VLOOKUP(E482,store[],{3,5},FALSE)</f>
        <v>South</v>
      </c>
      <c r="R482" t="str">
        <v>Outlet</v>
      </c>
      <c r="S482" s="4">
        <f t="shared" si="7"/>
        <v>744.73</v>
      </c>
    </row>
    <row r="483" spans="1:19">
      <c r="A483" t="s">
        <v>1106</v>
      </c>
      <c r="B483" s="3">
        <v>45745</v>
      </c>
      <c r="C483" t="s">
        <v>392</v>
      </c>
      <c r="D483" t="s">
        <v>567</v>
      </c>
      <c r="E483" t="s">
        <v>105</v>
      </c>
      <c r="F483">
        <v>3</v>
      </c>
      <c r="G483" t="s">
        <v>23</v>
      </c>
      <c r="H483">
        <v>18</v>
      </c>
      <c r="I483" s="12" t="s">
        <v>24</v>
      </c>
      <c r="J483" s="12" t="s">
        <v>161</v>
      </c>
      <c r="K483" s="12" t="s">
        <v>52</v>
      </c>
      <c r="L483" s="12" t="s">
        <v>568</v>
      </c>
      <c r="M483" s="12" t="s">
        <v>28</v>
      </c>
      <c r="N483" s="14">
        <v>0.25</v>
      </c>
      <c r="O483" s="23">
        <v>205.34</v>
      </c>
      <c r="P483">
        <v>38.76</v>
      </c>
      <c r="Q483" s="12" t="str" cm="1">
        <f t="array" ref="Q483:R483">VLOOKUP(E483,store[],{3,5},FALSE)</f>
        <v>North</v>
      </c>
      <c r="R483" t="str">
        <v>Flagship</v>
      </c>
      <c r="S483" s="4">
        <f t="shared" si="7"/>
        <v>615.27</v>
      </c>
    </row>
    <row r="484" spans="1:19">
      <c r="A484" t="s">
        <v>1107</v>
      </c>
      <c r="B484" s="3">
        <v>45851</v>
      </c>
      <c r="C484" t="s">
        <v>466</v>
      </c>
      <c r="D484" t="s">
        <v>255</v>
      </c>
      <c r="E484" t="s">
        <v>43</v>
      </c>
      <c r="F484">
        <v>2</v>
      </c>
      <c r="G484" t="s">
        <v>23</v>
      </c>
      <c r="H484">
        <v>33</v>
      </c>
      <c r="I484" s="12" t="s">
        <v>24</v>
      </c>
      <c r="J484" s="12" t="s">
        <v>231</v>
      </c>
      <c r="K484" s="12" t="s">
        <v>26</v>
      </c>
      <c r="L484" s="12" t="s">
        <v>257</v>
      </c>
      <c r="M484" s="12" t="s">
        <v>75</v>
      </c>
      <c r="N484" s="14">
        <v>0.15</v>
      </c>
      <c r="O484" s="23">
        <v>756.8</v>
      </c>
      <c r="P484">
        <v>218.48</v>
      </c>
      <c r="Q484" s="12" t="str" cm="1">
        <f t="array" ref="Q484:R484">VLOOKUP(E484,store[],{3,5},FALSE)</f>
        <v>West</v>
      </c>
      <c r="R484" t="str">
        <v>Online</v>
      </c>
      <c r="S484" s="4">
        <f t="shared" si="7"/>
        <v>1513.3</v>
      </c>
    </row>
    <row r="485" spans="1:19">
      <c r="A485" t="s">
        <v>1108</v>
      </c>
      <c r="B485" s="3">
        <v>45308</v>
      </c>
      <c r="C485" t="s">
        <v>754</v>
      </c>
      <c r="D485" t="s">
        <v>279</v>
      </c>
      <c r="E485" t="s">
        <v>168</v>
      </c>
      <c r="F485">
        <v>1</v>
      </c>
      <c r="G485" t="s">
        <v>23</v>
      </c>
      <c r="H485">
        <v>34</v>
      </c>
      <c r="I485" s="12" t="s">
        <v>24</v>
      </c>
      <c r="J485" s="12" t="s">
        <v>218</v>
      </c>
      <c r="K485" s="12" t="s">
        <v>73</v>
      </c>
      <c r="L485" s="12" t="s">
        <v>280</v>
      </c>
      <c r="M485" s="12" t="s">
        <v>75</v>
      </c>
      <c r="N485" s="14">
        <v>0.2</v>
      </c>
      <c r="O485" s="23">
        <v>771.73</v>
      </c>
      <c r="P485">
        <v>123.46</v>
      </c>
      <c r="Q485" s="12" t="str" cm="1">
        <f t="array" ref="Q485:R485">VLOOKUP(E485,store[],{3,5},FALSE)</f>
        <v>East</v>
      </c>
      <c r="R485" t="str">
        <v>Online</v>
      </c>
      <c r="S485" s="4">
        <f t="shared" si="7"/>
        <v>771.53</v>
      </c>
    </row>
    <row r="486" spans="1:19">
      <c r="A486" t="s">
        <v>1109</v>
      </c>
      <c r="B486" s="3">
        <v>45639</v>
      </c>
      <c r="C486" t="s">
        <v>853</v>
      </c>
      <c r="D486" t="s">
        <v>532</v>
      </c>
      <c r="E486" t="s">
        <v>32</v>
      </c>
      <c r="F486">
        <v>1</v>
      </c>
      <c r="G486" t="s">
        <v>33</v>
      </c>
      <c r="H486">
        <v>40</v>
      </c>
      <c r="I486" s="12" t="s">
        <v>24</v>
      </c>
      <c r="J486" s="12" t="s">
        <v>356</v>
      </c>
      <c r="K486" s="12" t="s">
        <v>73</v>
      </c>
      <c r="L486" s="12" t="s">
        <v>533</v>
      </c>
      <c r="M486" s="12" t="s">
        <v>46</v>
      </c>
      <c r="N486" s="14">
        <v>0.03</v>
      </c>
      <c r="O486" s="23">
        <v>440.19</v>
      </c>
      <c r="P486">
        <v>340.39</v>
      </c>
      <c r="Q486" s="12" t="str" cm="1">
        <f t="array" ref="Q486:R486">VLOOKUP(E486,store[],{3,5},FALSE)</f>
        <v>North</v>
      </c>
      <c r="R486" t="str">
        <v>Flagship</v>
      </c>
      <c r="S486" s="4">
        <f t="shared" si="7"/>
        <v>440.16</v>
      </c>
    </row>
    <row r="487" spans="1:19">
      <c r="A487" t="s">
        <v>1110</v>
      </c>
      <c r="B487" s="3">
        <v>45919</v>
      </c>
      <c r="C487" t="s">
        <v>857</v>
      </c>
      <c r="D487" t="s">
        <v>634</v>
      </c>
      <c r="E487" t="s">
        <v>198</v>
      </c>
      <c r="F487">
        <v>2</v>
      </c>
      <c r="G487" t="s">
        <v>23</v>
      </c>
      <c r="H487">
        <v>54</v>
      </c>
      <c r="I487" s="12" t="s">
        <v>34</v>
      </c>
      <c r="J487" s="12" t="s">
        <v>99</v>
      </c>
      <c r="K487" s="12" t="s">
        <v>60</v>
      </c>
      <c r="L487" s="12" t="s">
        <v>635</v>
      </c>
      <c r="M487" s="12" t="s">
        <v>130</v>
      </c>
      <c r="N487" s="14">
        <v>0.17</v>
      </c>
      <c r="O487" s="23">
        <v>409</v>
      </c>
      <c r="P487">
        <v>306.45999999999998</v>
      </c>
      <c r="Q487" s="12" t="str" cm="1">
        <f t="array" ref="Q487:R487">VLOOKUP(E487,store[],{3,5},FALSE)</f>
        <v>South</v>
      </c>
      <c r="R487" t="str">
        <v>Outlet</v>
      </c>
      <c r="S487" s="4">
        <f t="shared" si="7"/>
        <v>817.66</v>
      </c>
    </row>
    <row r="488" spans="1:19">
      <c r="A488" t="s">
        <v>1111</v>
      </c>
      <c r="B488" s="3">
        <v>45333</v>
      </c>
      <c r="C488" t="s">
        <v>497</v>
      </c>
      <c r="D488" t="s">
        <v>340</v>
      </c>
      <c r="E488" t="s">
        <v>135</v>
      </c>
      <c r="F488">
        <v>3</v>
      </c>
      <c r="G488" t="s">
        <v>50</v>
      </c>
      <c r="H488">
        <v>38</v>
      </c>
      <c r="I488" s="12" t="s">
        <v>24</v>
      </c>
      <c r="J488" s="12" t="s">
        <v>498</v>
      </c>
      <c r="K488" s="12" t="s">
        <v>73</v>
      </c>
      <c r="L488" s="12" t="s">
        <v>341</v>
      </c>
      <c r="M488" s="12" t="s">
        <v>28</v>
      </c>
      <c r="N488" s="14">
        <v>0.04</v>
      </c>
      <c r="O488" s="23">
        <v>134.58000000000001</v>
      </c>
      <c r="P488">
        <v>135.61000000000001</v>
      </c>
      <c r="Q488" s="12" t="str" cm="1">
        <f t="array" ref="Q488:R488">VLOOKUP(E488,store[],{3,5},FALSE)</f>
        <v>East</v>
      </c>
      <c r="R488" t="str">
        <v>Online</v>
      </c>
      <c r="S488" s="4">
        <f t="shared" si="7"/>
        <v>403.62</v>
      </c>
    </row>
    <row r="489" spans="1:19">
      <c r="A489" t="s">
        <v>1112</v>
      </c>
      <c r="B489" s="3">
        <v>45811</v>
      </c>
      <c r="C489" t="s">
        <v>121</v>
      </c>
      <c r="D489" t="s">
        <v>104</v>
      </c>
      <c r="E489" t="s">
        <v>66</v>
      </c>
      <c r="F489">
        <v>4</v>
      </c>
      <c r="G489" t="s">
        <v>23</v>
      </c>
      <c r="H489">
        <v>55</v>
      </c>
      <c r="I489" s="12" t="s">
        <v>24</v>
      </c>
      <c r="J489" s="12" t="s">
        <v>44</v>
      </c>
      <c r="K489" s="12" t="s">
        <v>60</v>
      </c>
      <c r="L489" s="12" t="s">
        <v>107</v>
      </c>
      <c r="M489" s="12" t="s">
        <v>37</v>
      </c>
      <c r="N489" s="14">
        <v>0.02</v>
      </c>
      <c r="O489" s="23">
        <v>284.44</v>
      </c>
      <c r="P489">
        <v>326.06</v>
      </c>
      <c r="Q489" s="12" t="str" cm="1">
        <f t="array" ref="Q489:R489">VLOOKUP(E489,store[],{3,5},FALSE)</f>
        <v>South</v>
      </c>
      <c r="R489" t="str">
        <v>Online</v>
      </c>
      <c r="S489" s="4">
        <f t="shared" si="7"/>
        <v>1137.68</v>
      </c>
    </row>
    <row r="490" spans="1:19">
      <c r="A490" t="s">
        <v>1113</v>
      </c>
      <c r="B490" s="3">
        <v>45726</v>
      </c>
      <c r="C490" t="s">
        <v>558</v>
      </c>
      <c r="D490" t="s">
        <v>575</v>
      </c>
      <c r="E490" t="s">
        <v>149</v>
      </c>
      <c r="F490">
        <v>4</v>
      </c>
      <c r="G490" t="s">
        <v>23</v>
      </c>
      <c r="H490">
        <v>18</v>
      </c>
      <c r="I490" s="12" t="s">
        <v>34</v>
      </c>
      <c r="J490" s="12" t="s">
        <v>378</v>
      </c>
      <c r="K490" s="12" t="s">
        <v>26</v>
      </c>
      <c r="L490" s="12" t="s">
        <v>576</v>
      </c>
      <c r="M490" s="12" t="s">
        <v>28</v>
      </c>
      <c r="N490" s="14">
        <v>0.16</v>
      </c>
      <c r="O490" s="23">
        <v>922.69</v>
      </c>
      <c r="P490">
        <v>107.06</v>
      </c>
      <c r="Q490" s="12" t="str" cm="1">
        <f t="array" ref="Q490:R490">VLOOKUP(E490,store[],{3,5},FALSE)</f>
        <v>East</v>
      </c>
      <c r="R490" t="str">
        <v>Flagship</v>
      </c>
      <c r="S490" s="4">
        <f t="shared" si="7"/>
        <v>3690.12</v>
      </c>
    </row>
    <row r="491" spans="1:19">
      <c r="A491" t="s">
        <v>1114</v>
      </c>
      <c r="B491" s="3">
        <v>45644</v>
      </c>
      <c r="C491" t="s">
        <v>712</v>
      </c>
      <c r="D491" t="s">
        <v>126</v>
      </c>
      <c r="E491" t="s">
        <v>179</v>
      </c>
      <c r="F491">
        <v>2</v>
      </c>
      <c r="G491" t="s">
        <v>23</v>
      </c>
      <c r="H491">
        <v>22</v>
      </c>
      <c r="I491" s="12" t="s">
        <v>24</v>
      </c>
      <c r="J491" s="12" t="s">
        <v>239</v>
      </c>
      <c r="K491" s="12" t="s">
        <v>26</v>
      </c>
      <c r="L491" s="12" t="s">
        <v>129</v>
      </c>
      <c r="M491" s="12" t="s">
        <v>130</v>
      </c>
      <c r="N491" s="14">
        <v>0.28000000000000003</v>
      </c>
      <c r="O491" s="23">
        <v>992.55</v>
      </c>
      <c r="P491">
        <v>223.43</v>
      </c>
      <c r="Q491" s="12" t="str" cm="1">
        <f t="array" ref="Q491:R491">VLOOKUP(E491,store[],{3,5},FALSE)</f>
        <v>East</v>
      </c>
      <c r="R491" t="str">
        <v>Online</v>
      </c>
      <c r="S491" s="4">
        <f t="shared" si="7"/>
        <v>1984.54</v>
      </c>
    </row>
    <row r="492" spans="1:19">
      <c r="A492" t="s">
        <v>1115</v>
      </c>
      <c r="B492" s="3">
        <v>45371</v>
      </c>
      <c r="C492" t="s">
        <v>1116</v>
      </c>
      <c r="D492" t="s">
        <v>287</v>
      </c>
      <c r="E492" t="s">
        <v>160</v>
      </c>
      <c r="F492">
        <v>1</v>
      </c>
      <c r="G492" t="s">
        <v>23</v>
      </c>
      <c r="H492">
        <v>60</v>
      </c>
      <c r="I492" s="12" t="s">
        <v>34</v>
      </c>
      <c r="J492" s="12" t="s">
        <v>214</v>
      </c>
      <c r="K492" s="12" t="s">
        <v>60</v>
      </c>
      <c r="L492" s="12" t="s">
        <v>288</v>
      </c>
      <c r="M492" s="12" t="s">
        <v>46</v>
      </c>
      <c r="N492" s="14">
        <v>0.03</v>
      </c>
      <c r="O492" s="23">
        <v>170.43</v>
      </c>
      <c r="P492">
        <v>183.04</v>
      </c>
      <c r="Q492" s="12" t="str" cm="1">
        <f t="array" ref="Q492:R492">VLOOKUP(E492,store[],{3,5},FALSE)</f>
        <v>East</v>
      </c>
      <c r="R492" t="str">
        <v>Flagship</v>
      </c>
      <c r="S492" s="4">
        <f t="shared" si="7"/>
        <v>170.4</v>
      </c>
    </row>
    <row r="493" spans="1:19">
      <c r="A493" t="s">
        <v>1117</v>
      </c>
      <c r="B493" s="3">
        <v>45462</v>
      </c>
      <c r="C493" t="s">
        <v>1118</v>
      </c>
      <c r="D493" t="s">
        <v>155</v>
      </c>
      <c r="E493" t="s">
        <v>198</v>
      </c>
      <c r="F493">
        <v>3</v>
      </c>
      <c r="G493" t="s">
        <v>23</v>
      </c>
      <c r="H493">
        <v>50</v>
      </c>
      <c r="I493" s="12" t="s">
        <v>24</v>
      </c>
      <c r="J493" s="12" t="s">
        <v>106</v>
      </c>
      <c r="K493" s="12" t="s">
        <v>52</v>
      </c>
      <c r="L493" s="12" t="s">
        <v>156</v>
      </c>
      <c r="M493" s="12" t="s">
        <v>28</v>
      </c>
      <c r="N493" s="14">
        <v>0.03</v>
      </c>
      <c r="O493" s="23">
        <v>480.51</v>
      </c>
      <c r="P493">
        <v>477.61</v>
      </c>
      <c r="Q493" s="12" t="str" cm="1">
        <f t="array" ref="Q493:R493">VLOOKUP(E493,store[],{3,5},FALSE)</f>
        <v>South</v>
      </c>
      <c r="R493" t="str">
        <v>Outlet</v>
      </c>
      <c r="S493" s="4">
        <f t="shared" si="7"/>
        <v>1441.44</v>
      </c>
    </row>
    <row r="494" spans="1:19">
      <c r="A494" t="s">
        <v>1119</v>
      </c>
      <c r="B494" s="3">
        <v>45632</v>
      </c>
      <c r="C494" t="s">
        <v>1120</v>
      </c>
      <c r="D494" t="s">
        <v>42</v>
      </c>
      <c r="E494" t="s">
        <v>66</v>
      </c>
      <c r="F494">
        <v>2</v>
      </c>
      <c r="G494" t="s">
        <v>50</v>
      </c>
      <c r="H494">
        <v>46</v>
      </c>
      <c r="I494" s="12" t="s">
        <v>24</v>
      </c>
      <c r="J494" s="12" t="s">
        <v>188</v>
      </c>
      <c r="K494" s="12" t="s">
        <v>73</v>
      </c>
      <c r="L494" s="12" t="s">
        <v>45</v>
      </c>
      <c r="M494" s="12" t="s">
        <v>46</v>
      </c>
      <c r="N494" s="14">
        <v>0.28999999999999998</v>
      </c>
      <c r="O494" s="23">
        <v>955.66</v>
      </c>
      <c r="P494">
        <v>43.29</v>
      </c>
      <c r="Q494" s="12" t="str" cm="1">
        <f t="array" ref="Q494:R494">VLOOKUP(E494,store[],{3,5},FALSE)</f>
        <v>South</v>
      </c>
      <c r="R494" t="str">
        <v>Online</v>
      </c>
      <c r="S494" s="4">
        <f t="shared" si="7"/>
        <v>1910.74</v>
      </c>
    </row>
    <row r="495" spans="1:19">
      <c r="A495" t="s">
        <v>1121</v>
      </c>
      <c r="B495" s="3">
        <v>45863</v>
      </c>
      <c r="C495" t="s">
        <v>851</v>
      </c>
      <c r="D495" t="s">
        <v>155</v>
      </c>
      <c r="E495" t="s">
        <v>90</v>
      </c>
      <c r="F495">
        <v>2</v>
      </c>
      <c r="G495" t="s">
        <v>33</v>
      </c>
      <c r="H495">
        <v>46</v>
      </c>
      <c r="I495" s="12" t="s">
        <v>24</v>
      </c>
      <c r="J495" s="12" t="s">
        <v>222</v>
      </c>
      <c r="K495" s="12" t="s">
        <v>26</v>
      </c>
      <c r="L495" s="12" t="s">
        <v>156</v>
      </c>
      <c r="M495" s="12" t="s">
        <v>28</v>
      </c>
      <c r="N495" s="14">
        <v>0.27</v>
      </c>
      <c r="O495" s="23">
        <v>488.02</v>
      </c>
      <c r="P495">
        <v>477.61</v>
      </c>
      <c r="Q495" s="12" t="str" cm="1">
        <f t="array" ref="Q495:R495">VLOOKUP(E495,store[],{3,5},FALSE)</f>
        <v>East</v>
      </c>
      <c r="R495" t="str">
        <v>Flagship</v>
      </c>
      <c r="S495" s="4">
        <f t="shared" si="7"/>
        <v>975.5</v>
      </c>
    </row>
    <row r="496" spans="1:19">
      <c r="A496" t="s">
        <v>1122</v>
      </c>
      <c r="B496" s="3">
        <v>45501</v>
      </c>
      <c r="C496" t="s">
        <v>750</v>
      </c>
      <c r="D496" t="s">
        <v>928</v>
      </c>
      <c r="E496" t="s">
        <v>90</v>
      </c>
      <c r="F496">
        <v>1</v>
      </c>
      <c r="G496" t="s">
        <v>50</v>
      </c>
      <c r="H496">
        <v>59</v>
      </c>
      <c r="I496" s="12" t="s">
        <v>34</v>
      </c>
      <c r="J496" s="12" t="s">
        <v>209</v>
      </c>
      <c r="K496" s="12" t="s">
        <v>52</v>
      </c>
      <c r="L496" s="12" t="s">
        <v>929</v>
      </c>
      <c r="M496" s="12" t="s">
        <v>130</v>
      </c>
      <c r="N496" s="14">
        <v>0.13</v>
      </c>
      <c r="O496" s="23">
        <v>917.17</v>
      </c>
      <c r="P496">
        <v>245.77831168831199</v>
      </c>
      <c r="Q496" s="12" t="str" cm="1">
        <f t="array" ref="Q496:R496">VLOOKUP(E496,store[],{3,5},FALSE)</f>
        <v>East</v>
      </c>
      <c r="R496" t="str">
        <v>Flagship</v>
      </c>
      <c r="S496" s="4">
        <f t="shared" si="7"/>
        <v>917.04</v>
      </c>
    </row>
    <row r="497" spans="1:19">
      <c r="A497" t="s">
        <v>1123</v>
      </c>
      <c r="B497" s="3">
        <v>45568</v>
      </c>
      <c r="C497" t="s">
        <v>290</v>
      </c>
      <c r="D497" t="s">
        <v>484</v>
      </c>
      <c r="E497" t="s">
        <v>58</v>
      </c>
      <c r="F497">
        <v>2</v>
      </c>
      <c r="G497" t="s">
        <v>33</v>
      </c>
      <c r="H497">
        <v>58</v>
      </c>
      <c r="I497" s="12" t="s">
        <v>24</v>
      </c>
      <c r="J497" s="12" t="s">
        <v>169</v>
      </c>
      <c r="K497" s="12" t="s">
        <v>73</v>
      </c>
      <c r="L497" s="12" t="s">
        <v>485</v>
      </c>
      <c r="M497" s="12" t="s">
        <v>37</v>
      </c>
      <c r="N497" s="14">
        <v>0.3</v>
      </c>
      <c r="O497" s="23">
        <v>406.46</v>
      </c>
      <c r="P497">
        <v>439.07</v>
      </c>
      <c r="Q497" s="12" t="str" cm="1">
        <f t="array" ref="Q497:R497">VLOOKUP(E497,store[],{3,5},FALSE)</f>
        <v>North</v>
      </c>
      <c r="R497" t="str">
        <v>Outlet</v>
      </c>
      <c r="S497" s="4">
        <f t="shared" si="7"/>
        <v>812.32</v>
      </c>
    </row>
    <row r="498" spans="1:19">
      <c r="A498" t="s">
        <v>1124</v>
      </c>
      <c r="B498" s="3">
        <v>45238</v>
      </c>
      <c r="C498" t="s">
        <v>1125</v>
      </c>
      <c r="D498" t="s">
        <v>1126</v>
      </c>
      <c r="E498" t="s">
        <v>90</v>
      </c>
      <c r="F498">
        <v>2</v>
      </c>
      <c r="G498" t="s">
        <v>50</v>
      </c>
      <c r="H498">
        <v>27</v>
      </c>
      <c r="I498" s="12" t="s">
        <v>34</v>
      </c>
      <c r="J498" s="12" t="s">
        <v>204</v>
      </c>
      <c r="K498" s="12" t="s">
        <v>52</v>
      </c>
      <c r="L498" s="12" t="s">
        <v>1127</v>
      </c>
      <c r="M498" s="12" t="s">
        <v>28</v>
      </c>
      <c r="N498" s="14">
        <v>0.11</v>
      </c>
      <c r="O498" s="23">
        <v>264.39</v>
      </c>
      <c r="P498">
        <v>60.65</v>
      </c>
      <c r="Q498" s="12" t="str" cm="1">
        <f t="array" ref="Q498:R498">VLOOKUP(E498,store[],{3,5},FALSE)</f>
        <v>East</v>
      </c>
      <c r="R498" t="str">
        <v>Flagship</v>
      </c>
      <c r="S498" s="4">
        <f t="shared" si="7"/>
        <v>528.55999999999995</v>
      </c>
    </row>
    <row r="499" spans="1:19">
      <c r="A499" t="s">
        <v>1128</v>
      </c>
      <c r="B499" s="3">
        <v>45754</v>
      </c>
      <c r="C499" t="s">
        <v>836</v>
      </c>
      <c r="D499" t="s">
        <v>741</v>
      </c>
      <c r="E499" t="s">
        <v>117</v>
      </c>
      <c r="F499">
        <v>1</v>
      </c>
      <c r="G499" t="s">
        <v>33</v>
      </c>
      <c r="H499">
        <v>29</v>
      </c>
      <c r="I499" s="12" t="s">
        <v>34</v>
      </c>
      <c r="J499" s="12" t="s">
        <v>308</v>
      </c>
      <c r="K499" s="12" t="s">
        <v>73</v>
      </c>
      <c r="L499" s="12" t="s">
        <v>742</v>
      </c>
      <c r="M499" s="12" t="s">
        <v>75</v>
      </c>
      <c r="N499" s="14">
        <v>0.22</v>
      </c>
      <c r="O499" s="23">
        <v>414.97</v>
      </c>
      <c r="P499">
        <v>243.7</v>
      </c>
      <c r="Q499" s="12" t="str" cm="1">
        <f t="array" ref="Q499:R499">VLOOKUP(E499,store[],{3,5},FALSE)</f>
        <v>West</v>
      </c>
      <c r="R499" t="str">
        <v>Flagship</v>
      </c>
      <c r="S499" s="4">
        <f t="shared" si="7"/>
        <v>414.75</v>
      </c>
    </row>
    <row r="500" spans="1:19">
      <c r="A500" t="s">
        <v>1129</v>
      </c>
      <c r="B500" s="3">
        <v>45280</v>
      </c>
      <c r="C500" t="s">
        <v>1130</v>
      </c>
      <c r="D500" t="s">
        <v>425</v>
      </c>
      <c r="E500" t="s">
        <v>208</v>
      </c>
      <c r="F500">
        <v>2</v>
      </c>
      <c r="G500" t="s">
        <v>50</v>
      </c>
      <c r="H500">
        <v>32</v>
      </c>
      <c r="I500" s="12" t="s">
        <v>34</v>
      </c>
      <c r="J500" s="12" t="s">
        <v>457</v>
      </c>
      <c r="K500" s="12" t="s">
        <v>26</v>
      </c>
      <c r="L500" s="12" t="s">
        <v>426</v>
      </c>
      <c r="M500" s="12" t="s">
        <v>130</v>
      </c>
      <c r="N500" s="14">
        <v>0.2</v>
      </c>
      <c r="O500" s="23">
        <v>583.51</v>
      </c>
      <c r="P500">
        <v>174.02</v>
      </c>
      <c r="Q500" s="12" t="str" cm="1">
        <f t="array" ref="Q500:R500">VLOOKUP(E500,store[],{3,5},FALSE)</f>
        <v>North</v>
      </c>
      <c r="R500" t="str">
        <v>Online</v>
      </c>
      <c r="S500" s="4">
        <f t="shared" si="7"/>
        <v>1166.6199999999999</v>
      </c>
    </row>
    <row r="501" spans="1:19">
      <c r="A501" t="s">
        <v>1131</v>
      </c>
      <c r="B501" s="3">
        <v>45911</v>
      </c>
      <c r="C501" t="s">
        <v>1132</v>
      </c>
      <c r="D501" t="s">
        <v>311</v>
      </c>
      <c r="E501" t="s">
        <v>32</v>
      </c>
      <c r="F501">
        <v>1</v>
      </c>
      <c r="G501" t="s">
        <v>33</v>
      </c>
      <c r="H501">
        <v>28</v>
      </c>
      <c r="I501" s="12" t="s">
        <v>34</v>
      </c>
      <c r="J501" s="12" t="s">
        <v>161</v>
      </c>
      <c r="K501" s="12" t="s">
        <v>26</v>
      </c>
      <c r="L501" s="12" t="s">
        <v>312</v>
      </c>
      <c r="M501" s="12" t="s">
        <v>28</v>
      </c>
      <c r="N501" s="14">
        <v>0.15</v>
      </c>
      <c r="O501" s="23">
        <v>659.27</v>
      </c>
      <c r="P501">
        <v>204.39</v>
      </c>
      <c r="Q501" s="12" t="str" cm="1">
        <f t="array" ref="Q501:R501">VLOOKUP(E501,store[],{3,5},FALSE)</f>
        <v>North</v>
      </c>
      <c r="R501" t="str">
        <v>Flagship</v>
      </c>
      <c r="S501" s="4">
        <f t="shared" si="7"/>
        <v>659.12</v>
      </c>
    </row>
    <row r="502" spans="1:19">
      <c r="A502" t="s">
        <v>1133</v>
      </c>
      <c r="B502" s="3">
        <v>45627</v>
      </c>
      <c r="C502" t="s">
        <v>1134</v>
      </c>
      <c r="D502" t="s">
        <v>868</v>
      </c>
      <c r="E502" t="s">
        <v>72</v>
      </c>
      <c r="F502">
        <v>4</v>
      </c>
      <c r="G502" t="s">
        <v>50</v>
      </c>
      <c r="H502">
        <v>41</v>
      </c>
      <c r="I502" s="12" t="s">
        <v>34</v>
      </c>
      <c r="J502" s="12" t="s">
        <v>498</v>
      </c>
      <c r="K502" s="12" t="s">
        <v>52</v>
      </c>
      <c r="L502" s="12" t="s">
        <v>869</v>
      </c>
      <c r="M502" s="12" t="s">
        <v>130</v>
      </c>
      <c r="N502" s="14">
        <v>0.2</v>
      </c>
      <c r="O502" s="23">
        <v>106.66</v>
      </c>
      <c r="P502">
        <v>254.62086956521699</v>
      </c>
      <c r="Q502" s="12" t="str" cm="1">
        <f t="array" ref="Q502:R502">VLOOKUP(E502,store[],{3,5},FALSE)</f>
        <v>South</v>
      </c>
      <c r="R502" t="str">
        <v>Online</v>
      </c>
      <c r="S502" s="4">
        <f t="shared" si="7"/>
        <v>425.84</v>
      </c>
    </row>
    <row r="503" spans="1:19">
      <c r="A503" t="s">
        <v>1135</v>
      </c>
      <c r="B503" s="3">
        <v>45617</v>
      </c>
      <c r="C503" t="s">
        <v>1083</v>
      </c>
      <c r="D503" t="s">
        <v>234</v>
      </c>
      <c r="E503" t="s">
        <v>58</v>
      </c>
      <c r="F503">
        <v>4</v>
      </c>
      <c r="G503" t="s">
        <v>33</v>
      </c>
      <c r="H503">
        <v>21</v>
      </c>
      <c r="I503" s="12" t="s">
        <v>24</v>
      </c>
      <c r="J503" s="12" t="s">
        <v>932</v>
      </c>
      <c r="K503" s="12" t="s">
        <v>73</v>
      </c>
      <c r="L503" s="12" t="s">
        <v>236</v>
      </c>
      <c r="M503" s="12" t="s">
        <v>75</v>
      </c>
      <c r="N503" s="14">
        <v>0.15</v>
      </c>
      <c r="O503" s="23">
        <v>168.55</v>
      </c>
      <c r="P503">
        <v>298.86</v>
      </c>
      <c r="Q503" s="12" t="str" cm="1">
        <f t="array" ref="Q503:R503">VLOOKUP(E503,store[],{3,5},FALSE)</f>
        <v>North</v>
      </c>
      <c r="R503" t="str">
        <v>Outlet</v>
      </c>
      <c r="S503" s="4">
        <f t="shared" si="7"/>
        <v>673.6</v>
      </c>
    </row>
    <row r="504" spans="1:19">
      <c r="A504" t="s">
        <v>1136</v>
      </c>
      <c r="B504" s="3">
        <v>45899</v>
      </c>
      <c r="C504" t="s">
        <v>1053</v>
      </c>
      <c r="D504" t="s">
        <v>275</v>
      </c>
      <c r="E504" t="s">
        <v>198</v>
      </c>
      <c r="F504">
        <v>1</v>
      </c>
      <c r="G504" t="s">
        <v>50</v>
      </c>
      <c r="H504">
        <v>23</v>
      </c>
      <c r="I504" s="12" t="s">
        <v>34</v>
      </c>
      <c r="J504" s="12" t="s">
        <v>227</v>
      </c>
      <c r="K504" s="12" t="s">
        <v>52</v>
      </c>
      <c r="L504" s="12" t="s">
        <v>276</v>
      </c>
      <c r="M504" s="12" t="s">
        <v>28</v>
      </c>
      <c r="N504" s="14">
        <v>0.06</v>
      </c>
      <c r="O504" s="23">
        <v>230.53</v>
      </c>
      <c r="P504">
        <v>167.12</v>
      </c>
      <c r="Q504" s="12" t="str" cm="1">
        <f t="array" ref="Q504:R504">VLOOKUP(E504,store[],{3,5},FALSE)</f>
        <v>South</v>
      </c>
      <c r="R504" t="str">
        <v>Outlet</v>
      </c>
      <c r="S504" s="4">
        <f t="shared" si="7"/>
        <v>230.47</v>
      </c>
    </row>
    <row r="505" spans="1:19">
      <c r="A505" t="s">
        <v>1137</v>
      </c>
      <c r="B505" s="3">
        <v>45889</v>
      </c>
      <c r="C505" t="s">
        <v>355</v>
      </c>
      <c r="D505" t="s">
        <v>420</v>
      </c>
      <c r="E505" t="s">
        <v>105</v>
      </c>
      <c r="F505">
        <v>2</v>
      </c>
      <c r="G505" t="s">
        <v>50</v>
      </c>
      <c r="H505">
        <v>29</v>
      </c>
      <c r="I505" s="12" t="s">
        <v>34</v>
      </c>
      <c r="J505" s="12" t="s">
        <v>356</v>
      </c>
      <c r="K505" s="12" t="s">
        <v>73</v>
      </c>
      <c r="L505" s="12" t="s">
        <v>421</v>
      </c>
      <c r="M505" s="12" t="s">
        <v>28</v>
      </c>
      <c r="N505" s="14">
        <v>0.13</v>
      </c>
      <c r="O505" s="23">
        <v>355.41</v>
      </c>
      <c r="P505">
        <v>434.84</v>
      </c>
      <c r="Q505" s="12" t="str" cm="1">
        <f t="array" ref="Q505:R505">VLOOKUP(E505,store[],{3,5},FALSE)</f>
        <v>North</v>
      </c>
      <c r="R505" t="str">
        <v>Flagship</v>
      </c>
      <c r="S505" s="4">
        <f t="shared" si="7"/>
        <v>710.56</v>
      </c>
    </row>
    <row r="506" spans="1:19">
      <c r="A506" t="s">
        <v>1138</v>
      </c>
      <c r="B506" s="3">
        <v>45943</v>
      </c>
      <c r="C506" t="s">
        <v>1139</v>
      </c>
      <c r="D506" t="s">
        <v>302</v>
      </c>
      <c r="E506" t="s">
        <v>198</v>
      </c>
      <c r="F506">
        <v>3</v>
      </c>
      <c r="G506" t="s">
        <v>23</v>
      </c>
      <c r="H506">
        <v>36</v>
      </c>
      <c r="I506" s="12" t="s">
        <v>34</v>
      </c>
      <c r="J506" s="12" t="s">
        <v>51</v>
      </c>
      <c r="K506" s="12" t="s">
        <v>26</v>
      </c>
      <c r="L506" s="12" t="s">
        <v>303</v>
      </c>
      <c r="M506" s="12" t="s">
        <v>46</v>
      </c>
      <c r="N506" s="14">
        <v>0.22</v>
      </c>
      <c r="O506" s="23">
        <v>843.44</v>
      </c>
      <c r="P506">
        <v>255.04901960784301</v>
      </c>
      <c r="Q506" s="12" t="str" cm="1">
        <f t="array" ref="Q506:R506">VLOOKUP(E506,store[],{3,5},FALSE)</f>
        <v>South</v>
      </c>
      <c r="R506" t="str">
        <v>Outlet</v>
      </c>
      <c r="S506" s="4">
        <f t="shared" si="7"/>
        <v>2529.66</v>
      </c>
    </row>
    <row r="507" spans="1:19">
      <c r="A507" t="s">
        <v>1140</v>
      </c>
      <c r="B507" s="3">
        <v>45306</v>
      </c>
      <c r="C507" t="s">
        <v>1083</v>
      </c>
      <c r="D507" t="s">
        <v>1126</v>
      </c>
      <c r="E507" t="s">
        <v>105</v>
      </c>
      <c r="F507">
        <v>1</v>
      </c>
      <c r="G507" t="s">
        <v>23</v>
      </c>
      <c r="H507">
        <v>21</v>
      </c>
      <c r="I507" s="12" t="s">
        <v>24</v>
      </c>
      <c r="J507" s="12" t="s">
        <v>932</v>
      </c>
      <c r="K507" s="12" t="s">
        <v>73</v>
      </c>
      <c r="L507" s="12" t="s">
        <v>1127</v>
      </c>
      <c r="M507" s="12" t="s">
        <v>28</v>
      </c>
      <c r="N507" s="14">
        <v>0.27</v>
      </c>
      <c r="O507" s="23">
        <v>301.60000000000002</v>
      </c>
      <c r="P507">
        <v>60.65</v>
      </c>
      <c r="Q507" s="12" t="str" cm="1">
        <f t="array" ref="Q507:R507">VLOOKUP(E507,store[],{3,5},FALSE)</f>
        <v>North</v>
      </c>
      <c r="R507" t="str">
        <v>Flagship</v>
      </c>
      <c r="S507" s="4">
        <f t="shared" si="7"/>
        <v>301.33</v>
      </c>
    </row>
    <row r="508" spans="1:19">
      <c r="A508" t="s">
        <v>1141</v>
      </c>
      <c r="B508" s="3">
        <v>45772</v>
      </c>
      <c r="C508" t="s">
        <v>846</v>
      </c>
      <c r="D508" t="s">
        <v>287</v>
      </c>
      <c r="E508" t="s">
        <v>198</v>
      </c>
      <c r="F508">
        <v>3</v>
      </c>
      <c r="G508" t="s">
        <v>50</v>
      </c>
      <c r="H508">
        <v>19</v>
      </c>
      <c r="I508" s="12" t="s">
        <v>24</v>
      </c>
      <c r="J508" s="12" t="s">
        <v>440</v>
      </c>
      <c r="K508" s="12" t="s">
        <v>52</v>
      </c>
      <c r="L508" s="12" t="s">
        <v>288</v>
      </c>
      <c r="M508" s="12" t="s">
        <v>46</v>
      </c>
      <c r="N508" s="14">
        <v>0.16</v>
      </c>
      <c r="O508" s="23">
        <v>21.59</v>
      </c>
      <c r="P508">
        <v>183.04</v>
      </c>
      <c r="Q508" s="12" t="str" cm="1">
        <f t="array" ref="Q508:R508">VLOOKUP(E508,store[],{3,5},FALSE)</f>
        <v>South</v>
      </c>
      <c r="R508" t="str">
        <v>Outlet</v>
      </c>
      <c r="S508" s="4">
        <f t="shared" si="7"/>
        <v>64.290000000000006</v>
      </c>
    </row>
    <row r="509" spans="1:19">
      <c r="A509" t="s">
        <v>1142</v>
      </c>
      <c r="B509" s="3">
        <v>45346</v>
      </c>
      <c r="C509" t="s">
        <v>1143</v>
      </c>
      <c r="D509" t="s">
        <v>197</v>
      </c>
      <c r="E509" t="s">
        <v>198</v>
      </c>
      <c r="F509">
        <v>4</v>
      </c>
      <c r="G509" t="s">
        <v>23</v>
      </c>
      <c r="H509">
        <v>63</v>
      </c>
      <c r="I509" s="12" t="s">
        <v>34</v>
      </c>
      <c r="J509" s="12" t="s">
        <v>91</v>
      </c>
      <c r="K509" s="12" t="s">
        <v>52</v>
      </c>
      <c r="L509" s="12" t="s">
        <v>200</v>
      </c>
      <c r="M509" s="12" t="s">
        <v>37</v>
      </c>
      <c r="N509" s="14">
        <v>0.09</v>
      </c>
      <c r="O509" s="23">
        <v>284.24</v>
      </c>
      <c r="P509">
        <v>242.23</v>
      </c>
      <c r="Q509" s="12" t="str" cm="1">
        <f t="array" ref="Q509:R509">VLOOKUP(E509,store[],{3,5},FALSE)</f>
        <v>South</v>
      </c>
      <c r="R509" t="str">
        <v>Outlet</v>
      </c>
      <c r="S509" s="4">
        <f t="shared" si="7"/>
        <v>1136.5999999999999</v>
      </c>
    </row>
    <row r="510" spans="1:19">
      <c r="A510" t="s">
        <v>1144</v>
      </c>
      <c r="B510" s="3">
        <v>45656</v>
      </c>
      <c r="C510" t="s">
        <v>172</v>
      </c>
      <c r="D510" t="s">
        <v>183</v>
      </c>
      <c r="E510" t="s">
        <v>127</v>
      </c>
      <c r="F510">
        <v>1</v>
      </c>
      <c r="G510" t="s">
        <v>33</v>
      </c>
      <c r="H510">
        <v>34</v>
      </c>
      <c r="I510" s="12" t="s">
        <v>34</v>
      </c>
      <c r="J510" s="12" t="s">
        <v>161</v>
      </c>
      <c r="K510" s="12" t="s">
        <v>52</v>
      </c>
      <c r="L510" s="12" t="s">
        <v>184</v>
      </c>
      <c r="M510" s="12" t="s">
        <v>130</v>
      </c>
      <c r="N510" s="14">
        <v>0.27</v>
      </c>
      <c r="O510" s="23">
        <v>191.6</v>
      </c>
      <c r="P510">
        <v>261</v>
      </c>
      <c r="Q510" s="12" t="str" cm="1">
        <f t="array" ref="Q510:R510">VLOOKUP(E510,store[],{3,5},FALSE)</f>
        <v>South</v>
      </c>
      <c r="R510" t="str">
        <v>Flagship</v>
      </c>
      <c r="S510" s="4">
        <f t="shared" si="7"/>
        <v>191.33</v>
      </c>
    </row>
    <row r="511" spans="1:19">
      <c r="A511" t="s">
        <v>1145</v>
      </c>
      <c r="B511" s="3">
        <v>45762</v>
      </c>
      <c r="C511" t="s">
        <v>1146</v>
      </c>
      <c r="D511" t="s">
        <v>267</v>
      </c>
      <c r="E511" t="s">
        <v>208</v>
      </c>
      <c r="F511">
        <v>2</v>
      </c>
      <c r="G511" t="s">
        <v>23</v>
      </c>
      <c r="H511">
        <v>35</v>
      </c>
      <c r="I511" s="12" t="s">
        <v>24</v>
      </c>
      <c r="J511" s="12" t="s">
        <v>609</v>
      </c>
      <c r="K511" s="12" t="s">
        <v>52</v>
      </c>
      <c r="L511" s="12" t="s">
        <v>268</v>
      </c>
      <c r="M511" s="12" t="s">
        <v>75</v>
      </c>
      <c r="N511" s="14">
        <v>0.22</v>
      </c>
      <c r="O511" s="23">
        <v>616.97</v>
      </c>
      <c r="P511">
        <v>325.26</v>
      </c>
      <c r="Q511" s="12" t="str" cm="1">
        <f t="array" ref="Q511:R511">VLOOKUP(E511,store[],{3,5},FALSE)</f>
        <v>North</v>
      </c>
      <c r="R511" t="str">
        <v>Online</v>
      </c>
      <c r="S511" s="4">
        <f t="shared" si="7"/>
        <v>1233.5</v>
      </c>
    </row>
    <row r="512" spans="1:19">
      <c r="A512" t="s">
        <v>1147</v>
      </c>
      <c r="B512" s="3">
        <v>45580</v>
      </c>
      <c r="C512" t="s">
        <v>338</v>
      </c>
      <c r="D512" t="s">
        <v>567</v>
      </c>
      <c r="E512" t="s">
        <v>168</v>
      </c>
      <c r="F512">
        <v>3</v>
      </c>
      <c r="G512" t="s">
        <v>50</v>
      </c>
      <c r="H512">
        <v>36</v>
      </c>
      <c r="I512" s="12" t="s">
        <v>34</v>
      </c>
      <c r="J512" s="12" t="s">
        <v>235</v>
      </c>
      <c r="K512" s="12" t="s">
        <v>52</v>
      </c>
      <c r="L512" s="12" t="s">
        <v>568</v>
      </c>
      <c r="M512" s="12" t="s">
        <v>28</v>
      </c>
      <c r="N512" s="14">
        <v>0.26</v>
      </c>
      <c r="O512" s="23">
        <v>125.68</v>
      </c>
      <c r="P512">
        <v>38.76</v>
      </c>
      <c r="Q512" s="12" t="str" cm="1">
        <f t="array" ref="Q512:R512">VLOOKUP(E512,store[],{3,5},FALSE)</f>
        <v>East</v>
      </c>
      <c r="R512" t="str">
        <v>Online</v>
      </c>
      <c r="S512" s="4">
        <f t="shared" si="7"/>
        <v>376.26</v>
      </c>
    </row>
    <row r="513" spans="1:19">
      <c r="A513" t="s">
        <v>1148</v>
      </c>
      <c r="B513" s="3">
        <v>45676</v>
      </c>
      <c r="C513" t="s">
        <v>1149</v>
      </c>
      <c r="D513" t="s">
        <v>159</v>
      </c>
      <c r="E513" t="s">
        <v>72</v>
      </c>
      <c r="F513">
        <v>3</v>
      </c>
      <c r="G513" t="s">
        <v>23</v>
      </c>
      <c r="H513">
        <v>52</v>
      </c>
      <c r="I513" s="12" t="s">
        <v>34</v>
      </c>
      <c r="J513" s="12" t="s">
        <v>199</v>
      </c>
      <c r="K513" s="12" t="s">
        <v>60</v>
      </c>
      <c r="L513" s="12" t="s">
        <v>162</v>
      </c>
      <c r="M513" s="12" t="s">
        <v>37</v>
      </c>
      <c r="N513" s="14">
        <v>0.24</v>
      </c>
      <c r="O513" s="23">
        <v>307.48</v>
      </c>
      <c r="P513">
        <v>253.33</v>
      </c>
      <c r="Q513" s="12" t="str" cm="1">
        <f t="array" ref="Q513:R513">VLOOKUP(E513,store[],{3,5},FALSE)</f>
        <v>South</v>
      </c>
      <c r="R513" t="str">
        <v>Online</v>
      </c>
      <c r="S513" s="4">
        <f t="shared" si="7"/>
        <v>921.72</v>
      </c>
    </row>
    <row r="514" spans="1:19">
      <c r="A514" t="s">
        <v>1150</v>
      </c>
      <c r="B514" s="3">
        <v>45495</v>
      </c>
      <c r="C514" t="s">
        <v>404</v>
      </c>
      <c r="D514" t="s">
        <v>868</v>
      </c>
      <c r="E514" t="s">
        <v>135</v>
      </c>
      <c r="F514">
        <v>1</v>
      </c>
      <c r="G514" t="s">
        <v>23</v>
      </c>
      <c r="H514">
        <v>64</v>
      </c>
      <c r="I514" s="12" t="s">
        <v>24</v>
      </c>
      <c r="J514" s="12" t="s">
        <v>193</v>
      </c>
      <c r="K514" s="12" t="s">
        <v>52</v>
      </c>
      <c r="L514" s="12" t="s">
        <v>869</v>
      </c>
      <c r="M514" s="12" t="s">
        <v>130</v>
      </c>
      <c r="N514" s="14">
        <v>0.11</v>
      </c>
      <c r="O514" s="23">
        <v>505.23</v>
      </c>
      <c r="P514">
        <v>254.62086956521699</v>
      </c>
      <c r="Q514" s="12" t="str" cm="1">
        <f t="array" ref="Q514:R514">VLOOKUP(E514,store[],{3,5},FALSE)</f>
        <v>East</v>
      </c>
      <c r="R514" t="str">
        <v>Online</v>
      </c>
      <c r="S514" s="4">
        <f t="shared" ref="S514:S577" si="8">(O514-N514)*F514</f>
        <v>505.12</v>
      </c>
    </row>
    <row r="515" spans="1:19">
      <c r="A515" t="s">
        <v>1151</v>
      </c>
      <c r="B515" s="3">
        <v>45735</v>
      </c>
      <c r="C515" t="s">
        <v>1152</v>
      </c>
      <c r="D515" t="s">
        <v>344</v>
      </c>
      <c r="E515" t="s">
        <v>117</v>
      </c>
      <c r="F515">
        <v>1</v>
      </c>
      <c r="G515" t="s">
        <v>50</v>
      </c>
      <c r="H515">
        <v>63</v>
      </c>
      <c r="I515" s="12" t="s">
        <v>34</v>
      </c>
      <c r="J515" s="12" t="s">
        <v>444</v>
      </c>
      <c r="K515" s="12" t="s">
        <v>52</v>
      </c>
      <c r="L515" s="12" t="s">
        <v>347</v>
      </c>
      <c r="M515" s="12" t="s">
        <v>28</v>
      </c>
      <c r="N515" s="14">
        <v>0.19</v>
      </c>
      <c r="O515" s="23">
        <v>853.12</v>
      </c>
      <c r="P515">
        <v>318.91000000000003</v>
      </c>
      <c r="Q515" s="12" t="str" cm="1">
        <f t="array" ref="Q515:R515">VLOOKUP(E515,store[],{3,5},FALSE)</f>
        <v>West</v>
      </c>
      <c r="R515" t="str">
        <v>Flagship</v>
      </c>
      <c r="S515" s="4">
        <f t="shared" si="8"/>
        <v>852.93</v>
      </c>
    </row>
    <row r="516" spans="1:19">
      <c r="A516" t="s">
        <v>1153</v>
      </c>
      <c r="B516" s="3">
        <v>45312</v>
      </c>
      <c r="C516" t="s">
        <v>1079</v>
      </c>
      <c r="D516" t="s">
        <v>768</v>
      </c>
      <c r="E516" t="s">
        <v>66</v>
      </c>
      <c r="F516">
        <v>4</v>
      </c>
      <c r="G516" t="s">
        <v>33</v>
      </c>
      <c r="H516">
        <v>43</v>
      </c>
      <c r="I516" s="12" t="s">
        <v>34</v>
      </c>
      <c r="J516" s="12" t="s">
        <v>345</v>
      </c>
      <c r="K516" s="12" t="s">
        <v>60</v>
      </c>
      <c r="L516" s="12" t="s">
        <v>769</v>
      </c>
      <c r="M516" s="12" t="s">
        <v>37</v>
      </c>
      <c r="N516" s="14">
        <v>0.19</v>
      </c>
      <c r="O516" s="23">
        <v>191.65</v>
      </c>
      <c r="P516">
        <v>112.42</v>
      </c>
      <c r="Q516" s="12" t="str" cm="1">
        <f t="array" ref="Q516:R516">VLOOKUP(E516,store[],{3,5},FALSE)</f>
        <v>South</v>
      </c>
      <c r="R516" t="str">
        <v>Online</v>
      </c>
      <c r="S516" s="4">
        <f t="shared" si="8"/>
        <v>765.84</v>
      </c>
    </row>
    <row r="517" spans="1:19">
      <c r="A517" t="s">
        <v>1154</v>
      </c>
      <c r="B517" s="3">
        <v>45286</v>
      </c>
      <c r="C517" t="s">
        <v>1155</v>
      </c>
      <c r="D517" t="s">
        <v>302</v>
      </c>
      <c r="E517" t="s">
        <v>22</v>
      </c>
      <c r="F517">
        <v>1</v>
      </c>
      <c r="G517" t="s">
        <v>23</v>
      </c>
      <c r="H517">
        <v>41</v>
      </c>
      <c r="I517" s="12" t="s">
        <v>34</v>
      </c>
      <c r="J517" s="12" t="s">
        <v>256</v>
      </c>
      <c r="K517" s="12" t="s">
        <v>52</v>
      </c>
      <c r="L517" s="12" t="s">
        <v>303</v>
      </c>
      <c r="M517" s="12" t="s">
        <v>46</v>
      </c>
      <c r="N517" s="14">
        <v>0.22</v>
      </c>
      <c r="O517" s="23">
        <v>169.69</v>
      </c>
      <c r="P517">
        <v>255.04901960784301</v>
      </c>
      <c r="Q517" s="12" t="str" cm="1">
        <f t="array" ref="Q517:R517">VLOOKUP(E517,store[],{3,5},FALSE)</f>
        <v>North</v>
      </c>
      <c r="R517" t="str">
        <v>Outlet</v>
      </c>
      <c r="S517" s="4">
        <f t="shared" si="8"/>
        <v>169.47</v>
      </c>
    </row>
    <row r="518" spans="1:19">
      <c r="A518" t="s">
        <v>1156</v>
      </c>
      <c r="B518" s="3">
        <v>45372</v>
      </c>
      <c r="C518" t="s">
        <v>595</v>
      </c>
      <c r="D518" t="s">
        <v>661</v>
      </c>
      <c r="E518" t="s">
        <v>98</v>
      </c>
      <c r="F518">
        <v>1</v>
      </c>
      <c r="G518" t="s">
        <v>23</v>
      </c>
      <c r="H518">
        <v>56</v>
      </c>
      <c r="I518" s="12" t="s">
        <v>24</v>
      </c>
      <c r="J518" s="12" t="s">
        <v>218</v>
      </c>
      <c r="K518" s="12" t="s">
        <v>52</v>
      </c>
      <c r="L518" s="12" t="s">
        <v>662</v>
      </c>
      <c r="M518" s="12" t="s">
        <v>37</v>
      </c>
      <c r="N518" s="14">
        <v>0.08</v>
      </c>
      <c r="O518" s="23">
        <v>145.43</v>
      </c>
      <c r="P518">
        <v>86.42</v>
      </c>
      <c r="Q518" s="12" t="str" cm="1">
        <f t="array" ref="Q518:R518">VLOOKUP(E518,store[],{3,5},FALSE)</f>
        <v>South</v>
      </c>
      <c r="R518" t="str">
        <v>Outlet</v>
      </c>
      <c r="S518" s="4">
        <f t="shared" si="8"/>
        <v>145.35</v>
      </c>
    </row>
    <row r="519" spans="1:19">
      <c r="A519" t="s">
        <v>1157</v>
      </c>
      <c r="B519" s="3">
        <v>45633</v>
      </c>
      <c r="C519" t="s">
        <v>259</v>
      </c>
      <c r="D519" t="s">
        <v>317</v>
      </c>
      <c r="E519" t="s">
        <v>208</v>
      </c>
      <c r="F519">
        <v>4</v>
      </c>
      <c r="G519" t="s">
        <v>23</v>
      </c>
      <c r="H519">
        <v>26</v>
      </c>
      <c r="I519" s="12" t="s">
        <v>34</v>
      </c>
      <c r="J519" s="12" t="s">
        <v>260</v>
      </c>
      <c r="K519" s="12" t="s">
        <v>52</v>
      </c>
      <c r="L519" s="12" t="s">
        <v>318</v>
      </c>
      <c r="M519" s="12" t="s">
        <v>37</v>
      </c>
      <c r="N519" s="14">
        <v>0.17</v>
      </c>
      <c r="O519" s="23">
        <v>828.35</v>
      </c>
      <c r="P519">
        <v>377.52</v>
      </c>
      <c r="Q519" s="12" t="str" cm="1">
        <f t="array" ref="Q519:R519">VLOOKUP(E519,store[],{3,5},FALSE)</f>
        <v>North</v>
      </c>
      <c r="R519" t="str">
        <v>Online</v>
      </c>
      <c r="S519" s="4">
        <f t="shared" si="8"/>
        <v>3312.72</v>
      </c>
    </row>
    <row r="520" spans="1:19">
      <c r="A520" t="s">
        <v>1158</v>
      </c>
      <c r="B520" s="3">
        <v>45598</v>
      </c>
      <c r="C520" t="s">
        <v>1159</v>
      </c>
      <c r="D520" t="s">
        <v>1126</v>
      </c>
      <c r="E520" t="s">
        <v>66</v>
      </c>
      <c r="F520">
        <v>3</v>
      </c>
      <c r="G520" t="s">
        <v>33</v>
      </c>
      <c r="H520">
        <v>60</v>
      </c>
      <c r="I520" s="12" t="s">
        <v>24</v>
      </c>
      <c r="J520" s="12" t="s">
        <v>444</v>
      </c>
      <c r="K520" s="12" t="s">
        <v>26</v>
      </c>
      <c r="L520" s="12" t="s">
        <v>1127</v>
      </c>
      <c r="M520" s="12" t="s">
        <v>28</v>
      </c>
      <c r="N520" s="14">
        <v>0.01</v>
      </c>
      <c r="O520" s="23">
        <v>268.76</v>
      </c>
      <c r="P520">
        <v>60.65</v>
      </c>
      <c r="Q520" s="12" t="str" cm="1">
        <f t="array" ref="Q520:R520">VLOOKUP(E520,store[],{3,5},FALSE)</f>
        <v>South</v>
      </c>
      <c r="R520" t="str">
        <v>Online</v>
      </c>
      <c r="S520" s="4">
        <f t="shared" si="8"/>
        <v>806.25</v>
      </c>
    </row>
    <row r="521" spans="1:19">
      <c r="A521" t="s">
        <v>1160</v>
      </c>
      <c r="B521" s="3">
        <v>45495</v>
      </c>
      <c r="C521" t="s">
        <v>1161</v>
      </c>
      <c r="D521" t="s">
        <v>110</v>
      </c>
      <c r="E521" t="s">
        <v>90</v>
      </c>
      <c r="F521">
        <v>4</v>
      </c>
      <c r="G521" t="s">
        <v>50</v>
      </c>
      <c r="H521">
        <v>59</v>
      </c>
      <c r="I521" s="12" t="s">
        <v>24</v>
      </c>
      <c r="J521" s="12" t="s">
        <v>356</v>
      </c>
      <c r="K521" s="12" t="s">
        <v>60</v>
      </c>
      <c r="L521" s="12" t="s">
        <v>112</v>
      </c>
      <c r="M521" s="12" t="s">
        <v>28</v>
      </c>
      <c r="N521" s="14">
        <v>0.22</v>
      </c>
      <c r="O521" s="23">
        <v>370.09</v>
      </c>
      <c r="P521">
        <v>131.24</v>
      </c>
      <c r="Q521" s="12" t="str" cm="1">
        <f t="array" ref="Q521:R521">VLOOKUP(E521,store[],{3,5},FALSE)</f>
        <v>East</v>
      </c>
      <c r="R521" t="str">
        <v>Flagship</v>
      </c>
      <c r="S521" s="4">
        <f t="shared" si="8"/>
        <v>1479.48</v>
      </c>
    </row>
    <row r="522" spans="1:19">
      <c r="A522" t="s">
        <v>1162</v>
      </c>
      <c r="B522" s="3">
        <v>45229</v>
      </c>
      <c r="C522" t="s">
        <v>367</v>
      </c>
      <c r="D522" t="s">
        <v>267</v>
      </c>
      <c r="E522" t="s">
        <v>179</v>
      </c>
      <c r="F522">
        <v>3</v>
      </c>
      <c r="G522" t="s">
        <v>33</v>
      </c>
      <c r="H522">
        <v>32</v>
      </c>
      <c r="I522" s="12" t="s">
        <v>24</v>
      </c>
      <c r="J522" s="12" t="s">
        <v>199</v>
      </c>
      <c r="K522" s="12" t="s">
        <v>73</v>
      </c>
      <c r="L522" s="12" t="s">
        <v>268</v>
      </c>
      <c r="M522" s="12" t="s">
        <v>75</v>
      </c>
      <c r="N522" s="14">
        <v>0.11</v>
      </c>
      <c r="O522" s="23">
        <v>679.22</v>
      </c>
      <c r="P522">
        <v>325.26</v>
      </c>
      <c r="Q522" s="12" t="str" cm="1">
        <f t="array" ref="Q522:R522">VLOOKUP(E522,store[],{3,5},FALSE)</f>
        <v>East</v>
      </c>
      <c r="R522" t="str">
        <v>Online</v>
      </c>
      <c r="S522" s="4">
        <f t="shared" si="8"/>
        <v>2037.33</v>
      </c>
    </row>
    <row r="523" spans="1:19">
      <c r="A523" t="s">
        <v>1163</v>
      </c>
      <c r="B523" s="3">
        <v>45433</v>
      </c>
      <c r="C523" t="s">
        <v>591</v>
      </c>
      <c r="D523" t="s">
        <v>575</v>
      </c>
      <c r="E523" t="s">
        <v>90</v>
      </c>
      <c r="F523">
        <v>3</v>
      </c>
      <c r="G523" t="s">
        <v>50</v>
      </c>
      <c r="H523">
        <v>37</v>
      </c>
      <c r="I523" s="12" t="s">
        <v>34</v>
      </c>
      <c r="J523" s="12" t="s">
        <v>193</v>
      </c>
      <c r="K523" s="12" t="s">
        <v>26</v>
      </c>
      <c r="L523" s="12" t="s">
        <v>576</v>
      </c>
      <c r="M523" s="12" t="s">
        <v>28</v>
      </c>
      <c r="N523" s="14">
        <v>0.1</v>
      </c>
      <c r="O523" s="23">
        <v>780.69</v>
      </c>
      <c r="P523">
        <v>107.06</v>
      </c>
      <c r="Q523" s="12" t="str" cm="1">
        <f t="array" ref="Q523:R523">VLOOKUP(E523,store[],{3,5},FALSE)</f>
        <v>East</v>
      </c>
      <c r="R523" t="str">
        <v>Flagship</v>
      </c>
      <c r="S523" s="4">
        <f t="shared" si="8"/>
        <v>2341.77</v>
      </c>
    </row>
    <row r="524" spans="1:19">
      <c r="A524" t="s">
        <v>1164</v>
      </c>
      <c r="B524" s="3">
        <v>45766</v>
      </c>
      <c r="C524" t="s">
        <v>1165</v>
      </c>
      <c r="D524" t="s">
        <v>449</v>
      </c>
      <c r="E524" t="s">
        <v>198</v>
      </c>
      <c r="F524">
        <v>2</v>
      </c>
      <c r="G524" t="s">
        <v>33</v>
      </c>
      <c r="H524">
        <v>27</v>
      </c>
      <c r="I524" s="12" t="s">
        <v>34</v>
      </c>
      <c r="J524" s="12" t="s">
        <v>609</v>
      </c>
      <c r="K524" s="12" t="s">
        <v>60</v>
      </c>
      <c r="L524" s="12" t="s">
        <v>450</v>
      </c>
      <c r="M524" s="12" t="s">
        <v>37</v>
      </c>
      <c r="N524" s="14">
        <v>0.18</v>
      </c>
      <c r="O524" s="23">
        <v>42.97</v>
      </c>
      <c r="P524">
        <v>450.71</v>
      </c>
      <c r="Q524" s="12" t="str" cm="1">
        <f t="array" ref="Q524:R524">VLOOKUP(E524,store[],{3,5},FALSE)</f>
        <v>South</v>
      </c>
      <c r="R524" t="str">
        <v>Outlet</v>
      </c>
      <c r="S524" s="4">
        <f t="shared" si="8"/>
        <v>85.58</v>
      </c>
    </row>
    <row r="525" spans="1:19">
      <c r="A525" t="s">
        <v>1166</v>
      </c>
      <c r="B525" s="3">
        <v>45639</v>
      </c>
      <c r="C525" t="s">
        <v>1167</v>
      </c>
      <c r="D525" t="s">
        <v>542</v>
      </c>
      <c r="E525" t="s">
        <v>90</v>
      </c>
      <c r="F525">
        <v>4</v>
      </c>
      <c r="G525" t="s">
        <v>33</v>
      </c>
      <c r="H525">
        <v>22</v>
      </c>
      <c r="I525" s="12" t="s">
        <v>24</v>
      </c>
      <c r="J525" s="12" t="s">
        <v>345</v>
      </c>
      <c r="K525" s="12" t="s">
        <v>60</v>
      </c>
      <c r="L525" s="12" t="s">
        <v>543</v>
      </c>
      <c r="M525" s="12" t="s">
        <v>28</v>
      </c>
      <c r="N525" s="14">
        <v>7.0000000000000007E-2</v>
      </c>
      <c r="O525" s="23">
        <v>854.37</v>
      </c>
      <c r="P525">
        <v>152.91999999999999</v>
      </c>
      <c r="Q525" s="12" t="str" cm="1">
        <f t="array" ref="Q525:R525">VLOOKUP(E525,store[],{3,5},FALSE)</f>
        <v>East</v>
      </c>
      <c r="R525" t="str">
        <v>Flagship</v>
      </c>
      <c r="S525" s="4">
        <f t="shared" si="8"/>
        <v>3417.2</v>
      </c>
    </row>
    <row r="526" spans="1:19">
      <c r="A526" t="s">
        <v>1168</v>
      </c>
      <c r="B526" s="3">
        <v>45774</v>
      </c>
      <c r="C526" t="s">
        <v>1169</v>
      </c>
      <c r="D526" t="s">
        <v>97</v>
      </c>
      <c r="E526" t="s">
        <v>117</v>
      </c>
      <c r="F526">
        <v>2</v>
      </c>
      <c r="G526" t="s">
        <v>50</v>
      </c>
      <c r="H526">
        <v>53</v>
      </c>
      <c r="I526" s="12" t="s">
        <v>34</v>
      </c>
      <c r="J526" s="12" t="s">
        <v>118</v>
      </c>
      <c r="K526" s="12" t="s">
        <v>52</v>
      </c>
      <c r="L526" s="12" t="s">
        <v>100</v>
      </c>
      <c r="M526" s="12" t="s">
        <v>28</v>
      </c>
      <c r="N526" s="14">
        <v>0.06</v>
      </c>
      <c r="O526" s="23">
        <v>409.52</v>
      </c>
      <c r="P526">
        <v>166.06</v>
      </c>
      <c r="Q526" s="12" t="str" cm="1">
        <f t="array" ref="Q526:R526">VLOOKUP(E526,store[],{3,5},FALSE)</f>
        <v>West</v>
      </c>
      <c r="R526" t="str">
        <v>Flagship</v>
      </c>
      <c r="S526" s="4">
        <f t="shared" si="8"/>
        <v>818.92</v>
      </c>
    </row>
    <row r="527" spans="1:19">
      <c r="A527" t="s">
        <v>1170</v>
      </c>
      <c r="B527" s="3">
        <v>45569</v>
      </c>
      <c r="C527" t="s">
        <v>504</v>
      </c>
      <c r="D527" t="s">
        <v>31</v>
      </c>
      <c r="E527" t="s">
        <v>168</v>
      </c>
      <c r="F527">
        <v>2</v>
      </c>
      <c r="G527" t="s">
        <v>23</v>
      </c>
      <c r="H527">
        <v>39</v>
      </c>
      <c r="I527" s="12" t="s">
        <v>34</v>
      </c>
      <c r="J527" s="12" t="s">
        <v>360</v>
      </c>
      <c r="K527" s="12" t="s">
        <v>60</v>
      </c>
      <c r="L527" s="12" t="s">
        <v>36</v>
      </c>
      <c r="M527" s="12" t="s">
        <v>37</v>
      </c>
      <c r="N527" s="14">
        <v>0.21</v>
      </c>
      <c r="O527" s="23">
        <v>407.46</v>
      </c>
      <c r="P527">
        <v>403.71</v>
      </c>
      <c r="Q527" s="12" t="str" cm="1">
        <f t="array" ref="Q527:R527">VLOOKUP(E527,store[],{3,5},FALSE)</f>
        <v>East</v>
      </c>
      <c r="R527" t="str">
        <v>Online</v>
      </c>
      <c r="S527" s="4">
        <f t="shared" si="8"/>
        <v>814.5</v>
      </c>
    </row>
    <row r="528" spans="1:19">
      <c r="A528" t="s">
        <v>1171</v>
      </c>
      <c r="B528" s="3">
        <v>45856</v>
      </c>
      <c r="C528" t="s">
        <v>1172</v>
      </c>
      <c r="D528" t="s">
        <v>634</v>
      </c>
      <c r="E528" t="s">
        <v>43</v>
      </c>
      <c r="F528">
        <v>1</v>
      </c>
      <c r="G528" t="s">
        <v>33</v>
      </c>
      <c r="H528">
        <v>52</v>
      </c>
      <c r="I528" s="12" t="s">
        <v>34</v>
      </c>
      <c r="J528" s="12" t="s">
        <v>410</v>
      </c>
      <c r="K528" s="12" t="s">
        <v>26</v>
      </c>
      <c r="L528" s="12" t="s">
        <v>635</v>
      </c>
      <c r="M528" s="12" t="s">
        <v>130</v>
      </c>
      <c r="N528" s="14">
        <v>0.28000000000000003</v>
      </c>
      <c r="O528" s="23">
        <v>728.84</v>
      </c>
      <c r="P528">
        <v>306.45999999999998</v>
      </c>
      <c r="Q528" s="12" t="str" cm="1">
        <f t="array" ref="Q528:R528">VLOOKUP(E528,store[],{3,5},FALSE)</f>
        <v>West</v>
      </c>
      <c r="R528" t="str">
        <v>Online</v>
      </c>
      <c r="S528" s="4">
        <f t="shared" si="8"/>
        <v>728.56</v>
      </c>
    </row>
    <row r="529" spans="1:19">
      <c r="A529" t="s">
        <v>1173</v>
      </c>
      <c r="B529" s="3">
        <v>45362</v>
      </c>
      <c r="C529" t="s">
        <v>217</v>
      </c>
      <c r="D529" t="s">
        <v>267</v>
      </c>
      <c r="E529" t="s">
        <v>179</v>
      </c>
      <c r="F529">
        <v>4</v>
      </c>
      <c r="G529" t="s">
        <v>33</v>
      </c>
      <c r="H529">
        <v>62</v>
      </c>
      <c r="I529" s="12" t="s">
        <v>34</v>
      </c>
      <c r="J529" s="12" t="s">
        <v>218</v>
      </c>
      <c r="K529" s="12" t="s">
        <v>52</v>
      </c>
      <c r="L529" s="12" t="s">
        <v>268</v>
      </c>
      <c r="M529" s="12" t="s">
        <v>75</v>
      </c>
      <c r="N529" s="14">
        <v>0.08</v>
      </c>
      <c r="O529" s="23">
        <v>467.24</v>
      </c>
      <c r="P529">
        <v>325.26</v>
      </c>
      <c r="Q529" s="12" t="str" cm="1">
        <f t="array" ref="Q529:R529">VLOOKUP(E529,store[],{3,5},FALSE)</f>
        <v>East</v>
      </c>
      <c r="R529" t="str">
        <v>Online</v>
      </c>
      <c r="S529" s="4">
        <f t="shared" si="8"/>
        <v>1868.64</v>
      </c>
    </row>
    <row r="530" spans="1:19">
      <c r="A530" t="s">
        <v>1174</v>
      </c>
      <c r="B530" s="3">
        <v>45457</v>
      </c>
      <c r="C530" t="s">
        <v>1175</v>
      </c>
      <c r="D530" t="s">
        <v>234</v>
      </c>
      <c r="E530" t="s">
        <v>272</v>
      </c>
      <c r="F530">
        <v>1</v>
      </c>
      <c r="G530" t="s">
        <v>33</v>
      </c>
      <c r="H530">
        <v>44</v>
      </c>
      <c r="I530" s="12" t="s">
        <v>34</v>
      </c>
      <c r="J530" s="12" t="s">
        <v>51</v>
      </c>
      <c r="K530" s="12" t="s">
        <v>52</v>
      </c>
      <c r="L530" s="12" t="s">
        <v>236</v>
      </c>
      <c r="M530" s="12" t="s">
        <v>75</v>
      </c>
      <c r="N530" s="14">
        <v>0.13</v>
      </c>
      <c r="O530" s="23">
        <v>57.94</v>
      </c>
      <c r="P530">
        <v>298.86</v>
      </c>
      <c r="Q530" s="12" t="str" cm="1">
        <f t="array" ref="Q530:R530">VLOOKUP(E530,store[],{3,5},FALSE)</f>
        <v>South</v>
      </c>
      <c r="R530" t="str">
        <v>Online</v>
      </c>
      <c r="S530" s="4">
        <f t="shared" si="8"/>
        <v>57.81</v>
      </c>
    </row>
    <row r="531" spans="1:19">
      <c r="A531" t="s">
        <v>1176</v>
      </c>
      <c r="B531" s="3">
        <v>45338</v>
      </c>
      <c r="C531" t="s">
        <v>220</v>
      </c>
      <c r="D531" t="s">
        <v>42</v>
      </c>
      <c r="E531" t="s">
        <v>32</v>
      </c>
      <c r="F531">
        <v>1</v>
      </c>
      <c r="G531" t="s">
        <v>23</v>
      </c>
      <c r="H531">
        <v>39</v>
      </c>
      <c r="I531" s="12" t="s">
        <v>24</v>
      </c>
      <c r="J531" s="12" t="s">
        <v>222</v>
      </c>
      <c r="K531" s="12" t="s">
        <v>26</v>
      </c>
      <c r="L531" s="12" t="s">
        <v>45</v>
      </c>
      <c r="M531" s="12" t="s">
        <v>46</v>
      </c>
      <c r="N531" s="14">
        <v>0.22</v>
      </c>
      <c r="O531" s="23">
        <v>540.1</v>
      </c>
      <c r="P531">
        <v>43.29</v>
      </c>
      <c r="Q531" s="12" t="str" cm="1">
        <f t="array" ref="Q531:R531">VLOOKUP(E531,store[],{3,5},FALSE)</f>
        <v>North</v>
      </c>
      <c r="R531" t="str">
        <v>Flagship</v>
      </c>
      <c r="S531" s="4">
        <f t="shared" si="8"/>
        <v>539.88</v>
      </c>
    </row>
    <row r="532" spans="1:19">
      <c r="A532" t="s">
        <v>1177</v>
      </c>
      <c r="B532" s="3">
        <v>45552</v>
      </c>
      <c r="C532" t="s">
        <v>944</v>
      </c>
      <c r="D532" t="s">
        <v>484</v>
      </c>
      <c r="E532" t="s">
        <v>135</v>
      </c>
      <c r="F532">
        <v>4</v>
      </c>
      <c r="G532" t="s">
        <v>50</v>
      </c>
      <c r="H532">
        <v>29</v>
      </c>
      <c r="I532" s="12" t="s">
        <v>24</v>
      </c>
      <c r="J532" s="12" t="s">
        <v>35</v>
      </c>
      <c r="K532" s="12" t="s">
        <v>26</v>
      </c>
      <c r="L532" s="12" t="s">
        <v>485</v>
      </c>
      <c r="M532" s="12" t="s">
        <v>37</v>
      </c>
      <c r="N532" s="14">
        <v>0.15</v>
      </c>
      <c r="O532" s="23">
        <v>816.28</v>
      </c>
      <c r="P532">
        <v>439.07</v>
      </c>
      <c r="Q532" s="12" t="str" cm="1">
        <f t="array" ref="Q532:R532">VLOOKUP(E532,store[],{3,5},FALSE)</f>
        <v>East</v>
      </c>
      <c r="R532" t="str">
        <v>Online</v>
      </c>
      <c r="S532" s="4">
        <f t="shared" si="8"/>
        <v>3264.52</v>
      </c>
    </row>
    <row r="533" spans="1:19">
      <c r="A533" t="s">
        <v>1178</v>
      </c>
      <c r="B533" s="3">
        <v>45895</v>
      </c>
      <c r="C533" t="s">
        <v>523</v>
      </c>
      <c r="D533" t="s">
        <v>449</v>
      </c>
      <c r="E533" t="s">
        <v>43</v>
      </c>
      <c r="F533">
        <v>4</v>
      </c>
      <c r="G533" t="s">
        <v>23</v>
      </c>
      <c r="H533">
        <v>33</v>
      </c>
      <c r="I533" s="12" t="s">
        <v>34</v>
      </c>
      <c r="J533" s="12" t="s">
        <v>457</v>
      </c>
      <c r="K533" s="12" t="s">
        <v>73</v>
      </c>
      <c r="L533" s="12" t="s">
        <v>450</v>
      </c>
      <c r="M533" s="12" t="s">
        <v>37</v>
      </c>
      <c r="N533" s="14">
        <v>0.11</v>
      </c>
      <c r="O533" s="23">
        <v>727.49</v>
      </c>
      <c r="P533">
        <v>450.71</v>
      </c>
      <c r="Q533" s="12" t="str" cm="1">
        <f t="array" ref="Q533:R533">VLOOKUP(E533,store[],{3,5},FALSE)</f>
        <v>West</v>
      </c>
      <c r="R533" t="str">
        <v>Online</v>
      </c>
      <c r="S533" s="4">
        <f t="shared" si="8"/>
        <v>2909.52</v>
      </c>
    </row>
    <row r="534" spans="1:19">
      <c r="A534" t="s">
        <v>1179</v>
      </c>
      <c r="B534" s="3">
        <v>45447</v>
      </c>
      <c r="C534" t="s">
        <v>527</v>
      </c>
      <c r="D534" t="s">
        <v>400</v>
      </c>
      <c r="E534" t="s">
        <v>149</v>
      </c>
      <c r="F534">
        <v>4</v>
      </c>
      <c r="G534" t="s">
        <v>23</v>
      </c>
      <c r="H534">
        <v>44</v>
      </c>
      <c r="I534" s="12" t="s">
        <v>34</v>
      </c>
      <c r="J534" s="12" t="s">
        <v>260</v>
      </c>
      <c r="K534" s="12" t="s">
        <v>52</v>
      </c>
      <c r="L534" s="12" t="s">
        <v>401</v>
      </c>
      <c r="M534" s="12" t="s">
        <v>75</v>
      </c>
      <c r="N534" s="14">
        <v>0.21</v>
      </c>
      <c r="O534" s="23">
        <v>817.92</v>
      </c>
      <c r="P534">
        <v>176.07</v>
      </c>
      <c r="Q534" s="12" t="str" cm="1">
        <f t="array" ref="Q534:R534">VLOOKUP(E534,store[],{3,5},FALSE)</f>
        <v>East</v>
      </c>
      <c r="R534" t="str">
        <v>Flagship</v>
      </c>
      <c r="S534" s="4">
        <f t="shared" si="8"/>
        <v>3270.84</v>
      </c>
    </row>
    <row r="535" spans="1:19">
      <c r="A535" t="s">
        <v>1180</v>
      </c>
      <c r="B535" s="3">
        <v>45578</v>
      </c>
      <c r="C535" t="s">
        <v>419</v>
      </c>
      <c r="D535" t="s">
        <v>340</v>
      </c>
      <c r="E535" t="s">
        <v>66</v>
      </c>
      <c r="F535">
        <v>2</v>
      </c>
      <c r="G535" t="s">
        <v>50</v>
      </c>
      <c r="H535">
        <v>60</v>
      </c>
      <c r="I535" s="12" t="s">
        <v>24</v>
      </c>
      <c r="J535" s="12" t="s">
        <v>199</v>
      </c>
      <c r="K535" s="12" t="s">
        <v>73</v>
      </c>
      <c r="L535" s="12" t="s">
        <v>341</v>
      </c>
      <c r="M535" s="12" t="s">
        <v>28</v>
      </c>
      <c r="N535" s="14">
        <v>7.0000000000000007E-2</v>
      </c>
      <c r="O535" s="23">
        <v>358.45</v>
      </c>
      <c r="P535">
        <v>135.61000000000001</v>
      </c>
      <c r="Q535" s="12" t="str" cm="1">
        <f t="array" ref="Q535:R535">VLOOKUP(E535,store[],{3,5},FALSE)</f>
        <v>South</v>
      </c>
      <c r="R535" t="str">
        <v>Online</v>
      </c>
      <c r="S535" s="4">
        <f t="shared" si="8"/>
        <v>716.76</v>
      </c>
    </row>
    <row r="536" spans="1:19">
      <c r="A536" t="s">
        <v>1181</v>
      </c>
      <c r="B536" s="3">
        <v>45697</v>
      </c>
      <c r="C536" t="s">
        <v>513</v>
      </c>
      <c r="D536" t="s">
        <v>514</v>
      </c>
      <c r="E536" t="s">
        <v>127</v>
      </c>
      <c r="F536">
        <v>1</v>
      </c>
      <c r="G536" t="s">
        <v>50</v>
      </c>
      <c r="H536">
        <v>25</v>
      </c>
      <c r="I536" s="12" t="s">
        <v>34</v>
      </c>
      <c r="J536" s="12" t="s">
        <v>209</v>
      </c>
      <c r="K536" s="12" t="s">
        <v>73</v>
      </c>
      <c r="L536" s="12" t="s">
        <v>515</v>
      </c>
      <c r="M536" s="12" t="s">
        <v>75</v>
      </c>
      <c r="N536" s="14">
        <v>0.3</v>
      </c>
      <c r="O536" s="23">
        <v>972.06</v>
      </c>
      <c r="P536">
        <v>371.38</v>
      </c>
      <c r="Q536" s="12" t="str" cm="1">
        <f t="array" ref="Q536:R536">VLOOKUP(E536,store[],{3,5},FALSE)</f>
        <v>South</v>
      </c>
      <c r="R536" t="str">
        <v>Flagship</v>
      </c>
      <c r="S536" s="4">
        <f t="shared" si="8"/>
        <v>971.76</v>
      </c>
    </row>
    <row r="537" spans="1:19">
      <c r="A537" t="s">
        <v>1182</v>
      </c>
      <c r="B537" s="3">
        <v>45281</v>
      </c>
      <c r="C537" t="s">
        <v>1183</v>
      </c>
      <c r="D537" t="s">
        <v>226</v>
      </c>
      <c r="E537" t="s">
        <v>90</v>
      </c>
      <c r="F537">
        <v>1</v>
      </c>
      <c r="G537" t="s">
        <v>33</v>
      </c>
      <c r="H537">
        <v>48</v>
      </c>
      <c r="I537" s="12" t="s">
        <v>34</v>
      </c>
      <c r="J537" s="12" t="s">
        <v>251</v>
      </c>
      <c r="K537" s="12" t="s">
        <v>26</v>
      </c>
      <c r="L537" s="12" t="s">
        <v>228</v>
      </c>
      <c r="M537" s="12" t="s">
        <v>46</v>
      </c>
      <c r="N537" s="14">
        <v>0.06</v>
      </c>
      <c r="O537" s="23">
        <v>791.36</v>
      </c>
      <c r="P537">
        <v>337.42</v>
      </c>
      <c r="Q537" s="12" t="str" cm="1">
        <f t="array" ref="Q537:R537">VLOOKUP(E537,store[],{3,5},FALSE)</f>
        <v>East</v>
      </c>
      <c r="R537" t="str">
        <v>Flagship</v>
      </c>
      <c r="S537" s="4">
        <f t="shared" si="8"/>
        <v>791.3</v>
      </c>
    </row>
    <row r="538" spans="1:19">
      <c r="A538" t="s">
        <v>1184</v>
      </c>
      <c r="B538" s="3">
        <v>45855</v>
      </c>
      <c r="C538" t="s">
        <v>554</v>
      </c>
      <c r="D538" t="s">
        <v>779</v>
      </c>
      <c r="E538" t="s">
        <v>58</v>
      </c>
      <c r="F538">
        <v>4</v>
      </c>
      <c r="G538" t="s">
        <v>50</v>
      </c>
      <c r="H538">
        <v>53</v>
      </c>
      <c r="I538" s="12" t="s">
        <v>34</v>
      </c>
      <c r="J538" s="12" t="s">
        <v>91</v>
      </c>
      <c r="K538" s="12" t="s">
        <v>60</v>
      </c>
      <c r="L538" s="12" t="s">
        <v>780</v>
      </c>
      <c r="M538" s="12" t="s">
        <v>46</v>
      </c>
      <c r="N538" s="14">
        <v>0.26</v>
      </c>
      <c r="O538" s="23">
        <v>839.65</v>
      </c>
      <c r="P538">
        <v>299.11</v>
      </c>
      <c r="Q538" s="12" t="str" cm="1">
        <f t="array" ref="Q538:R538">VLOOKUP(E538,store[],{3,5},FALSE)</f>
        <v>North</v>
      </c>
      <c r="R538" t="str">
        <v>Outlet</v>
      </c>
      <c r="S538" s="4">
        <f t="shared" si="8"/>
        <v>3357.56</v>
      </c>
    </row>
    <row r="539" spans="1:19">
      <c r="A539" t="s">
        <v>1185</v>
      </c>
      <c r="B539" s="3">
        <v>45793</v>
      </c>
      <c r="C539" t="s">
        <v>322</v>
      </c>
      <c r="D539" t="s">
        <v>155</v>
      </c>
      <c r="E539" t="s">
        <v>198</v>
      </c>
      <c r="F539">
        <v>2</v>
      </c>
      <c r="G539" t="s">
        <v>50</v>
      </c>
      <c r="H539">
        <v>21</v>
      </c>
      <c r="I539" s="12" t="s">
        <v>24</v>
      </c>
      <c r="J539" s="12" t="s">
        <v>308</v>
      </c>
      <c r="K539" s="12" t="s">
        <v>26</v>
      </c>
      <c r="L539" s="12" t="s">
        <v>156</v>
      </c>
      <c r="M539" s="12" t="s">
        <v>28</v>
      </c>
      <c r="N539" s="14">
        <v>0.11</v>
      </c>
      <c r="O539" s="23">
        <v>245.52</v>
      </c>
      <c r="P539">
        <v>477.61</v>
      </c>
      <c r="Q539" s="12" t="str" cm="1">
        <f t="array" ref="Q539:R539">VLOOKUP(E539,store[],{3,5},FALSE)</f>
        <v>South</v>
      </c>
      <c r="R539" t="str">
        <v>Outlet</v>
      </c>
      <c r="S539" s="4">
        <f t="shared" si="8"/>
        <v>490.82</v>
      </c>
    </row>
    <row r="540" spans="1:19">
      <c r="A540" t="s">
        <v>1186</v>
      </c>
      <c r="B540" s="3">
        <v>45881</v>
      </c>
      <c r="C540" t="s">
        <v>1187</v>
      </c>
      <c r="D540" t="s">
        <v>542</v>
      </c>
      <c r="E540" t="s">
        <v>43</v>
      </c>
      <c r="F540">
        <v>3</v>
      </c>
      <c r="G540" t="s">
        <v>33</v>
      </c>
      <c r="H540">
        <v>53</v>
      </c>
      <c r="I540" s="12" t="s">
        <v>24</v>
      </c>
      <c r="J540" s="12" t="s">
        <v>80</v>
      </c>
      <c r="K540" s="12" t="s">
        <v>52</v>
      </c>
      <c r="L540" s="12" t="s">
        <v>543</v>
      </c>
      <c r="M540" s="12" t="s">
        <v>28</v>
      </c>
      <c r="N540" s="14">
        <v>0.06</v>
      </c>
      <c r="O540" s="23">
        <v>787.91</v>
      </c>
      <c r="P540">
        <v>152.91999999999999</v>
      </c>
      <c r="Q540" s="12" t="str" cm="1">
        <f t="array" ref="Q540:R540">VLOOKUP(E540,store[],{3,5},FALSE)</f>
        <v>West</v>
      </c>
      <c r="R540" t="str">
        <v>Online</v>
      </c>
      <c r="S540" s="4">
        <f t="shared" si="8"/>
        <v>2363.5500000000002</v>
      </c>
    </row>
    <row r="541" spans="1:19">
      <c r="A541" t="s">
        <v>1188</v>
      </c>
      <c r="B541" s="3">
        <v>45890</v>
      </c>
      <c r="C541" t="s">
        <v>1042</v>
      </c>
      <c r="D541" t="s">
        <v>213</v>
      </c>
      <c r="E541" t="s">
        <v>72</v>
      </c>
      <c r="F541">
        <v>2</v>
      </c>
      <c r="G541" t="s">
        <v>23</v>
      </c>
      <c r="H541">
        <v>37</v>
      </c>
      <c r="I541" s="12" t="s">
        <v>34</v>
      </c>
      <c r="J541" s="12" t="s">
        <v>209</v>
      </c>
      <c r="K541" s="12" t="s">
        <v>26</v>
      </c>
      <c r="L541" s="12" t="s">
        <v>215</v>
      </c>
      <c r="M541" s="12" t="s">
        <v>130</v>
      </c>
      <c r="N541" s="14">
        <v>0.22</v>
      </c>
      <c r="O541" s="23">
        <v>709.17</v>
      </c>
      <c r="P541">
        <v>158.13999999999999</v>
      </c>
      <c r="Q541" s="12" t="str" cm="1">
        <f t="array" ref="Q541:R541">VLOOKUP(E541,store[],{3,5},FALSE)</f>
        <v>South</v>
      </c>
      <c r="R541" t="str">
        <v>Online</v>
      </c>
      <c r="S541" s="4">
        <f t="shared" si="8"/>
        <v>1417.9</v>
      </c>
    </row>
    <row r="542" spans="1:19">
      <c r="A542" t="s">
        <v>1189</v>
      </c>
      <c r="B542" s="3">
        <v>45251</v>
      </c>
      <c r="C542" t="s">
        <v>1190</v>
      </c>
      <c r="D542" t="s">
        <v>372</v>
      </c>
      <c r="E542" t="s">
        <v>66</v>
      </c>
      <c r="F542">
        <v>2</v>
      </c>
      <c r="G542" t="s">
        <v>23</v>
      </c>
      <c r="H542">
        <v>28</v>
      </c>
      <c r="I542" s="12" t="s">
        <v>34</v>
      </c>
      <c r="J542" s="12" t="s">
        <v>373</v>
      </c>
      <c r="K542" s="12" t="s">
        <v>73</v>
      </c>
      <c r="L542" s="12" t="s">
        <v>374</v>
      </c>
      <c r="M542" s="12" t="s">
        <v>130</v>
      </c>
      <c r="N542" s="14">
        <v>0.13</v>
      </c>
      <c r="O542" s="23">
        <v>533.91999999999996</v>
      </c>
      <c r="P542">
        <v>438.25</v>
      </c>
      <c r="Q542" s="12" t="str" cm="1">
        <f t="array" ref="Q542:R542">VLOOKUP(E542,store[],{3,5},FALSE)</f>
        <v>South</v>
      </c>
      <c r="R542" t="str">
        <v>Online</v>
      </c>
      <c r="S542" s="4">
        <f t="shared" si="8"/>
        <v>1067.58</v>
      </c>
    </row>
    <row r="543" spans="1:19">
      <c r="A543" t="s">
        <v>1191</v>
      </c>
      <c r="B543" s="3">
        <v>45695</v>
      </c>
      <c r="C543" t="s">
        <v>233</v>
      </c>
      <c r="D543" t="s">
        <v>449</v>
      </c>
      <c r="E543" t="s">
        <v>90</v>
      </c>
      <c r="F543">
        <v>1</v>
      </c>
      <c r="G543" t="s">
        <v>50</v>
      </c>
      <c r="H543">
        <v>59</v>
      </c>
      <c r="I543" s="12" t="s">
        <v>34</v>
      </c>
      <c r="J543" s="12" t="s">
        <v>235</v>
      </c>
      <c r="K543" s="12" t="s">
        <v>52</v>
      </c>
      <c r="L543" s="12" t="s">
        <v>450</v>
      </c>
      <c r="M543" s="12" t="s">
        <v>37</v>
      </c>
      <c r="N543" s="14">
        <v>0.28000000000000003</v>
      </c>
      <c r="O543" s="23">
        <v>878.84</v>
      </c>
      <c r="P543">
        <v>450.71</v>
      </c>
      <c r="Q543" s="12" t="str" cm="1">
        <f t="array" ref="Q543:R543">VLOOKUP(E543,store[],{3,5},FALSE)</f>
        <v>East</v>
      </c>
      <c r="R543" t="str">
        <v>Flagship</v>
      </c>
      <c r="S543" s="4">
        <f t="shared" si="8"/>
        <v>878.56</v>
      </c>
    </row>
    <row r="544" spans="1:19">
      <c r="A544" t="s">
        <v>1192</v>
      </c>
      <c r="B544" s="3">
        <v>45287</v>
      </c>
      <c r="C544" t="s">
        <v>1193</v>
      </c>
      <c r="D544" t="s">
        <v>275</v>
      </c>
      <c r="E544" t="s">
        <v>117</v>
      </c>
      <c r="F544">
        <v>1</v>
      </c>
      <c r="G544" t="s">
        <v>23</v>
      </c>
      <c r="H544">
        <v>52</v>
      </c>
      <c r="I544" s="12" t="s">
        <v>24</v>
      </c>
      <c r="J544" s="12" t="s">
        <v>498</v>
      </c>
      <c r="K544" s="12" t="s">
        <v>52</v>
      </c>
      <c r="L544" s="12" t="s">
        <v>276</v>
      </c>
      <c r="M544" s="12" t="s">
        <v>28</v>
      </c>
      <c r="N544" s="14">
        <v>0.14000000000000001</v>
      </c>
      <c r="O544" s="23">
        <v>442.36</v>
      </c>
      <c r="P544">
        <v>167.12</v>
      </c>
      <c r="Q544" s="12" t="str" cm="1">
        <f t="array" ref="Q544:R544">VLOOKUP(E544,store[],{3,5},FALSE)</f>
        <v>West</v>
      </c>
      <c r="R544" t="str">
        <v>Flagship</v>
      </c>
      <c r="S544" s="4">
        <f t="shared" si="8"/>
        <v>442.22</v>
      </c>
    </row>
    <row r="545" spans="1:19">
      <c r="A545" t="s">
        <v>1194</v>
      </c>
      <c r="B545" s="3">
        <v>45711</v>
      </c>
      <c r="C545" t="s">
        <v>767</v>
      </c>
      <c r="D545" t="s">
        <v>487</v>
      </c>
      <c r="E545" t="s">
        <v>179</v>
      </c>
      <c r="F545">
        <v>1</v>
      </c>
      <c r="G545" t="s">
        <v>50</v>
      </c>
      <c r="H545">
        <v>64</v>
      </c>
      <c r="I545" s="12" t="s">
        <v>34</v>
      </c>
      <c r="J545" s="12" t="s">
        <v>360</v>
      </c>
      <c r="K545" s="12" t="s">
        <v>26</v>
      </c>
      <c r="L545" s="12" t="s">
        <v>488</v>
      </c>
      <c r="M545" s="12" t="s">
        <v>75</v>
      </c>
      <c r="N545" s="14">
        <v>0.11</v>
      </c>
      <c r="O545" s="23">
        <v>763.34</v>
      </c>
      <c r="P545">
        <v>382.22</v>
      </c>
      <c r="Q545" s="12" t="str" cm="1">
        <f t="array" ref="Q545:R545">VLOOKUP(E545,store[],{3,5},FALSE)</f>
        <v>East</v>
      </c>
      <c r="R545" t="str">
        <v>Online</v>
      </c>
      <c r="S545" s="4">
        <f t="shared" si="8"/>
        <v>763.23</v>
      </c>
    </row>
    <row r="546" spans="1:19">
      <c r="A546" t="s">
        <v>1195</v>
      </c>
      <c r="B546" s="3">
        <v>45842</v>
      </c>
      <c r="C546" t="s">
        <v>1100</v>
      </c>
      <c r="D546" t="s">
        <v>57</v>
      </c>
      <c r="E546" t="s">
        <v>160</v>
      </c>
      <c r="F546">
        <v>3</v>
      </c>
      <c r="G546" t="s">
        <v>50</v>
      </c>
      <c r="H546">
        <v>25</v>
      </c>
      <c r="I546" s="12" t="s">
        <v>34</v>
      </c>
      <c r="J546" s="12" t="s">
        <v>209</v>
      </c>
      <c r="K546" s="12" t="s">
        <v>60</v>
      </c>
      <c r="L546" s="12" t="s">
        <v>61</v>
      </c>
      <c r="M546" s="12" t="s">
        <v>46</v>
      </c>
      <c r="N546" s="14">
        <v>0.15</v>
      </c>
      <c r="O546" s="23">
        <v>178.22</v>
      </c>
      <c r="P546">
        <v>17.309999999999999</v>
      </c>
      <c r="Q546" s="12" t="str" cm="1">
        <f t="array" ref="Q546:R546">VLOOKUP(E546,store[],{3,5},FALSE)</f>
        <v>East</v>
      </c>
      <c r="R546" t="str">
        <v>Flagship</v>
      </c>
      <c r="S546" s="4">
        <f t="shared" si="8"/>
        <v>534.21</v>
      </c>
    </row>
    <row r="547" spans="1:19">
      <c r="A547" t="s">
        <v>1196</v>
      </c>
      <c r="B547" s="3">
        <v>45255</v>
      </c>
      <c r="C547" t="s">
        <v>765</v>
      </c>
      <c r="D547" t="s">
        <v>246</v>
      </c>
      <c r="E547" t="s">
        <v>105</v>
      </c>
      <c r="F547">
        <v>4</v>
      </c>
      <c r="G547" t="s">
        <v>33</v>
      </c>
      <c r="H547">
        <v>21</v>
      </c>
      <c r="I547" s="12" t="s">
        <v>24</v>
      </c>
      <c r="J547" s="12" t="s">
        <v>440</v>
      </c>
      <c r="K547" s="12" t="s">
        <v>73</v>
      </c>
      <c r="L547" s="12" t="s">
        <v>247</v>
      </c>
      <c r="M547" s="12" t="s">
        <v>37</v>
      </c>
      <c r="N547" s="14">
        <v>0.08</v>
      </c>
      <c r="O547" s="23">
        <v>90.32</v>
      </c>
      <c r="P547">
        <v>322.41000000000003</v>
      </c>
      <c r="Q547" s="12" t="str" cm="1">
        <f t="array" ref="Q547:R547">VLOOKUP(E547,store[],{3,5},FALSE)</f>
        <v>North</v>
      </c>
      <c r="R547" t="str">
        <v>Flagship</v>
      </c>
      <c r="S547" s="4">
        <f t="shared" si="8"/>
        <v>360.96</v>
      </c>
    </row>
    <row r="548" spans="1:19">
      <c r="A548" t="s">
        <v>1197</v>
      </c>
      <c r="B548" s="3">
        <v>45695</v>
      </c>
      <c r="C548" t="s">
        <v>371</v>
      </c>
      <c r="D548" t="s">
        <v>234</v>
      </c>
      <c r="E548" t="s">
        <v>179</v>
      </c>
      <c r="F548">
        <v>3</v>
      </c>
      <c r="G548" t="s">
        <v>23</v>
      </c>
      <c r="H548">
        <v>44</v>
      </c>
      <c r="I548" s="12" t="s">
        <v>34</v>
      </c>
      <c r="J548" s="12" t="s">
        <v>373</v>
      </c>
      <c r="K548" s="12" t="s">
        <v>73</v>
      </c>
      <c r="L548" s="12" t="s">
        <v>236</v>
      </c>
      <c r="M548" s="12" t="s">
        <v>75</v>
      </c>
      <c r="N548" s="14">
        <v>0</v>
      </c>
      <c r="O548" s="23">
        <v>370.93</v>
      </c>
      <c r="P548">
        <v>298.86</v>
      </c>
      <c r="Q548" s="12" t="str" cm="1">
        <f t="array" ref="Q548:R548">VLOOKUP(E548,store[],{3,5},FALSE)</f>
        <v>East</v>
      </c>
      <c r="R548" t="str">
        <v>Online</v>
      </c>
      <c r="S548" s="4">
        <f t="shared" si="8"/>
        <v>1112.79</v>
      </c>
    </row>
    <row r="549" spans="1:19">
      <c r="A549" t="s">
        <v>1198</v>
      </c>
      <c r="B549" s="3">
        <v>45281</v>
      </c>
      <c r="C549" t="s">
        <v>1199</v>
      </c>
      <c r="D549" t="s">
        <v>250</v>
      </c>
      <c r="E549" t="s">
        <v>122</v>
      </c>
      <c r="F549">
        <v>1</v>
      </c>
      <c r="G549" t="s">
        <v>33</v>
      </c>
      <c r="H549">
        <v>55</v>
      </c>
      <c r="I549" s="12" t="s">
        <v>34</v>
      </c>
      <c r="J549" s="12" t="s">
        <v>308</v>
      </c>
      <c r="K549" s="12" t="s">
        <v>52</v>
      </c>
      <c r="L549" s="12" t="s">
        <v>252</v>
      </c>
      <c r="M549" s="12" t="s">
        <v>130</v>
      </c>
      <c r="N549" s="14">
        <v>0.14000000000000001</v>
      </c>
      <c r="O549" s="23">
        <v>352.43</v>
      </c>
      <c r="P549">
        <v>248.82191780821901</v>
      </c>
      <c r="Q549" s="12" t="str" cm="1">
        <f t="array" ref="Q549:R549">VLOOKUP(E549,store[],{3,5},FALSE)</f>
        <v>North</v>
      </c>
      <c r="R549" t="str">
        <v>Flagship</v>
      </c>
      <c r="S549" s="4">
        <f t="shared" si="8"/>
        <v>352.29</v>
      </c>
    </row>
    <row r="550" spans="1:19">
      <c r="A550" t="s">
        <v>1200</v>
      </c>
      <c r="B550" s="3">
        <v>45295</v>
      </c>
      <c r="C550" t="s">
        <v>1201</v>
      </c>
      <c r="D550" t="s">
        <v>173</v>
      </c>
      <c r="E550" t="s">
        <v>122</v>
      </c>
      <c r="F550">
        <v>2</v>
      </c>
      <c r="G550" t="s">
        <v>23</v>
      </c>
      <c r="H550">
        <v>40</v>
      </c>
      <c r="I550" s="12" t="s">
        <v>24</v>
      </c>
      <c r="J550" s="12" t="s">
        <v>106</v>
      </c>
      <c r="K550" s="12" t="s">
        <v>60</v>
      </c>
      <c r="L550" s="12" t="s">
        <v>174</v>
      </c>
      <c r="M550" s="12" t="s">
        <v>46</v>
      </c>
      <c r="N550" s="14">
        <v>0.2</v>
      </c>
      <c r="O550" s="23">
        <v>562.97</v>
      </c>
      <c r="P550">
        <v>115.82</v>
      </c>
      <c r="Q550" s="12" t="str" cm="1">
        <f t="array" ref="Q550:R550">VLOOKUP(E550,store[],{3,5},FALSE)</f>
        <v>North</v>
      </c>
      <c r="R550" t="str">
        <v>Flagship</v>
      </c>
      <c r="S550" s="4">
        <f t="shared" si="8"/>
        <v>1125.54</v>
      </c>
    </row>
    <row r="551" spans="1:19">
      <c r="A551" t="s">
        <v>1202</v>
      </c>
      <c r="B551" s="3">
        <v>45260</v>
      </c>
      <c r="C551" t="s">
        <v>1203</v>
      </c>
      <c r="D551" t="s">
        <v>564</v>
      </c>
      <c r="E551" t="s">
        <v>66</v>
      </c>
      <c r="F551">
        <v>1</v>
      </c>
      <c r="G551" t="s">
        <v>33</v>
      </c>
      <c r="H551">
        <v>59</v>
      </c>
      <c r="I551" s="12" t="s">
        <v>24</v>
      </c>
      <c r="J551" s="12" t="s">
        <v>188</v>
      </c>
      <c r="K551" s="12" t="s">
        <v>52</v>
      </c>
      <c r="L551" s="12" t="s">
        <v>565</v>
      </c>
      <c r="M551" s="12" t="s">
        <v>75</v>
      </c>
      <c r="N551" s="14">
        <v>0.12</v>
      </c>
      <c r="O551" s="23">
        <v>522.85</v>
      </c>
      <c r="P551">
        <v>81.75</v>
      </c>
      <c r="Q551" s="12" t="str" cm="1">
        <f t="array" ref="Q551:R551">VLOOKUP(E551,store[],{3,5},FALSE)</f>
        <v>South</v>
      </c>
      <c r="R551" t="str">
        <v>Online</v>
      </c>
      <c r="S551" s="4">
        <f t="shared" si="8"/>
        <v>522.73</v>
      </c>
    </row>
    <row r="552" spans="1:19">
      <c r="A552" t="s">
        <v>1204</v>
      </c>
      <c r="B552" s="3">
        <v>45851</v>
      </c>
      <c r="C552" t="s">
        <v>519</v>
      </c>
      <c r="D552" t="s">
        <v>279</v>
      </c>
      <c r="E552" t="s">
        <v>117</v>
      </c>
      <c r="F552">
        <v>4</v>
      </c>
      <c r="G552" t="s">
        <v>23</v>
      </c>
      <c r="H552">
        <v>31</v>
      </c>
      <c r="I552" s="12" t="s">
        <v>24</v>
      </c>
      <c r="J552" s="12" t="s">
        <v>444</v>
      </c>
      <c r="K552" s="12" t="s">
        <v>73</v>
      </c>
      <c r="L552" s="12" t="s">
        <v>280</v>
      </c>
      <c r="M552" s="12" t="s">
        <v>75</v>
      </c>
      <c r="N552" s="14">
        <v>0.15</v>
      </c>
      <c r="O552" s="23">
        <v>714.89</v>
      </c>
      <c r="P552">
        <v>123.46</v>
      </c>
      <c r="Q552" s="12" t="str" cm="1">
        <f t="array" ref="Q552:R552">VLOOKUP(E552,store[],{3,5},FALSE)</f>
        <v>West</v>
      </c>
      <c r="R552" t="str">
        <v>Flagship</v>
      </c>
      <c r="S552" s="4">
        <f t="shared" si="8"/>
        <v>2858.96</v>
      </c>
    </row>
    <row r="553" spans="1:19">
      <c r="A553" t="s">
        <v>1205</v>
      </c>
      <c r="B553" s="3">
        <v>45222</v>
      </c>
      <c r="C553" t="s">
        <v>84</v>
      </c>
      <c r="D553" t="s">
        <v>159</v>
      </c>
      <c r="E553" t="s">
        <v>198</v>
      </c>
      <c r="F553">
        <v>3</v>
      </c>
      <c r="G553" t="s">
        <v>33</v>
      </c>
      <c r="H553">
        <v>60</v>
      </c>
      <c r="I553" s="12" t="s">
        <v>34</v>
      </c>
      <c r="J553" s="12" t="s">
        <v>59</v>
      </c>
      <c r="K553" s="12" t="s">
        <v>52</v>
      </c>
      <c r="L553" s="12" t="s">
        <v>162</v>
      </c>
      <c r="M553" s="12" t="s">
        <v>37</v>
      </c>
      <c r="N553" s="14">
        <v>0.26</v>
      </c>
      <c r="O553" s="23">
        <v>137.77000000000001</v>
      </c>
      <c r="P553">
        <v>253.33</v>
      </c>
      <c r="Q553" s="12" t="str" cm="1">
        <f t="array" ref="Q553:R553">VLOOKUP(E553,store[],{3,5},FALSE)</f>
        <v>South</v>
      </c>
      <c r="R553" t="str">
        <v>Outlet</v>
      </c>
      <c r="S553" s="4">
        <f t="shared" si="8"/>
        <v>412.53</v>
      </c>
    </row>
    <row r="554" spans="1:19">
      <c r="A554" t="s">
        <v>1206</v>
      </c>
      <c r="B554" s="3">
        <v>45940</v>
      </c>
      <c r="C554" t="s">
        <v>910</v>
      </c>
      <c r="D554" t="s">
        <v>603</v>
      </c>
      <c r="E554" t="s">
        <v>272</v>
      </c>
      <c r="F554">
        <v>3</v>
      </c>
      <c r="G554" t="s">
        <v>33</v>
      </c>
      <c r="H554">
        <v>31</v>
      </c>
      <c r="I554" s="12" t="s">
        <v>24</v>
      </c>
      <c r="J554" s="12" t="s">
        <v>410</v>
      </c>
      <c r="K554" s="12" t="s">
        <v>346</v>
      </c>
      <c r="L554" s="12" t="s">
        <v>604</v>
      </c>
      <c r="M554" s="12" t="s">
        <v>75</v>
      </c>
      <c r="N554" s="14">
        <v>0.22</v>
      </c>
      <c r="O554" s="23">
        <v>862.18</v>
      </c>
      <c r="P554">
        <v>447.43</v>
      </c>
      <c r="Q554" s="12" t="str" cm="1">
        <f t="array" ref="Q554:R554">VLOOKUP(E554,store[],{3,5},FALSE)</f>
        <v>South</v>
      </c>
      <c r="R554" t="str">
        <v>Online</v>
      </c>
      <c r="S554" s="4">
        <f t="shared" si="8"/>
        <v>2585.88</v>
      </c>
    </row>
    <row r="555" spans="1:19">
      <c r="A555" t="s">
        <v>1207</v>
      </c>
      <c r="B555" s="3">
        <v>45822</v>
      </c>
      <c r="C555" t="s">
        <v>1208</v>
      </c>
      <c r="D555" t="s">
        <v>340</v>
      </c>
      <c r="E555" t="s">
        <v>98</v>
      </c>
      <c r="F555">
        <v>2</v>
      </c>
      <c r="G555" t="s">
        <v>33</v>
      </c>
      <c r="H555">
        <v>43</v>
      </c>
      <c r="I555" s="12" t="s">
        <v>34</v>
      </c>
      <c r="J555" s="12" t="s">
        <v>67</v>
      </c>
      <c r="K555" s="12" t="s">
        <v>52</v>
      </c>
      <c r="L555" s="12" t="s">
        <v>341</v>
      </c>
      <c r="M555" s="12" t="s">
        <v>28</v>
      </c>
      <c r="N555" s="14">
        <v>0.24</v>
      </c>
      <c r="O555" s="23">
        <v>833.64</v>
      </c>
      <c r="P555">
        <v>135.61000000000001</v>
      </c>
      <c r="Q555" s="12" t="str" cm="1">
        <f t="array" ref="Q555:R555">VLOOKUP(E555,store[],{3,5},FALSE)</f>
        <v>South</v>
      </c>
      <c r="R555" t="str">
        <v>Outlet</v>
      </c>
      <c r="S555" s="4">
        <f t="shared" si="8"/>
        <v>1666.8</v>
      </c>
    </row>
    <row r="556" spans="1:19">
      <c r="A556" t="s">
        <v>1209</v>
      </c>
      <c r="B556" s="3">
        <v>45752</v>
      </c>
      <c r="C556" t="s">
        <v>1210</v>
      </c>
      <c r="D556" t="s">
        <v>314</v>
      </c>
      <c r="E556" t="s">
        <v>122</v>
      </c>
      <c r="F556">
        <v>3</v>
      </c>
      <c r="G556" t="s">
        <v>50</v>
      </c>
      <c r="H556">
        <v>31</v>
      </c>
      <c r="I556" s="12" t="s">
        <v>34</v>
      </c>
      <c r="J556" s="12" t="s">
        <v>378</v>
      </c>
      <c r="K556" s="12" t="s">
        <v>26</v>
      </c>
      <c r="L556" s="12" t="s">
        <v>315</v>
      </c>
      <c r="M556" s="12" t="s">
        <v>28</v>
      </c>
      <c r="N556" s="14">
        <v>0.05</v>
      </c>
      <c r="O556" s="23">
        <v>543.22</v>
      </c>
      <c r="P556">
        <v>21.34</v>
      </c>
      <c r="Q556" s="12" t="str" cm="1">
        <f t="array" ref="Q556:R556">VLOOKUP(E556,store[],{3,5},FALSE)</f>
        <v>North</v>
      </c>
      <c r="R556" t="str">
        <v>Flagship</v>
      </c>
      <c r="S556" s="4">
        <f t="shared" si="8"/>
        <v>1629.51</v>
      </c>
    </row>
    <row r="557" spans="1:19">
      <c r="A557" t="s">
        <v>1211</v>
      </c>
      <c r="B557" s="3">
        <v>45677</v>
      </c>
      <c r="C557" t="s">
        <v>1212</v>
      </c>
      <c r="D557" t="s">
        <v>110</v>
      </c>
      <c r="E557" t="s">
        <v>198</v>
      </c>
      <c r="F557">
        <v>3</v>
      </c>
      <c r="G557" t="s">
        <v>50</v>
      </c>
      <c r="H557">
        <v>42</v>
      </c>
      <c r="I557" s="12" t="s">
        <v>34</v>
      </c>
      <c r="J557" s="12" t="s">
        <v>67</v>
      </c>
      <c r="K557" s="12" t="s">
        <v>52</v>
      </c>
      <c r="L557" s="12" t="s">
        <v>112</v>
      </c>
      <c r="M557" s="12" t="s">
        <v>28</v>
      </c>
      <c r="N557" s="14">
        <v>0.12</v>
      </c>
      <c r="O557" s="23">
        <v>691.02</v>
      </c>
      <c r="P557">
        <v>131.24</v>
      </c>
      <c r="Q557" s="12" t="str" cm="1">
        <f t="array" ref="Q557:R557">VLOOKUP(E557,store[],{3,5},FALSE)</f>
        <v>South</v>
      </c>
      <c r="R557" t="str">
        <v>Outlet</v>
      </c>
      <c r="S557" s="4">
        <f t="shared" si="8"/>
        <v>2072.6999999999998</v>
      </c>
    </row>
    <row r="558" spans="1:19">
      <c r="A558" t="s">
        <v>1213</v>
      </c>
      <c r="B558" s="3">
        <v>45253</v>
      </c>
      <c r="C558" t="s">
        <v>456</v>
      </c>
      <c r="D558" t="s">
        <v>400</v>
      </c>
      <c r="E558" t="s">
        <v>32</v>
      </c>
      <c r="F558">
        <v>4</v>
      </c>
      <c r="G558" t="s">
        <v>23</v>
      </c>
      <c r="H558">
        <v>58</v>
      </c>
      <c r="I558" s="12" t="s">
        <v>34</v>
      </c>
      <c r="J558" s="12" t="s">
        <v>457</v>
      </c>
      <c r="K558" s="12" t="s">
        <v>73</v>
      </c>
      <c r="L558" s="12" t="s">
        <v>401</v>
      </c>
      <c r="M558" s="12" t="s">
        <v>75</v>
      </c>
      <c r="N558" s="14">
        <v>0.18</v>
      </c>
      <c r="O558" s="23">
        <v>338.73</v>
      </c>
      <c r="P558">
        <v>176.07</v>
      </c>
      <c r="Q558" s="12" t="str" cm="1">
        <f t="array" ref="Q558:R558">VLOOKUP(E558,store[],{3,5},FALSE)</f>
        <v>North</v>
      </c>
      <c r="R558" t="str">
        <v>Flagship</v>
      </c>
      <c r="S558" s="4">
        <f t="shared" si="8"/>
        <v>1354.2</v>
      </c>
    </row>
    <row r="559" spans="1:19">
      <c r="A559" t="s">
        <v>1214</v>
      </c>
      <c r="B559" s="3">
        <v>45389</v>
      </c>
      <c r="C559" t="s">
        <v>1215</v>
      </c>
      <c r="D559" t="s">
        <v>814</v>
      </c>
      <c r="E559" t="s">
        <v>117</v>
      </c>
      <c r="F559">
        <v>3</v>
      </c>
      <c r="G559" t="s">
        <v>23</v>
      </c>
      <c r="H559">
        <v>50</v>
      </c>
      <c r="I559" s="12" t="s">
        <v>24</v>
      </c>
      <c r="J559" s="12" t="s">
        <v>222</v>
      </c>
      <c r="K559" s="12" t="s">
        <v>73</v>
      </c>
      <c r="L559" s="12" t="s">
        <v>815</v>
      </c>
      <c r="M559" s="12" t="s">
        <v>75</v>
      </c>
      <c r="N559" s="14">
        <v>0.05</v>
      </c>
      <c r="O559" s="23">
        <v>366.08</v>
      </c>
      <c r="P559">
        <v>388.46</v>
      </c>
      <c r="Q559" s="12" t="str" cm="1">
        <f t="array" ref="Q559:R559">VLOOKUP(E559,store[],{3,5},FALSE)</f>
        <v>West</v>
      </c>
      <c r="R559" t="str">
        <v>Flagship</v>
      </c>
      <c r="S559" s="4">
        <f t="shared" si="8"/>
        <v>1098.0899999999999</v>
      </c>
    </row>
    <row r="560" spans="1:19">
      <c r="A560" t="s">
        <v>1216</v>
      </c>
      <c r="B560" s="3">
        <v>45840</v>
      </c>
      <c r="C560" t="s">
        <v>470</v>
      </c>
      <c r="D560" t="s">
        <v>197</v>
      </c>
      <c r="E560" t="s">
        <v>149</v>
      </c>
      <c r="F560">
        <v>4</v>
      </c>
      <c r="G560" t="s">
        <v>50</v>
      </c>
      <c r="H560">
        <v>50</v>
      </c>
      <c r="I560" s="12" t="s">
        <v>34</v>
      </c>
      <c r="J560" s="12" t="s">
        <v>235</v>
      </c>
      <c r="K560" s="12" t="s">
        <v>26</v>
      </c>
      <c r="L560" s="12" t="s">
        <v>200</v>
      </c>
      <c r="M560" s="12" t="s">
        <v>37</v>
      </c>
      <c r="N560" s="14">
        <v>0.28000000000000003</v>
      </c>
      <c r="O560" s="23">
        <v>539.48</v>
      </c>
      <c r="P560">
        <v>242.23</v>
      </c>
      <c r="Q560" s="12" t="str" cm="1">
        <f t="array" ref="Q560:R560">VLOOKUP(E560,store[],{3,5},FALSE)</f>
        <v>East</v>
      </c>
      <c r="R560" t="str">
        <v>Flagship</v>
      </c>
      <c r="S560" s="4">
        <f t="shared" si="8"/>
        <v>2156.8000000000002</v>
      </c>
    </row>
    <row r="561" spans="1:19">
      <c r="A561" t="s">
        <v>1217</v>
      </c>
      <c r="B561" s="3">
        <v>45256</v>
      </c>
      <c r="C561" t="s">
        <v>1218</v>
      </c>
      <c r="D561" t="s">
        <v>372</v>
      </c>
      <c r="E561" t="s">
        <v>117</v>
      </c>
      <c r="F561">
        <v>1</v>
      </c>
      <c r="G561" t="s">
        <v>50</v>
      </c>
      <c r="H561">
        <v>50</v>
      </c>
      <c r="I561" s="12" t="s">
        <v>24</v>
      </c>
      <c r="J561" s="12" t="s">
        <v>761</v>
      </c>
      <c r="K561" s="12" t="s">
        <v>52</v>
      </c>
      <c r="L561" s="12" t="s">
        <v>374</v>
      </c>
      <c r="M561" s="12" t="s">
        <v>130</v>
      </c>
      <c r="N561" s="14">
        <v>0.03</v>
      </c>
      <c r="O561" s="23">
        <v>499.59</v>
      </c>
      <c r="P561">
        <v>438.25</v>
      </c>
      <c r="Q561" s="12" t="str" cm="1">
        <f t="array" ref="Q561:R561">VLOOKUP(E561,store[],{3,5},FALSE)</f>
        <v>West</v>
      </c>
      <c r="R561" t="str">
        <v>Flagship</v>
      </c>
      <c r="S561" s="4">
        <f t="shared" si="8"/>
        <v>499.56</v>
      </c>
    </row>
    <row r="562" spans="1:19">
      <c r="A562" t="s">
        <v>1219</v>
      </c>
      <c r="B562" s="3">
        <v>45326</v>
      </c>
      <c r="C562" t="s">
        <v>1220</v>
      </c>
      <c r="D562" t="s">
        <v>271</v>
      </c>
      <c r="E562" t="s">
        <v>43</v>
      </c>
      <c r="F562">
        <v>3</v>
      </c>
      <c r="G562" t="s">
        <v>23</v>
      </c>
      <c r="H562">
        <v>42</v>
      </c>
      <c r="I562" s="12" t="s">
        <v>24</v>
      </c>
      <c r="J562" s="12" t="s">
        <v>222</v>
      </c>
      <c r="K562" s="12" t="s">
        <v>60</v>
      </c>
      <c r="L562" s="12" t="s">
        <v>273</v>
      </c>
      <c r="M562" s="12" t="s">
        <v>75</v>
      </c>
      <c r="N562" s="14">
        <v>0.2</v>
      </c>
      <c r="O562" s="23">
        <v>330.04</v>
      </c>
      <c r="P562">
        <v>19.52</v>
      </c>
      <c r="Q562" s="12" t="str" cm="1">
        <f t="array" ref="Q562:R562">VLOOKUP(E562,store[],{3,5},FALSE)</f>
        <v>West</v>
      </c>
      <c r="R562" t="str">
        <v>Online</v>
      </c>
      <c r="S562" s="4">
        <f t="shared" si="8"/>
        <v>989.52</v>
      </c>
    </row>
    <row r="563" spans="1:19">
      <c r="A563" t="s">
        <v>1221</v>
      </c>
      <c r="B563" s="3">
        <v>45459</v>
      </c>
      <c r="C563" t="s">
        <v>432</v>
      </c>
      <c r="D563" t="s">
        <v>555</v>
      </c>
      <c r="E563" t="s">
        <v>32</v>
      </c>
      <c r="F563">
        <v>2</v>
      </c>
      <c r="G563" t="s">
        <v>33</v>
      </c>
      <c r="H563">
        <v>23</v>
      </c>
      <c r="I563" s="12" t="s">
        <v>34</v>
      </c>
      <c r="J563" s="12" t="s">
        <v>169</v>
      </c>
      <c r="K563" s="12" t="s">
        <v>60</v>
      </c>
      <c r="L563" s="12" t="s">
        <v>556</v>
      </c>
      <c r="M563" s="12" t="s">
        <v>37</v>
      </c>
      <c r="N563" s="14">
        <v>0.06</v>
      </c>
      <c r="O563" s="23">
        <v>813.01</v>
      </c>
      <c r="P563">
        <v>449.4</v>
      </c>
      <c r="Q563" s="12" t="str" cm="1">
        <f t="array" ref="Q563:R563">VLOOKUP(E563,store[],{3,5},FALSE)</f>
        <v>North</v>
      </c>
      <c r="R563" t="str">
        <v>Flagship</v>
      </c>
      <c r="S563" s="4">
        <f t="shared" si="8"/>
        <v>1625.9</v>
      </c>
    </row>
    <row r="564" spans="1:19">
      <c r="A564" t="s">
        <v>1222</v>
      </c>
      <c r="B564" s="3">
        <v>45715</v>
      </c>
      <c r="C564" t="s">
        <v>1223</v>
      </c>
      <c r="D564" t="s">
        <v>389</v>
      </c>
      <c r="E564" t="s">
        <v>198</v>
      </c>
      <c r="F564">
        <v>4</v>
      </c>
      <c r="G564" t="s">
        <v>33</v>
      </c>
      <c r="H564">
        <v>18</v>
      </c>
      <c r="I564" s="12" t="s">
        <v>34</v>
      </c>
      <c r="J564" s="12" t="s">
        <v>80</v>
      </c>
      <c r="K564" s="12" t="s">
        <v>26</v>
      </c>
      <c r="L564" s="12" t="s">
        <v>390</v>
      </c>
      <c r="M564" s="12" t="s">
        <v>130</v>
      </c>
      <c r="N564" s="14">
        <v>0.03</v>
      </c>
      <c r="O564" s="23">
        <v>204.8</v>
      </c>
      <c r="P564">
        <v>342.56</v>
      </c>
      <c r="Q564" s="12" t="str" cm="1">
        <f t="array" ref="Q564:R564">VLOOKUP(E564,store[],{3,5},FALSE)</f>
        <v>South</v>
      </c>
      <c r="R564" t="str">
        <v>Outlet</v>
      </c>
      <c r="S564" s="4">
        <f t="shared" si="8"/>
        <v>819.08</v>
      </c>
    </row>
    <row r="565" spans="1:19">
      <c r="A565" t="s">
        <v>1224</v>
      </c>
      <c r="B565" s="3">
        <v>45223</v>
      </c>
      <c r="C565" t="s">
        <v>1132</v>
      </c>
      <c r="D565" t="s">
        <v>414</v>
      </c>
      <c r="E565" t="s">
        <v>22</v>
      </c>
      <c r="F565">
        <v>3</v>
      </c>
      <c r="G565" t="s">
        <v>23</v>
      </c>
      <c r="H565">
        <v>28</v>
      </c>
      <c r="I565" s="12" t="s">
        <v>34</v>
      </c>
      <c r="J565" s="12" t="s">
        <v>161</v>
      </c>
      <c r="K565" s="12" t="s">
        <v>26</v>
      </c>
      <c r="L565" s="12" t="s">
        <v>415</v>
      </c>
      <c r="M565" s="12" t="s">
        <v>130</v>
      </c>
      <c r="N565" s="14">
        <v>0.01</v>
      </c>
      <c r="O565" s="23">
        <v>728.32</v>
      </c>
      <c r="P565">
        <v>364.67</v>
      </c>
      <c r="Q565" s="12" t="str" cm="1">
        <f t="array" ref="Q565:R565">VLOOKUP(E565,store[],{3,5},FALSE)</f>
        <v>North</v>
      </c>
      <c r="R565" t="str">
        <v>Outlet</v>
      </c>
      <c r="S565" s="4">
        <f t="shared" si="8"/>
        <v>2184.9299999999998</v>
      </c>
    </row>
    <row r="566" spans="1:19">
      <c r="A566" t="s">
        <v>1225</v>
      </c>
      <c r="B566" s="3">
        <v>45507</v>
      </c>
      <c r="C566" t="s">
        <v>1226</v>
      </c>
      <c r="D566" t="s">
        <v>57</v>
      </c>
      <c r="E566" t="s">
        <v>66</v>
      </c>
      <c r="F566">
        <v>3</v>
      </c>
      <c r="G566" t="s">
        <v>23</v>
      </c>
      <c r="H566">
        <v>60</v>
      </c>
      <c r="I566" s="12" t="s">
        <v>34</v>
      </c>
      <c r="J566" s="12" t="s">
        <v>231</v>
      </c>
      <c r="K566" s="12" t="s">
        <v>73</v>
      </c>
      <c r="L566" s="12" t="s">
        <v>61</v>
      </c>
      <c r="M566" s="12" t="s">
        <v>46</v>
      </c>
      <c r="N566" s="14">
        <v>0</v>
      </c>
      <c r="O566" s="23">
        <v>836.4</v>
      </c>
      <c r="P566">
        <v>17.309999999999999</v>
      </c>
      <c r="Q566" s="12" t="str" cm="1">
        <f t="array" ref="Q566:R566">VLOOKUP(E566,store[],{3,5},FALSE)</f>
        <v>South</v>
      </c>
      <c r="R566" t="str">
        <v>Online</v>
      </c>
      <c r="S566" s="4">
        <f t="shared" si="8"/>
        <v>2509.1999999999998</v>
      </c>
    </row>
    <row r="567" spans="1:19">
      <c r="A567" t="s">
        <v>1227</v>
      </c>
      <c r="B567" s="3">
        <v>45843</v>
      </c>
      <c r="C567" t="s">
        <v>1228</v>
      </c>
      <c r="D567" t="s">
        <v>453</v>
      </c>
      <c r="E567" t="s">
        <v>208</v>
      </c>
      <c r="F567">
        <v>1</v>
      </c>
      <c r="G567" t="s">
        <v>50</v>
      </c>
      <c r="H567">
        <v>33</v>
      </c>
      <c r="I567" s="12" t="s">
        <v>24</v>
      </c>
      <c r="J567" s="12" t="s">
        <v>235</v>
      </c>
      <c r="K567" s="12" t="s">
        <v>52</v>
      </c>
      <c r="L567" s="12" t="s">
        <v>454</v>
      </c>
      <c r="M567" s="12" t="s">
        <v>37</v>
      </c>
      <c r="N567" s="14">
        <v>0.02</v>
      </c>
      <c r="O567" s="23">
        <v>780.16</v>
      </c>
      <c r="P567">
        <v>340.14</v>
      </c>
      <c r="Q567" s="12" t="str" cm="1">
        <f t="array" ref="Q567:R567">VLOOKUP(E567,store[],{3,5},FALSE)</f>
        <v>North</v>
      </c>
      <c r="R567" t="str">
        <v>Online</v>
      </c>
      <c r="S567" s="4">
        <f t="shared" si="8"/>
        <v>780.14</v>
      </c>
    </row>
    <row r="568" spans="1:19">
      <c r="A568" t="s">
        <v>1229</v>
      </c>
      <c r="B568" s="3">
        <v>45804</v>
      </c>
      <c r="C568" t="s">
        <v>264</v>
      </c>
      <c r="D568" t="s">
        <v>381</v>
      </c>
      <c r="E568" t="s">
        <v>149</v>
      </c>
      <c r="F568">
        <v>4</v>
      </c>
      <c r="G568" t="s">
        <v>33</v>
      </c>
      <c r="H568">
        <v>21</v>
      </c>
      <c r="I568" s="12" t="s">
        <v>34</v>
      </c>
      <c r="J568" s="12" t="s">
        <v>214</v>
      </c>
      <c r="K568" s="12" t="s">
        <v>26</v>
      </c>
      <c r="L568" s="12" t="s">
        <v>382</v>
      </c>
      <c r="M568" s="12" t="s">
        <v>130</v>
      </c>
      <c r="N568" s="14">
        <v>0.06</v>
      </c>
      <c r="O568" s="23">
        <v>354.12</v>
      </c>
      <c r="P568">
        <v>167.34</v>
      </c>
      <c r="Q568" s="12" t="str" cm="1">
        <f t="array" ref="Q568:R568">VLOOKUP(E568,store[],{3,5},FALSE)</f>
        <v>East</v>
      </c>
      <c r="R568" t="str">
        <v>Flagship</v>
      </c>
      <c r="S568" s="4">
        <f t="shared" si="8"/>
        <v>1416.24</v>
      </c>
    </row>
    <row r="569" spans="1:19">
      <c r="A569" t="s">
        <v>1230</v>
      </c>
      <c r="B569" s="3">
        <v>45602</v>
      </c>
      <c r="C569" t="s">
        <v>1226</v>
      </c>
      <c r="D569" t="s">
        <v>625</v>
      </c>
      <c r="E569" t="s">
        <v>198</v>
      </c>
      <c r="F569">
        <v>4</v>
      </c>
      <c r="G569" t="s">
        <v>33</v>
      </c>
      <c r="H569">
        <v>60</v>
      </c>
      <c r="I569" s="12" t="s">
        <v>34</v>
      </c>
      <c r="J569" s="12" t="s">
        <v>231</v>
      </c>
      <c r="K569" s="12" t="s">
        <v>73</v>
      </c>
      <c r="L569" s="12" t="s">
        <v>626</v>
      </c>
      <c r="M569" s="12" t="s">
        <v>46</v>
      </c>
      <c r="N569" s="14">
        <v>0.11</v>
      </c>
      <c r="O569" s="23">
        <v>282.48</v>
      </c>
      <c r="P569">
        <v>266.86</v>
      </c>
      <c r="Q569" s="12" t="str" cm="1">
        <f t="array" ref="Q569:R569">VLOOKUP(E569,store[],{3,5},FALSE)</f>
        <v>South</v>
      </c>
      <c r="R569" t="str">
        <v>Outlet</v>
      </c>
      <c r="S569" s="4">
        <f t="shared" si="8"/>
        <v>1129.48</v>
      </c>
    </row>
    <row r="570" spans="1:19">
      <c r="A570" t="s">
        <v>1231</v>
      </c>
      <c r="B570" s="3">
        <v>45446</v>
      </c>
      <c r="C570" t="s">
        <v>1232</v>
      </c>
      <c r="D570" t="s">
        <v>291</v>
      </c>
      <c r="E570" t="s">
        <v>179</v>
      </c>
      <c r="F570">
        <v>2</v>
      </c>
      <c r="G570" t="s">
        <v>33</v>
      </c>
      <c r="H570">
        <v>46</v>
      </c>
      <c r="I570" s="12" t="s">
        <v>24</v>
      </c>
      <c r="J570" s="12" t="s">
        <v>510</v>
      </c>
      <c r="K570" s="12" t="s">
        <v>52</v>
      </c>
      <c r="L570" s="12" t="s">
        <v>292</v>
      </c>
      <c r="M570" s="12" t="s">
        <v>28</v>
      </c>
      <c r="N570" s="14">
        <v>0.02</v>
      </c>
      <c r="O570" s="23">
        <v>740.68</v>
      </c>
      <c r="P570">
        <v>131.51</v>
      </c>
      <c r="Q570" s="12" t="str" cm="1">
        <f t="array" ref="Q570:R570">VLOOKUP(E570,store[],{3,5},FALSE)</f>
        <v>East</v>
      </c>
      <c r="R570" t="str">
        <v>Online</v>
      </c>
      <c r="S570" s="4">
        <f t="shared" si="8"/>
        <v>1481.32</v>
      </c>
    </row>
    <row r="571" spans="1:19">
      <c r="A571" t="s">
        <v>1233</v>
      </c>
      <c r="B571" s="3">
        <v>45384</v>
      </c>
      <c r="C571" t="s">
        <v>470</v>
      </c>
      <c r="D571" t="s">
        <v>71</v>
      </c>
      <c r="E571" t="s">
        <v>127</v>
      </c>
      <c r="F571">
        <v>3</v>
      </c>
      <c r="G571" t="s">
        <v>50</v>
      </c>
      <c r="H571">
        <v>50</v>
      </c>
      <c r="I571" s="12" t="s">
        <v>34</v>
      </c>
      <c r="J571" s="12" t="s">
        <v>235</v>
      </c>
      <c r="K571" s="12" t="s">
        <v>26</v>
      </c>
      <c r="L571" s="12" t="s">
        <v>74</v>
      </c>
      <c r="M571" s="12" t="s">
        <v>75</v>
      </c>
      <c r="N571" s="14">
        <v>0.28999999999999998</v>
      </c>
      <c r="O571" s="23">
        <v>600.58000000000004</v>
      </c>
      <c r="P571">
        <v>461.47</v>
      </c>
      <c r="Q571" s="12" t="str" cm="1">
        <f t="array" ref="Q571:R571">VLOOKUP(E571,store[],{3,5},FALSE)</f>
        <v>South</v>
      </c>
      <c r="R571" t="str">
        <v>Flagship</v>
      </c>
      <c r="S571" s="4">
        <f t="shared" si="8"/>
        <v>1800.87</v>
      </c>
    </row>
    <row r="572" spans="1:19">
      <c r="A572" t="s">
        <v>1234</v>
      </c>
      <c r="B572" s="3">
        <v>45348</v>
      </c>
      <c r="C572" t="s">
        <v>1235</v>
      </c>
      <c r="D572" t="s">
        <v>134</v>
      </c>
      <c r="E572" t="s">
        <v>22</v>
      </c>
      <c r="F572">
        <v>3</v>
      </c>
      <c r="G572" t="s">
        <v>23</v>
      </c>
      <c r="H572">
        <v>60</v>
      </c>
      <c r="I572" s="12" t="s">
        <v>34</v>
      </c>
      <c r="J572" s="12" t="s">
        <v>333</v>
      </c>
      <c r="K572" s="12" t="s">
        <v>60</v>
      </c>
      <c r="L572" s="12" t="s">
        <v>136</v>
      </c>
      <c r="M572" s="12" t="s">
        <v>28</v>
      </c>
      <c r="N572" s="14">
        <v>0.22</v>
      </c>
      <c r="O572" s="23">
        <v>345.58</v>
      </c>
      <c r="P572">
        <v>240.63</v>
      </c>
      <c r="Q572" s="12" t="str" cm="1">
        <f t="array" ref="Q572:R572">VLOOKUP(E572,store[],{3,5},FALSE)</f>
        <v>North</v>
      </c>
      <c r="R572" t="str">
        <v>Outlet</v>
      </c>
      <c r="S572" s="4">
        <f t="shared" si="8"/>
        <v>1036.08</v>
      </c>
    </row>
    <row r="573" spans="1:19">
      <c r="A573" t="s">
        <v>1236</v>
      </c>
      <c r="B573" s="3">
        <v>45688</v>
      </c>
      <c r="C573" t="s">
        <v>1237</v>
      </c>
      <c r="D573" t="s">
        <v>928</v>
      </c>
      <c r="E573" t="s">
        <v>272</v>
      </c>
      <c r="F573">
        <v>1</v>
      </c>
      <c r="G573" t="s">
        <v>33</v>
      </c>
      <c r="H573">
        <v>54</v>
      </c>
      <c r="I573" s="12" t="s">
        <v>24</v>
      </c>
      <c r="J573" s="12" t="s">
        <v>440</v>
      </c>
      <c r="K573" s="12" t="s">
        <v>26</v>
      </c>
      <c r="L573" s="12" t="s">
        <v>929</v>
      </c>
      <c r="M573" s="12" t="s">
        <v>130</v>
      </c>
      <c r="N573" s="14">
        <v>0.01</v>
      </c>
      <c r="O573" s="23">
        <v>974.52</v>
      </c>
      <c r="P573">
        <v>245.77831168831199</v>
      </c>
      <c r="Q573" s="12" t="str" cm="1">
        <f t="array" ref="Q573:R573">VLOOKUP(E573,store[],{3,5},FALSE)</f>
        <v>South</v>
      </c>
      <c r="R573" t="str">
        <v>Online</v>
      </c>
      <c r="S573" s="4">
        <f t="shared" si="8"/>
        <v>974.51</v>
      </c>
    </row>
    <row r="574" spans="1:19">
      <c r="A574" t="s">
        <v>1238</v>
      </c>
      <c r="B574" s="3">
        <v>45249</v>
      </c>
      <c r="C574" t="s">
        <v>1239</v>
      </c>
      <c r="D574" t="s">
        <v>377</v>
      </c>
      <c r="E574" t="s">
        <v>105</v>
      </c>
      <c r="F574">
        <v>3</v>
      </c>
      <c r="G574" t="s">
        <v>23</v>
      </c>
      <c r="H574">
        <v>50</v>
      </c>
      <c r="I574" s="12" t="s">
        <v>24</v>
      </c>
      <c r="J574" s="12" t="s">
        <v>333</v>
      </c>
      <c r="K574" s="12" t="s">
        <v>26</v>
      </c>
      <c r="L574" s="12" t="s">
        <v>379</v>
      </c>
      <c r="M574" s="12" t="s">
        <v>28</v>
      </c>
      <c r="N574" s="14">
        <v>7.0000000000000007E-2</v>
      </c>
      <c r="O574" s="23">
        <v>282.33</v>
      </c>
      <c r="P574">
        <v>144.53</v>
      </c>
      <c r="Q574" s="12" t="str" cm="1">
        <f t="array" ref="Q574:R574">VLOOKUP(E574,store[],{3,5},FALSE)</f>
        <v>North</v>
      </c>
      <c r="R574" t="str">
        <v>Flagship</v>
      </c>
      <c r="S574" s="4">
        <f t="shared" si="8"/>
        <v>846.78</v>
      </c>
    </row>
    <row r="575" spans="1:19">
      <c r="A575" t="s">
        <v>1240</v>
      </c>
      <c r="B575" s="3">
        <v>45726</v>
      </c>
      <c r="C575" t="s">
        <v>633</v>
      </c>
      <c r="D575" t="s">
        <v>49</v>
      </c>
      <c r="E575" t="s">
        <v>135</v>
      </c>
      <c r="F575">
        <v>4</v>
      </c>
      <c r="G575" t="s">
        <v>33</v>
      </c>
      <c r="H575">
        <v>20</v>
      </c>
      <c r="I575" s="12" t="s">
        <v>34</v>
      </c>
      <c r="J575" s="12" t="s">
        <v>227</v>
      </c>
      <c r="K575" s="12" t="s">
        <v>26</v>
      </c>
      <c r="L575" s="12" t="s">
        <v>53</v>
      </c>
      <c r="M575" s="12" t="s">
        <v>37</v>
      </c>
      <c r="N575" s="14">
        <v>0.09</v>
      </c>
      <c r="O575" s="23">
        <v>158.46</v>
      </c>
      <c r="P575">
        <v>392.89</v>
      </c>
      <c r="Q575" s="12" t="str" cm="1">
        <f t="array" ref="Q575:R575">VLOOKUP(E575,store[],{3,5},FALSE)</f>
        <v>East</v>
      </c>
      <c r="R575" t="str">
        <v>Online</v>
      </c>
      <c r="S575" s="4">
        <f t="shared" si="8"/>
        <v>633.48</v>
      </c>
    </row>
    <row r="576" spans="1:19">
      <c r="A576" t="s">
        <v>1241</v>
      </c>
      <c r="B576" s="3">
        <v>45283</v>
      </c>
      <c r="C576" t="s">
        <v>497</v>
      </c>
      <c r="D576" t="s">
        <v>564</v>
      </c>
      <c r="E576" t="s">
        <v>66</v>
      </c>
      <c r="F576">
        <v>2</v>
      </c>
      <c r="G576" t="s">
        <v>50</v>
      </c>
      <c r="H576">
        <v>38</v>
      </c>
      <c r="I576" s="12" t="s">
        <v>24</v>
      </c>
      <c r="J576" s="12" t="s">
        <v>498</v>
      </c>
      <c r="K576" s="12" t="s">
        <v>73</v>
      </c>
      <c r="L576" s="12" t="s">
        <v>565</v>
      </c>
      <c r="M576" s="12" t="s">
        <v>75</v>
      </c>
      <c r="N576" s="14">
        <v>0.11</v>
      </c>
      <c r="O576" s="23">
        <v>778.56</v>
      </c>
      <c r="P576">
        <v>81.75</v>
      </c>
      <c r="Q576" s="12" t="str" cm="1">
        <f t="array" ref="Q576:R576">VLOOKUP(E576,store[],{3,5},FALSE)</f>
        <v>South</v>
      </c>
      <c r="R576" t="str">
        <v>Online</v>
      </c>
      <c r="S576" s="4">
        <f t="shared" si="8"/>
        <v>1556.9</v>
      </c>
    </row>
    <row r="577" spans="1:19">
      <c r="A577" t="s">
        <v>1242</v>
      </c>
      <c r="B577" s="3">
        <v>45353</v>
      </c>
      <c r="C577" t="s">
        <v>109</v>
      </c>
      <c r="D577" t="s">
        <v>409</v>
      </c>
      <c r="E577" t="s">
        <v>135</v>
      </c>
      <c r="F577">
        <v>4</v>
      </c>
      <c r="G577" t="s">
        <v>50</v>
      </c>
      <c r="H577">
        <v>41</v>
      </c>
      <c r="I577" s="12" t="s">
        <v>34</v>
      </c>
      <c r="J577" s="12" t="s">
        <v>111</v>
      </c>
      <c r="K577" s="12" t="s">
        <v>26</v>
      </c>
      <c r="L577" s="12" t="s">
        <v>411</v>
      </c>
      <c r="M577" s="12" t="s">
        <v>28</v>
      </c>
      <c r="N577" s="14">
        <v>0.18</v>
      </c>
      <c r="O577" s="23">
        <v>280.16000000000003</v>
      </c>
      <c r="P577">
        <v>190.29</v>
      </c>
      <c r="Q577" s="12" t="str" cm="1">
        <f t="array" ref="Q577:R577">VLOOKUP(E577,store[],{3,5},FALSE)</f>
        <v>East</v>
      </c>
      <c r="R577" t="str">
        <v>Online</v>
      </c>
      <c r="S577" s="4">
        <f t="shared" si="8"/>
        <v>1119.92</v>
      </c>
    </row>
    <row r="578" spans="1:19">
      <c r="A578" t="s">
        <v>1243</v>
      </c>
      <c r="B578" s="3">
        <v>45592</v>
      </c>
      <c r="C578" t="s">
        <v>413</v>
      </c>
      <c r="D578" t="s">
        <v>368</v>
      </c>
      <c r="E578" t="s">
        <v>149</v>
      </c>
      <c r="F578">
        <v>2</v>
      </c>
      <c r="G578" t="s">
        <v>33</v>
      </c>
      <c r="H578">
        <v>22</v>
      </c>
      <c r="I578" s="12" t="s">
        <v>34</v>
      </c>
      <c r="J578" s="12" t="s">
        <v>35</v>
      </c>
      <c r="K578" s="12" t="s">
        <v>26</v>
      </c>
      <c r="L578" s="12" t="s">
        <v>369</v>
      </c>
      <c r="M578" s="12" t="s">
        <v>46</v>
      </c>
      <c r="N578" s="14">
        <v>0.28999999999999998</v>
      </c>
      <c r="O578" s="23">
        <v>649.54999999999995</v>
      </c>
      <c r="P578">
        <v>214.32</v>
      </c>
      <c r="Q578" s="12" t="str" cm="1">
        <f t="array" ref="Q578:R578">VLOOKUP(E578,store[],{3,5},FALSE)</f>
        <v>East</v>
      </c>
      <c r="R578" t="str">
        <v>Flagship</v>
      </c>
      <c r="S578" s="4">
        <f t="shared" ref="S578:S641" si="9">(O578-N578)*F578</f>
        <v>1298.52</v>
      </c>
    </row>
    <row r="579" spans="1:19">
      <c r="A579" t="s">
        <v>1244</v>
      </c>
      <c r="B579" s="3">
        <v>45360</v>
      </c>
      <c r="C579" t="s">
        <v>355</v>
      </c>
      <c r="D579" t="s">
        <v>110</v>
      </c>
      <c r="E579" t="s">
        <v>198</v>
      </c>
      <c r="F579">
        <v>2</v>
      </c>
      <c r="G579" t="s">
        <v>33</v>
      </c>
      <c r="H579">
        <v>29</v>
      </c>
      <c r="I579" s="12" t="s">
        <v>34</v>
      </c>
      <c r="J579" s="12" t="s">
        <v>356</v>
      </c>
      <c r="K579" s="12" t="s">
        <v>73</v>
      </c>
      <c r="L579" s="12" t="s">
        <v>112</v>
      </c>
      <c r="M579" s="12" t="s">
        <v>28</v>
      </c>
      <c r="N579" s="14">
        <v>0.27</v>
      </c>
      <c r="O579" s="23">
        <v>994.32</v>
      </c>
      <c r="P579">
        <v>131.24</v>
      </c>
      <c r="Q579" s="12" t="str" cm="1">
        <f t="array" ref="Q579:R579">VLOOKUP(E579,store[],{3,5},FALSE)</f>
        <v>South</v>
      </c>
      <c r="R579" t="str">
        <v>Outlet</v>
      </c>
      <c r="S579" s="4">
        <f t="shared" si="9"/>
        <v>1988.1</v>
      </c>
    </row>
    <row r="580" spans="1:19">
      <c r="A580" t="s">
        <v>1245</v>
      </c>
      <c r="B580" s="3">
        <v>45649</v>
      </c>
      <c r="C580" t="s">
        <v>1118</v>
      </c>
      <c r="D580" t="s">
        <v>630</v>
      </c>
      <c r="E580" t="s">
        <v>208</v>
      </c>
      <c r="F580">
        <v>1</v>
      </c>
      <c r="G580" t="s">
        <v>33</v>
      </c>
      <c r="H580">
        <v>50</v>
      </c>
      <c r="I580" s="12" t="s">
        <v>24</v>
      </c>
      <c r="J580" s="12" t="s">
        <v>106</v>
      </c>
      <c r="K580" s="12" t="s">
        <v>52</v>
      </c>
      <c r="L580" s="12" t="s">
        <v>631</v>
      </c>
      <c r="M580" s="12" t="s">
        <v>28</v>
      </c>
      <c r="N580" s="14">
        <v>0.21</v>
      </c>
      <c r="O580" s="23">
        <v>64.94</v>
      </c>
      <c r="P580">
        <v>285.54000000000002</v>
      </c>
      <c r="Q580" s="12" t="str" cm="1">
        <f t="array" ref="Q580:R580">VLOOKUP(E580,store[],{3,5},FALSE)</f>
        <v>North</v>
      </c>
      <c r="R580" t="str">
        <v>Online</v>
      </c>
      <c r="S580" s="4">
        <f t="shared" si="9"/>
        <v>64.73</v>
      </c>
    </row>
    <row r="581" spans="1:19">
      <c r="A581" t="s">
        <v>1246</v>
      </c>
      <c r="B581" s="3">
        <v>45709</v>
      </c>
      <c r="C581" t="s">
        <v>760</v>
      </c>
      <c r="D581" t="s">
        <v>104</v>
      </c>
      <c r="E581" t="s">
        <v>66</v>
      </c>
      <c r="F581">
        <v>2</v>
      </c>
      <c r="G581" t="s">
        <v>50</v>
      </c>
      <c r="H581">
        <v>29</v>
      </c>
      <c r="I581" s="12" t="s">
        <v>24</v>
      </c>
      <c r="J581" s="12" t="s">
        <v>761</v>
      </c>
      <c r="K581" s="12" t="s">
        <v>60</v>
      </c>
      <c r="L581" s="12" t="s">
        <v>107</v>
      </c>
      <c r="M581" s="12" t="s">
        <v>37</v>
      </c>
      <c r="N581" s="14">
        <v>0</v>
      </c>
      <c r="O581" s="23">
        <v>507.66</v>
      </c>
      <c r="P581">
        <v>326.06</v>
      </c>
      <c r="Q581" s="12" t="str" cm="1">
        <f t="array" ref="Q581:R581">VLOOKUP(E581,store[],{3,5},FALSE)</f>
        <v>South</v>
      </c>
      <c r="R581" t="str">
        <v>Online</v>
      </c>
      <c r="S581" s="4">
        <f t="shared" si="9"/>
        <v>1015.32</v>
      </c>
    </row>
    <row r="582" spans="1:19">
      <c r="A582" t="s">
        <v>1247</v>
      </c>
      <c r="B582" s="3">
        <v>45273</v>
      </c>
      <c r="C582" t="s">
        <v>1248</v>
      </c>
      <c r="D582" t="s">
        <v>630</v>
      </c>
      <c r="E582" t="s">
        <v>72</v>
      </c>
      <c r="F582">
        <v>4</v>
      </c>
      <c r="G582" t="s">
        <v>33</v>
      </c>
      <c r="H582">
        <v>58</v>
      </c>
      <c r="I582" s="12" t="s">
        <v>34</v>
      </c>
      <c r="J582" s="12" t="s">
        <v>440</v>
      </c>
      <c r="K582" s="12" t="s">
        <v>60</v>
      </c>
      <c r="L582" s="12" t="s">
        <v>631</v>
      </c>
      <c r="M582" s="12" t="s">
        <v>28</v>
      </c>
      <c r="N582" s="14">
        <v>0.03</v>
      </c>
      <c r="O582" s="23">
        <v>968.27</v>
      </c>
      <c r="P582">
        <v>285.54000000000002</v>
      </c>
      <c r="Q582" s="12" t="str" cm="1">
        <f t="array" ref="Q582:R582">VLOOKUP(E582,store[],{3,5},FALSE)</f>
        <v>South</v>
      </c>
      <c r="R582" t="str">
        <v>Online</v>
      </c>
      <c r="S582" s="4">
        <f t="shared" si="9"/>
        <v>3872.96</v>
      </c>
    </row>
    <row r="583" spans="1:19">
      <c r="A583" t="s">
        <v>1249</v>
      </c>
      <c r="B583" s="3">
        <v>45250</v>
      </c>
      <c r="C583" t="s">
        <v>827</v>
      </c>
      <c r="D583" t="s">
        <v>110</v>
      </c>
      <c r="E583" t="s">
        <v>58</v>
      </c>
      <c r="F583">
        <v>4</v>
      </c>
      <c r="G583" t="s">
        <v>33</v>
      </c>
      <c r="H583">
        <v>60</v>
      </c>
      <c r="I583" s="12" t="s">
        <v>34</v>
      </c>
      <c r="J583" s="12" t="s">
        <v>360</v>
      </c>
      <c r="K583" s="12" t="s">
        <v>52</v>
      </c>
      <c r="L583" s="12" t="s">
        <v>112</v>
      </c>
      <c r="M583" s="12" t="s">
        <v>28</v>
      </c>
      <c r="N583" s="14">
        <v>0.2</v>
      </c>
      <c r="O583" s="23">
        <v>510.33</v>
      </c>
      <c r="P583">
        <v>131.24</v>
      </c>
      <c r="Q583" s="12" t="str" cm="1">
        <f t="array" ref="Q583:R583">VLOOKUP(E583,store[],{3,5},FALSE)</f>
        <v>North</v>
      </c>
      <c r="R583" t="str">
        <v>Outlet</v>
      </c>
      <c r="S583" s="4">
        <f t="shared" si="9"/>
        <v>2040.52</v>
      </c>
    </row>
    <row r="584" spans="1:19">
      <c r="A584" t="s">
        <v>1250</v>
      </c>
      <c r="B584" s="3">
        <v>45539</v>
      </c>
      <c r="C584" t="s">
        <v>1132</v>
      </c>
      <c r="D584" t="s">
        <v>275</v>
      </c>
      <c r="E584" t="s">
        <v>135</v>
      </c>
      <c r="F584">
        <v>2</v>
      </c>
      <c r="G584" t="s">
        <v>50</v>
      </c>
      <c r="H584">
        <v>28</v>
      </c>
      <c r="I584" s="12" t="s">
        <v>34</v>
      </c>
      <c r="J584" s="12" t="s">
        <v>161</v>
      </c>
      <c r="K584" s="12" t="s">
        <v>26</v>
      </c>
      <c r="L584" s="12" t="s">
        <v>276</v>
      </c>
      <c r="M584" s="12" t="s">
        <v>28</v>
      </c>
      <c r="N584" s="14">
        <v>0.18</v>
      </c>
      <c r="O584" s="23">
        <v>156.72999999999999</v>
      </c>
      <c r="P584">
        <v>167.12</v>
      </c>
      <c r="Q584" s="12" t="str" cm="1">
        <f t="array" ref="Q584:R584">VLOOKUP(E584,store[],{3,5},FALSE)</f>
        <v>East</v>
      </c>
      <c r="R584" t="str">
        <v>Online</v>
      </c>
      <c r="S584" s="4">
        <f t="shared" si="9"/>
        <v>313.10000000000002</v>
      </c>
    </row>
    <row r="585" spans="1:19">
      <c r="A585" t="s">
        <v>1251</v>
      </c>
      <c r="B585" s="3">
        <v>45810</v>
      </c>
      <c r="C585" t="s">
        <v>285</v>
      </c>
      <c r="D585" t="s">
        <v>85</v>
      </c>
      <c r="E585" t="s">
        <v>168</v>
      </c>
      <c r="F585">
        <v>3</v>
      </c>
      <c r="G585" t="s">
        <v>23</v>
      </c>
      <c r="H585">
        <v>37</v>
      </c>
      <c r="I585" s="12" t="s">
        <v>24</v>
      </c>
      <c r="J585" s="12" t="s">
        <v>111</v>
      </c>
      <c r="K585" s="12" t="s">
        <v>73</v>
      </c>
      <c r="L585" s="12" t="s">
        <v>86</v>
      </c>
      <c r="M585" s="12" t="s">
        <v>75</v>
      </c>
      <c r="N585" s="14">
        <v>0.24</v>
      </c>
      <c r="O585" s="23">
        <v>53.83</v>
      </c>
      <c r="P585">
        <v>201.41</v>
      </c>
      <c r="Q585" s="12" t="str" cm="1">
        <f t="array" ref="Q585:R585">VLOOKUP(E585,store[],{3,5},FALSE)</f>
        <v>East</v>
      </c>
      <c r="R585" t="str">
        <v>Online</v>
      </c>
      <c r="S585" s="4">
        <f t="shared" si="9"/>
        <v>160.77000000000001</v>
      </c>
    </row>
    <row r="586" spans="1:19">
      <c r="A586" t="s">
        <v>1252</v>
      </c>
      <c r="B586" s="3">
        <v>45350</v>
      </c>
      <c r="C586" t="s">
        <v>602</v>
      </c>
      <c r="D586" t="s">
        <v>267</v>
      </c>
      <c r="E586" t="s">
        <v>72</v>
      </c>
      <c r="F586">
        <v>1</v>
      </c>
      <c r="G586" t="s">
        <v>50</v>
      </c>
      <c r="H586">
        <v>39</v>
      </c>
      <c r="I586" s="12" t="s">
        <v>34</v>
      </c>
      <c r="J586" s="12" t="s">
        <v>193</v>
      </c>
      <c r="K586" s="12" t="s">
        <v>26</v>
      </c>
      <c r="L586" s="12" t="s">
        <v>268</v>
      </c>
      <c r="M586" s="12" t="s">
        <v>75</v>
      </c>
      <c r="N586" s="14">
        <v>0.1</v>
      </c>
      <c r="O586" s="23">
        <v>34.71</v>
      </c>
      <c r="P586">
        <v>325.26</v>
      </c>
      <c r="Q586" s="12" t="str" cm="1">
        <f t="array" ref="Q586:R586">VLOOKUP(E586,store[],{3,5},FALSE)</f>
        <v>South</v>
      </c>
      <c r="R586" t="str">
        <v>Online</v>
      </c>
      <c r="S586" s="4">
        <f t="shared" si="9"/>
        <v>34.61</v>
      </c>
    </row>
    <row r="587" spans="1:19">
      <c r="A587" t="s">
        <v>1253</v>
      </c>
      <c r="B587" s="3">
        <v>45633</v>
      </c>
      <c r="C587" t="s">
        <v>1073</v>
      </c>
      <c r="D587" t="s">
        <v>192</v>
      </c>
      <c r="E587" t="s">
        <v>105</v>
      </c>
      <c r="F587">
        <v>2</v>
      </c>
      <c r="G587" t="s">
        <v>33</v>
      </c>
      <c r="H587">
        <v>32</v>
      </c>
      <c r="I587" s="12" t="s">
        <v>34</v>
      </c>
      <c r="J587" s="12" t="s">
        <v>336</v>
      </c>
      <c r="K587" s="12" t="s">
        <v>73</v>
      </c>
      <c r="L587" s="12" t="s">
        <v>194</v>
      </c>
      <c r="M587" s="12" t="s">
        <v>37</v>
      </c>
      <c r="N587" s="14">
        <v>0.11</v>
      </c>
      <c r="O587" s="23">
        <v>829.15</v>
      </c>
      <c r="P587">
        <v>480.9</v>
      </c>
      <c r="Q587" s="12" t="str" cm="1">
        <f t="array" ref="Q587:R587">VLOOKUP(E587,store[],{3,5},FALSE)</f>
        <v>North</v>
      </c>
      <c r="R587" t="str">
        <v>Flagship</v>
      </c>
      <c r="S587" s="4">
        <f t="shared" si="9"/>
        <v>1658.08</v>
      </c>
    </row>
    <row r="588" spans="1:19">
      <c r="A588" t="s">
        <v>1254</v>
      </c>
      <c r="B588" s="3">
        <v>45798</v>
      </c>
      <c r="C588" t="s">
        <v>476</v>
      </c>
      <c r="D588" t="s">
        <v>187</v>
      </c>
      <c r="E588" t="s">
        <v>22</v>
      </c>
      <c r="F588">
        <v>2</v>
      </c>
      <c r="G588" t="s">
        <v>50</v>
      </c>
      <c r="H588">
        <v>25</v>
      </c>
      <c r="I588" s="12" t="s">
        <v>24</v>
      </c>
      <c r="J588" s="12" t="s">
        <v>25</v>
      </c>
      <c r="K588" s="12" t="s">
        <v>26</v>
      </c>
      <c r="L588" s="12" t="s">
        <v>189</v>
      </c>
      <c r="M588" s="12" t="s">
        <v>37</v>
      </c>
      <c r="N588" s="14">
        <v>0.1</v>
      </c>
      <c r="O588" s="23">
        <v>481.86</v>
      </c>
      <c r="P588">
        <v>431.67</v>
      </c>
      <c r="Q588" s="12" t="str" cm="1">
        <f t="array" ref="Q588:R588">VLOOKUP(E588,store[],{3,5},FALSE)</f>
        <v>North</v>
      </c>
      <c r="R588" t="str">
        <v>Outlet</v>
      </c>
      <c r="S588" s="4">
        <f t="shared" si="9"/>
        <v>963.52</v>
      </c>
    </row>
    <row r="589" spans="1:19">
      <c r="A589" t="s">
        <v>1255</v>
      </c>
      <c r="B589" s="3">
        <v>45354</v>
      </c>
      <c r="C589" t="s">
        <v>1256</v>
      </c>
      <c r="D589" t="s">
        <v>282</v>
      </c>
      <c r="E589" t="s">
        <v>66</v>
      </c>
      <c r="F589">
        <v>4</v>
      </c>
      <c r="G589" t="s">
        <v>50</v>
      </c>
      <c r="H589">
        <v>49</v>
      </c>
      <c r="I589" s="12" t="s">
        <v>34</v>
      </c>
      <c r="J589" s="12" t="s">
        <v>444</v>
      </c>
      <c r="K589" s="12" t="s">
        <v>52</v>
      </c>
      <c r="L589" s="12" t="s">
        <v>283</v>
      </c>
      <c r="M589" s="12" t="s">
        <v>28</v>
      </c>
      <c r="N589" s="14">
        <v>0.19</v>
      </c>
      <c r="O589" s="23">
        <v>915.17</v>
      </c>
      <c r="P589">
        <v>212.26</v>
      </c>
      <c r="Q589" s="12" t="str" cm="1">
        <f t="array" ref="Q589:R589">VLOOKUP(E589,store[],{3,5},FALSE)</f>
        <v>South</v>
      </c>
      <c r="R589" t="str">
        <v>Online</v>
      </c>
      <c r="S589" s="4">
        <f t="shared" si="9"/>
        <v>3659.92</v>
      </c>
    </row>
    <row r="590" spans="1:19">
      <c r="A590" t="s">
        <v>1257</v>
      </c>
      <c r="B590" s="3">
        <v>45357</v>
      </c>
      <c r="C590" t="s">
        <v>447</v>
      </c>
      <c r="D590" t="s">
        <v>368</v>
      </c>
      <c r="E590" t="s">
        <v>160</v>
      </c>
      <c r="F590">
        <v>1</v>
      </c>
      <c r="G590" t="s">
        <v>33</v>
      </c>
      <c r="H590">
        <v>61</v>
      </c>
      <c r="I590" s="12" t="s">
        <v>24</v>
      </c>
      <c r="J590" s="12" t="s">
        <v>111</v>
      </c>
      <c r="K590" s="12" t="s">
        <v>26</v>
      </c>
      <c r="L590" s="12" t="s">
        <v>369</v>
      </c>
      <c r="M590" s="12" t="s">
        <v>46</v>
      </c>
      <c r="N590" s="14">
        <v>0.03</v>
      </c>
      <c r="O590" s="23">
        <v>250.95</v>
      </c>
      <c r="P590">
        <v>214.32</v>
      </c>
      <c r="Q590" s="12" t="str" cm="1">
        <f t="array" ref="Q590:R590">VLOOKUP(E590,store[],{3,5},FALSE)</f>
        <v>East</v>
      </c>
      <c r="R590" t="str">
        <v>Flagship</v>
      </c>
      <c r="S590" s="4">
        <f t="shared" si="9"/>
        <v>250.92</v>
      </c>
    </row>
    <row r="591" spans="1:19">
      <c r="A591" t="s">
        <v>1258</v>
      </c>
      <c r="B591" s="3">
        <v>45257</v>
      </c>
      <c r="C591" t="s">
        <v>419</v>
      </c>
      <c r="D591" t="s">
        <v>1259</v>
      </c>
      <c r="E591" t="s">
        <v>58</v>
      </c>
      <c r="F591">
        <v>3</v>
      </c>
      <c r="G591" t="s">
        <v>23</v>
      </c>
      <c r="H591">
        <v>60</v>
      </c>
      <c r="I591" s="12" t="s">
        <v>24</v>
      </c>
      <c r="J591" s="12" t="s">
        <v>199</v>
      </c>
      <c r="K591" s="12" t="s">
        <v>73</v>
      </c>
      <c r="L591" s="12" t="s">
        <v>1260</v>
      </c>
      <c r="M591" s="12" t="s">
        <v>130</v>
      </c>
      <c r="N591" s="14">
        <v>0.1</v>
      </c>
      <c r="O591" s="23">
        <v>882.84</v>
      </c>
      <c r="P591">
        <v>358.47</v>
      </c>
      <c r="Q591" s="12" t="str" cm="1">
        <f t="array" ref="Q591:R591">VLOOKUP(E591,store[],{3,5},FALSE)</f>
        <v>North</v>
      </c>
      <c r="R591" t="str">
        <v>Outlet</v>
      </c>
      <c r="S591" s="4">
        <f t="shared" si="9"/>
        <v>2648.22</v>
      </c>
    </row>
    <row r="592" spans="1:19">
      <c r="A592" t="s">
        <v>1261</v>
      </c>
      <c r="B592" s="3">
        <v>45702</v>
      </c>
      <c r="C592" t="s">
        <v>641</v>
      </c>
      <c r="D592" t="s">
        <v>314</v>
      </c>
      <c r="E592" t="s">
        <v>160</v>
      </c>
      <c r="F592">
        <v>4</v>
      </c>
      <c r="G592" t="s">
        <v>50</v>
      </c>
      <c r="H592">
        <v>43</v>
      </c>
      <c r="I592" s="12" t="s">
        <v>24</v>
      </c>
      <c r="J592" s="12" t="s">
        <v>498</v>
      </c>
      <c r="K592" s="12" t="s">
        <v>26</v>
      </c>
      <c r="L592" s="12" t="s">
        <v>315</v>
      </c>
      <c r="M592" s="12" t="s">
        <v>28</v>
      </c>
      <c r="N592" s="14">
        <v>0.04</v>
      </c>
      <c r="O592" s="23">
        <v>573.37</v>
      </c>
      <c r="P592">
        <v>21.34</v>
      </c>
      <c r="Q592" s="12" t="str" cm="1">
        <f t="array" ref="Q592:R592">VLOOKUP(E592,store[],{3,5},FALSE)</f>
        <v>East</v>
      </c>
      <c r="R592" t="str">
        <v>Flagship</v>
      </c>
      <c r="S592" s="4">
        <f t="shared" si="9"/>
        <v>2293.3200000000002</v>
      </c>
    </row>
    <row r="593" spans="1:19">
      <c r="A593" t="s">
        <v>1262</v>
      </c>
      <c r="B593" s="3">
        <v>45318</v>
      </c>
      <c r="C593" t="s">
        <v>335</v>
      </c>
      <c r="D593" t="s">
        <v>579</v>
      </c>
      <c r="E593" t="s">
        <v>208</v>
      </c>
      <c r="F593">
        <v>3</v>
      </c>
      <c r="G593" t="s">
        <v>23</v>
      </c>
      <c r="H593">
        <v>51</v>
      </c>
      <c r="I593" s="12" t="s">
        <v>24</v>
      </c>
      <c r="J593" s="12" t="s">
        <v>336</v>
      </c>
      <c r="K593" s="12" t="s">
        <v>52</v>
      </c>
      <c r="L593" s="12" t="s">
        <v>580</v>
      </c>
      <c r="M593" s="12" t="s">
        <v>46</v>
      </c>
      <c r="N593" s="14">
        <v>0.04</v>
      </c>
      <c r="O593" s="23">
        <v>622.72</v>
      </c>
      <c r="P593">
        <v>283.83</v>
      </c>
      <c r="Q593" s="12" t="str" cm="1">
        <f t="array" ref="Q593:R593">VLOOKUP(E593,store[],{3,5},FALSE)</f>
        <v>North</v>
      </c>
      <c r="R593" t="str">
        <v>Online</v>
      </c>
      <c r="S593" s="4">
        <f t="shared" si="9"/>
        <v>1868.04</v>
      </c>
    </row>
    <row r="594" spans="1:19">
      <c r="A594" t="s">
        <v>1263</v>
      </c>
      <c r="B594" s="3">
        <v>45943</v>
      </c>
      <c r="C594" t="s">
        <v>1187</v>
      </c>
      <c r="D594" t="s">
        <v>603</v>
      </c>
      <c r="E594" t="s">
        <v>32</v>
      </c>
      <c r="F594">
        <v>3</v>
      </c>
      <c r="G594" t="s">
        <v>23</v>
      </c>
      <c r="H594">
        <v>53</v>
      </c>
      <c r="I594" s="12" t="s">
        <v>24</v>
      </c>
      <c r="J594" s="12" t="s">
        <v>80</v>
      </c>
      <c r="K594" s="12" t="s">
        <v>52</v>
      </c>
      <c r="L594" s="12" t="s">
        <v>604</v>
      </c>
      <c r="M594" s="12" t="s">
        <v>75</v>
      </c>
      <c r="N594" s="14">
        <v>0.24</v>
      </c>
      <c r="O594" s="23">
        <v>259.74</v>
      </c>
      <c r="P594">
        <v>447.43</v>
      </c>
      <c r="Q594" s="12" t="str" cm="1">
        <f t="array" ref="Q594:R594">VLOOKUP(E594,store[],{3,5},FALSE)</f>
        <v>North</v>
      </c>
      <c r="R594" t="str">
        <v>Flagship</v>
      </c>
      <c r="S594" s="4">
        <f t="shared" si="9"/>
        <v>778.5</v>
      </c>
    </row>
    <row r="595" spans="1:19">
      <c r="A595" t="s">
        <v>1264</v>
      </c>
      <c r="B595" s="3">
        <v>45769</v>
      </c>
      <c r="C595" t="s">
        <v>384</v>
      </c>
      <c r="D595" t="s">
        <v>567</v>
      </c>
      <c r="E595" t="s">
        <v>149</v>
      </c>
      <c r="F595">
        <v>4</v>
      </c>
      <c r="G595" t="s">
        <v>50</v>
      </c>
      <c r="H595">
        <v>24</v>
      </c>
      <c r="I595" s="12" t="s">
        <v>24</v>
      </c>
      <c r="J595" s="12" t="s">
        <v>169</v>
      </c>
      <c r="K595" s="12" t="s">
        <v>52</v>
      </c>
      <c r="L595" s="12" t="s">
        <v>568</v>
      </c>
      <c r="M595" s="12" t="s">
        <v>28</v>
      </c>
      <c r="N595" s="14">
        <v>0.14000000000000001</v>
      </c>
      <c r="O595" s="23">
        <v>951.09</v>
      </c>
      <c r="P595">
        <v>38.76</v>
      </c>
      <c r="Q595" s="12" t="str" cm="1">
        <f t="array" ref="Q595:R595">VLOOKUP(E595,store[],{3,5},FALSE)</f>
        <v>East</v>
      </c>
      <c r="R595" t="str">
        <v>Flagship</v>
      </c>
      <c r="S595" s="4">
        <f t="shared" si="9"/>
        <v>3803.8</v>
      </c>
    </row>
    <row r="596" spans="1:19">
      <c r="A596" t="s">
        <v>1265</v>
      </c>
      <c r="B596" s="3">
        <v>45765</v>
      </c>
      <c r="C596" t="s">
        <v>682</v>
      </c>
      <c r="D596" t="s">
        <v>85</v>
      </c>
      <c r="E596" t="s">
        <v>198</v>
      </c>
      <c r="F596">
        <v>1</v>
      </c>
      <c r="G596" t="s">
        <v>50</v>
      </c>
      <c r="H596">
        <v>46</v>
      </c>
      <c r="I596" s="12" t="s">
        <v>24</v>
      </c>
      <c r="J596" s="12" t="s">
        <v>51</v>
      </c>
      <c r="K596" s="12" t="s">
        <v>73</v>
      </c>
      <c r="L596" s="12" t="s">
        <v>86</v>
      </c>
      <c r="M596" s="12" t="s">
        <v>75</v>
      </c>
      <c r="N596" s="14">
        <v>0.23</v>
      </c>
      <c r="O596" s="23">
        <v>71.709999999999994</v>
      </c>
      <c r="P596">
        <v>201.41</v>
      </c>
      <c r="Q596" s="12" t="str" cm="1">
        <f t="array" ref="Q596:R596">VLOOKUP(E596,store[],{3,5},FALSE)</f>
        <v>South</v>
      </c>
      <c r="R596" t="str">
        <v>Outlet</v>
      </c>
      <c r="S596" s="4">
        <f t="shared" si="9"/>
        <v>71.48</v>
      </c>
    </row>
    <row r="597" spans="1:19">
      <c r="A597" t="s">
        <v>1266</v>
      </c>
      <c r="B597" s="3">
        <v>45891</v>
      </c>
      <c r="C597" t="s">
        <v>1267</v>
      </c>
      <c r="D597" t="s">
        <v>291</v>
      </c>
      <c r="E597" t="s">
        <v>66</v>
      </c>
      <c r="F597">
        <v>4</v>
      </c>
      <c r="G597" t="s">
        <v>50</v>
      </c>
      <c r="H597">
        <v>41</v>
      </c>
      <c r="I597" s="12" t="s">
        <v>34</v>
      </c>
      <c r="J597" s="12" t="s">
        <v>106</v>
      </c>
      <c r="K597" s="12" t="s">
        <v>52</v>
      </c>
      <c r="L597" s="12" t="s">
        <v>292</v>
      </c>
      <c r="M597" s="12" t="s">
        <v>28</v>
      </c>
      <c r="N597" s="14">
        <v>0.05</v>
      </c>
      <c r="O597" s="23">
        <v>894.93</v>
      </c>
      <c r="P597">
        <v>131.51</v>
      </c>
      <c r="Q597" s="12" t="str" cm="1">
        <f t="array" ref="Q597:R597">VLOOKUP(E597,store[],{3,5},FALSE)</f>
        <v>South</v>
      </c>
      <c r="R597" t="str">
        <v>Online</v>
      </c>
      <c r="S597" s="4">
        <f t="shared" si="9"/>
        <v>3579.52</v>
      </c>
    </row>
    <row r="598" spans="1:19">
      <c r="A598" t="s">
        <v>1268</v>
      </c>
      <c r="B598" s="3">
        <v>45842</v>
      </c>
      <c r="C598" t="s">
        <v>1269</v>
      </c>
      <c r="D598" t="s">
        <v>267</v>
      </c>
      <c r="E598" t="s">
        <v>43</v>
      </c>
      <c r="F598">
        <v>4</v>
      </c>
      <c r="G598" t="s">
        <v>50</v>
      </c>
      <c r="H598">
        <v>37</v>
      </c>
      <c r="I598" s="12" t="s">
        <v>34</v>
      </c>
      <c r="J598" s="12" t="s">
        <v>333</v>
      </c>
      <c r="K598" s="12" t="s">
        <v>52</v>
      </c>
      <c r="L598" s="12" t="s">
        <v>268</v>
      </c>
      <c r="M598" s="12" t="s">
        <v>75</v>
      </c>
      <c r="N598" s="14">
        <v>0.13</v>
      </c>
      <c r="O598" s="23">
        <v>870.18</v>
      </c>
      <c r="P598">
        <v>325.26</v>
      </c>
      <c r="Q598" s="12" t="str" cm="1">
        <f t="array" ref="Q598:R598">VLOOKUP(E598,store[],{3,5},FALSE)</f>
        <v>West</v>
      </c>
      <c r="R598" t="str">
        <v>Online</v>
      </c>
      <c r="S598" s="4">
        <f t="shared" si="9"/>
        <v>3480.2</v>
      </c>
    </row>
    <row r="599" spans="1:19">
      <c r="A599" t="s">
        <v>1270</v>
      </c>
      <c r="B599" s="3">
        <v>45382</v>
      </c>
      <c r="C599" t="s">
        <v>1212</v>
      </c>
      <c r="D599" t="s">
        <v>779</v>
      </c>
      <c r="E599" t="s">
        <v>198</v>
      </c>
      <c r="F599">
        <v>2</v>
      </c>
      <c r="G599" t="s">
        <v>33</v>
      </c>
      <c r="H599">
        <v>42</v>
      </c>
      <c r="I599" s="12" t="s">
        <v>34</v>
      </c>
      <c r="J599" s="12" t="s">
        <v>67</v>
      </c>
      <c r="K599" s="12" t="s">
        <v>52</v>
      </c>
      <c r="L599" s="12" t="s">
        <v>780</v>
      </c>
      <c r="M599" s="12" t="s">
        <v>46</v>
      </c>
      <c r="N599" s="14">
        <v>0.06</v>
      </c>
      <c r="O599" s="23">
        <v>552.72</v>
      </c>
      <c r="P599">
        <v>299.11</v>
      </c>
      <c r="Q599" s="12" t="str" cm="1">
        <f t="array" ref="Q599:R599">VLOOKUP(E599,store[],{3,5},FALSE)</f>
        <v>South</v>
      </c>
      <c r="R599" t="str">
        <v>Outlet</v>
      </c>
      <c r="S599" s="4">
        <f t="shared" si="9"/>
        <v>1105.32</v>
      </c>
    </row>
    <row r="600" spans="1:19">
      <c r="A600" t="s">
        <v>1271</v>
      </c>
      <c r="B600" s="3">
        <v>45236</v>
      </c>
      <c r="C600" t="s">
        <v>689</v>
      </c>
      <c r="D600" t="s">
        <v>104</v>
      </c>
      <c r="E600" t="s">
        <v>43</v>
      </c>
      <c r="F600">
        <v>3</v>
      </c>
      <c r="G600" t="s">
        <v>50</v>
      </c>
      <c r="H600">
        <v>58</v>
      </c>
      <c r="I600" s="12" t="s">
        <v>24</v>
      </c>
      <c r="J600" s="12" t="s">
        <v>140</v>
      </c>
      <c r="K600" s="12" t="s">
        <v>73</v>
      </c>
      <c r="L600" s="12" t="s">
        <v>107</v>
      </c>
      <c r="M600" s="12" t="s">
        <v>37</v>
      </c>
      <c r="N600" s="14">
        <v>0.01</v>
      </c>
      <c r="O600" s="23">
        <v>700.43</v>
      </c>
      <c r="P600">
        <v>326.06</v>
      </c>
      <c r="Q600" s="12" t="str" cm="1">
        <f t="array" ref="Q600:R600">VLOOKUP(E600,store[],{3,5},FALSE)</f>
        <v>West</v>
      </c>
      <c r="R600" t="str">
        <v>Online</v>
      </c>
      <c r="S600" s="4">
        <f t="shared" si="9"/>
        <v>2101.2600000000002</v>
      </c>
    </row>
    <row r="601" spans="1:19">
      <c r="A601" t="s">
        <v>1272</v>
      </c>
      <c r="B601" s="3">
        <v>45806</v>
      </c>
      <c r="C601" t="s">
        <v>1273</v>
      </c>
      <c r="D601" t="s">
        <v>810</v>
      </c>
      <c r="E601" t="s">
        <v>198</v>
      </c>
      <c r="F601">
        <v>2</v>
      </c>
      <c r="G601" t="s">
        <v>33</v>
      </c>
      <c r="H601">
        <v>52</v>
      </c>
      <c r="I601" s="12" t="s">
        <v>34</v>
      </c>
      <c r="J601" s="12" t="s">
        <v>251</v>
      </c>
      <c r="K601" s="12" t="s">
        <v>52</v>
      </c>
      <c r="L601" s="12" t="s">
        <v>811</v>
      </c>
      <c r="M601" s="12" t="s">
        <v>28</v>
      </c>
      <c r="N601" s="14">
        <v>0.18</v>
      </c>
      <c r="O601" s="23">
        <v>823.03</v>
      </c>
      <c r="P601">
        <v>495.72</v>
      </c>
      <c r="Q601" s="12" t="str" cm="1">
        <f t="array" ref="Q601:R601">VLOOKUP(E601,store[],{3,5},FALSE)</f>
        <v>South</v>
      </c>
      <c r="R601" t="str">
        <v>Outlet</v>
      </c>
      <c r="S601" s="4">
        <f t="shared" si="9"/>
        <v>1645.7</v>
      </c>
    </row>
    <row r="602" spans="1:19">
      <c r="A602" t="s">
        <v>1274</v>
      </c>
      <c r="B602" s="3">
        <v>45401</v>
      </c>
      <c r="C602" t="s">
        <v>322</v>
      </c>
      <c r="D602" t="s">
        <v>603</v>
      </c>
      <c r="E602" t="s">
        <v>179</v>
      </c>
      <c r="F602">
        <v>1</v>
      </c>
      <c r="G602" t="s">
        <v>23</v>
      </c>
      <c r="H602">
        <v>21</v>
      </c>
      <c r="I602" s="12" t="s">
        <v>24</v>
      </c>
      <c r="J602" s="12" t="s">
        <v>308</v>
      </c>
      <c r="K602" s="12" t="s">
        <v>26</v>
      </c>
      <c r="L602" s="12" t="s">
        <v>604</v>
      </c>
      <c r="M602" s="12" t="s">
        <v>75</v>
      </c>
      <c r="N602" s="14">
        <v>0.21</v>
      </c>
      <c r="O602" s="23">
        <v>117.37</v>
      </c>
      <c r="P602">
        <v>447.43</v>
      </c>
      <c r="Q602" s="12" t="str" cm="1">
        <f t="array" ref="Q602:R602">VLOOKUP(E602,store[],{3,5},FALSE)</f>
        <v>East</v>
      </c>
      <c r="R602" t="str">
        <v>Online</v>
      </c>
      <c r="S602" s="4">
        <f t="shared" si="9"/>
        <v>117.16</v>
      </c>
    </row>
    <row r="603" spans="1:19">
      <c r="A603" t="s">
        <v>1275</v>
      </c>
      <c r="B603" s="3">
        <v>45716</v>
      </c>
      <c r="C603" t="s">
        <v>923</v>
      </c>
      <c r="D603" t="s">
        <v>71</v>
      </c>
      <c r="E603" t="s">
        <v>105</v>
      </c>
      <c r="F603">
        <v>4</v>
      </c>
      <c r="G603" t="s">
        <v>23</v>
      </c>
      <c r="H603">
        <v>64</v>
      </c>
      <c r="I603" s="12" t="s">
        <v>24</v>
      </c>
      <c r="J603" s="12" t="s">
        <v>360</v>
      </c>
      <c r="K603" s="12" t="s">
        <v>60</v>
      </c>
      <c r="L603" s="12" t="s">
        <v>74</v>
      </c>
      <c r="M603" s="12" t="s">
        <v>75</v>
      </c>
      <c r="N603" s="14">
        <v>0.28999999999999998</v>
      </c>
      <c r="O603" s="23">
        <v>165.37</v>
      </c>
      <c r="P603">
        <v>461.47</v>
      </c>
      <c r="Q603" s="12" t="str" cm="1">
        <f t="array" ref="Q603:R603">VLOOKUP(E603,store[],{3,5},FALSE)</f>
        <v>North</v>
      </c>
      <c r="R603" t="str">
        <v>Flagship</v>
      </c>
      <c r="S603" s="4">
        <f t="shared" si="9"/>
        <v>660.32</v>
      </c>
    </row>
    <row r="604" spans="1:19">
      <c r="A604" t="s">
        <v>1276</v>
      </c>
      <c r="B604" s="3">
        <v>45718</v>
      </c>
      <c r="C604" t="s">
        <v>371</v>
      </c>
      <c r="D604" t="s">
        <v>887</v>
      </c>
      <c r="E604" t="s">
        <v>168</v>
      </c>
      <c r="F604">
        <v>3</v>
      </c>
      <c r="G604" t="s">
        <v>23</v>
      </c>
      <c r="H604">
        <v>44</v>
      </c>
      <c r="I604" s="12" t="s">
        <v>34</v>
      </c>
      <c r="J604" s="12" t="s">
        <v>373</v>
      </c>
      <c r="K604" s="12" t="s">
        <v>73</v>
      </c>
      <c r="L604" s="12" t="s">
        <v>888</v>
      </c>
      <c r="M604" s="12" t="s">
        <v>46</v>
      </c>
      <c r="N604" s="14">
        <v>0.05</v>
      </c>
      <c r="O604" s="23">
        <v>483.06</v>
      </c>
      <c r="P604">
        <v>312.8</v>
      </c>
      <c r="Q604" s="12" t="str" cm="1">
        <f t="array" ref="Q604:R604">VLOOKUP(E604,store[],{3,5},FALSE)</f>
        <v>East</v>
      </c>
      <c r="R604" t="str">
        <v>Online</v>
      </c>
      <c r="S604" s="4">
        <f t="shared" si="9"/>
        <v>1449.03</v>
      </c>
    </row>
    <row r="605" spans="1:19">
      <c r="A605" t="s">
        <v>1277</v>
      </c>
      <c r="B605" s="3">
        <v>45379</v>
      </c>
      <c r="C605" t="s">
        <v>600</v>
      </c>
      <c r="D605" t="s">
        <v>630</v>
      </c>
      <c r="E605" t="s">
        <v>66</v>
      </c>
      <c r="F605">
        <v>4</v>
      </c>
      <c r="G605" t="s">
        <v>33</v>
      </c>
      <c r="H605">
        <v>56</v>
      </c>
      <c r="I605" s="12" t="s">
        <v>34</v>
      </c>
      <c r="J605" s="12" t="s">
        <v>378</v>
      </c>
      <c r="K605" s="12" t="s">
        <v>52</v>
      </c>
      <c r="L605" s="12" t="s">
        <v>631</v>
      </c>
      <c r="M605" s="12" t="s">
        <v>28</v>
      </c>
      <c r="N605" s="14">
        <v>0.24</v>
      </c>
      <c r="O605" s="23">
        <v>262.05</v>
      </c>
      <c r="P605">
        <v>285.54000000000002</v>
      </c>
      <c r="Q605" s="12" t="str" cm="1">
        <f t="array" ref="Q605:R605">VLOOKUP(E605,store[],{3,5},FALSE)</f>
        <v>South</v>
      </c>
      <c r="R605" t="str">
        <v>Online</v>
      </c>
      <c r="S605" s="4">
        <f t="shared" si="9"/>
        <v>1047.24</v>
      </c>
    </row>
    <row r="606" spans="1:19">
      <c r="A606" t="s">
        <v>1278</v>
      </c>
      <c r="B606" s="3">
        <v>45635</v>
      </c>
      <c r="C606" t="s">
        <v>734</v>
      </c>
      <c r="D606" t="s">
        <v>480</v>
      </c>
      <c r="E606" t="s">
        <v>98</v>
      </c>
      <c r="F606">
        <v>3</v>
      </c>
      <c r="G606" t="s">
        <v>50</v>
      </c>
      <c r="H606">
        <v>36</v>
      </c>
      <c r="I606" s="12" t="s">
        <v>34</v>
      </c>
      <c r="J606" s="12" t="s">
        <v>440</v>
      </c>
      <c r="K606" s="12" t="s">
        <v>73</v>
      </c>
      <c r="L606" s="12" t="s">
        <v>481</v>
      </c>
      <c r="M606" s="12" t="s">
        <v>75</v>
      </c>
      <c r="N606" s="14">
        <v>0.11</v>
      </c>
      <c r="O606" s="23">
        <v>970.89</v>
      </c>
      <c r="P606">
        <v>48.01</v>
      </c>
      <c r="Q606" s="12" t="str" cm="1">
        <f t="array" ref="Q606:R606">VLOOKUP(E606,store[],{3,5},FALSE)</f>
        <v>South</v>
      </c>
      <c r="R606" t="str">
        <v>Outlet</v>
      </c>
      <c r="S606" s="4">
        <f t="shared" si="9"/>
        <v>2912.34</v>
      </c>
    </row>
    <row r="607" spans="1:19">
      <c r="A607" t="s">
        <v>1279</v>
      </c>
      <c r="B607" s="3">
        <v>45222</v>
      </c>
      <c r="C607" t="s">
        <v>725</v>
      </c>
      <c r="D607" t="s">
        <v>155</v>
      </c>
      <c r="E607" t="s">
        <v>90</v>
      </c>
      <c r="F607">
        <v>1</v>
      </c>
      <c r="G607" t="s">
        <v>33</v>
      </c>
      <c r="H607">
        <v>44</v>
      </c>
      <c r="I607" s="12" t="s">
        <v>24</v>
      </c>
      <c r="J607" s="12" t="s">
        <v>227</v>
      </c>
      <c r="K607" s="12" t="s">
        <v>52</v>
      </c>
      <c r="L607" s="12" t="s">
        <v>156</v>
      </c>
      <c r="M607" s="12" t="s">
        <v>28</v>
      </c>
      <c r="N607" s="14">
        <v>0.1</v>
      </c>
      <c r="O607" s="23">
        <v>61.11</v>
      </c>
      <c r="P607">
        <v>477.61</v>
      </c>
      <c r="Q607" s="12" t="str" cm="1">
        <f t="array" ref="Q607:R607">VLOOKUP(E607,store[],{3,5},FALSE)</f>
        <v>East</v>
      </c>
      <c r="R607" t="str">
        <v>Flagship</v>
      </c>
      <c r="S607" s="4">
        <f t="shared" si="9"/>
        <v>61.01</v>
      </c>
    </row>
    <row r="608" spans="1:19">
      <c r="A608" t="s">
        <v>1280</v>
      </c>
      <c r="B608" s="3">
        <v>45555</v>
      </c>
      <c r="C608" t="s">
        <v>434</v>
      </c>
      <c r="D608" t="s">
        <v>139</v>
      </c>
      <c r="E608" t="s">
        <v>43</v>
      </c>
      <c r="F608">
        <v>3</v>
      </c>
      <c r="G608" t="s">
        <v>33</v>
      </c>
      <c r="H608">
        <v>54</v>
      </c>
      <c r="I608" s="12" t="s">
        <v>34</v>
      </c>
      <c r="J608" s="12" t="s">
        <v>227</v>
      </c>
      <c r="K608" s="12" t="s">
        <v>60</v>
      </c>
      <c r="L608" s="12" t="s">
        <v>141</v>
      </c>
      <c r="M608" s="12" t="s">
        <v>75</v>
      </c>
      <c r="N608" s="14">
        <v>0.19</v>
      </c>
      <c r="O608" s="23">
        <v>827.88</v>
      </c>
      <c r="P608">
        <v>250.02157142857101</v>
      </c>
      <c r="Q608" s="12" t="str" cm="1">
        <f t="array" ref="Q608:R608">VLOOKUP(E608,store[],{3,5},FALSE)</f>
        <v>West</v>
      </c>
      <c r="R608" t="str">
        <v>Online</v>
      </c>
      <c r="S608" s="4">
        <f t="shared" si="9"/>
        <v>2483.0700000000002</v>
      </c>
    </row>
    <row r="609" spans="1:19">
      <c r="A609" t="s">
        <v>1281</v>
      </c>
      <c r="B609" s="3">
        <v>45583</v>
      </c>
      <c r="C609" t="s">
        <v>1282</v>
      </c>
      <c r="D609" t="s">
        <v>514</v>
      </c>
      <c r="E609" t="s">
        <v>149</v>
      </c>
      <c r="F609">
        <v>3</v>
      </c>
      <c r="G609" t="s">
        <v>50</v>
      </c>
      <c r="H609">
        <v>36</v>
      </c>
      <c r="I609" s="12" t="s">
        <v>34</v>
      </c>
      <c r="J609" s="12" t="s">
        <v>204</v>
      </c>
      <c r="K609" s="12" t="s">
        <v>26</v>
      </c>
      <c r="L609" s="12" t="s">
        <v>515</v>
      </c>
      <c r="M609" s="12" t="s">
        <v>75</v>
      </c>
      <c r="N609" s="14">
        <v>0.18</v>
      </c>
      <c r="O609" s="23">
        <v>926.85</v>
      </c>
      <c r="P609">
        <v>371.38</v>
      </c>
      <c r="Q609" s="12" t="str" cm="1">
        <f t="array" ref="Q609:R609">VLOOKUP(E609,store[],{3,5},FALSE)</f>
        <v>East</v>
      </c>
      <c r="R609" t="str">
        <v>Flagship</v>
      </c>
      <c r="S609" s="4">
        <f t="shared" si="9"/>
        <v>2780.01</v>
      </c>
    </row>
    <row r="610" spans="1:19">
      <c r="A610" t="s">
        <v>1283</v>
      </c>
      <c r="B610" s="3">
        <v>45662</v>
      </c>
      <c r="C610" t="s">
        <v>1284</v>
      </c>
      <c r="D610" t="s">
        <v>234</v>
      </c>
      <c r="E610" t="s">
        <v>98</v>
      </c>
      <c r="F610">
        <v>1</v>
      </c>
      <c r="G610" t="s">
        <v>33</v>
      </c>
      <c r="H610">
        <v>64</v>
      </c>
      <c r="I610" s="12" t="s">
        <v>34</v>
      </c>
      <c r="J610" s="12" t="s">
        <v>214</v>
      </c>
      <c r="K610" s="12" t="s">
        <v>26</v>
      </c>
      <c r="L610" s="12" t="s">
        <v>236</v>
      </c>
      <c r="M610" s="12" t="s">
        <v>75</v>
      </c>
      <c r="N610" s="14">
        <v>0.28999999999999998</v>
      </c>
      <c r="O610" s="23">
        <v>874.59</v>
      </c>
      <c r="P610">
        <v>298.86</v>
      </c>
      <c r="Q610" s="12" t="str" cm="1">
        <f t="array" ref="Q610:R610">VLOOKUP(E610,store[],{3,5},FALSE)</f>
        <v>South</v>
      </c>
      <c r="R610" t="str">
        <v>Outlet</v>
      </c>
      <c r="S610" s="4">
        <f t="shared" si="9"/>
        <v>874.3</v>
      </c>
    </row>
    <row r="611" spans="1:19">
      <c r="A611" t="s">
        <v>1285</v>
      </c>
      <c r="B611" s="3">
        <v>45921</v>
      </c>
      <c r="C611" t="s">
        <v>264</v>
      </c>
      <c r="D611" t="s">
        <v>65</v>
      </c>
      <c r="E611" t="s">
        <v>105</v>
      </c>
      <c r="F611">
        <v>4</v>
      </c>
      <c r="G611" t="s">
        <v>33</v>
      </c>
      <c r="H611">
        <v>21</v>
      </c>
      <c r="I611" s="12" t="s">
        <v>34</v>
      </c>
      <c r="J611" s="12" t="s">
        <v>214</v>
      </c>
      <c r="K611" s="12" t="s">
        <v>26</v>
      </c>
      <c r="L611" s="12" t="s">
        <v>68</v>
      </c>
      <c r="M611" s="12" t="s">
        <v>37</v>
      </c>
      <c r="N611" s="14">
        <v>0.24</v>
      </c>
      <c r="O611" s="23">
        <v>479.11</v>
      </c>
      <c r="P611">
        <v>465.34</v>
      </c>
      <c r="Q611" s="12" t="str" cm="1">
        <f t="array" ref="Q611:R611">VLOOKUP(E611,store[],{3,5},FALSE)</f>
        <v>North</v>
      </c>
      <c r="R611" t="str">
        <v>Flagship</v>
      </c>
      <c r="S611" s="4">
        <f t="shared" si="9"/>
        <v>1915.48</v>
      </c>
    </row>
    <row r="612" spans="1:19">
      <c r="A612" t="s">
        <v>1286</v>
      </c>
      <c r="B612" s="3">
        <v>45490</v>
      </c>
      <c r="C612" t="s">
        <v>186</v>
      </c>
      <c r="D612" t="s">
        <v>579</v>
      </c>
      <c r="E612" t="s">
        <v>32</v>
      </c>
      <c r="F612">
        <v>3</v>
      </c>
      <c r="G612" t="s">
        <v>23</v>
      </c>
      <c r="H612">
        <v>42</v>
      </c>
      <c r="I612" s="12" t="s">
        <v>34</v>
      </c>
      <c r="J612" s="12" t="s">
        <v>188</v>
      </c>
      <c r="K612" s="12" t="s">
        <v>52</v>
      </c>
      <c r="L612" s="12" t="s">
        <v>580</v>
      </c>
      <c r="M612" s="12" t="s">
        <v>46</v>
      </c>
      <c r="N612" s="14">
        <v>0.28999999999999998</v>
      </c>
      <c r="O612" s="23">
        <v>182.91</v>
      </c>
      <c r="P612">
        <v>283.83</v>
      </c>
      <c r="Q612" s="12" t="str" cm="1">
        <f t="array" ref="Q612:R612">VLOOKUP(E612,store[],{3,5},FALSE)</f>
        <v>North</v>
      </c>
      <c r="R612" t="str">
        <v>Flagship</v>
      </c>
      <c r="S612" s="4">
        <f t="shared" si="9"/>
        <v>547.86</v>
      </c>
    </row>
    <row r="613" spans="1:19">
      <c r="A613" t="s">
        <v>1287</v>
      </c>
      <c r="B613" s="3">
        <v>45652</v>
      </c>
      <c r="C613" t="s">
        <v>629</v>
      </c>
      <c r="D613" t="s">
        <v>116</v>
      </c>
      <c r="E613" t="s">
        <v>58</v>
      </c>
      <c r="F613">
        <v>4</v>
      </c>
      <c r="G613" t="s">
        <v>23</v>
      </c>
      <c r="H613">
        <v>48</v>
      </c>
      <c r="I613" s="12" t="s">
        <v>34</v>
      </c>
      <c r="J613" s="12" t="s">
        <v>227</v>
      </c>
      <c r="K613" s="12" t="s">
        <v>26</v>
      </c>
      <c r="L613" s="12" t="s">
        <v>119</v>
      </c>
      <c r="M613" s="12" t="s">
        <v>37</v>
      </c>
      <c r="N613" s="14">
        <v>0.05</v>
      </c>
      <c r="O613" s="23">
        <v>745.51</v>
      </c>
      <c r="P613">
        <v>419.28</v>
      </c>
      <c r="Q613" s="12" t="str" cm="1">
        <f t="array" ref="Q613:R613">VLOOKUP(E613,store[],{3,5},FALSE)</f>
        <v>North</v>
      </c>
      <c r="R613" t="str">
        <v>Outlet</v>
      </c>
      <c r="S613" s="4">
        <f t="shared" si="9"/>
        <v>2981.84</v>
      </c>
    </row>
    <row r="614" spans="1:19">
      <c r="A614" t="s">
        <v>1288</v>
      </c>
      <c r="B614" s="3">
        <v>45598</v>
      </c>
      <c r="C614" t="s">
        <v>849</v>
      </c>
      <c r="D614" t="s">
        <v>110</v>
      </c>
      <c r="E614" t="s">
        <v>122</v>
      </c>
      <c r="F614">
        <v>3</v>
      </c>
      <c r="G614" t="s">
        <v>23</v>
      </c>
      <c r="H614">
        <v>21</v>
      </c>
      <c r="I614" s="12" t="s">
        <v>24</v>
      </c>
      <c r="J614" s="12" t="s">
        <v>360</v>
      </c>
      <c r="K614" s="12" t="s">
        <v>26</v>
      </c>
      <c r="L614" s="12" t="s">
        <v>112</v>
      </c>
      <c r="M614" s="12" t="s">
        <v>28</v>
      </c>
      <c r="N614" s="14">
        <v>0.04</v>
      </c>
      <c r="O614" s="23">
        <v>920.61</v>
      </c>
      <c r="P614">
        <v>131.24</v>
      </c>
      <c r="Q614" s="12" t="str" cm="1">
        <f t="array" ref="Q614:R614">VLOOKUP(E614,store[],{3,5},FALSE)</f>
        <v>North</v>
      </c>
      <c r="R614" t="str">
        <v>Flagship</v>
      </c>
      <c r="S614" s="4">
        <f t="shared" si="9"/>
        <v>2761.71</v>
      </c>
    </row>
    <row r="615" spans="1:19">
      <c r="A615" t="s">
        <v>1289</v>
      </c>
      <c r="B615" s="3">
        <v>45772</v>
      </c>
      <c r="C615" t="s">
        <v>1290</v>
      </c>
      <c r="D615" t="s">
        <v>213</v>
      </c>
      <c r="E615" t="s">
        <v>168</v>
      </c>
      <c r="F615">
        <v>4</v>
      </c>
      <c r="G615" t="s">
        <v>23</v>
      </c>
      <c r="H615">
        <v>40</v>
      </c>
      <c r="I615" s="12" t="s">
        <v>24</v>
      </c>
      <c r="J615" s="12" t="s">
        <v>410</v>
      </c>
      <c r="K615" s="12" t="s">
        <v>73</v>
      </c>
      <c r="L615" s="12" t="s">
        <v>215</v>
      </c>
      <c r="M615" s="12" t="s">
        <v>130</v>
      </c>
      <c r="N615" s="14">
        <v>0.15</v>
      </c>
      <c r="O615" s="23">
        <v>659.03</v>
      </c>
      <c r="P615">
        <v>158.13999999999999</v>
      </c>
      <c r="Q615" s="12" t="str" cm="1">
        <f t="array" ref="Q615:R615">VLOOKUP(E615,store[],{3,5},FALSE)</f>
        <v>East</v>
      </c>
      <c r="R615" t="str">
        <v>Online</v>
      </c>
      <c r="S615" s="4">
        <f t="shared" si="9"/>
        <v>2635.52</v>
      </c>
    </row>
    <row r="616" spans="1:19">
      <c r="A616" t="s">
        <v>1291</v>
      </c>
      <c r="B616" s="3">
        <v>45338</v>
      </c>
      <c r="C616" t="s">
        <v>1292</v>
      </c>
      <c r="D616" t="s">
        <v>810</v>
      </c>
      <c r="E616" t="s">
        <v>198</v>
      </c>
      <c r="F616">
        <v>1</v>
      </c>
      <c r="G616" t="s">
        <v>33</v>
      </c>
      <c r="H616">
        <v>52</v>
      </c>
      <c r="I616" s="12" t="s">
        <v>34</v>
      </c>
      <c r="J616" s="12" t="s">
        <v>345</v>
      </c>
      <c r="K616" s="12" t="s">
        <v>26</v>
      </c>
      <c r="L616" s="12" t="s">
        <v>811</v>
      </c>
      <c r="M616" s="12" t="s">
        <v>28</v>
      </c>
      <c r="N616" s="14">
        <v>0.12</v>
      </c>
      <c r="O616" s="23">
        <v>312.91000000000003</v>
      </c>
      <c r="P616">
        <v>495.72</v>
      </c>
      <c r="Q616" s="12" t="str" cm="1">
        <f t="array" ref="Q616:R616">VLOOKUP(E616,store[],{3,5},FALSE)</f>
        <v>South</v>
      </c>
      <c r="R616" t="str">
        <v>Outlet</v>
      </c>
      <c r="S616" s="4">
        <f t="shared" si="9"/>
        <v>312.79000000000002</v>
      </c>
    </row>
    <row r="617" spans="1:19">
      <c r="A617" t="s">
        <v>1293</v>
      </c>
      <c r="B617" s="3">
        <v>45524</v>
      </c>
      <c r="C617" t="s">
        <v>1172</v>
      </c>
      <c r="D617" t="s">
        <v>173</v>
      </c>
      <c r="E617" t="s">
        <v>160</v>
      </c>
      <c r="F617">
        <v>4</v>
      </c>
      <c r="G617" t="s">
        <v>33</v>
      </c>
      <c r="H617">
        <v>52</v>
      </c>
      <c r="I617" s="12" t="s">
        <v>34</v>
      </c>
      <c r="J617" s="12" t="s">
        <v>410</v>
      </c>
      <c r="K617" s="12" t="s">
        <v>26</v>
      </c>
      <c r="L617" s="12" t="s">
        <v>174</v>
      </c>
      <c r="M617" s="12" t="s">
        <v>46</v>
      </c>
      <c r="N617" s="14">
        <v>0.11</v>
      </c>
      <c r="O617" s="23">
        <v>705.64</v>
      </c>
      <c r="P617">
        <v>115.82</v>
      </c>
      <c r="Q617" s="12" t="str" cm="1">
        <f t="array" ref="Q617:R617">VLOOKUP(E617,store[],{3,5},FALSE)</f>
        <v>East</v>
      </c>
      <c r="R617" t="str">
        <v>Flagship</v>
      </c>
      <c r="S617" s="4">
        <f t="shared" si="9"/>
        <v>2822.12</v>
      </c>
    </row>
    <row r="618" spans="1:19">
      <c r="A618" t="s">
        <v>1294</v>
      </c>
      <c r="B618" s="3">
        <v>45497</v>
      </c>
      <c r="C618" t="s">
        <v>154</v>
      </c>
      <c r="D618" t="s">
        <v>810</v>
      </c>
      <c r="E618" t="s">
        <v>168</v>
      </c>
      <c r="F618">
        <v>4</v>
      </c>
      <c r="G618" t="s">
        <v>50</v>
      </c>
      <c r="H618">
        <v>62</v>
      </c>
      <c r="I618" s="12" t="s">
        <v>34</v>
      </c>
      <c r="J618" s="12" t="s">
        <v>99</v>
      </c>
      <c r="K618" s="12" t="s">
        <v>73</v>
      </c>
      <c r="L618" s="12" t="s">
        <v>811</v>
      </c>
      <c r="M618" s="12" t="s">
        <v>28</v>
      </c>
      <c r="N618" s="14">
        <v>0.13</v>
      </c>
      <c r="O618" s="23">
        <v>386.41</v>
      </c>
      <c r="P618">
        <v>495.72</v>
      </c>
      <c r="Q618" s="12" t="str" cm="1">
        <f t="array" ref="Q618:R618">VLOOKUP(E618,store[],{3,5},FALSE)</f>
        <v>East</v>
      </c>
      <c r="R618" t="str">
        <v>Online</v>
      </c>
      <c r="S618" s="4">
        <f t="shared" si="9"/>
        <v>1545.12</v>
      </c>
    </row>
    <row r="619" spans="1:19">
      <c r="A619" t="s">
        <v>1295</v>
      </c>
      <c r="B619" s="3">
        <v>45534</v>
      </c>
      <c r="C619" t="s">
        <v>434</v>
      </c>
      <c r="D619" t="s">
        <v>242</v>
      </c>
      <c r="E619" t="s">
        <v>272</v>
      </c>
      <c r="F619">
        <v>3</v>
      </c>
      <c r="G619" t="s">
        <v>50</v>
      </c>
      <c r="H619">
        <v>54</v>
      </c>
      <c r="I619" s="12" t="s">
        <v>34</v>
      </c>
      <c r="J619" s="12" t="s">
        <v>227</v>
      </c>
      <c r="K619" s="12" t="s">
        <v>60</v>
      </c>
      <c r="L619" s="12" t="s">
        <v>243</v>
      </c>
      <c r="M619" s="12" t="s">
        <v>46</v>
      </c>
      <c r="N619" s="14">
        <v>0.08</v>
      </c>
      <c r="O619" s="23">
        <v>265.89</v>
      </c>
      <c r="P619">
        <v>358.47</v>
      </c>
      <c r="Q619" s="12" t="str" cm="1">
        <f t="array" ref="Q619:R619">VLOOKUP(E619,store[],{3,5},FALSE)</f>
        <v>South</v>
      </c>
      <c r="R619" t="str">
        <v>Online</v>
      </c>
      <c r="S619" s="4">
        <f t="shared" si="9"/>
        <v>797.43</v>
      </c>
    </row>
    <row r="620" spans="1:19">
      <c r="A620" t="s">
        <v>1296</v>
      </c>
      <c r="B620" s="3">
        <v>45925</v>
      </c>
      <c r="C620" t="s">
        <v>692</v>
      </c>
      <c r="D620" t="s">
        <v>271</v>
      </c>
      <c r="E620" t="s">
        <v>117</v>
      </c>
      <c r="F620">
        <v>1</v>
      </c>
      <c r="G620" t="s">
        <v>23</v>
      </c>
      <c r="H620">
        <v>61</v>
      </c>
      <c r="I620" s="12" t="s">
        <v>34</v>
      </c>
      <c r="J620" s="12" t="s">
        <v>227</v>
      </c>
      <c r="K620" s="12" t="s">
        <v>26</v>
      </c>
      <c r="L620" s="12" t="s">
        <v>273</v>
      </c>
      <c r="M620" s="12" t="s">
        <v>75</v>
      </c>
      <c r="N620" s="14">
        <v>0.28999999999999998</v>
      </c>
      <c r="O620" s="23">
        <v>703.16</v>
      </c>
      <c r="P620">
        <v>19.52</v>
      </c>
      <c r="Q620" s="12" t="str" cm="1">
        <f t="array" ref="Q620:R620">VLOOKUP(E620,store[],{3,5},FALSE)</f>
        <v>West</v>
      </c>
      <c r="R620" t="str">
        <v>Flagship</v>
      </c>
      <c r="S620" s="4">
        <f t="shared" si="9"/>
        <v>702.87</v>
      </c>
    </row>
    <row r="621" spans="1:19">
      <c r="A621" t="s">
        <v>1297</v>
      </c>
      <c r="B621" s="3">
        <v>45765</v>
      </c>
      <c r="C621" t="s">
        <v>756</v>
      </c>
      <c r="D621" t="s">
        <v>21</v>
      </c>
      <c r="E621" t="s">
        <v>149</v>
      </c>
      <c r="F621">
        <v>2</v>
      </c>
      <c r="G621" t="s">
        <v>50</v>
      </c>
      <c r="H621">
        <v>42</v>
      </c>
      <c r="I621" s="12" t="s">
        <v>24</v>
      </c>
      <c r="J621" s="12" t="s">
        <v>111</v>
      </c>
      <c r="K621" s="12" t="s">
        <v>52</v>
      </c>
      <c r="L621" s="12" t="s">
        <v>27</v>
      </c>
      <c r="M621" s="12" t="s">
        <v>28</v>
      </c>
      <c r="N621" s="14">
        <v>0.28999999999999998</v>
      </c>
      <c r="O621" s="23">
        <v>394.5</v>
      </c>
      <c r="P621">
        <v>245.98</v>
      </c>
      <c r="Q621" s="12" t="str" cm="1">
        <f t="array" ref="Q621:R621">VLOOKUP(E621,store[],{3,5},FALSE)</f>
        <v>East</v>
      </c>
      <c r="R621" t="str">
        <v>Flagship</v>
      </c>
      <c r="S621" s="4">
        <f t="shared" si="9"/>
        <v>788.42</v>
      </c>
    </row>
    <row r="622" spans="1:19">
      <c r="A622" t="s">
        <v>1298</v>
      </c>
      <c r="B622" s="3">
        <v>45882</v>
      </c>
      <c r="C622" t="s">
        <v>1299</v>
      </c>
      <c r="D622" t="s">
        <v>21</v>
      </c>
      <c r="E622" t="s">
        <v>66</v>
      </c>
      <c r="F622">
        <v>3</v>
      </c>
      <c r="G622" t="s">
        <v>23</v>
      </c>
      <c r="H622">
        <v>21</v>
      </c>
      <c r="I622" s="12" t="s">
        <v>34</v>
      </c>
      <c r="J622" s="12" t="s">
        <v>91</v>
      </c>
      <c r="K622" s="12" t="s">
        <v>52</v>
      </c>
      <c r="L622" s="12" t="s">
        <v>27</v>
      </c>
      <c r="M622" s="12" t="s">
        <v>28</v>
      </c>
      <c r="N622" s="14">
        <v>0.05</v>
      </c>
      <c r="O622" s="23">
        <v>411.25</v>
      </c>
      <c r="P622">
        <v>245.98</v>
      </c>
      <c r="Q622" s="12" t="str" cm="1">
        <f t="array" ref="Q622:R622">VLOOKUP(E622,store[],{3,5},FALSE)</f>
        <v>South</v>
      </c>
      <c r="R622" t="str">
        <v>Online</v>
      </c>
      <c r="S622" s="4">
        <f t="shared" si="9"/>
        <v>1233.5999999999999</v>
      </c>
    </row>
    <row r="623" spans="1:19">
      <c r="A623" t="s">
        <v>1300</v>
      </c>
      <c r="B623" s="3">
        <v>45923</v>
      </c>
      <c r="C623" t="s">
        <v>1301</v>
      </c>
      <c r="D623" t="s">
        <v>505</v>
      </c>
      <c r="E623" t="s">
        <v>198</v>
      </c>
      <c r="F623">
        <v>4</v>
      </c>
      <c r="G623" t="s">
        <v>23</v>
      </c>
      <c r="H623">
        <v>56</v>
      </c>
      <c r="I623" s="12" t="s">
        <v>34</v>
      </c>
      <c r="J623" s="12" t="s">
        <v>609</v>
      </c>
      <c r="K623" s="12" t="s">
        <v>52</v>
      </c>
      <c r="L623" s="12" t="s">
        <v>506</v>
      </c>
      <c r="M623" s="12" t="s">
        <v>37</v>
      </c>
      <c r="N623" s="14">
        <v>0.01</v>
      </c>
      <c r="O623" s="23">
        <v>395.45</v>
      </c>
      <c r="P623">
        <v>177.98</v>
      </c>
      <c r="Q623" s="12" t="str" cm="1">
        <f t="array" ref="Q623:R623">VLOOKUP(E623,store[],{3,5},FALSE)</f>
        <v>South</v>
      </c>
      <c r="R623" t="str">
        <v>Outlet</v>
      </c>
      <c r="S623" s="4">
        <f t="shared" si="9"/>
        <v>1581.76</v>
      </c>
    </row>
    <row r="624" spans="1:19">
      <c r="A624" t="s">
        <v>1302</v>
      </c>
      <c r="B624" s="3">
        <v>45421</v>
      </c>
      <c r="C624" t="s">
        <v>1303</v>
      </c>
      <c r="D624" t="s">
        <v>453</v>
      </c>
      <c r="E624" t="s">
        <v>58</v>
      </c>
      <c r="F624">
        <v>2</v>
      </c>
      <c r="G624" t="s">
        <v>23</v>
      </c>
      <c r="H624">
        <v>20</v>
      </c>
      <c r="I624" s="12" t="s">
        <v>34</v>
      </c>
      <c r="J624" s="12" t="s">
        <v>360</v>
      </c>
      <c r="K624" s="12" t="s">
        <v>26</v>
      </c>
      <c r="L624" s="12" t="s">
        <v>454</v>
      </c>
      <c r="M624" s="12" t="s">
        <v>37</v>
      </c>
      <c r="N624" s="14">
        <v>0.23</v>
      </c>
      <c r="O624" s="23">
        <v>678.98</v>
      </c>
      <c r="P624">
        <v>340.14</v>
      </c>
      <c r="Q624" s="12" t="str" cm="1">
        <f t="array" ref="Q624:R624">VLOOKUP(E624,store[],{3,5},FALSE)</f>
        <v>North</v>
      </c>
      <c r="R624" t="str">
        <v>Outlet</v>
      </c>
      <c r="S624" s="4">
        <f t="shared" si="9"/>
        <v>1357.5</v>
      </c>
    </row>
    <row r="625" spans="1:19">
      <c r="A625" t="s">
        <v>1304</v>
      </c>
      <c r="B625" s="3">
        <v>45608</v>
      </c>
      <c r="C625" t="s">
        <v>245</v>
      </c>
      <c r="D625" t="s">
        <v>139</v>
      </c>
      <c r="E625" t="s">
        <v>98</v>
      </c>
      <c r="F625">
        <v>4</v>
      </c>
      <c r="G625" t="s">
        <v>50</v>
      </c>
      <c r="H625">
        <v>39</v>
      </c>
      <c r="I625" s="12" t="s">
        <v>34</v>
      </c>
      <c r="J625" s="12" t="s">
        <v>106</v>
      </c>
      <c r="K625" s="12" t="s">
        <v>26</v>
      </c>
      <c r="L625" s="12" t="s">
        <v>141</v>
      </c>
      <c r="M625" s="12" t="s">
        <v>75</v>
      </c>
      <c r="N625" s="14">
        <v>0.26</v>
      </c>
      <c r="O625" s="23">
        <v>757.71</v>
      </c>
      <c r="P625">
        <v>250.02157142857101</v>
      </c>
      <c r="Q625" s="12" t="str" cm="1">
        <f t="array" ref="Q625:R625">VLOOKUP(E625,store[],{3,5},FALSE)</f>
        <v>South</v>
      </c>
      <c r="R625" t="str">
        <v>Outlet</v>
      </c>
      <c r="S625" s="4">
        <f t="shared" si="9"/>
        <v>3029.8</v>
      </c>
    </row>
    <row r="626" spans="1:19">
      <c r="A626" t="s">
        <v>1305</v>
      </c>
      <c r="B626" s="3">
        <v>45644</v>
      </c>
      <c r="C626" t="s">
        <v>1306</v>
      </c>
      <c r="D626" t="s">
        <v>242</v>
      </c>
      <c r="E626" t="s">
        <v>72</v>
      </c>
      <c r="F626">
        <v>1</v>
      </c>
      <c r="G626" t="s">
        <v>50</v>
      </c>
      <c r="H626">
        <v>53</v>
      </c>
      <c r="I626" s="12" t="s">
        <v>24</v>
      </c>
      <c r="J626" s="12" t="s">
        <v>111</v>
      </c>
      <c r="K626" s="12" t="s">
        <v>52</v>
      </c>
      <c r="L626" s="12" t="s">
        <v>243</v>
      </c>
      <c r="M626" s="12" t="s">
        <v>46</v>
      </c>
      <c r="N626" s="14">
        <v>0.05</v>
      </c>
      <c r="O626" s="23">
        <v>647.86</v>
      </c>
      <c r="P626">
        <v>358.47</v>
      </c>
      <c r="Q626" s="12" t="str" cm="1">
        <f t="array" ref="Q626:R626">VLOOKUP(E626,store[],{3,5},FALSE)</f>
        <v>South</v>
      </c>
      <c r="R626" t="str">
        <v>Online</v>
      </c>
      <c r="S626" s="4">
        <f t="shared" si="9"/>
        <v>647.80999999999995</v>
      </c>
    </row>
    <row r="627" spans="1:19">
      <c r="A627" t="s">
        <v>1307</v>
      </c>
      <c r="B627" s="3">
        <v>45517</v>
      </c>
      <c r="C627" t="s">
        <v>652</v>
      </c>
      <c r="D627" t="s">
        <v>173</v>
      </c>
      <c r="E627" t="s">
        <v>179</v>
      </c>
      <c r="F627">
        <v>2</v>
      </c>
      <c r="G627" t="s">
        <v>33</v>
      </c>
      <c r="H627">
        <v>33</v>
      </c>
      <c r="I627" s="12" t="s">
        <v>34</v>
      </c>
      <c r="J627" s="12" t="s">
        <v>209</v>
      </c>
      <c r="K627" s="12" t="s">
        <v>52</v>
      </c>
      <c r="L627" s="12" t="s">
        <v>174</v>
      </c>
      <c r="M627" s="12" t="s">
        <v>46</v>
      </c>
      <c r="N627" s="14">
        <v>0.1</v>
      </c>
      <c r="O627" s="23">
        <v>179.64</v>
      </c>
      <c r="P627">
        <v>115.82</v>
      </c>
      <c r="Q627" s="12" t="str" cm="1">
        <f t="array" ref="Q627:R627">VLOOKUP(E627,store[],{3,5},FALSE)</f>
        <v>East</v>
      </c>
      <c r="R627" t="str">
        <v>Online</v>
      </c>
      <c r="S627" s="4">
        <f t="shared" si="9"/>
        <v>359.08</v>
      </c>
    </row>
    <row r="628" spans="1:19">
      <c r="A628" t="s">
        <v>1308</v>
      </c>
      <c r="B628" s="3">
        <v>45545</v>
      </c>
      <c r="C628" t="s">
        <v>158</v>
      </c>
      <c r="D628" t="s">
        <v>661</v>
      </c>
      <c r="E628" t="s">
        <v>72</v>
      </c>
      <c r="F628">
        <v>3</v>
      </c>
      <c r="G628" t="s">
        <v>33</v>
      </c>
      <c r="H628">
        <v>25</v>
      </c>
      <c r="I628" s="12" t="s">
        <v>34</v>
      </c>
      <c r="J628" s="12" t="s">
        <v>161</v>
      </c>
      <c r="K628" s="12" t="s">
        <v>60</v>
      </c>
      <c r="L628" s="12" t="s">
        <v>662</v>
      </c>
      <c r="M628" s="12" t="s">
        <v>37</v>
      </c>
      <c r="N628" s="14">
        <v>0.17</v>
      </c>
      <c r="O628" s="23">
        <v>392.65</v>
      </c>
      <c r="P628">
        <v>86.42</v>
      </c>
      <c r="Q628" s="12" t="str" cm="1">
        <f t="array" ref="Q628:R628">VLOOKUP(E628,store[],{3,5},FALSE)</f>
        <v>South</v>
      </c>
      <c r="R628" t="str">
        <v>Online</v>
      </c>
      <c r="S628" s="4">
        <f t="shared" si="9"/>
        <v>1177.44</v>
      </c>
    </row>
    <row r="629" spans="1:19">
      <c r="A629" t="s">
        <v>1309</v>
      </c>
      <c r="B629" s="3">
        <v>45547</v>
      </c>
      <c r="C629" t="s">
        <v>365</v>
      </c>
      <c r="D629" t="s">
        <v>372</v>
      </c>
      <c r="E629" t="s">
        <v>117</v>
      </c>
      <c r="F629">
        <v>4</v>
      </c>
      <c r="G629" t="s">
        <v>50</v>
      </c>
      <c r="H629">
        <v>48</v>
      </c>
      <c r="I629" s="12" t="s">
        <v>24</v>
      </c>
      <c r="J629" s="12" t="s">
        <v>35</v>
      </c>
      <c r="K629" s="12" t="s">
        <v>60</v>
      </c>
      <c r="L629" s="12" t="s">
        <v>374</v>
      </c>
      <c r="M629" s="12" t="s">
        <v>130</v>
      </c>
      <c r="N629" s="14">
        <v>0.09</v>
      </c>
      <c r="O629" s="23">
        <v>969.55</v>
      </c>
      <c r="P629">
        <v>438.25</v>
      </c>
      <c r="Q629" s="12" t="str" cm="1">
        <f t="array" ref="Q629:R629">VLOOKUP(E629,store[],{3,5},FALSE)</f>
        <v>West</v>
      </c>
      <c r="R629" t="str">
        <v>Flagship</v>
      </c>
      <c r="S629" s="4">
        <f t="shared" si="9"/>
        <v>3877.84</v>
      </c>
    </row>
    <row r="630" spans="1:19">
      <c r="A630" t="s">
        <v>1310</v>
      </c>
      <c r="B630" s="3">
        <v>45433</v>
      </c>
      <c r="C630" t="s">
        <v>617</v>
      </c>
      <c r="D630" t="s">
        <v>31</v>
      </c>
      <c r="E630" t="s">
        <v>208</v>
      </c>
      <c r="F630">
        <v>3</v>
      </c>
      <c r="G630" t="s">
        <v>23</v>
      </c>
      <c r="H630">
        <v>34</v>
      </c>
      <c r="I630" s="12" t="s">
        <v>34</v>
      </c>
      <c r="J630" s="12" t="s">
        <v>356</v>
      </c>
      <c r="K630" s="12" t="s">
        <v>60</v>
      </c>
      <c r="L630" s="12" t="s">
        <v>36</v>
      </c>
      <c r="M630" s="12" t="s">
        <v>37</v>
      </c>
      <c r="N630" s="14">
        <v>0.01</v>
      </c>
      <c r="O630" s="23">
        <v>322.94</v>
      </c>
      <c r="P630">
        <v>403.71</v>
      </c>
      <c r="Q630" s="12" t="str" cm="1">
        <f t="array" ref="Q630:R630">VLOOKUP(E630,store[],{3,5},FALSE)</f>
        <v>North</v>
      </c>
      <c r="R630" t="str">
        <v>Online</v>
      </c>
      <c r="S630" s="4">
        <f t="shared" si="9"/>
        <v>968.79</v>
      </c>
    </row>
    <row r="631" spans="1:19">
      <c r="A631" t="s">
        <v>1311</v>
      </c>
      <c r="B631" s="3">
        <v>45792</v>
      </c>
      <c r="C631" t="s">
        <v>1159</v>
      </c>
      <c r="D631" t="s">
        <v>359</v>
      </c>
      <c r="E631" t="s">
        <v>90</v>
      </c>
      <c r="F631">
        <v>1</v>
      </c>
      <c r="G631" t="s">
        <v>33</v>
      </c>
      <c r="H631">
        <v>60</v>
      </c>
      <c r="I631" s="12" t="s">
        <v>24</v>
      </c>
      <c r="J631" s="12" t="s">
        <v>444</v>
      </c>
      <c r="K631" s="12" t="s">
        <v>26</v>
      </c>
      <c r="L631" s="12" t="s">
        <v>361</v>
      </c>
      <c r="M631" s="12" t="s">
        <v>46</v>
      </c>
      <c r="N631" s="14">
        <v>0.26</v>
      </c>
      <c r="O631" s="23">
        <v>92.83</v>
      </c>
      <c r="P631">
        <v>289.359375</v>
      </c>
      <c r="Q631" s="12" t="str" cm="1">
        <f t="array" ref="Q631:R631">VLOOKUP(E631,store[],{3,5},FALSE)</f>
        <v>East</v>
      </c>
      <c r="R631" t="str">
        <v>Flagship</v>
      </c>
      <c r="S631" s="4">
        <f t="shared" si="9"/>
        <v>92.57</v>
      </c>
    </row>
    <row r="632" spans="1:19">
      <c r="A632" t="s">
        <v>1312</v>
      </c>
      <c r="B632" s="3">
        <v>45804</v>
      </c>
      <c r="C632" t="s">
        <v>278</v>
      </c>
      <c r="D632" t="s">
        <v>484</v>
      </c>
      <c r="E632" t="s">
        <v>22</v>
      </c>
      <c r="F632">
        <v>4</v>
      </c>
      <c r="G632" t="s">
        <v>50</v>
      </c>
      <c r="H632">
        <v>60</v>
      </c>
      <c r="I632" s="12" t="s">
        <v>24</v>
      </c>
      <c r="J632" s="12" t="s">
        <v>256</v>
      </c>
      <c r="K632" s="12" t="s">
        <v>73</v>
      </c>
      <c r="L632" s="12" t="s">
        <v>485</v>
      </c>
      <c r="M632" s="12" t="s">
        <v>37</v>
      </c>
      <c r="N632" s="14">
        <v>0.16</v>
      </c>
      <c r="O632" s="23">
        <v>432.29</v>
      </c>
      <c r="P632">
        <v>439.07</v>
      </c>
      <c r="Q632" s="12" t="str" cm="1">
        <f t="array" ref="Q632:R632">VLOOKUP(E632,store[],{3,5},FALSE)</f>
        <v>North</v>
      </c>
      <c r="R632" t="str">
        <v>Outlet</v>
      </c>
      <c r="S632" s="4">
        <f t="shared" si="9"/>
        <v>1728.52</v>
      </c>
    </row>
    <row r="633" spans="1:19">
      <c r="A633" t="s">
        <v>1313</v>
      </c>
      <c r="B633" s="3">
        <v>45311</v>
      </c>
      <c r="C633" t="s">
        <v>300</v>
      </c>
      <c r="D633" t="s">
        <v>104</v>
      </c>
      <c r="E633" t="s">
        <v>149</v>
      </c>
      <c r="F633">
        <v>2</v>
      </c>
      <c r="G633" t="s">
        <v>50</v>
      </c>
      <c r="H633">
        <v>61</v>
      </c>
      <c r="I633" s="12" t="s">
        <v>34</v>
      </c>
      <c r="J633" s="12" t="s">
        <v>222</v>
      </c>
      <c r="K633" s="12" t="s">
        <v>73</v>
      </c>
      <c r="L633" s="12" t="s">
        <v>107</v>
      </c>
      <c r="M633" s="12" t="s">
        <v>37</v>
      </c>
      <c r="N633" s="14">
        <v>0.14000000000000001</v>
      </c>
      <c r="O633" s="23">
        <v>925.78</v>
      </c>
      <c r="P633">
        <v>326.06</v>
      </c>
      <c r="Q633" s="12" t="str" cm="1">
        <f t="array" ref="Q633:R633">VLOOKUP(E633,store[],{3,5},FALSE)</f>
        <v>East</v>
      </c>
      <c r="R633" t="str">
        <v>Flagship</v>
      </c>
      <c r="S633" s="4">
        <f t="shared" si="9"/>
        <v>1851.28</v>
      </c>
    </row>
    <row r="634" spans="1:19">
      <c r="A634" t="s">
        <v>1314</v>
      </c>
      <c r="B634" s="3">
        <v>45605</v>
      </c>
      <c r="C634" t="s">
        <v>1062</v>
      </c>
      <c r="D634" t="s">
        <v>425</v>
      </c>
      <c r="E634" t="s">
        <v>272</v>
      </c>
      <c r="F634">
        <v>2</v>
      </c>
      <c r="G634" t="s">
        <v>33</v>
      </c>
      <c r="H634">
        <v>41</v>
      </c>
      <c r="I634" s="12" t="s">
        <v>34</v>
      </c>
      <c r="J634" s="12" t="s">
        <v>333</v>
      </c>
      <c r="K634" s="12" t="s">
        <v>52</v>
      </c>
      <c r="L634" s="12" t="s">
        <v>426</v>
      </c>
      <c r="M634" s="12" t="s">
        <v>130</v>
      </c>
      <c r="N634" s="14">
        <v>0.21</v>
      </c>
      <c r="O634" s="23">
        <v>151.47</v>
      </c>
      <c r="P634">
        <v>174.02</v>
      </c>
      <c r="Q634" s="12" t="str" cm="1">
        <f t="array" ref="Q634:R634">VLOOKUP(E634,store[],{3,5},FALSE)</f>
        <v>South</v>
      </c>
      <c r="R634" t="str">
        <v>Online</v>
      </c>
      <c r="S634" s="4">
        <f t="shared" si="9"/>
        <v>302.52</v>
      </c>
    </row>
    <row r="635" spans="1:19">
      <c r="A635" t="s">
        <v>1315</v>
      </c>
      <c r="B635" s="3">
        <v>45338</v>
      </c>
      <c r="C635" t="s">
        <v>748</v>
      </c>
      <c r="D635" t="s">
        <v>359</v>
      </c>
      <c r="E635" t="s">
        <v>168</v>
      </c>
      <c r="F635">
        <v>1</v>
      </c>
      <c r="G635" t="s">
        <v>33</v>
      </c>
      <c r="H635">
        <v>29</v>
      </c>
      <c r="I635" s="12" t="s">
        <v>24</v>
      </c>
      <c r="J635" s="12" t="s">
        <v>308</v>
      </c>
      <c r="K635" s="12" t="s">
        <v>73</v>
      </c>
      <c r="L635" s="12" t="s">
        <v>361</v>
      </c>
      <c r="M635" s="12" t="s">
        <v>46</v>
      </c>
      <c r="N635" s="14">
        <v>0.28000000000000003</v>
      </c>
      <c r="O635" s="23">
        <v>343.05</v>
      </c>
      <c r="P635">
        <v>289.359375</v>
      </c>
      <c r="Q635" s="12" t="str" cm="1">
        <f t="array" ref="Q635:R635">VLOOKUP(E635,store[],{3,5},FALSE)</f>
        <v>East</v>
      </c>
      <c r="R635" t="str">
        <v>Online</v>
      </c>
      <c r="S635" s="4">
        <f t="shared" si="9"/>
        <v>342.77</v>
      </c>
    </row>
    <row r="636" spans="1:19">
      <c r="A636" t="s">
        <v>1316</v>
      </c>
      <c r="B636" s="3">
        <v>45642</v>
      </c>
      <c r="C636" t="s">
        <v>611</v>
      </c>
      <c r="D636" t="s">
        <v>377</v>
      </c>
      <c r="E636" t="s">
        <v>72</v>
      </c>
      <c r="F636">
        <v>1</v>
      </c>
      <c r="G636" t="s">
        <v>33</v>
      </c>
      <c r="H636">
        <v>27</v>
      </c>
      <c r="I636" s="12" t="s">
        <v>34</v>
      </c>
      <c r="J636" s="12" t="s">
        <v>214</v>
      </c>
      <c r="K636" s="12" t="s">
        <v>60</v>
      </c>
      <c r="L636" s="12" t="s">
        <v>379</v>
      </c>
      <c r="M636" s="12" t="s">
        <v>28</v>
      </c>
      <c r="N636" s="14">
        <v>0.11</v>
      </c>
      <c r="O636" s="23">
        <v>373.06</v>
      </c>
      <c r="P636">
        <v>144.53</v>
      </c>
      <c r="Q636" s="12" t="str" cm="1">
        <f t="array" ref="Q636:R636">VLOOKUP(E636,store[],{3,5},FALSE)</f>
        <v>South</v>
      </c>
      <c r="R636" t="str">
        <v>Online</v>
      </c>
      <c r="S636" s="4">
        <f t="shared" si="9"/>
        <v>372.95</v>
      </c>
    </row>
    <row r="637" spans="1:19">
      <c r="A637" t="s">
        <v>1317</v>
      </c>
      <c r="B637" s="3">
        <v>45693</v>
      </c>
      <c r="C637" t="s">
        <v>1318</v>
      </c>
      <c r="D637" t="s">
        <v>928</v>
      </c>
      <c r="E637" t="s">
        <v>122</v>
      </c>
      <c r="F637">
        <v>1</v>
      </c>
      <c r="G637" t="s">
        <v>50</v>
      </c>
      <c r="H637">
        <v>63</v>
      </c>
      <c r="I637" s="12" t="s">
        <v>24</v>
      </c>
      <c r="J637" s="12" t="s">
        <v>308</v>
      </c>
      <c r="K637" s="12" t="s">
        <v>60</v>
      </c>
      <c r="L637" s="12" t="s">
        <v>929</v>
      </c>
      <c r="M637" s="12" t="s">
        <v>130</v>
      </c>
      <c r="N637" s="14">
        <v>7.0000000000000007E-2</v>
      </c>
      <c r="O637" s="23">
        <v>124.98</v>
      </c>
      <c r="P637">
        <v>245.77831168831199</v>
      </c>
      <c r="Q637" s="12" t="str" cm="1">
        <f t="array" ref="Q637:R637">VLOOKUP(E637,store[],{3,5},FALSE)</f>
        <v>North</v>
      </c>
      <c r="R637" t="str">
        <v>Flagship</v>
      </c>
      <c r="S637" s="4">
        <f t="shared" si="9"/>
        <v>124.91</v>
      </c>
    </row>
    <row r="638" spans="1:19">
      <c r="A638" t="s">
        <v>1319</v>
      </c>
      <c r="B638" s="3">
        <v>45763</v>
      </c>
      <c r="C638" t="s">
        <v>629</v>
      </c>
      <c r="D638" t="s">
        <v>575</v>
      </c>
      <c r="E638" t="s">
        <v>135</v>
      </c>
      <c r="F638">
        <v>4</v>
      </c>
      <c r="G638" t="s">
        <v>33</v>
      </c>
      <c r="H638">
        <v>48</v>
      </c>
      <c r="I638" s="12" t="s">
        <v>34</v>
      </c>
      <c r="J638" s="12" t="s">
        <v>227</v>
      </c>
      <c r="K638" s="12" t="s">
        <v>26</v>
      </c>
      <c r="L638" s="12" t="s">
        <v>576</v>
      </c>
      <c r="M638" s="12" t="s">
        <v>28</v>
      </c>
      <c r="N638" s="14">
        <v>0.26</v>
      </c>
      <c r="O638" s="23">
        <v>221.49</v>
      </c>
      <c r="P638">
        <v>107.06</v>
      </c>
      <c r="Q638" s="12" t="str" cm="1">
        <f t="array" ref="Q638:R638">VLOOKUP(E638,store[],{3,5},FALSE)</f>
        <v>East</v>
      </c>
      <c r="R638" t="str">
        <v>Online</v>
      </c>
      <c r="S638" s="4">
        <f t="shared" si="9"/>
        <v>884.92</v>
      </c>
    </row>
    <row r="639" spans="1:19">
      <c r="A639" t="s">
        <v>1320</v>
      </c>
      <c r="B639" s="3">
        <v>45572</v>
      </c>
      <c r="C639" t="s">
        <v>658</v>
      </c>
      <c r="D639" t="s">
        <v>250</v>
      </c>
      <c r="E639" t="s">
        <v>122</v>
      </c>
      <c r="F639">
        <v>1</v>
      </c>
      <c r="G639" t="s">
        <v>33</v>
      </c>
      <c r="H639">
        <v>18</v>
      </c>
      <c r="I639" s="12" t="s">
        <v>24</v>
      </c>
      <c r="J639" s="12" t="s">
        <v>80</v>
      </c>
      <c r="K639" s="12" t="s">
        <v>26</v>
      </c>
      <c r="L639" s="12" t="s">
        <v>252</v>
      </c>
      <c r="M639" s="12" t="s">
        <v>130</v>
      </c>
      <c r="N639" s="14">
        <v>0.01</v>
      </c>
      <c r="O639" s="23">
        <v>563.32000000000005</v>
      </c>
      <c r="P639">
        <v>248.82191780821901</v>
      </c>
      <c r="Q639" s="12" t="str" cm="1">
        <f t="array" ref="Q639:R639">VLOOKUP(E639,store[],{3,5},FALSE)</f>
        <v>North</v>
      </c>
      <c r="R639" t="str">
        <v>Flagship</v>
      </c>
      <c r="S639" s="4">
        <f t="shared" si="9"/>
        <v>563.30999999999995</v>
      </c>
    </row>
    <row r="640" spans="1:19">
      <c r="A640" t="s">
        <v>1321</v>
      </c>
      <c r="B640" s="3">
        <v>45338</v>
      </c>
      <c r="C640" t="s">
        <v>1322</v>
      </c>
      <c r="D640" t="s">
        <v>555</v>
      </c>
      <c r="E640" t="s">
        <v>90</v>
      </c>
      <c r="F640">
        <v>1</v>
      </c>
      <c r="G640" t="s">
        <v>23</v>
      </c>
      <c r="H640">
        <v>56</v>
      </c>
      <c r="I640" s="12" t="s">
        <v>24</v>
      </c>
      <c r="J640" s="12" t="s">
        <v>140</v>
      </c>
      <c r="K640" s="12" t="s">
        <v>60</v>
      </c>
      <c r="L640" s="12" t="s">
        <v>556</v>
      </c>
      <c r="M640" s="12" t="s">
        <v>37</v>
      </c>
      <c r="N640" s="14">
        <v>0.27</v>
      </c>
      <c r="O640" s="23">
        <v>362.93</v>
      </c>
      <c r="P640">
        <v>449.4</v>
      </c>
      <c r="Q640" s="12" t="str" cm="1">
        <f t="array" ref="Q640:R640">VLOOKUP(E640,store[],{3,5},FALSE)</f>
        <v>East</v>
      </c>
      <c r="R640" t="str">
        <v>Flagship</v>
      </c>
      <c r="S640" s="4">
        <f t="shared" si="9"/>
        <v>362.66</v>
      </c>
    </row>
    <row r="641" spans="1:19">
      <c r="A641" t="s">
        <v>1323</v>
      </c>
      <c r="B641" s="3">
        <v>45373</v>
      </c>
      <c r="C641" t="s">
        <v>1324</v>
      </c>
      <c r="D641" t="s">
        <v>555</v>
      </c>
      <c r="E641" t="s">
        <v>122</v>
      </c>
      <c r="F641">
        <v>4</v>
      </c>
      <c r="G641" t="s">
        <v>50</v>
      </c>
      <c r="H641">
        <v>58</v>
      </c>
      <c r="I641" s="12" t="s">
        <v>34</v>
      </c>
      <c r="J641" s="12" t="s">
        <v>609</v>
      </c>
      <c r="K641" s="12" t="s">
        <v>60</v>
      </c>
      <c r="L641" s="12" t="s">
        <v>556</v>
      </c>
      <c r="M641" s="12" t="s">
        <v>37</v>
      </c>
      <c r="N641" s="14">
        <v>0.18</v>
      </c>
      <c r="O641" s="23">
        <v>369.22</v>
      </c>
      <c r="P641">
        <v>449.4</v>
      </c>
      <c r="Q641" s="12" t="str" cm="1">
        <f t="array" ref="Q641:R641">VLOOKUP(E641,store[],{3,5},FALSE)</f>
        <v>North</v>
      </c>
      <c r="R641" t="str">
        <v>Flagship</v>
      </c>
      <c r="S641" s="4">
        <f t="shared" si="9"/>
        <v>1476.16</v>
      </c>
    </row>
    <row r="642" spans="1:19">
      <c r="A642" t="s">
        <v>1325</v>
      </c>
      <c r="B642" s="3">
        <v>45590</v>
      </c>
      <c r="C642" t="s">
        <v>1326</v>
      </c>
      <c r="D642" t="s">
        <v>1259</v>
      </c>
      <c r="E642" t="s">
        <v>98</v>
      </c>
      <c r="F642">
        <v>3</v>
      </c>
      <c r="G642" t="s">
        <v>33</v>
      </c>
      <c r="H642">
        <v>48</v>
      </c>
      <c r="I642" s="12" t="s">
        <v>34</v>
      </c>
      <c r="J642" s="12" t="s">
        <v>204</v>
      </c>
      <c r="K642" s="12" t="s">
        <v>73</v>
      </c>
      <c r="L642" s="12" t="s">
        <v>1260</v>
      </c>
      <c r="M642" s="12" t="s">
        <v>130</v>
      </c>
      <c r="N642" s="14">
        <v>0.06</v>
      </c>
      <c r="O642" s="23">
        <v>950.83</v>
      </c>
      <c r="P642">
        <v>358.47</v>
      </c>
      <c r="Q642" s="12" t="str" cm="1">
        <f t="array" ref="Q642:R642">VLOOKUP(E642,store[],{3,5},FALSE)</f>
        <v>South</v>
      </c>
      <c r="R642" t="str">
        <v>Outlet</v>
      </c>
      <c r="S642" s="4">
        <f t="shared" ref="S642:S705" si="10">(O642-N642)*F642</f>
        <v>2852.31</v>
      </c>
    </row>
    <row r="643" spans="1:19">
      <c r="A643" t="s">
        <v>1327</v>
      </c>
      <c r="B643" s="3">
        <v>45365</v>
      </c>
      <c r="C643" t="s">
        <v>394</v>
      </c>
      <c r="D643" t="s">
        <v>786</v>
      </c>
      <c r="E643" t="s">
        <v>149</v>
      </c>
      <c r="F643">
        <v>3</v>
      </c>
      <c r="G643" t="s">
        <v>23</v>
      </c>
      <c r="H643">
        <v>46</v>
      </c>
      <c r="I643" s="12" t="s">
        <v>24</v>
      </c>
      <c r="J643" s="12" t="s">
        <v>59</v>
      </c>
      <c r="K643" s="12" t="s">
        <v>73</v>
      </c>
      <c r="L643" s="12" t="s">
        <v>787</v>
      </c>
      <c r="M643" s="12" t="s">
        <v>130</v>
      </c>
      <c r="N643" s="14">
        <v>0.01</v>
      </c>
      <c r="O643" s="23">
        <v>338.79</v>
      </c>
      <c r="P643">
        <v>353.47</v>
      </c>
      <c r="Q643" s="12" t="str" cm="1">
        <f t="array" ref="Q643:R643">VLOOKUP(E643,store[],{3,5},FALSE)</f>
        <v>East</v>
      </c>
      <c r="R643" t="str">
        <v>Flagship</v>
      </c>
      <c r="S643" s="4">
        <f t="shared" si="10"/>
        <v>1016.34</v>
      </c>
    </row>
    <row r="644" spans="1:19">
      <c r="A644" t="s">
        <v>1328</v>
      </c>
      <c r="B644" s="3">
        <v>45711</v>
      </c>
      <c r="C644" t="s">
        <v>1130</v>
      </c>
      <c r="D644" t="s">
        <v>453</v>
      </c>
      <c r="E644" t="s">
        <v>105</v>
      </c>
      <c r="F644">
        <v>3</v>
      </c>
      <c r="G644" t="s">
        <v>50</v>
      </c>
      <c r="H644">
        <v>32</v>
      </c>
      <c r="I644" s="12" t="s">
        <v>34</v>
      </c>
      <c r="J644" s="12" t="s">
        <v>457</v>
      </c>
      <c r="K644" s="12" t="s">
        <v>26</v>
      </c>
      <c r="L644" s="12" t="s">
        <v>454</v>
      </c>
      <c r="M644" s="12" t="s">
        <v>37</v>
      </c>
      <c r="N644" s="14">
        <v>7.0000000000000007E-2</v>
      </c>
      <c r="O644" s="23">
        <v>853.32</v>
      </c>
      <c r="P644">
        <v>340.14</v>
      </c>
      <c r="Q644" s="12" t="str" cm="1">
        <f t="array" ref="Q644:R644">VLOOKUP(E644,store[],{3,5},FALSE)</f>
        <v>North</v>
      </c>
      <c r="R644" t="str">
        <v>Flagship</v>
      </c>
      <c r="S644" s="4">
        <f t="shared" si="10"/>
        <v>2559.75</v>
      </c>
    </row>
    <row r="645" spans="1:19">
      <c r="A645" t="s">
        <v>1329</v>
      </c>
      <c r="B645" s="3">
        <v>45586</v>
      </c>
      <c r="C645" t="s">
        <v>1228</v>
      </c>
      <c r="D645" t="s">
        <v>49</v>
      </c>
      <c r="E645" t="s">
        <v>179</v>
      </c>
      <c r="F645">
        <v>3</v>
      </c>
      <c r="G645" t="s">
        <v>50</v>
      </c>
      <c r="H645">
        <v>33</v>
      </c>
      <c r="I645" s="12" t="s">
        <v>24</v>
      </c>
      <c r="J645" s="12" t="s">
        <v>235</v>
      </c>
      <c r="K645" s="12" t="s">
        <v>52</v>
      </c>
      <c r="L645" s="12" t="s">
        <v>53</v>
      </c>
      <c r="M645" s="12" t="s">
        <v>37</v>
      </c>
      <c r="N645" s="14">
        <v>0.2</v>
      </c>
      <c r="O645" s="23">
        <v>89.78</v>
      </c>
      <c r="P645">
        <v>392.89</v>
      </c>
      <c r="Q645" s="12" t="str" cm="1">
        <f t="array" ref="Q645:R645">VLOOKUP(E645,store[],{3,5},FALSE)</f>
        <v>East</v>
      </c>
      <c r="R645" t="str">
        <v>Online</v>
      </c>
      <c r="S645" s="4">
        <f t="shared" si="10"/>
        <v>268.74</v>
      </c>
    </row>
    <row r="646" spans="1:19">
      <c r="A646" t="s">
        <v>1330</v>
      </c>
      <c r="B646" s="3">
        <v>45334</v>
      </c>
      <c r="C646" t="s">
        <v>836</v>
      </c>
      <c r="D646" t="s">
        <v>564</v>
      </c>
      <c r="E646" t="s">
        <v>105</v>
      </c>
      <c r="F646">
        <v>1</v>
      </c>
      <c r="G646" t="s">
        <v>33</v>
      </c>
      <c r="H646">
        <v>29</v>
      </c>
      <c r="I646" s="12" t="s">
        <v>34</v>
      </c>
      <c r="J646" s="12" t="s">
        <v>308</v>
      </c>
      <c r="K646" s="12" t="s">
        <v>73</v>
      </c>
      <c r="L646" s="12" t="s">
        <v>565</v>
      </c>
      <c r="M646" s="12" t="s">
        <v>75</v>
      </c>
      <c r="N646" s="14">
        <v>0.04</v>
      </c>
      <c r="O646" s="23">
        <v>172.04</v>
      </c>
      <c r="P646">
        <v>81.75</v>
      </c>
      <c r="Q646" s="12" t="str" cm="1">
        <f t="array" ref="Q646:R646">VLOOKUP(E646,store[],{3,5},FALSE)</f>
        <v>North</v>
      </c>
      <c r="R646" t="str">
        <v>Flagship</v>
      </c>
      <c r="S646" s="4">
        <f t="shared" si="10"/>
        <v>172</v>
      </c>
    </row>
    <row r="647" spans="1:19">
      <c r="A647" t="s">
        <v>1331</v>
      </c>
      <c r="B647" s="3">
        <v>45333</v>
      </c>
      <c r="C647" t="s">
        <v>30</v>
      </c>
      <c r="D647" t="s">
        <v>420</v>
      </c>
      <c r="E647" t="s">
        <v>105</v>
      </c>
      <c r="F647">
        <v>1</v>
      </c>
      <c r="G647" t="s">
        <v>23</v>
      </c>
      <c r="H647">
        <v>63</v>
      </c>
      <c r="I647" s="12" t="s">
        <v>34</v>
      </c>
      <c r="J647" s="12" t="s">
        <v>35</v>
      </c>
      <c r="K647" s="12" t="s">
        <v>26</v>
      </c>
      <c r="L647" s="12" t="s">
        <v>421</v>
      </c>
      <c r="M647" s="12" t="s">
        <v>28</v>
      </c>
      <c r="N647" s="14">
        <v>0.05</v>
      </c>
      <c r="O647" s="23">
        <v>389.2</v>
      </c>
      <c r="P647">
        <v>434.84</v>
      </c>
      <c r="Q647" s="12" t="str" cm="1">
        <f t="array" ref="Q647:R647">VLOOKUP(E647,store[],{3,5},FALSE)</f>
        <v>North</v>
      </c>
      <c r="R647" t="str">
        <v>Flagship</v>
      </c>
      <c r="S647" s="4">
        <f t="shared" si="10"/>
        <v>389.15</v>
      </c>
    </row>
    <row r="648" spans="1:19">
      <c r="A648" t="s">
        <v>1332</v>
      </c>
      <c r="B648" s="3">
        <v>45778</v>
      </c>
      <c r="C648" t="s">
        <v>1235</v>
      </c>
      <c r="D648" t="s">
        <v>192</v>
      </c>
      <c r="E648" t="s">
        <v>149</v>
      </c>
      <c r="F648">
        <v>3</v>
      </c>
      <c r="G648" t="s">
        <v>33</v>
      </c>
      <c r="H648">
        <v>60</v>
      </c>
      <c r="I648" s="12" t="s">
        <v>34</v>
      </c>
      <c r="J648" s="12" t="s">
        <v>333</v>
      </c>
      <c r="K648" s="12" t="s">
        <v>60</v>
      </c>
      <c r="L648" s="12" t="s">
        <v>194</v>
      </c>
      <c r="M648" s="12" t="s">
        <v>37</v>
      </c>
      <c r="N648" s="14">
        <v>0.12</v>
      </c>
      <c r="O648" s="23">
        <v>865.96</v>
      </c>
      <c r="P648">
        <v>480.9</v>
      </c>
      <c r="Q648" s="12" t="str" cm="1">
        <f t="array" ref="Q648:R648">VLOOKUP(E648,store[],{3,5},FALSE)</f>
        <v>East</v>
      </c>
      <c r="R648" t="str">
        <v>Flagship</v>
      </c>
      <c r="S648" s="4">
        <f t="shared" si="10"/>
        <v>2597.52</v>
      </c>
    </row>
    <row r="649" spans="1:19">
      <c r="A649" t="s">
        <v>1333</v>
      </c>
      <c r="B649" s="3">
        <v>45592</v>
      </c>
      <c r="C649" t="s">
        <v>720</v>
      </c>
      <c r="D649" t="s">
        <v>314</v>
      </c>
      <c r="E649" t="s">
        <v>105</v>
      </c>
      <c r="F649">
        <v>3</v>
      </c>
      <c r="G649" t="s">
        <v>50</v>
      </c>
      <c r="H649">
        <v>64</v>
      </c>
      <c r="I649" s="12" t="s">
        <v>24</v>
      </c>
      <c r="J649" s="12" t="s">
        <v>214</v>
      </c>
      <c r="K649" s="12" t="s">
        <v>73</v>
      </c>
      <c r="L649" s="12" t="s">
        <v>315</v>
      </c>
      <c r="M649" s="12" t="s">
        <v>28</v>
      </c>
      <c r="N649" s="14">
        <v>0.2</v>
      </c>
      <c r="O649" s="23">
        <v>79.95</v>
      </c>
      <c r="P649">
        <v>21.34</v>
      </c>
      <c r="Q649" s="12" t="str" cm="1">
        <f t="array" ref="Q649:R649">VLOOKUP(E649,store[],{3,5},FALSE)</f>
        <v>North</v>
      </c>
      <c r="R649" t="str">
        <v>Flagship</v>
      </c>
      <c r="S649" s="4">
        <f t="shared" si="10"/>
        <v>239.25</v>
      </c>
    </row>
    <row r="650" spans="1:19">
      <c r="A650" t="s">
        <v>1334</v>
      </c>
      <c r="B650" s="3">
        <v>45259</v>
      </c>
      <c r="C650" t="s">
        <v>182</v>
      </c>
      <c r="D650" t="s">
        <v>246</v>
      </c>
      <c r="E650" t="s">
        <v>66</v>
      </c>
      <c r="F650">
        <v>1</v>
      </c>
      <c r="G650" t="s">
        <v>50</v>
      </c>
      <c r="H650">
        <v>50</v>
      </c>
      <c r="I650" s="12" t="s">
        <v>24</v>
      </c>
      <c r="J650" s="12" t="s">
        <v>59</v>
      </c>
      <c r="K650" s="12" t="s">
        <v>60</v>
      </c>
      <c r="L650" s="12" t="s">
        <v>247</v>
      </c>
      <c r="M650" s="12" t="s">
        <v>37</v>
      </c>
      <c r="N650" s="14">
        <v>0.25</v>
      </c>
      <c r="O650" s="23">
        <v>566.5</v>
      </c>
      <c r="P650">
        <v>322.41000000000003</v>
      </c>
      <c r="Q650" s="12" t="str" cm="1">
        <f t="array" ref="Q650:R650">VLOOKUP(E650,store[],{3,5},FALSE)</f>
        <v>South</v>
      </c>
      <c r="R650" t="str">
        <v>Online</v>
      </c>
      <c r="S650" s="4">
        <f t="shared" si="10"/>
        <v>566.25</v>
      </c>
    </row>
    <row r="651" spans="1:19">
      <c r="A651" t="s">
        <v>1335</v>
      </c>
      <c r="B651" s="3">
        <v>45801</v>
      </c>
      <c r="C651" t="s">
        <v>1336</v>
      </c>
      <c r="D651" t="s">
        <v>279</v>
      </c>
      <c r="E651" t="s">
        <v>90</v>
      </c>
      <c r="F651">
        <v>2</v>
      </c>
      <c r="G651" t="s">
        <v>50</v>
      </c>
      <c r="H651">
        <v>31</v>
      </c>
      <c r="I651" s="12" t="s">
        <v>24</v>
      </c>
      <c r="J651" s="12" t="s">
        <v>231</v>
      </c>
      <c r="K651" s="12" t="s">
        <v>73</v>
      </c>
      <c r="L651" s="12" t="s">
        <v>280</v>
      </c>
      <c r="M651" s="12" t="s">
        <v>75</v>
      </c>
      <c r="N651" s="14">
        <v>0.13</v>
      </c>
      <c r="O651" s="23">
        <v>347.95</v>
      </c>
      <c r="P651">
        <v>123.46</v>
      </c>
      <c r="Q651" s="12" t="str" cm="1">
        <f t="array" ref="Q651:R651">VLOOKUP(E651,store[],{3,5},FALSE)</f>
        <v>East</v>
      </c>
      <c r="R651" t="str">
        <v>Flagship</v>
      </c>
      <c r="S651" s="4">
        <f t="shared" si="10"/>
        <v>695.64</v>
      </c>
    </row>
    <row r="652" spans="1:19">
      <c r="A652" t="s">
        <v>1337</v>
      </c>
      <c r="B652" s="3">
        <v>45347</v>
      </c>
      <c r="C652" t="s">
        <v>771</v>
      </c>
      <c r="D652" t="s">
        <v>714</v>
      </c>
      <c r="E652" t="s">
        <v>22</v>
      </c>
      <c r="F652">
        <v>2</v>
      </c>
      <c r="G652" t="s">
        <v>33</v>
      </c>
      <c r="H652">
        <v>50</v>
      </c>
      <c r="I652" s="12" t="s">
        <v>34</v>
      </c>
      <c r="J652" s="12" t="s">
        <v>193</v>
      </c>
      <c r="K652" s="12" t="s">
        <v>52</v>
      </c>
      <c r="L652" s="12" t="s">
        <v>715</v>
      </c>
      <c r="M652" s="12" t="s">
        <v>130</v>
      </c>
      <c r="N652" s="14">
        <v>0.15</v>
      </c>
      <c r="O652" s="23">
        <v>250.83</v>
      </c>
      <c r="P652">
        <v>113.83</v>
      </c>
      <c r="Q652" s="12" t="str" cm="1">
        <f t="array" ref="Q652:R652">VLOOKUP(E652,store[],{3,5},FALSE)</f>
        <v>North</v>
      </c>
      <c r="R652" t="str">
        <v>Outlet</v>
      </c>
      <c r="S652" s="4">
        <f t="shared" si="10"/>
        <v>501.36</v>
      </c>
    </row>
    <row r="653" spans="1:19">
      <c r="A653" t="s">
        <v>1338</v>
      </c>
      <c r="B653" s="3">
        <v>45721</v>
      </c>
      <c r="C653" t="s">
        <v>1228</v>
      </c>
      <c r="D653" t="s">
        <v>368</v>
      </c>
      <c r="E653" t="s">
        <v>105</v>
      </c>
      <c r="F653">
        <v>1</v>
      </c>
      <c r="G653" t="s">
        <v>33</v>
      </c>
      <c r="H653">
        <v>33</v>
      </c>
      <c r="I653" s="12" t="s">
        <v>24</v>
      </c>
      <c r="J653" s="12" t="s">
        <v>235</v>
      </c>
      <c r="K653" s="12" t="s">
        <v>52</v>
      </c>
      <c r="L653" s="12" t="s">
        <v>369</v>
      </c>
      <c r="M653" s="12" t="s">
        <v>46</v>
      </c>
      <c r="N653" s="14">
        <v>0.2</v>
      </c>
      <c r="O653" s="23">
        <v>888.05</v>
      </c>
      <c r="P653">
        <v>214.32</v>
      </c>
      <c r="Q653" s="12" t="str" cm="1">
        <f t="array" ref="Q653:R653">VLOOKUP(E653,store[],{3,5},FALSE)</f>
        <v>North</v>
      </c>
      <c r="R653" t="str">
        <v>Flagship</v>
      </c>
      <c r="S653" s="4">
        <f t="shared" si="10"/>
        <v>887.85</v>
      </c>
    </row>
    <row r="654" spans="1:19">
      <c r="A654" t="s">
        <v>1339</v>
      </c>
      <c r="B654" s="3">
        <v>45531</v>
      </c>
      <c r="C654" t="s">
        <v>1013</v>
      </c>
      <c r="D654" t="s">
        <v>104</v>
      </c>
      <c r="E654" t="s">
        <v>160</v>
      </c>
      <c r="F654">
        <v>2</v>
      </c>
      <c r="G654" t="s">
        <v>33</v>
      </c>
      <c r="H654">
        <v>29</v>
      </c>
      <c r="I654" s="12" t="s">
        <v>34</v>
      </c>
      <c r="J654" s="12" t="s">
        <v>345</v>
      </c>
      <c r="K654" s="12" t="s">
        <v>52</v>
      </c>
      <c r="L654" s="12" t="s">
        <v>107</v>
      </c>
      <c r="M654" s="12" t="s">
        <v>37</v>
      </c>
      <c r="N654" s="14">
        <v>0.11</v>
      </c>
      <c r="O654" s="23">
        <v>673.02</v>
      </c>
      <c r="P654">
        <v>326.06</v>
      </c>
      <c r="Q654" s="12" t="str" cm="1">
        <f t="array" ref="Q654:R654">VLOOKUP(E654,store[],{3,5},FALSE)</f>
        <v>East</v>
      </c>
      <c r="R654" t="str">
        <v>Flagship</v>
      </c>
      <c r="S654" s="4">
        <f t="shared" si="10"/>
        <v>1345.82</v>
      </c>
    </row>
    <row r="655" spans="1:19">
      <c r="A655" t="s">
        <v>1340</v>
      </c>
      <c r="B655" s="3">
        <v>45332</v>
      </c>
      <c r="C655" t="s">
        <v>1341</v>
      </c>
      <c r="D655" t="s">
        <v>779</v>
      </c>
      <c r="E655" t="s">
        <v>22</v>
      </c>
      <c r="F655">
        <v>2</v>
      </c>
      <c r="G655" t="s">
        <v>50</v>
      </c>
      <c r="H655">
        <v>60</v>
      </c>
      <c r="I655" s="12" t="s">
        <v>24</v>
      </c>
      <c r="J655" s="12" t="s">
        <v>188</v>
      </c>
      <c r="K655" s="12" t="s">
        <v>60</v>
      </c>
      <c r="L655" s="12" t="s">
        <v>780</v>
      </c>
      <c r="M655" s="12" t="s">
        <v>46</v>
      </c>
      <c r="N655" s="14">
        <v>0.26</v>
      </c>
      <c r="O655" s="23">
        <v>492.62</v>
      </c>
      <c r="P655">
        <v>299.11</v>
      </c>
      <c r="Q655" s="12" t="str" cm="1">
        <f t="array" ref="Q655:R655">VLOOKUP(E655,store[],{3,5},FALSE)</f>
        <v>North</v>
      </c>
      <c r="R655" t="str">
        <v>Outlet</v>
      </c>
      <c r="S655" s="4">
        <f t="shared" si="10"/>
        <v>984.72</v>
      </c>
    </row>
    <row r="656" spans="1:19">
      <c r="A656" t="s">
        <v>1342</v>
      </c>
      <c r="B656" s="3">
        <v>45344</v>
      </c>
      <c r="C656" t="s">
        <v>1343</v>
      </c>
      <c r="D656" t="s">
        <v>462</v>
      </c>
      <c r="E656" t="s">
        <v>22</v>
      </c>
      <c r="F656">
        <v>4</v>
      </c>
      <c r="G656" t="s">
        <v>23</v>
      </c>
      <c r="H656">
        <v>30</v>
      </c>
      <c r="I656" s="12" t="s">
        <v>24</v>
      </c>
      <c r="J656" s="12" t="s">
        <v>440</v>
      </c>
      <c r="K656" s="12" t="s">
        <v>73</v>
      </c>
      <c r="L656" s="12" t="s">
        <v>464</v>
      </c>
      <c r="M656" s="12" t="s">
        <v>130</v>
      </c>
      <c r="N656" s="14">
        <v>0.01</v>
      </c>
      <c r="O656" s="23">
        <v>986.93</v>
      </c>
      <c r="P656">
        <v>119.57</v>
      </c>
      <c r="Q656" s="12" t="str" cm="1">
        <f t="array" ref="Q656:R656">VLOOKUP(E656,store[],{3,5},FALSE)</f>
        <v>North</v>
      </c>
      <c r="R656" t="str">
        <v>Outlet</v>
      </c>
      <c r="S656" s="4">
        <f t="shared" si="10"/>
        <v>3947.68</v>
      </c>
    </row>
    <row r="657" spans="1:19">
      <c r="A657" t="s">
        <v>1344</v>
      </c>
      <c r="B657" s="3">
        <v>45388</v>
      </c>
      <c r="C657" t="s">
        <v>853</v>
      </c>
      <c r="D657" t="s">
        <v>443</v>
      </c>
      <c r="E657" t="s">
        <v>208</v>
      </c>
      <c r="F657">
        <v>4</v>
      </c>
      <c r="G657" t="s">
        <v>33</v>
      </c>
      <c r="H657">
        <v>40</v>
      </c>
      <c r="I657" s="12" t="s">
        <v>24</v>
      </c>
      <c r="J657" s="12" t="s">
        <v>356</v>
      </c>
      <c r="K657" s="12" t="s">
        <v>73</v>
      </c>
      <c r="L657" s="12" t="s">
        <v>445</v>
      </c>
      <c r="M657" s="12" t="s">
        <v>28</v>
      </c>
      <c r="N657" s="14">
        <v>0.06</v>
      </c>
      <c r="O657" s="23">
        <v>411.68</v>
      </c>
      <c r="P657">
        <v>484.62</v>
      </c>
      <c r="Q657" s="12" t="str" cm="1">
        <f t="array" ref="Q657:R657">VLOOKUP(E657,store[],{3,5},FALSE)</f>
        <v>North</v>
      </c>
      <c r="R657" t="str">
        <v>Online</v>
      </c>
      <c r="S657" s="4">
        <f t="shared" si="10"/>
        <v>1646.48</v>
      </c>
    </row>
    <row r="658" spans="1:19">
      <c r="A658" t="s">
        <v>1345</v>
      </c>
      <c r="B658" s="3">
        <v>45397</v>
      </c>
      <c r="C658" t="s">
        <v>785</v>
      </c>
      <c r="D658" t="s">
        <v>126</v>
      </c>
      <c r="E658" t="s">
        <v>32</v>
      </c>
      <c r="F658">
        <v>2</v>
      </c>
      <c r="G658" t="s">
        <v>50</v>
      </c>
      <c r="H658">
        <v>47</v>
      </c>
      <c r="I658" s="12" t="s">
        <v>34</v>
      </c>
      <c r="J658" s="12" t="s">
        <v>204</v>
      </c>
      <c r="K658" s="12" t="s">
        <v>26</v>
      </c>
      <c r="L658" s="12" t="s">
        <v>129</v>
      </c>
      <c r="M658" s="12" t="s">
        <v>130</v>
      </c>
      <c r="N658" s="14">
        <v>0.05</v>
      </c>
      <c r="O658" s="23">
        <v>637.55999999999995</v>
      </c>
      <c r="P658">
        <v>223.43</v>
      </c>
      <c r="Q658" s="12" t="str" cm="1">
        <f t="array" ref="Q658:R658">VLOOKUP(E658,store[],{3,5},FALSE)</f>
        <v>North</v>
      </c>
      <c r="R658" t="str">
        <v>Flagship</v>
      </c>
      <c r="S658" s="4">
        <f t="shared" si="10"/>
        <v>1275.02</v>
      </c>
    </row>
    <row r="659" spans="1:19">
      <c r="A659" t="s">
        <v>1346</v>
      </c>
      <c r="B659" s="3">
        <v>45633</v>
      </c>
      <c r="C659" t="s">
        <v>912</v>
      </c>
      <c r="D659" t="s">
        <v>197</v>
      </c>
      <c r="E659" t="s">
        <v>22</v>
      </c>
      <c r="F659">
        <v>3</v>
      </c>
      <c r="G659" t="s">
        <v>23</v>
      </c>
      <c r="H659">
        <v>53</v>
      </c>
      <c r="I659" s="12" t="s">
        <v>34</v>
      </c>
      <c r="J659" s="12" t="s">
        <v>761</v>
      </c>
      <c r="K659" s="12" t="s">
        <v>60</v>
      </c>
      <c r="L659" s="12" t="s">
        <v>200</v>
      </c>
      <c r="M659" s="12" t="s">
        <v>37</v>
      </c>
      <c r="N659" s="14">
        <v>0.27</v>
      </c>
      <c r="O659" s="23">
        <v>706.87</v>
      </c>
      <c r="P659">
        <v>242.23</v>
      </c>
      <c r="Q659" s="12" t="str" cm="1">
        <f t="array" ref="Q659:R659">VLOOKUP(E659,store[],{3,5},FALSE)</f>
        <v>North</v>
      </c>
      <c r="R659" t="str">
        <v>Outlet</v>
      </c>
      <c r="S659" s="4">
        <f t="shared" si="10"/>
        <v>2119.8000000000002</v>
      </c>
    </row>
    <row r="660" spans="1:19">
      <c r="A660" t="s">
        <v>1347</v>
      </c>
      <c r="B660" s="3">
        <v>45629</v>
      </c>
      <c r="C660" t="s">
        <v>1348</v>
      </c>
      <c r="D660" t="s">
        <v>65</v>
      </c>
      <c r="E660" t="s">
        <v>179</v>
      </c>
      <c r="F660">
        <v>2</v>
      </c>
      <c r="G660" t="s">
        <v>50</v>
      </c>
      <c r="H660">
        <v>56</v>
      </c>
      <c r="I660" s="12" t="s">
        <v>34</v>
      </c>
      <c r="J660" s="12" t="s">
        <v>510</v>
      </c>
      <c r="K660" s="12" t="s">
        <v>73</v>
      </c>
      <c r="L660" s="12" t="s">
        <v>68</v>
      </c>
      <c r="M660" s="12" t="s">
        <v>37</v>
      </c>
      <c r="N660" s="14">
        <v>0</v>
      </c>
      <c r="O660" s="23">
        <v>884.48</v>
      </c>
      <c r="P660">
        <v>465.34</v>
      </c>
      <c r="Q660" s="12" t="str" cm="1">
        <f t="array" ref="Q660:R660">VLOOKUP(E660,store[],{3,5},FALSE)</f>
        <v>East</v>
      </c>
      <c r="R660" t="str">
        <v>Online</v>
      </c>
      <c r="S660" s="4">
        <f t="shared" si="10"/>
        <v>1768.96</v>
      </c>
    </row>
    <row r="661" spans="1:19">
      <c r="A661" t="s">
        <v>1349</v>
      </c>
      <c r="B661" s="3">
        <v>45291</v>
      </c>
      <c r="C661" t="s">
        <v>857</v>
      </c>
      <c r="D661" t="s">
        <v>603</v>
      </c>
      <c r="E661" t="s">
        <v>72</v>
      </c>
      <c r="F661">
        <v>3</v>
      </c>
      <c r="G661" t="s">
        <v>33</v>
      </c>
      <c r="H661">
        <v>54</v>
      </c>
      <c r="I661" s="12" t="s">
        <v>34</v>
      </c>
      <c r="J661" s="12" t="s">
        <v>99</v>
      </c>
      <c r="K661" s="12" t="s">
        <v>60</v>
      </c>
      <c r="L661" s="12" t="s">
        <v>604</v>
      </c>
      <c r="M661" s="12" t="s">
        <v>75</v>
      </c>
      <c r="N661" s="14">
        <v>0.19</v>
      </c>
      <c r="O661" s="23">
        <v>718.23</v>
      </c>
      <c r="P661">
        <v>447.43</v>
      </c>
      <c r="Q661" s="12" t="str" cm="1">
        <f t="array" ref="Q661:R661">VLOOKUP(E661,store[],{3,5},FALSE)</f>
        <v>South</v>
      </c>
      <c r="R661" t="str">
        <v>Online</v>
      </c>
      <c r="S661" s="4">
        <f t="shared" si="10"/>
        <v>2154.12</v>
      </c>
    </row>
    <row r="662" spans="1:19">
      <c r="A662" t="s">
        <v>1350</v>
      </c>
      <c r="B662" s="3">
        <v>45914</v>
      </c>
      <c r="C662" t="s">
        <v>1351</v>
      </c>
      <c r="D662" t="s">
        <v>453</v>
      </c>
      <c r="E662" t="s">
        <v>160</v>
      </c>
      <c r="F662">
        <v>3</v>
      </c>
      <c r="G662" t="s">
        <v>33</v>
      </c>
      <c r="H662">
        <v>38</v>
      </c>
      <c r="I662" s="12" t="s">
        <v>24</v>
      </c>
      <c r="J662" s="12" t="s">
        <v>193</v>
      </c>
      <c r="K662" s="12" t="s">
        <v>73</v>
      </c>
      <c r="L662" s="12" t="s">
        <v>454</v>
      </c>
      <c r="M662" s="12" t="s">
        <v>37</v>
      </c>
      <c r="N662" s="14">
        <v>0.27</v>
      </c>
      <c r="O662" s="23">
        <v>107.44</v>
      </c>
      <c r="P662">
        <v>340.14</v>
      </c>
      <c r="Q662" s="12" t="str" cm="1">
        <f t="array" ref="Q662:R662">VLOOKUP(E662,store[],{3,5},FALSE)</f>
        <v>East</v>
      </c>
      <c r="R662" t="str">
        <v>Flagship</v>
      </c>
      <c r="S662" s="4">
        <f t="shared" si="10"/>
        <v>321.51</v>
      </c>
    </row>
    <row r="663" spans="1:19">
      <c r="A663" t="s">
        <v>1352</v>
      </c>
      <c r="B663" s="3">
        <v>45673</v>
      </c>
      <c r="C663" t="s">
        <v>41</v>
      </c>
      <c r="D663" t="s">
        <v>381</v>
      </c>
      <c r="E663" t="s">
        <v>22</v>
      </c>
      <c r="F663">
        <v>4</v>
      </c>
      <c r="G663" t="s">
        <v>50</v>
      </c>
      <c r="H663">
        <v>49</v>
      </c>
      <c r="I663" s="12" t="s">
        <v>34</v>
      </c>
      <c r="J663" s="12" t="s">
        <v>44</v>
      </c>
      <c r="K663" s="12" t="s">
        <v>26</v>
      </c>
      <c r="L663" s="12" t="s">
        <v>382</v>
      </c>
      <c r="M663" s="12" t="s">
        <v>130</v>
      </c>
      <c r="N663" s="14">
        <v>0.14000000000000001</v>
      </c>
      <c r="O663" s="23">
        <v>608.97</v>
      </c>
      <c r="P663">
        <v>167.34</v>
      </c>
      <c r="Q663" s="12" t="str" cm="1">
        <f t="array" ref="Q663:R663">VLOOKUP(E663,store[],{3,5},FALSE)</f>
        <v>North</v>
      </c>
      <c r="R663" t="str">
        <v>Outlet</v>
      </c>
      <c r="S663" s="4">
        <f t="shared" si="10"/>
        <v>2435.3200000000002</v>
      </c>
    </row>
    <row r="664" spans="1:19">
      <c r="A664" t="s">
        <v>1353</v>
      </c>
      <c r="B664" s="3">
        <v>45689</v>
      </c>
      <c r="C664" t="s">
        <v>1354</v>
      </c>
      <c r="D664" t="s">
        <v>698</v>
      </c>
      <c r="E664" t="s">
        <v>179</v>
      </c>
      <c r="F664">
        <v>3</v>
      </c>
      <c r="G664" t="s">
        <v>23</v>
      </c>
      <c r="H664">
        <v>38</v>
      </c>
      <c r="I664" s="12" t="s">
        <v>24</v>
      </c>
      <c r="J664" s="12" t="s">
        <v>440</v>
      </c>
      <c r="K664" s="12" t="s">
        <v>60</v>
      </c>
      <c r="L664" s="12" t="s">
        <v>699</v>
      </c>
      <c r="M664" s="12" t="s">
        <v>28</v>
      </c>
      <c r="N664" s="14">
        <v>0.09</v>
      </c>
      <c r="O664" s="23">
        <v>260.45999999999998</v>
      </c>
      <c r="P664">
        <v>103.45</v>
      </c>
      <c r="Q664" s="12" t="str" cm="1">
        <f t="array" ref="Q664:R664">VLOOKUP(E664,store[],{3,5},FALSE)</f>
        <v>East</v>
      </c>
      <c r="R664" t="str">
        <v>Online</v>
      </c>
      <c r="S664" s="4">
        <f t="shared" si="10"/>
        <v>781.11</v>
      </c>
    </row>
    <row r="665" spans="1:19">
      <c r="A665" t="s">
        <v>1355</v>
      </c>
      <c r="B665" s="3">
        <v>45646</v>
      </c>
      <c r="C665" t="s">
        <v>1201</v>
      </c>
      <c r="D665" t="s">
        <v>443</v>
      </c>
      <c r="E665" t="s">
        <v>179</v>
      </c>
      <c r="F665">
        <v>1</v>
      </c>
      <c r="G665" t="s">
        <v>23</v>
      </c>
      <c r="H665">
        <v>40</v>
      </c>
      <c r="I665" s="12" t="s">
        <v>24</v>
      </c>
      <c r="J665" s="12" t="s">
        <v>106</v>
      </c>
      <c r="K665" s="12" t="s">
        <v>60</v>
      </c>
      <c r="L665" s="12" t="s">
        <v>445</v>
      </c>
      <c r="M665" s="12" t="s">
        <v>28</v>
      </c>
      <c r="N665" s="14">
        <v>0.01</v>
      </c>
      <c r="O665" s="23">
        <v>747.03</v>
      </c>
      <c r="P665">
        <v>484.62</v>
      </c>
      <c r="Q665" s="12" t="str" cm="1">
        <f t="array" ref="Q665:R665">VLOOKUP(E665,store[],{3,5},FALSE)</f>
        <v>East</v>
      </c>
      <c r="R665" t="str">
        <v>Online</v>
      </c>
      <c r="S665" s="4">
        <f t="shared" si="10"/>
        <v>747.02</v>
      </c>
    </row>
    <row r="666" spans="1:19">
      <c r="A666" t="s">
        <v>1356</v>
      </c>
      <c r="B666" s="3">
        <v>45475</v>
      </c>
      <c r="C666" t="s">
        <v>305</v>
      </c>
      <c r="D666" t="s">
        <v>226</v>
      </c>
      <c r="E666" t="s">
        <v>43</v>
      </c>
      <c r="F666">
        <v>4</v>
      </c>
      <c r="G666" t="s">
        <v>33</v>
      </c>
      <c r="H666">
        <v>22</v>
      </c>
      <c r="I666" s="12" t="s">
        <v>34</v>
      </c>
      <c r="J666" s="12" t="s">
        <v>140</v>
      </c>
      <c r="K666" s="12" t="s">
        <v>60</v>
      </c>
      <c r="L666" s="12" t="s">
        <v>228</v>
      </c>
      <c r="M666" s="12" t="s">
        <v>46</v>
      </c>
      <c r="N666" s="14">
        <v>0.23</v>
      </c>
      <c r="O666" s="23">
        <v>700.88</v>
      </c>
      <c r="P666">
        <v>337.42</v>
      </c>
      <c r="Q666" s="12" t="str" cm="1">
        <f t="array" ref="Q666:R666">VLOOKUP(E666,store[],{3,5},FALSE)</f>
        <v>West</v>
      </c>
      <c r="R666" t="str">
        <v>Online</v>
      </c>
      <c r="S666" s="4">
        <f t="shared" si="10"/>
        <v>2802.6</v>
      </c>
    </row>
    <row r="667" spans="1:19">
      <c r="A667" t="s">
        <v>1357</v>
      </c>
      <c r="B667" s="3">
        <v>45781</v>
      </c>
      <c r="C667" t="s">
        <v>1358</v>
      </c>
      <c r="D667" t="s">
        <v>1126</v>
      </c>
      <c r="E667" t="s">
        <v>98</v>
      </c>
      <c r="F667">
        <v>4</v>
      </c>
      <c r="G667" t="s">
        <v>33</v>
      </c>
      <c r="H667">
        <v>54</v>
      </c>
      <c r="I667" s="12" t="s">
        <v>24</v>
      </c>
      <c r="J667" s="12" t="s">
        <v>256</v>
      </c>
      <c r="K667" s="12" t="s">
        <v>52</v>
      </c>
      <c r="L667" s="12" t="s">
        <v>1127</v>
      </c>
      <c r="M667" s="12" t="s">
        <v>28</v>
      </c>
      <c r="N667" s="14">
        <v>0.16</v>
      </c>
      <c r="O667" s="23">
        <v>20.09</v>
      </c>
      <c r="P667">
        <v>60.65</v>
      </c>
      <c r="Q667" s="12" t="str" cm="1">
        <f t="array" ref="Q667:R667">VLOOKUP(E667,store[],{3,5},FALSE)</f>
        <v>South</v>
      </c>
      <c r="R667" t="str">
        <v>Outlet</v>
      </c>
      <c r="S667" s="4">
        <f t="shared" si="10"/>
        <v>79.72</v>
      </c>
    </row>
    <row r="668" spans="1:19">
      <c r="A668" t="s">
        <v>1359</v>
      </c>
      <c r="B668" s="3">
        <v>45654</v>
      </c>
      <c r="C668" t="s">
        <v>1215</v>
      </c>
      <c r="D668" t="s">
        <v>786</v>
      </c>
      <c r="E668" t="s">
        <v>272</v>
      </c>
      <c r="F668">
        <v>3</v>
      </c>
      <c r="G668" t="s">
        <v>33</v>
      </c>
      <c r="H668">
        <v>50</v>
      </c>
      <c r="I668" s="12" t="s">
        <v>24</v>
      </c>
      <c r="J668" s="12" t="s">
        <v>222</v>
      </c>
      <c r="K668" s="12" t="s">
        <v>73</v>
      </c>
      <c r="L668" s="12" t="s">
        <v>787</v>
      </c>
      <c r="M668" s="12" t="s">
        <v>130</v>
      </c>
      <c r="N668" s="14">
        <v>0.24</v>
      </c>
      <c r="O668" s="23">
        <v>917.64</v>
      </c>
      <c r="P668">
        <v>353.47</v>
      </c>
      <c r="Q668" s="12" t="str" cm="1">
        <f t="array" ref="Q668:R668">VLOOKUP(E668,store[],{3,5},FALSE)</f>
        <v>South</v>
      </c>
      <c r="R668" t="str">
        <v>Online</v>
      </c>
      <c r="S668" s="4">
        <f t="shared" si="10"/>
        <v>2752.2</v>
      </c>
    </row>
    <row r="669" spans="1:19">
      <c r="A669" t="s">
        <v>1360</v>
      </c>
      <c r="B669" s="3">
        <v>45594</v>
      </c>
      <c r="C669" t="s">
        <v>1361</v>
      </c>
      <c r="D669" t="s">
        <v>279</v>
      </c>
      <c r="E669" t="s">
        <v>90</v>
      </c>
      <c r="F669">
        <v>1</v>
      </c>
      <c r="G669" t="s">
        <v>33</v>
      </c>
      <c r="H669">
        <v>23</v>
      </c>
      <c r="I669" s="12" t="s">
        <v>34</v>
      </c>
      <c r="J669" s="12" t="s">
        <v>356</v>
      </c>
      <c r="K669" s="12" t="s">
        <v>26</v>
      </c>
      <c r="L669" s="12" t="s">
        <v>280</v>
      </c>
      <c r="M669" s="12" t="s">
        <v>75</v>
      </c>
      <c r="N669" s="14">
        <v>0.18</v>
      </c>
      <c r="O669" s="23">
        <v>242.08</v>
      </c>
      <c r="P669">
        <v>123.46</v>
      </c>
      <c r="Q669" s="12" t="str" cm="1">
        <f t="array" ref="Q669:R669">VLOOKUP(E669,store[],{3,5},FALSE)</f>
        <v>East</v>
      </c>
      <c r="R669" t="str">
        <v>Flagship</v>
      </c>
      <c r="S669" s="4">
        <f t="shared" si="10"/>
        <v>241.9</v>
      </c>
    </row>
    <row r="670" spans="1:19">
      <c r="A670" t="s">
        <v>1362</v>
      </c>
      <c r="B670" s="3">
        <v>45581</v>
      </c>
      <c r="C670" t="s">
        <v>1208</v>
      </c>
      <c r="D670" t="s">
        <v>625</v>
      </c>
      <c r="E670" t="s">
        <v>66</v>
      </c>
      <c r="F670">
        <v>1</v>
      </c>
      <c r="G670" t="s">
        <v>23</v>
      </c>
      <c r="H670">
        <v>43</v>
      </c>
      <c r="I670" s="12" t="s">
        <v>34</v>
      </c>
      <c r="J670" s="12" t="s">
        <v>67</v>
      </c>
      <c r="K670" s="12" t="s">
        <v>52</v>
      </c>
      <c r="L670" s="12" t="s">
        <v>626</v>
      </c>
      <c r="M670" s="12" t="s">
        <v>46</v>
      </c>
      <c r="N670" s="14">
        <v>0.27</v>
      </c>
      <c r="O670" s="23">
        <v>536.67999999999995</v>
      </c>
      <c r="P670">
        <v>266.86</v>
      </c>
      <c r="Q670" s="12" t="str" cm="1">
        <f t="array" ref="Q670:R670">VLOOKUP(E670,store[],{3,5},FALSE)</f>
        <v>South</v>
      </c>
      <c r="R670" t="str">
        <v>Online</v>
      </c>
      <c r="S670" s="4">
        <f t="shared" si="10"/>
        <v>536.41</v>
      </c>
    </row>
    <row r="671" spans="1:19">
      <c r="A671" t="s">
        <v>1363</v>
      </c>
      <c r="B671" s="3">
        <v>45748</v>
      </c>
      <c r="C671" t="s">
        <v>145</v>
      </c>
      <c r="D671" t="s">
        <v>255</v>
      </c>
      <c r="E671" t="s">
        <v>72</v>
      </c>
      <c r="F671">
        <v>2</v>
      </c>
      <c r="G671" t="s">
        <v>33</v>
      </c>
      <c r="H671">
        <v>43</v>
      </c>
      <c r="I671" s="12" t="s">
        <v>34</v>
      </c>
      <c r="J671" s="12" t="s">
        <v>99</v>
      </c>
      <c r="K671" s="12" t="s">
        <v>26</v>
      </c>
      <c r="L671" s="12" t="s">
        <v>257</v>
      </c>
      <c r="M671" s="12" t="s">
        <v>75</v>
      </c>
      <c r="N671" s="14">
        <v>0.26</v>
      </c>
      <c r="O671" s="23">
        <v>145.18</v>
      </c>
      <c r="P671">
        <v>218.48</v>
      </c>
      <c r="Q671" s="12" t="str" cm="1">
        <f t="array" ref="Q671:R671">VLOOKUP(E671,store[],{3,5},FALSE)</f>
        <v>South</v>
      </c>
      <c r="R671" t="str">
        <v>Online</v>
      </c>
      <c r="S671" s="4">
        <f t="shared" si="10"/>
        <v>289.83999999999997</v>
      </c>
    </row>
    <row r="672" spans="1:19">
      <c r="A672" t="s">
        <v>1364</v>
      </c>
      <c r="B672" s="3">
        <v>45369</v>
      </c>
      <c r="C672" t="s">
        <v>358</v>
      </c>
      <c r="D672" t="s">
        <v>178</v>
      </c>
      <c r="E672" t="s">
        <v>72</v>
      </c>
      <c r="F672">
        <v>2</v>
      </c>
      <c r="G672" t="s">
        <v>50</v>
      </c>
      <c r="H672">
        <v>38</v>
      </c>
      <c r="I672" s="12" t="s">
        <v>24</v>
      </c>
      <c r="J672" s="12" t="s">
        <v>360</v>
      </c>
      <c r="K672" s="12" t="s">
        <v>52</v>
      </c>
      <c r="L672" s="12" t="s">
        <v>180</v>
      </c>
      <c r="M672" s="12" t="s">
        <v>37</v>
      </c>
      <c r="N672" s="14">
        <v>0.13</v>
      </c>
      <c r="O672" s="23">
        <v>132.77000000000001</v>
      </c>
      <c r="P672">
        <v>349.17</v>
      </c>
      <c r="Q672" s="12" t="str" cm="1">
        <f t="array" ref="Q672:R672">VLOOKUP(E672,store[],{3,5},FALSE)</f>
        <v>South</v>
      </c>
      <c r="R672" t="str">
        <v>Online</v>
      </c>
      <c r="S672" s="4">
        <f t="shared" si="10"/>
        <v>265.27999999999997</v>
      </c>
    </row>
    <row r="673" spans="1:19">
      <c r="A673" t="s">
        <v>1365</v>
      </c>
      <c r="B673" s="3">
        <v>45701</v>
      </c>
      <c r="C673" t="s">
        <v>758</v>
      </c>
      <c r="D673" t="s">
        <v>745</v>
      </c>
      <c r="E673" t="s">
        <v>127</v>
      </c>
      <c r="F673">
        <v>4</v>
      </c>
      <c r="G673" t="s">
        <v>23</v>
      </c>
      <c r="H673">
        <v>32</v>
      </c>
      <c r="I673" s="12" t="s">
        <v>34</v>
      </c>
      <c r="J673" s="12" t="s">
        <v>111</v>
      </c>
      <c r="K673" s="12" t="s">
        <v>60</v>
      </c>
      <c r="L673" s="12" t="s">
        <v>746</v>
      </c>
      <c r="M673" s="12" t="s">
        <v>28</v>
      </c>
      <c r="N673" s="14">
        <v>0.14000000000000001</v>
      </c>
      <c r="O673" s="23">
        <v>682.11</v>
      </c>
      <c r="P673">
        <v>313.26</v>
      </c>
      <c r="Q673" s="12" t="str" cm="1">
        <f t="array" ref="Q673:R673">VLOOKUP(E673,store[],{3,5},FALSE)</f>
        <v>South</v>
      </c>
      <c r="R673" t="str">
        <v>Flagship</v>
      </c>
      <c r="S673" s="4">
        <f t="shared" si="10"/>
        <v>2727.88</v>
      </c>
    </row>
    <row r="674" spans="1:19">
      <c r="A674" t="s">
        <v>1366</v>
      </c>
      <c r="B674" s="3">
        <v>45510</v>
      </c>
      <c r="C674" t="s">
        <v>1367</v>
      </c>
      <c r="D674" t="s">
        <v>295</v>
      </c>
      <c r="E674" t="s">
        <v>32</v>
      </c>
      <c r="F674">
        <v>4</v>
      </c>
      <c r="G674" t="s">
        <v>50</v>
      </c>
      <c r="H674">
        <v>22</v>
      </c>
      <c r="I674" s="12" t="s">
        <v>34</v>
      </c>
      <c r="J674" s="12" t="s">
        <v>35</v>
      </c>
      <c r="K674" s="12" t="s">
        <v>73</v>
      </c>
      <c r="L674" s="12" t="s">
        <v>296</v>
      </c>
      <c r="M674" s="12" t="s">
        <v>37</v>
      </c>
      <c r="N674" s="14">
        <v>0.14000000000000001</v>
      </c>
      <c r="O674" s="23">
        <v>502.95</v>
      </c>
      <c r="P674">
        <v>38.520000000000003</v>
      </c>
      <c r="Q674" s="12" t="str" cm="1">
        <f t="array" ref="Q674:R674">VLOOKUP(E674,store[],{3,5},FALSE)</f>
        <v>North</v>
      </c>
      <c r="R674" t="str">
        <v>Flagship</v>
      </c>
      <c r="S674" s="4">
        <f t="shared" si="10"/>
        <v>2011.24</v>
      </c>
    </row>
    <row r="675" spans="1:19">
      <c r="A675" t="s">
        <v>1368</v>
      </c>
      <c r="B675" s="3">
        <v>45538</v>
      </c>
      <c r="C675" t="s">
        <v>880</v>
      </c>
      <c r="D675" t="s">
        <v>786</v>
      </c>
      <c r="E675" t="s">
        <v>117</v>
      </c>
      <c r="F675">
        <v>2</v>
      </c>
      <c r="G675" t="s">
        <v>23</v>
      </c>
      <c r="H675">
        <v>43</v>
      </c>
      <c r="I675" s="12" t="s">
        <v>34</v>
      </c>
      <c r="J675" s="12" t="s">
        <v>333</v>
      </c>
      <c r="K675" s="12" t="s">
        <v>26</v>
      </c>
      <c r="L675" s="12" t="s">
        <v>787</v>
      </c>
      <c r="M675" s="12" t="s">
        <v>130</v>
      </c>
      <c r="N675" s="14">
        <v>7.0000000000000007E-2</v>
      </c>
      <c r="O675" s="23">
        <v>472.08</v>
      </c>
      <c r="P675">
        <v>353.47</v>
      </c>
      <c r="Q675" s="12" t="str" cm="1">
        <f t="array" ref="Q675:R675">VLOOKUP(E675,store[],{3,5},FALSE)</f>
        <v>West</v>
      </c>
      <c r="R675" t="str">
        <v>Flagship</v>
      </c>
      <c r="S675" s="4">
        <f t="shared" si="10"/>
        <v>944.02</v>
      </c>
    </row>
    <row r="676" spans="1:19">
      <c r="A676" t="s">
        <v>1369</v>
      </c>
      <c r="B676" s="3">
        <v>45665</v>
      </c>
      <c r="C676" t="s">
        <v>521</v>
      </c>
      <c r="D676" t="s">
        <v>509</v>
      </c>
      <c r="E676" t="s">
        <v>32</v>
      </c>
      <c r="F676">
        <v>2</v>
      </c>
      <c r="G676" t="s">
        <v>50</v>
      </c>
      <c r="H676">
        <v>53</v>
      </c>
      <c r="I676" s="12" t="s">
        <v>24</v>
      </c>
      <c r="J676" s="12" t="s">
        <v>199</v>
      </c>
      <c r="K676" s="12" t="s">
        <v>73</v>
      </c>
      <c r="L676" s="12" t="s">
        <v>511</v>
      </c>
      <c r="M676" s="12" t="s">
        <v>28</v>
      </c>
      <c r="N676" s="14">
        <v>0.02</v>
      </c>
      <c r="O676" s="23">
        <v>218.11</v>
      </c>
      <c r="P676">
        <v>30.62</v>
      </c>
      <c r="Q676" s="12" t="str" cm="1">
        <f t="array" ref="Q676:R676">VLOOKUP(E676,store[],{3,5},FALSE)</f>
        <v>North</v>
      </c>
      <c r="R676" t="str">
        <v>Flagship</v>
      </c>
      <c r="S676" s="4">
        <f t="shared" si="10"/>
        <v>436.18</v>
      </c>
    </row>
    <row r="677" spans="1:19">
      <c r="A677" t="s">
        <v>1370</v>
      </c>
      <c r="B677" s="3">
        <v>45859</v>
      </c>
      <c r="C677" t="s">
        <v>1208</v>
      </c>
      <c r="D677" t="s">
        <v>389</v>
      </c>
      <c r="E677" t="s">
        <v>179</v>
      </c>
      <c r="F677">
        <v>4</v>
      </c>
      <c r="G677" t="s">
        <v>33</v>
      </c>
      <c r="H677">
        <v>43</v>
      </c>
      <c r="I677" s="12" t="s">
        <v>34</v>
      </c>
      <c r="J677" s="12" t="s">
        <v>67</v>
      </c>
      <c r="K677" s="12" t="s">
        <v>52</v>
      </c>
      <c r="L677" s="12" t="s">
        <v>390</v>
      </c>
      <c r="M677" s="12" t="s">
        <v>130</v>
      </c>
      <c r="N677" s="14">
        <v>0.06</v>
      </c>
      <c r="O677" s="23">
        <v>845.58</v>
      </c>
      <c r="P677">
        <v>342.56</v>
      </c>
      <c r="Q677" s="12" t="str" cm="1">
        <f t="array" ref="Q677:R677">VLOOKUP(E677,store[],{3,5},FALSE)</f>
        <v>East</v>
      </c>
      <c r="R677" t="str">
        <v>Online</v>
      </c>
      <c r="S677" s="4">
        <f t="shared" si="10"/>
        <v>3382.08</v>
      </c>
    </row>
    <row r="678" spans="1:19">
      <c r="A678" t="s">
        <v>1371</v>
      </c>
      <c r="B678" s="3">
        <v>45255</v>
      </c>
      <c r="C678" t="s">
        <v>606</v>
      </c>
      <c r="D678" t="s">
        <v>429</v>
      </c>
      <c r="E678" t="s">
        <v>198</v>
      </c>
      <c r="F678">
        <v>2</v>
      </c>
      <c r="G678" t="s">
        <v>23</v>
      </c>
      <c r="H678">
        <v>45</v>
      </c>
      <c r="I678" s="12" t="s">
        <v>24</v>
      </c>
      <c r="J678" s="12" t="s">
        <v>140</v>
      </c>
      <c r="K678" s="12" t="s">
        <v>60</v>
      </c>
      <c r="L678" s="12" t="s">
        <v>430</v>
      </c>
      <c r="M678" s="12" t="s">
        <v>75</v>
      </c>
      <c r="N678" s="14">
        <v>0.14000000000000001</v>
      </c>
      <c r="O678" s="23">
        <v>111.28</v>
      </c>
      <c r="P678">
        <v>143.43</v>
      </c>
      <c r="Q678" s="12" t="str" cm="1">
        <f t="array" ref="Q678:R678">VLOOKUP(E678,store[],{3,5},FALSE)</f>
        <v>South</v>
      </c>
      <c r="R678" t="str">
        <v>Outlet</v>
      </c>
      <c r="S678" s="4">
        <f t="shared" si="10"/>
        <v>222.28</v>
      </c>
    </row>
    <row r="679" spans="1:19">
      <c r="A679" t="s">
        <v>1372</v>
      </c>
      <c r="B679" s="3">
        <v>45842</v>
      </c>
      <c r="C679" t="s">
        <v>1373</v>
      </c>
      <c r="D679" t="s">
        <v>57</v>
      </c>
      <c r="E679" t="s">
        <v>98</v>
      </c>
      <c r="F679">
        <v>2</v>
      </c>
      <c r="G679" t="s">
        <v>23</v>
      </c>
      <c r="H679">
        <v>55</v>
      </c>
      <c r="I679" s="12" t="s">
        <v>24</v>
      </c>
      <c r="J679" s="12" t="s">
        <v>239</v>
      </c>
      <c r="K679" s="12" t="s">
        <v>52</v>
      </c>
      <c r="L679" s="12" t="s">
        <v>61</v>
      </c>
      <c r="M679" s="12" t="s">
        <v>46</v>
      </c>
      <c r="N679" s="14">
        <v>0.19</v>
      </c>
      <c r="O679" s="23">
        <v>37.21</v>
      </c>
      <c r="P679">
        <v>17.309999999999999</v>
      </c>
      <c r="Q679" s="12" t="str" cm="1">
        <f t="array" ref="Q679:R679">VLOOKUP(E679,store[],{3,5},FALSE)</f>
        <v>South</v>
      </c>
      <c r="R679" t="str">
        <v>Outlet</v>
      </c>
      <c r="S679" s="4">
        <f t="shared" si="10"/>
        <v>74.040000000000006</v>
      </c>
    </row>
    <row r="680" spans="1:19">
      <c r="A680" t="s">
        <v>1374</v>
      </c>
      <c r="B680" s="3">
        <v>45220</v>
      </c>
      <c r="C680" t="s">
        <v>825</v>
      </c>
      <c r="D680" t="s">
        <v>661</v>
      </c>
      <c r="E680" t="s">
        <v>149</v>
      </c>
      <c r="F680">
        <v>1</v>
      </c>
      <c r="G680" t="s">
        <v>23</v>
      </c>
      <c r="H680">
        <v>64</v>
      </c>
      <c r="I680" s="12" t="s">
        <v>34</v>
      </c>
      <c r="J680" s="12" t="s">
        <v>256</v>
      </c>
      <c r="K680" s="12" t="s">
        <v>73</v>
      </c>
      <c r="L680" s="12" t="s">
        <v>662</v>
      </c>
      <c r="M680" s="12" t="s">
        <v>37</v>
      </c>
      <c r="N680" s="14">
        <v>0.04</v>
      </c>
      <c r="O680" s="23">
        <v>331.73</v>
      </c>
      <c r="P680">
        <v>86.42</v>
      </c>
      <c r="Q680" s="12" t="str" cm="1">
        <f t="array" ref="Q680:R680">VLOOKUP(E680,store[],{3,5},FALSE)</f>
        <v>East</v>
      </c>
      <c r="R680" t="str">
        <v>Flagship</v>
      </c>
      <c r="S680" s="4">
        <f t="shared" si="10"/>
        <v>331.69</v>
      </c>
    </row>
    <row r="681" spans="1:19">
      <c r="A681" t="s">
        <v>1375</v>
      </c>
      <c r="B681" s="3">
        <v>45273</v>
      </c>
      <c r="C681" t="s">
        <v>731</v>
      </c>
      <c r="D681" t="s">
        <v>79</v>
      </c>
      <c r="E681" t="s">
        <v>208</v>
      </c>
      <c r="F681">
        <v>3</v>
      </c>
      <c r="G681" t="s">
        <v>33</v>
      </c>
      <c r="H681">
        <v>58</v>
      </c>
      <c r="I681" s="12" t="s">
        <v>24</v>
      </c>
      <c r="J681" s="12" t="s">
        <v>251</v>
      </c>
      <c r="K681" s="12" t="s">
        <v>73</v>
      </c>
      <c r="L681" s="12" t="s">
        <v>81</v>
      </c>
      <c r="M681" s="12" t="s">
        <v>75</v>
      </c>
      <c r="N681" s="14">
        <v>0.09</v>
      </c>
      <c r="O681" s="23">
        <v>306.70999999999998</v>
      </c>
      <c r="P681">
        <v>138.05000000000001</v>
      </c>
      <c r="Q681" s="12" t="str" cm="1">
        <f t="array" ref="Q681:R681">VLOOKUP(E681,store[],{3,5},FALSE)</f>
        <v>North</v>
      </c>
      <c r="R681" t="str">
        <v>Online</v>
      </c>
      <c r="S681" s="4">
        <f t="shared" si="10"/>
        <v>919.86</v>
      </c>
    </row>
    <row r="682" spans="1:19">
      <c r="A682" t="s">
        <v>1376</v>
      </c>
      <c r="B682" s="3">
        <v>45456</v>
      </c>
      <c r="C682" t="s">
        <v>1210</v>
      </c>
      <c r="D682" t="s">
        <v>425</v>
      </c>
      <c r="E682" t="s">
        <v>179</v>
      </c>
      <c r="F682">
        <v>4</v>
      </c>
      <c r="G682" t="s">
        <v>33</v>
      </c>
      <c r="H682">
        <v>31</v>
      </c>
      <c r="I682" s="12" t="s">
        <v>34</v>
      </c>
      <c r="J682" s="12" t="s">
        <v>378</v>
      </c>
      <c r="K682" s="12" t="s">
        <v>26</v>
      </c>
      <c r="L682" s="12" t="s">
        <v>426</v>
      </c>
      <c r="M682" s="12" t="s">
        <v>130</v>
      </c>
      <c r="N682" s="14">
        <v>0.28000000000000003</v>
      </c>
      <c r="O682" s="23">
        <v>484.92</v>
      </c>
      <c r="P682">
        <v>174.02</v>
      </c>
      <c r="Q682" s="12" t="str" cm="1">
        <f t="array" ref="Q682:R682">VLOOKUP(E682,store[],{3,5},FALSE)</f>
        <v>East</v>
      </c>
      <c r="R682" t="str">
        <v>Online</v>
      </c>
      <c r="S682" s="4">
        <f t="shared" si="10"/>
        <v>1938.56</v>
      </c>
    </row>
    <row r="683" spans="1:19">
      <c r="A683" t="s">
        <v>1377</v>
      </c>
      <c r="B683" s="3">
        <v>45292</v>
      </c>
      <c r="C683" t="s">
        <v>1009</v>
      </c>
      <c r="D683" t="s">
        <v>409</v>
      </c>
      <c r="E683" t="s">
        <v>58</v>
      </c>
      <c r="F683">
        <v>2</v>
      </c>
      <c r="G683" t="s">
        <v>23</v>
      </c>
      <c r="H683">
        <v>45</v>
      </c>
      <c r="I683" s="12" t="s">
        <v>24</v>
      </c>
      <c r="J683" s="12" t="s">
        <v>35</v>
      </c>
      <c r="K683" s="12" t="s">
        <v>26</v>
      </c>
      <c r="L683" s="12" t="s">
        <v>411</v>
      </c>
      <c r="M683" s="12" t="s">
        <v>28</v>
      </c>
      <c r="N683" s="14">
        <v>7.0000000000000007E-2</v>
      </c>
      <c r="O683" s="23">
        <v>42.04</v>
      </c>
      <c r="P683">
        <v>190.29</v>
      </c>
      <c r="Q683" s="12" t="str" cm="1">
        <f t="array" ref="Q683:R683">VLOOKUP(E683,store[],{3,5},FALSE)</f>
        <v>North</v>
      </c>
      <c r="R683" t="str">
        <v>Outlet</v>
      </c>
      <c r="S683" s="4">
        <f t="shared" si="10"/>
        <v>83.94</v>
      </c>
    </row>
    <row r="684" spans="1:19">
      <c r="A684" t="s">
        <v>1378</v>
      </c>
      <c r="B684" s="3">
        <v>45278</v>
      </c>
      <c r="C684" t="s">
        <v>1379</v>
      </c>
      <c r="D684" t="s">
        <v>564</v>
      </c>
      <c r="E684" t="s">
        <v>179</v>
      </c>
      <c r="F684">
        <v>3</v>
      </c>
      <c r="G684" t="s">
        <v>33</v>
      </c>
      <c r="H684">
        <v>59</v>
      </c>
      <c r="I684" s="12" t="s">
        <v>24</v>
      </c>
      <c r="J684" s="12" t="s">
        <v>440</v>
      </c>
      <c r="K684" s="12" t="s">
        <v>52</v>
      </c>
      <c r="L684" s="12" t="s">
        <v>565</v>
      </c>
      <c r="M684" s="12" t="s">
        <v>75</v>
      </c>
      <c r="N684" s="14">
        <v>0.22</v>
      </c>
      <c r="O684" s="23">
        <v>599.48</v>
      </c>
      <c r="P684">
        <v>81.75</v>
      </c>
      <c r="Q684" s="12" t="str" cm="1">
        <f t="array" ref="Q684:R684">VLOOKUP(E684,store[],{3,5},FALSE)</f>
        <v>East</v>
      </c>
      <c r="R684" t="str">
        <v>Online</v>
      </c>
      <c r="S684" s="4">
        <f t="shared" si="10"/>
        <v>1797.78</v>
      </c>
    </row>
    <row r="685" spans="1:19">
      <c r="A685" t="s">
        <v>1380</v>
      </c>
      <c r="B685" s="3">
        <v>45232</v>
      </c>
      <c r="C685" t="s">
        <v>1381</v>
      </c>
      <c r="D685" t="s">
        <v>377</v>
      </c>
      <c r="E685" t="s">
        <v>105</v>
      </c>
      <c r="F685">
        <v>3</v>
      </c>
      <c r="G685" t="s">
        <v>50</v>
      </c>
      <c r="H685">
        <v>41</v>
      </c>
      <c r="I685" s="12" t="s">
        <v>24</v>
      </c>
      <c r="J685" s="12" t="s">
        <v>51</v>
      </c>
      <c r="K685" s="12" t="s">
        <v>26</v>
      </c>
      <c r="L685" s="12" t="s">
        <v>379</v>
      </c>
      <c r="M685" s="12" t="s">
        <v>28</v>
      </c>
      <c r="N685" s="14">
        <v>0.01</v>
      </c>
      <c r="O685" s="23">
        <v>401.42</v>
      </c>
      <c r="P685">
        <v>144.53</v>
      </c>
      <c r="Q685" s="12" t="str" cm="1">
        <f t="array" ref="Q685:R685">VLOOKUP(E685,store[],{3,5},FALSE)</f>
        <v>North</v>
      </c>
      <c r="R685" t="str">
        <v>Flagship</v>
      </c>
      <c r="S685" s="4">
        <f t="shared" si="10"/>
        <v>1204.23</v>
      </c>
    </row>
    <row r="686" spans="1:19">
      <c r="A686" t="s">
        <v>1382</v>
      </c>
      <c r="B686" s="3">
        <v>45907</v>
      </c>
      <c r="C686" t="s">
        <v>1383</v>
      </c>
      <c r="D686" t="s">
        <v>381</v>
      </c>
      <c r="E686" t="s">
        <v>43</v>
      </c>
      <c r="F686">
        <v>4</v>
      </c>
      <c r="G686" t="s">
        <v>23</v>
      </c>
      <c r="H686">
        <v>26</v>
      </c>
      <c r="I686" s="12" t="s">
        <v>24</v>
      </c>
      <c r="J686" s="12" t="s">
        <v>128</v>
      </c>
      <c r="K686" s="12" t="s">
        <v>26</v>
      </c>
      <c r="L686" s="12" t="s">
        <v>382</v>
      </c>
      <c r="M686" s="12" t="s">
        <v>130</v>
      </c>
      <c r="N686" s="14">
        <v>0.06</v>
      </c>
      <c r="O686" s="23">
        <v>442.54</v>
      </c>
      <c r="P686">
        <v>167.34</v>
      </c>
      <c r="Q686" s="12" t="str" cm="1">
        <f t="array" ref="Q686:R686">VLOOKUP(E686,store[],{3,5},FALSE)</f>
        <v>West</v>
      </c>
      <c r="R686" t="str">
        <v>Online</v>
      </c>
      <c r="S686" s="4">
        <f t="shared" si="10"/>
        <v>1769.92</v>
      </c>
    </row>
    <row r="687" spans="1:19">
      <c r="A687" t="s">
        <v>1384</v>
      </c>
      <c r="B687" s="3">
        <v>45270</v>
      </c>
      <c r="C687" t="s">
        <v>1385</v>
      </c>
      <c r="D687" t="s">
        <v>110</v>
      </c>
      <c r="E687" t="s">
        <v>149</v>
      </c>
      <c r="F687">
        <v>4</v>
      </c>
      <c r="G687" t="s">
        <v>33</v>
      </c>
      <c r="H687">
        <v>59</v>
      </c>
      <c r="I687" s="12" t="s">
        <v>34</v>
      </c>
      <c r="J687" s="12" t="s">
        <v>140</v>
      </c>
      <c r="K687" s="12" t="s">
        <v>26</v>
      </c>
      <c r="L687" s="12" t="s">
        <v>112</v>
      </c>
      <c r="M687" s="12" t="s">
        <v>28</v>
      </c>
      <c r="N687" s="14">
        <v>0.06</v>
      </c>
      <c r="O687" s="23">
        <v>451.41</v>
      </c>
      <c r="P687">
        <v>131.24</v>
      </c>
      <c r="Q687" s="12" t="str" cm="1">
        <f t="array" ref="Q687:R687">VLOOKUP(E687,store[],{3,5},FALSE)</f>
        <v>East</v>
      </c>
      <c r="R687" t="str">
        <v>Flagship</v>
      </c>
      <c r="S687" s="4">
        <f t="shared" si="10"/>
        <v>1805.4</v>
      </c>
    </row>
    <row r="688" spans="1:19">
      <c r="A688" t="s">
        <v>1386</v>
      </c>
      <c r="B688" s="3">
        <v>45942</v>
      </c>
      <c r="C688" t="s">
        <v>1081</v>
      </c>
      <c r="D688" t="s">
        <v>372</v>
      </c>
      <c r="E688" t="s">
        <v>127</v>
      </c>
      <c r="F688">
        <v>4</v>
      </c>
      <c r="G688" t="s">
        <v>23</v>
      </c>
      <c r="H688">
        <v>38</v>
      </c>
      <c r="I688" s="12" t="s">
        <v>24</v>
      </c>
      <c r="J688" s="12" t="s">
        <v>51</v>
      </c>
      <c r="K688" s="12" t="s">
        <v>60</v>
      </c>
      <c r="L688" s="12" t="s">
        <v>374</v>
      </c>
      <c r="M688" s="12" t="s">
        <v>130</v>
      </c>
      <c r="N688" s="14">
        <v>0.25</v>
      </c>
      <c r="O688" s="23">
        <v>547.21</v>
      </c>
      <c r="P688">
        <v>438.25</v>
      </c>
      <c r="Q688" s="12" t="str" cm="1">
        <f t="array" ref="Q688:R688">VLOOKUP(E688,store[],{3,5},FALSE)</f>
        <v>South</v>
      </c>
      <c r="R688" t="str">
        <v>Flagship</v>
      </c>
      <c r="S688" s="4">
        <f t="shared" si="10"/>
        <v>2187.84</v>
      </c>
    </row>
    <row r="689" spans="1:19">
      <c r="A689" t="s">
        <v>1387</v>
      </c>
      <c r="B689" s="3">
        <v>45750</v>
      </c>
      <c r="C689" t="s">
        <v>262</v>
      </c>
      <c r="D689" t="s">
        <v>514</v>
      </c>
      <c r="E689" t="s">
        <v>72</v>
      </c>
      <c r="F689">
        <v>1</v>
      </c>
      <c r="G689" t="s">
        <v>33</v>
      </c>
      <c r="H689">
        <v>47</v>
      </c>
      <c r="I689" s="12" t="s">
        <v>24</v>
      </c>
      <c r="J689" s="12" t="s">
        <v>106</v>
      </c>
      <c r="K689" s="12" t="s">
        <v>52</v>
      </c>
      <c r="L689" s="12" t="s">
        <v>515</v>
      </c>
      <c r="M689" s="12" t="s">
        <v>75</v>
      </c>
      <c r="N689" s="14">
        <v>0.2</v>
      </c>
      <c r="O689" s="23">
        <v>979.28</v>
      </c>
      <c r="P689">
        <v>371.38</v>
      </c>
      <c r="Q689" s="12" t="str" cm="1">
        <f t="array" ref="Q689:R689">VLOOKUP(E689,store[],{3,5},FALSE)</f>
        <v>South</v>
      </c>
      <c r="R689" t="str">
        <v>Online</v>
      </c>
      <c r="S689" s="4">
        <f t="shared" si="10"/>
        <v>979.08</v>
      </c>
    </row>
    <row r="690" spans="1:19">
      <c r="A690" t="s">
        <v>1388</v>
      </c>
      <c r="B690" s="3">
        <v>45300</v>
      </c>
      <c r="C690" t="s">
        <v>88</v>
      </c>
      <c r="D690" t="s">
        <v>71</v>
      </c>
      <c r="E690" t="s">
        <v>66</v>
      </c>
      <c r="F690">
        <v>4</v>
      </c>
      <c r="G690" t="s">
        <v>23</v>
      </c>
      <c r="H690">
        <v>45</v>
      </c>
      <c r="I690" s="12" t="s">
        <v>34</v>
      </c>
      <c r="J690" s="12" t="s">
        <v>91</v>
      </c>
      <c r="K690" s="12" t="s">
        <v>52</v>
      </c>
      <c r="L690" s="12" t="s">
        <v>74</v>
      </c>
      <c r="M690" s="12" t="s">
        <v>75</v>
      </c>
      <c r="N690" s="14">
        <v>0.04</v>
      </c>
      <c r="O690" s="23">
        <v>263.58999999999997</v>
      </c>
      <c r="P690">
        <v>461.47</v>
      </c>
      <c r="Q690" s="12" t="str" cm="1">
        <f t="array" ref="Q690:R690">VLOOKUP(E690,store[],{3,5},FALSE)</f>
        <v>South</v>
      </c>
      <c r="R690" t="str">
        <v>Online</v>
      </c>
      <c r="S690" s="4">
        <f t="shared" si="10"/>
        <v>1054.2</v>
      </c>
    </row>
    <row r="691" spans="1:19">
      <c r="A691" t="s">
        <v>1389</v>
      </c>
      <c r="B691" s="3">
        <v>45876</v>
      </c>
      <c r="C691" t="s">
        <v>436</v>
      </c>
      <c r="D691" t="s">
        <v>420</v>
      </c>
      <c r="E691" t="s">
        <v>58</v>
      </c>
      <c r="F691">
        <v>1</v>
      </c>
      <c r="G691" t="s">
        <v>50</v>
      </c>
      <c r="H691">
        <v>29</v>
      </c>
      <c r="I691" s="12" t="s">
        <v>34</v>
      </c>
      <c r="J691" s="12" t="s">
        <v>59</v>
      </c>
      <c r="K691" s="12" t="s">
        <v>52</v>
      </c>
      <c r="L691" s="12" t="s">
        <v>421</v>
      </c>
      <c r="M691" s="12" t="s">
        <v>28</v>
      </c>
      <c r="N691" s="14">
        <v>0.11</v>
      </c>
      <c r="O691" s="23">
        <v>692.75</v>
      </c>
      <c r="P691">
        <v>434.84</v>
      </c>
      <c r="Q691" s="12" t="str" cm="1">
        <f t="array" ref="Q691:R691">VLOOKUP(E691,store[],{3,5},FALSE)</f>
        <v>North</v>
      </c>
      <c r="R691" t="str">
        <v>Outlet</v>
      </c>
      <c r="S691" s="4">
        <f t="shared" si="10"/>
        <v>692.64</v>
      </c>
    </row>
    <row r="692" spans="1:19">
      <c r="A692" t="s">
        <v>1390</v>
      </c>
      <c r="B692" s="3">
        <v>45301</v>
      </c>
      <c r="C692" t="s">
        <v>1083</v>
      </c>
      <c r="D692" t="s">
        <v>625</v>
      </c>
      <c r="E692" t="s">
        <v>22</v>
      </c>
      <c r="F692">
        <v>3</v>
      </c>
      <c r="G692" t="s">
        <v>23</v>
      </c>
      <c r="H692">
        <v>21</v>
      </c>
      <c r="I692" s="12" t="s">
        <v>24</v>
      </c>
      <c r="J692" s="12" t="s">
        <v>932</v>
      </c>
      <c r="K692" s="12" t="s">
        <v>73</v>
      </c>
      <c r="L692" s="12" t="s">
        <v>626</v>
      </c>
      <c r="M692" s="12" t="s">
        <v>46</v>
      </c>
      <c r="N692" s="14">
        <v>0.01</v>
      </c>
      <c r="O692" s="23">
        <v>142.83000000000001</v>
      </c>
      <c r="P692">
        <v>266.86</v>
      </c>
      <c r="Q692" s="12" t="str" cm="1">
        <f t="array" ref="Q692:R692">VLOOKUP(E692,store[],{3,5},FALSE)</f>
        <v>North</v>
      </c>
      <c r="R692" t="str">
        <v>Outlet</v>
      </c>
      <c r="S692" s="4">
        <f t="shared" si="10"/>
        <v>428.46</v>
      </c>
    </row>
    <row r="693" spans="1:19">
      <c r="A693" t="s">
        <v>1391</v>
      </c>
      <c r="B693" s="3">
        <v>45857</v>
      </c>
      <c r="C693" t="s">
        <v>1392</v>
      </c>
      <c r="D693" t="s">
        <v>443</v>
      </c>
      <c r="E693" t="s">
        <v>198</v>
      </c>
      <c r="F693">
        <v>2</v>
      </c>
      <c r="G693" t="s">
        <v>33</v>
      </c>
      <c r="H693">
        <v>26</v>
      </c>
      <c r="I693" s="12" t="s">
        <v>24</v>
      </c>
      <c r="J693" s="12" t="s">
        <v>932</v>
      </c>
      <c r="K693" s="12" t="s">
        <v>73</v>
      </c>
      <c r="L693" s="12" t="s">
        <v>445</v>
      </c>
      <c r="M693" s="12" t="s">
        <v>28</v>
      </c>
      <c r="N693" s="14">
        <v>0.17</v>
      </c>
      <c r="O693" s="23">
        <v>419.25</v>
      </c>
      <c r="P693">
        <v>484.62</v>
      </c>
      <c r="Q693" s="12" t="str" cm="1">
        <f t="array" ref="Q693:R693">VLOOKUP(E693,store[],{3,5},FALSE)</f>
        <v>South</v>
      </c>
      <c r="R693" t="str">
        <v>Outlet</v>
      </c>
      <c r="S693" s="4">
        <f t="shared" si="10"/>
        <v>838.16</v>
      </c>
    </row>
    <row r="694" spans="1:19">
      <c r="A694" t="s">
        <v>1393</v>
      </c>
      <c r="B694" s="3">
        <v>45650</v>
      </c>
      <c r="C694" t="s">
        <v>750</v>
      </c>
      <c r="D694" t="s">
        <v>246</v>
      </c>
      <c r="E694" t="s">
        <v>135</v>
      </c>
      <c r="F694">
        <v>2</v>
      </c>
      <c r="G694" t="s">
        <v>50</v>
      </c>
      <c r="H694">
        <v>59</v>
      </c>
      <c r="I694" s="12" t="s">
        <v>34</v>
      </c>
      <c r="J694" s="12" t="s">
        <v>209</v>
      </c>
      <c r="K694" s="12" t="s">
        <v>52</v>
      </c>
      <c r="L694" s="12" t="s">
        <v>247</v>
      </c>
      <c r="M694" s="12" t="s">
        <v>37</v>
      </c>
      <c r="N694" s="14">
        <v>0.27</v>
      </c>
      <c r="O694" s="23">
        <v>800.84</v>
      </c>
      <c r="P694">
        <v>322.41000000000003</v>
      </c>
      <c r="Q694" s="12" t="str" cm="1">
        <f t="array" ref="Q694:R694">VLOOKUP(E694,store[],{3,5},FALSE)</f>
        <v>East</v>
      </c>
      <c r="R694" t="str">
        <v>Online</v>
      </c>
      <c r="S694" s="4">
        <f t="shared" si="10"/>
        <v>1601.14</v>
      </c>
    </row>
    <row r="695" spans="1:19">
      <c r="A695" t="s">
        <v>1394</v>
      </c>
      <c r="B695" s="3">
        <v>45520</v>
      </c>
      <c r="C695" t="s">
        <v>1033</v>
      </c>
      <c r="D695" t="s">
        <v>505</v>
      </c>
      <c r="E695" t="s">
        <v>198</v>
      </c>
      <c r="F695">
        <v>1</v>
      </c>
      <c r="G695" t="s">
        <v>33</v>
      </c>
      <c r="H695">
        <v>26</v>
      </c>
      <c r="I695" s="12" t="s">
        <v>34</v>
      </c>
      <c r="J695" s="12" t="s">
        <v>188</v>
      </c>
      <c r="K695" s="12" t="s">
        <v>52</v>
      </c>
      <c r="L695" s="12" t="s">
        <v>506</v>
      </c>
      <c r="M695" s="12" t="s">
        <v>37</v>
      </c>
      <c r="N695" s="14">
        <v>0.11</v>
      </c>
      <c r="O695" s="23">
        <v>301.24</v>
      </c>
      <c r="P695">
        <v>177.98</v>
      </c>
      <c r="Q695" s="12" t="str" cm="1">
        <f t="array" ref="Q695:R695">VLOOKUP(E695,store[],{3,5},FALSE)</f>
        <v>South</v>
      </c>
      <c r="R695" t="str">
        <v>Outlet</v>
      </c>
      <c r="S695" s="4">
        <f t="shared" si="10"/>
        <v>301.13</v>
      </c>
    </row>
    <row r="696" spans="1:19">
      <c r="A696" t="s">
        <v>1395</v>
      </c>
      <c r="B696" s="3">
        <v>45497</v>
      </c>
      <c r="C696" t="s">
        <v>1040</v>
      </c>
      <c r="D696" t="s">
        <v>462</v>
      </c>
      <c r="E696" t="s">
        <v>58</v>
      </c>
      <c r="F696">
        <v>2</v>
      </c>
      <c r="G696" t="s">
        <v>33</v>
      </c>
      <c r="H696">
        <v>58</v>
      </c>
      <c r="I696" s="12" t="s">
        <v>24</v>
      </c>
      <c r="J696" s="12" t="s">
        <v>440</v>
      </c>
      <c r="K696" s="12" t="s">
        <v>26</v>
      </c>
      <c r="L696" s="12" t="s">
        <v>464</v>
      </c>
      <c r="M696" s="12" t="s">
        <v>130</v>
      </c>
      <c r="N696" s="14">
        <v>0.09</v>
      </c>
      <c r="O696" s="23">
        <v>701.49</v>
      </c>
      <c r="P696">
        <v>119.57</v>
      </c>
      <c r="Q696" s="12" t="str" cm="1">
        <f t="array" ref="Q696:R696">VLOOKUP(E696,store[],{3,5},FALSE)</f>
        <v>North</v>
      </c>
      <c r="R696" t="str">
        <v>Outlet</v>
      </c>
      <c r="S696" s="4">
        <f t="shared" si="10"/>
        <v>1402.8</v>
      </c>
    </row>
    <row r="697" spans="1:19">
      <c r="A697" t="s">
        <v>1396</v>
      </c>
      <c r="B697" s="3">
        <v>45615</v>
      </c>
      <c r="C697" t="s">
        <v>1397</v>
      </c>
      <c r="D697" t="s">
        <v>246</v>
      </c>
      <c r="E697" t="s">
        <v>168</v>
      </c>
      <c r="F697">
        <v>4</v>
      </c>
      <c r="G697" t="s">
        <v>33</v>
      </c>
      <c r="H697">
        <v>25</v>
      </c>
      <c r="I697" s="12" t="s">
        <v>34</v>
      </c>
      <c r="J697" s="12" t="s">
        <v>761</v>
      </c>
      <c r="K697" s="12" t="s">
        <v>73</v>
      </c>
      <c r="L697" s="12" t="s">
        <v>247</v>
      </c>
      <c r="M697" s="12" t="s">
        <v>37</v>
      </c>
      <c r="N697" s="14">
        <v>0.02</v>
      </c>
      <c r="O697" s="23">
        <v>413.48</v>
      </c>
      <c r="P697">
        <v>322.41000000000003</v>
      </c>
      <c r="Q697" s="12" t="str" cm="1">
        <f t="array" ref="Q697:R697">VLOOKUP(E697,store[],{3,5},FALSE)</f>
        <v>East</v>
      </c>
      <c r="R697" t="str">
        <v>Online</v>
      </c>
      <c r="S697" s="4">
        <f t="shared" si="10"/>
        <v>1653.84</v>
      </c>
    </row>
    <row r="698" spans="1:19">
      <c r="A698" t="s">
        <v>1398</v>
      </c>
      <c r="B698" s="3">
        <v>45365</v>
      </c>
      <c r="C698" t="s">
        <v>1095</v>
      </c>
      <c r="D698" t="s">
        <v>484</v>
      </c>
      <c r="E698" t="s">
        <v>105</v>
      </c>
      <c r="F698">
        <v>4</v>
      </c>
      <c r="G698" t="s">
        <v>23</v>
      </c>
      <c r="H698">
        <v>45</v>
      </c>
      <c r="I698" s="12" t="s">
        <v>34</v>
      </c>
      <c r="J698" s="12" t="s">
        <v>510</v>
      </c>
      <c r="K698" s="12" t="s">
        <v>52</v>
      </c>
      <c r="L698" s="12" t="s">
        <v>485</v>
      </c>
      <c r="M698" s="12" t="s">
        <v>37</v>
      </c>
      <c r="N698" s="14">
        <v>0.15</v>
      </c>
      <c r="O698" s="23">
        <v>167.83</v>
      </c>
      <c r="P698">
        <v>439.07</v>
      </c>
      <c r="Q698" s="12" t="str" cm="1">
        <f t="array" ref="Q698:R698">VLOOKUP(E698,store[],{3,5},FALSE)</f>
        <v>North</v>
      </c>
      <c r="R698" t="str">
        <v>Flagship</v>
      </c>
      <c r="S698" s="4">
        <f t="shared" si="10"/>
        <v>670.72</v>
      </c>
    </row>
    <row r="699" spans="1:19">
      <c r="A699" t="s">
        <v>1399</v>
      </c>
      <c r="B699" s="3">
        <v>45832</v>
      </c>
      <c r="C699" t="s">
        <v>1400</v>
      </c>
      <c r="D699" t="s">
        <v>65</v>
      </c>
      <c r="E699" t="s">
        <v>160</v>
      </c>
      <c r="F699">
        <v>2</v>
      </c>
      <c r="G699" t="s">
        <v>23</v>
      </c>
      <c r="H699">
        <v>32</v>
      </c>
      <c r="I699" s="12" t="s">
        <v>24</v>
      </c>
      <c r="J699" s="12" t="s">
        <v>410</v>
      </c>
      <c r="K699" s="12" t="s">
        <v>73</v>
      </c>
      <c r="L699" s="12" t="s">
        <v>68</v>
      </c>
      <c r="M699" s="12" t="s">
        <v>37</v>
      </c>
      <c r="N699" s="14">
        <v>0.22</v>
      </c>
      <c r="O699" s="23">
        <v>669.12</v>
      </c>
      <c r="P699">
        <v>465.34</v>
      </c>
      <c r="Q699" s="12" t="str" cm="1">
        <f t="array" ref="Q699:R699">VLOOKUP(E699,store[],{3,5},FALSE)</f>
        <v>East</v>
      </c>
      <c r="R699" t="str">
        <v>Flagship</v>
      </c>
      <c r="S699" s="4">
        <f t="shared" si="10"/>
        <v>1337.8</v>
      </c>
    </row>
    <row r="700" spans="1:19">
      <c r="A700" t="s">
        <v>1401</v>
      </c>
      <c r="B700" s="3">
        <v>45530</v>
      </c>
      <c r="C700" t="s">
        <v>1004</v>
      </c>
      <c r="D700" t="s">
        <v>786</v>
      </c>
      <c r="E700" t="s">
        <v>66</v>
      </c>
      <c r="F700">
        <v>3</v>
      </c>
      <c r="G700" t="s">
        <v>33</v>
      </c>
      <c r="H700">
        <v>55</v>
      </c>
      <c r="I700" s="12" t="s">
        <v>34</v>
      </c>
      <c r="J700" s="12" t="s">
        <v>209</v>
      </c>
      <c r="K700" s="12" t="s">
        <v>26</v>
      </c>
      <c r="L700" s="12" t="s">
        <v>787</v>
      </c>
      <c r="M700" s="12" t="s">
        <v>130</v>
      </c>
      <c r="N700" s="14">
        <v>0.18</v>
      </c>
      <c r="O700" s="23">
        <v>346.77</v>
      </c>
      <c r="P700">
        <v>353.47</v>
      </c>
      <c r="Q700" s="12" t="str" cm="1">
        <f t="array" ref="Q700:R700">VLOOKUP(E700,store[],{3,5},FALSE)</f>
        <v>South</v>
      </c>
      <c r="R700" t="str">
        <v>Online</v>
      </c>
      <c r="S700" s="4">
        <f t="shared" si="10"/>
        <v>1039.77</v>
      </c>
    </row>
    <row r="701" spans="1:19">
      <c r="A701" t="s">
        <v>1402</v>
      </c>
      <c r="B701" s="3">
        <v>45939</v>
      </c>
      <c r="C701" t="s">
        <v>1306</v>
      </c>
      <c r="D701" t="s">
        <v>250</v>
      </c>
      <c r="E701" t="s">
        <v>135</v>
      </c>
      <c r="F701">
        <v>3</v>
      </c>
      <c r="G701" t="s">
        <v>50</v>
      </c>
      <c r="H701">
        <v>53</v>
      </c>
      <c r="I701" s="12" t="s">
        <v>24</v>
      </c>
      <c r="J701" s="12" t="s">
        <v>111</v>
      </c>
      <c r="K701" s="12" t="s">
        <v>52</v>
      </c>
      <c r="L701" s="12" t="s">
        <v>252</v>
      </c>
      <c r="M701" s="12" t="s">
        <v>130</v>
      </c>
      <c r="N701" s="14">
        <v>0.2</v>
      </c>
      <c r="O701" s="23">
        <v>648.33000000000004</v>
      </c>
      <c r="P701">
        <v>248.82191780821901</v>
      </c>
      <c r="Q701" s="12" t="str" cm="1">
        <f t="array" ref="Q701:R701">VLOOKUP(E701,store[],{3,5},FALSE)</f>
        <v>East</v>
      </c>
      <c r="R701" t="str">
        <v>Online</v>
      </c>
      <c r="S701" s="4">
        <f t="shared" si="10"/>
        <v>1944.39</v>
      </c>
    </row>
    <row r="702" spans="1:19">
      <c r="A702" t="s">
        <v>1403</v>
      </c>
      <c r="B702" s="3">
        <v>45401</v>
      </c>
      <c r="C702" t="s">
        <v>1404</v>
      </c>
      <c r="D702" t="s">
        <v>887</v>
      </c>
      <c r="E702" t="s">
        <v>198</v>
      </c>
      <c r="F702">
        <v>4</v>
      </c>
      <c r="G702" t="s">
        <v>33</v>
      </c>
      <c r="H702">
        <v>46</v>
      </c>
      <c r="I702" s="12" t="s">
        <v>34</v>
      </c>
      <c r="J702" s="12" t="s">
        <v>463</v>
      </c>
      <c r="K702" s="12" t="s">
        <v>60</v>
      </c>
      <c r="L702" s="12" t="s">
        <v>888</v>
      </c>
      <c r="M702" s="12" t="s">
        <v>46</v>
      </c>
      <c r="N702" s="14">
        <v>0.06</v>
      </c>
      <c r="O702" s="23">
        <v>254.94</v>
      </c>
      <c r="P702">
        <v>312.8</v>
      </c>
      <c r="Q702" s="12" t="str" cm="1">
        <f t="array" ref="Q702:R702">VLOOKUP(E702,store[],{3,5},FALSE)</f>
        <v>South</v>
      </c>
      <c r="R702" t="str">
        <v>Outlet</v>
      </c>
      <c r="S702" s="4">
        <f t="shared" si="10"/>
        <v>1019.52</v>
      </c>
    </row>
    <row r="703" spans="1:19">
      <c r="A703" t="s">
        <v>1405</v>
      </c>
      <c r="B703" s="3">
        <v>45420</v>
      </c>
      <c r="C703" t="s">
        <v>439</v>
      </c>
      <c r="D703" t="s">
        <v>630</v>
      </c>
      <c r="E703" t="s">
        <v>72</v>
      </c>
      <c r="F703">
        <v>1</v>
      </c>
      <c r="G703" t="s">
        <v>23</v>
      </c>
      <c r="H703">
        <v>46</v>
      </c>
      <c r="I703" s="12" t="s">
        <v>34</v>
      </c>
      <c r="J703" s="12" t="s">
        <v>440</v>
      </c>
      <c r="K703" s="12" t="s">
        <v>60</v>
      </c>
      <c r="L703" s="12" t="s">
        <v>631</v>
      </c>
      <c r="M703" s="12" t="s">
        <v>28</v>
      </c>
      <c r="N703" s="14">
        <v>0.28000000000000003</v>
      </c>
      <c r="O703" s="23">
        <v>445.5</v>
      </c>
      <c r="P703">
        <v>285.54000000000002</v>
      </c>
      <c r="Q703" s="12" t="str" cm="1">
        <f t="array" ref="Q703:R703">VLOOKUP(E703,store[],{3,5},FALSE)</f>
        <v>South</v>
      </c>
      <c r="R703" t="str">
        <v>Online</v>
      </c>
      <c r="S703" s="4">
        <f t="shared" si="10"/>
        <v>445.22</v>
      </c>
    </row>
    <row r="704" spans="1:19">
      <c r="A704" t="s">
        <v>1406</v>
      </c>
      <c r="B704" s="3">
        <v>45459</v>
      </c>
      <c r="C704" t="s">
        <v>358</v>
      </c>
      <c r="D704" t="s">
        <v>453</v>
      </c>
      <c r="E704" t="s">
        <v>72</v>
      </c>
      <c r="F704">
        <v>1</v>
      </c>
      <c r="G704" t="s">
        <v>23</v>
      </c>
      <c r="H704">
        <v>38</v>
      </c>
      <c r="I704" s="12" t="s">
        <v>24</v>
      </c>
      <c r="J704" s="12" t="s">
        <v>360</v>
      </c>
      <c r="K704" s="12" t="s">
        <v>52</v>
      </c>
      <c r="L704" s="12" t="s">
        <v>454</v>
      </c>
      <c r="M704" s="12" t="s">
        <v>37</v>
      </c>
      <c r="N704" s="14">
        <v>0.1</v>
      </c>
      <c r="O704" s="23">
        <v>900.94</v>
      </c>
      <c r="P704">
        <v>340.14</v>
      </c>
      <c r="Q704" s="12" t="str" cm="1">
        <f t="array" ref="Q704:R704">VLOOKUP(E704,store[],{3,5},FALSE)</f>
        <v>South</v>
      </c>
      <c r="R704" t="str">
        <v>Online</v>
      </c>
      <c r="S704" s="4">
        <f t="shared" si="10"/>
        <v>900.84</v>
      </c>
    </row>
    <row r="705" spans="1:19">
      <c r="A705" t="s">
        <v>1407</v>
      </c>
      <c r="B705" s="3">
        <v>45429</v>
      </c>
      <c r="C705" t="s">
        <v>1408</v>
      </c>
      <c r="D705" t="s">
        <v>65</v>
      </c>
      <c r="E705" t="s">
        <v>117</v>
      </c>
      <c r="F705">
        <v>3</v>
      </c>
      <c r="G705" t="s">
        <v>33</v>
      </c>
      <c r="H705">
        <v>18</v>
      </c>
      <c r="I705" s="12" t="s">
        <v>34</v>
      </c>
      <c r="J705" s="12" t="s">
        <v>444</v>
      </c>
      <c r="K705" s="12" t="s">
        <v>52</v>
      </c>
      <c r="L705" s="12" t="s">
        <v>68</v>
      </c>
      <c r="M705" s="12" t="s">
        <v>37</v>
      </c>
      <c r="N705" s="14">
        <v>0.04</v>
      </c>
      <c r="O705" s="23">
        <v>262.69</v>
      </c>
      <c r="P705">
        <v>465.34</v>
      </c>
      <c r="Q705" s="12" t="str" cm="1">
        <f t="array" ref="Q705:R705">VLOOKUP(E705,store[],{3,5},FALSE)</f>
        <v>West</v>
      </c>
      <c r="R705" t="str">
        <v>Flagship</v>
      </c>
      <c r="S705" s="4">
        <f t="shared" si="10"/>
        <v>787.95</v>
      </c>
    </row>
    <row r="706" spans="1:19">
      <c r="A706" t="s">
        <v>1409</v>
      </c>
      <c r="B706" s="3">
        <v>45386</v>
      </c>
      <c r="C706" t="s">
        <v>1410</v>
      </c>
      <c r="D706" t="s">
        <v>741</v>
      </c>
      <c r="E706" t="s">
        <v>198</v>
      </c>
      <c r="F706">
        <v>3</v>
      </c>
      <c r="G706" t="s">
        <v>33</v>
      </c>
      <c r="H706">
        <v>26</v>
      </c>
      <c r="I706" s="12" t="s">
        <v>24</v>
      </c>
      <c r="J706" s="12" t="s">
        <v>239</v>
      </c>
      <c r="K706" s="12" t="s">
        <v>52</v>
      </c>
      <c r="L706" s="12" t="s">
        <v>742</v>
      </c>
      <c r="M706" s="12" t="s">
        <v>75</v>
      </c>
      <c r="N706" s="14">
        <v>0.22</v>
      </c>
      <c r="O706" s="23">
        <v>212.72</v>
      </c>
      <c r="P706">
        <v>243.7</v>
      </c>
      <c r="Q706" s="12" t="str" cm="1">
        <f t="array" ref="Q706:R706">VLOOKUP(E706,store[],{3,5},FALSE)</f>
        <v>South</v>
      </c>
      <c r="R706" t="str">
        <v>Outlet</v>
      </c>
      <c r="S706" s="4">
        <f t="shared" ref="S706:S769" si="11">(O706-N706)*F706</f>
        <v>637.5</v>
      </c>
    </row>
    <row r="707" spans="1:19">
      <c r="A707" t="s">
        <v>1411</v>
      </c>
      <c r="B707" s="3">
        <v>45803</v>
      </c>
      <c r="C707" t="s">
        <v>1412</v>
      </c>
      <c r="D707" t="s">
        <v>97</v>
      </c>
      <c r="E707" t="s">
        <v>160</v>
      </c>
      <c r="F707">
        <v>4</v>
      </c>
      <c r="G707" t="s">
        <v>33</v>
      </c>
      <c r="H707">
        <v>25</v>
      </c>
      <c r="I707" s="12" t="s">
        <v>34</v>
      </c>
      <c r="J707" s="12" t="s">
        <v>609</v>
      </c>
      <c r="K707" s="12" t="s">
        <v>26</v>
      </c>
      <c r="L707" s="12" t="s">
        <v>100</v>
      </c>
      <c r="M707" s="12" t="s">
        <v>28</v>
      </c>
      <c r="N707" s="14">
        <v>0.22</v>
      </c>
      <c r="O707" s="23">
        <v>757.9</v>
      </c>
      <c r="P707">
        <v>166.06</v>
      </c>
      <c r="Q707" s="12" t="str" cm="1">
        <f t="array" ref="Q707:R707">VLOOKUP(E707,store[],{3,5},FALSE)</f>
        <v>East</v>
      </c>
      <c r="R707" t="str">
        <v>Flagship</v>
      </c>
      <c r="S707" s="4">
        <f t="shared" si="11"/>
        <v>3030.72</v>
      </c>
    </row>
    <row r="708" spans="1:19">
      <c r="A708" t="s">
        <v>1413</v>
      </c>
      <c r="B708" s="3">
        <v>45346</v>
      </c>
      <c r="C708" t="s">
        <v>827</v>
      </c>
      <c r="D708" t="s">
        <v>429</v>
      </c>
      <c r="E708" t="s">
        <v>32</v>
      </c>
      <c r="F708">
        <v>1</v>
      </c>
      <c r="G708" t="s">
        <v>33</v>
      </c>
      <c r="H708">
        <v>60</v>
      </c>
      <c r="I708" s="12" t="s">
        <v>34</v>
      </c>
      <c r="J708" s="12" t="s">
        <v>360</v>
      </c>
      <c r="K708" s="12" t="s">
        <v>52</v>
      </c>
      <c r="L708" s="12" t="s">
        <v>430</v>
      </c>
      <c r="M708" s="12" t="s">
        <v>75</v>
      </c>
      <c r="N708" s="14">
        <v>0.08</v>
      </c>
      <c r="O708" s="23">
        <v>846.04</v>
      </c>
      <c r="P708">
        <v>143.43</v>
      </c>
      <c r="Q708" s="12" t="str" cm="1">
        <f t="array" ref="Q708:R708">VLOOKUP(E708,store[],{3,5},FALSE)</f>
        <v>North</v>
      </c>
      <c r="R708" t="str">
        <v>Flagship</v>
      </c>
      <c r="S708" s="4">
        <f t="shared" si="11"/>
        <v>845.96</v>
      </c>
    </row>
    <row r="709" spans="1:19">
      <c r="A709" t="s">
        <v>1414</v>
      </c>
      <c r="B709" s="3">
        <v>45267</v>
      </c>
      <c r="C709" t="s">
        <v>1045</v>
      </c>
      <c r="D709" t="s">
        <v>340</v>
      </c>
      <c r="E709" t="s">
        <v>66</v>
      </c>
      <c r="F709">
        <v>3</v>
      </c>
      <c r="G709" t="s">
        <v>50</v>
      </c>
      <c r="H709">
        <v>46</v>
      </c>
      <c r="I709" s="12" t="s">
        <v>34</v>
      </c>
      <c r="J709" s="12" t="s">
        <v>204</v>
      </c>
      <c r="K709" s="12" t="s">
        <v>26</v>
      </c>
      <c r="L709" s="12" t="s">
        <v>341</v>
      </c>
      <c r="M709" s="12" t="s">
        <v>28</v>
      </c>
      <c r="N709" s="14">
        <v>0.17</v>
      </c>
      <c r="O709" s="23">
        <v>179.7</v>
      </c>
      <c r="P709">
        <v>135.61000000000001</v>
      </c>
      <c r="Q709" s="12" t="str" cm="1">
        <f t="array" ref="Q709:R709">VLOOKUP(E709,store[],{3,5},FALSE)</f>
        <v>South</v>
      </c>
      <c r="R709" t="str">
        <v>Online</v>
      </c>
      <c r="S709" s="4">
        <f t="shared" si="11"/>
        <v>538.59</v>
      </c>
    </row>
    <row r="710" spans="1:19">
      <c r="A710" t="s">
        <v>1415</v>
      </c>
      <c r="B710" s="3">
        <v>45572</v>
      </c>
      <c r="C710" t="s">
        <v>1416</v>
      </c>
      <c r="D710" t="s">
        <v>311</v>
      </c>
      <c r="E710" t="s">
        <v>72</v>
      </c>
      <c r="F710">
        <v>4</v>
      </c>
      <c r="G710" t="s">
        <v>33</v>
      </c>
      <c r="H710">
        <v>35</v>
      </c>
      <c r="I710" s="12" t="s">
        <v>24</v>
      </c>
      <c r="J710" s="12" t="s">
        <v>169</v>
      </c>
      <c r="K710" s="12" t="s">
        <v>60</v>
      </c>
      <c r="L710" s="12" t="s">
        <v>312</v>
      </c>
      <c r="M710" s="12" t="s">
        <v>28</v>
      </c>
      <c r="N710" s="14">
        <v>0</v>
      </c>
      <c r="O710" s="23">
        <v>681.08</v>
      </c>
      <c r="P710">
        <v>204.39</v>
      </c>
      <c r="Q710" s="12" t="str" cm="1">
        <f t="array" ref="Q710:R710">VLOOKUP(E710,store[],{3,5},FALSE)</f>
        <v>South</v>
      </c>
      <c r="R710" t="str">
        <v>Online</v>
      </c>
      <c r="S710" s="4">
        <f t="shared" si="11"/>
        <v>2724.32</v>
      </c>
    </row>
    <row r="711" spans="1:19">
      <c r="A711" t="s">
        <v>1417</v>
      </c>
      <c r="B711" s="3">
        <v>45252</v>
      </c>
      <c r="C711" t="s">
        <v>376</v>
      </c>
      <c r="D711" t="s">
        <v>634</v>
      </c>
      <c r="E711" t="s">
        <v>66</v>
      </c>
      <c r="F711">
        <v>4</v>
      </c>
      <c r="G711" t="s">
        <v>33</v>
      </c>
      <c r="H711">
        <v>34</v>
      </c>
      <c r="I711" s="12" t="s">
        <v>24</v>
      </c>
      <c r="J711" s="12" t="s">
        <v>378</v>
      </c>
      <c r="K711" s="12" t="s">
        <v>73</v>
      </c>
      <c r="L711" s="12" t="s">
        <v>635</v>
      </c>
      <c r="M711" s="12" t="s">
        <v>130</v>
      </c>
      <c r="N711" s="14">
        <v>0.14000000000000001</v>
      </c>
      <c r="O711" s="23">
        <v>723.44</v>
      </c>
      <c r="P711">
        <v>306.45999999999998</v>
      </c>
      <c r="Q711" s="12" t="str" cm="1">
        <f t="array" ref="Q711:R711">VLOOKUP(E711,store[],{3,5},FALSE)</f>
        <v>South</v>
      </c>
      <c r="R711" t="str">
        <v>Online</v>
      </c>
      <c r="S711" s="4">
        <f t="shared" si="11"/>
        <v>2893.2</v>
      </c>
    </row>
    <row r="712" spans="1:19">
      <c r="A712" t="s">
        <v>1418</v>
      </c>
      <c r="B712" s="3">
        <v>45939</v>
      </c>
      <c r="C712" t="s">
        <v>320</v>
      </c>
      <c r="D712" t="s">
        <v>311</v>
      </c>
      <c r="E712" t="s">
        <v>98</v>
      </c>
      <c r="F712">
        <v>4</v>
      </c>
      <c r="G712" t="s">
        <v>50</v>
      </c>
      <c r="H712">
        <v>62</v>
      </c>
      <c r="I712" s="12" t="s">
        <v>34</v>
      </c>
      <c r="J712" s="12" t="s">
        <v>251</v>
      </c>
      <c r="K712" s="12" t="s">
        <v>26</v>
      </c>
      <c r="L712" s="12" t="s">
        <v>312</v>
      </c>
      <c r="M712" s="12" t="s">
        <v>28</v>
      </c>
      <c r="N712" s="14">
        <v>0.12</v>
      </c>
      <c r="O712" s="23">
        <v>471.89</v>
      </c>
      <c r="P712">
        <v>204.39</v>
      </c>
      <c r="Q712" s="12" t="str" cm="1">
        <f t="array" ref="Q712:R712">VLOOKUP(E712,store[],{3,5},FALSE)</f>
        <v>South</v>
      </c>
      <c r="R712" t="str">
        <v>Outlet</v>
      </c>
      <c r="S712" s="4">
        <f t="shared" si="11"/>
        <v>1887.08</v>
      </c>
    </row>
    <row r="713" spans="1:19">
      <c r="A713" t="s">
        <v>1419</v>
      </c>
      <c r="B713" s="3">
        <v>45559</v>
      </c>
      <c r="C713" t="s">
        <v>1089</v>
      </c>
      <c r="D713" t="s">
        <v>368</v>
      </c>
      <c r="E713" t="s">
        <v>32</v>
      </c>
      <c r="F713">
        <v>1</v>
      </c>
      <c r="G713" t="s">
        <v>50</v>
      </c>
      <c r="H713">
        <v>40</v>
      </c>
      <c r="I713" s="12" t="s">
        <v>34</v>
      </c>
      <c r="J713" s="12" t="s">
        <v>59</v>
      </c>
      <c r="K713" s="12" t="s">
        <v>52</v>
      </c>
      <c r="L713" s="12" t="s">
        <v>369</v>
      </c>
      <c r="M713" s="12" t="s">
        <v>46</v>
      </c>
      <c r="N713" s="14">
        <v>0.14000000000000001</v>
      </c>
      <c r="O713" s="23">
        <v>613.17999999999995</v>
      </c>
      <c r="P713">
        <v>214.32</v>
      </c>
      <c r="Q713" s="12" t="str" cm="1">
        <f t="array" ref="Q713:R713">VLOOKUP(E713,store[],{3,5},FALSE)</f>
        <v>North</v>
      </c>
      <c r="R713" t="str">
        <v>Flagship</v>
      </c>
      <c r="S713" s="4">
        <f t="shared" si="11"/>
        <v>613.04</v>
      </c>
    </row>
    <row r="714" spans="1:19">
      <c r="A714" t="s">
        <v>1420</v>
      </c>
      <c r="B714" s="3">
        <v>45229</v>
      </c>
      <c r="C714" t="s">
        <v>1361</v>
      </c>
      <c r="D714" t="s">
        <v>159</v>
      </c>
      <c r="E714" t="s">
        <v>72</v>
      </c>
      <c r="F714">
        <v>1</v>
      </c>
      <c r="G714" t="s">
        <v>33</v>
      </c>
      <c r="H714">
        <v>23</v>
      </c>
      <c r="I714" s="12" t="s">
        <v>34</v>
      </c>
      <c r="J714" s="12" t="s">
        <v>356</v>
      </c>
      <c r="K714" s="12" t="s">
        <v>26</v>
      </c>
      <c r="L714" s="12" t="s">
        <v>162</v>
      </c>
      <c r="M714" s="12" t="s">
        <v>37</v>
      </c>
      <c r="N714" s="14">
        <v>0.24</v>
      </c>
      <c r="O714" s="23">
        <v>651.30999999999995</v>
      </c>
      <c r="P714">
        <v>253.33</v>
      </c>
      <c r="Q714" s="12" t="str" cm="1">
        <f t="array" ref="Q714:R714">VLOOKUP(E714,store[],{3,5},FALSE)</f>
        <v>South</v>
      </c>
      <c r="R714" t="str">
        <v>Online</v>
      </c>
      <c r="S714" s="4">
        <f t="shared" si="11"/>
        <v>651.07000000000005</v>
      </c>
    </row>
    <row r="715" spans="1:19">
      <c r="A715" t="s">
        <v>1421</v>
      </c>
      <c r="B715" s="3">
        <v>45333</v>
      </c>
      <c r="C715" t="s">
        <v>1422</v>
      </c>
      <c r="D715" t="s">
        <v>414</v>
      </c>
      <c r="E715" t="s">
        <v>179</v>
      </c>
      <c r="F715">
        <v>2</v>
      </c>
      <c r="G715" t="s">
        <v>50</v>
      </c>
      <c r="H715">
        <v>40</v>
      </c>
      <c r="I715" s="12" t="s">
        <v>24</v>
      </c>
      <c r="J715" s="12" t="s">
        <v>128</v>
      </c>
      <c r="K715" s="12" t="s">
        <v>52</v>
      </c>
      <c r="L715" s="12" t="s">
        <v>415</v>
      </c>
      <c r="M715" s="12" t="s">
        <v>130</v>
      </c>
      <c r="N715" s="14">
        <v>0.1</v>
      </c>
      <c r="O715" s="23">
        <v>635.14</v>
      </c>
      <c r="P715">
        <v>364.67</v>
      </c>
      <c r="Q715" s="12" t="str" cm="1">
        <f t="array" ref="Q715:R715">VLOOKUP(E715,store[],{3,5},FALSE)</f>
        <v>East</v>
      </c>
      <c r="R715" t="str">
        <v>Online</v>
      </c>
      <c r="S715" s="4">
        <f t="shared" si="11"/>
        <v>1270.08</v>
      </c>
    </row>
    <row r="716" spans="1:19">
      <c r="A716" t="s">
        <v>1423</v>
      </c>
      <c r="B716" s="3">
        <v>45752</v>
      </c>
      <c r="C716" t="s">
        <v>1424</v>
      </c>
      <c r="D716" t="s">
        <v>187</v>
      </c>
      <c r="E716" t="s">
        <v>98</v>
      </c>
      <c r="F716">
        <v>4</v>
      </c>
      <c r="G716" t="s">
        <v>23</v>
      </c>
      <c r="H716">
        <v>23</v>
      </c>
      <c r="I716" s="12" t="s">
        <v>24</v>
      </c>
      <c r="J716" s="12" t="s">
        <v>67</v>
      </c>
      <c r="K716" s="12" t="s">
        <v>26</v>
      </c>
      <c r="L716" s="12" t="s">
        <v>189</v>
      </c>
      <c r="M716" s="12" t="s">
        <v>37</v>
      </c>
      <c r="N716" s="14">
        <v>0.14000000000000001</v>
      </c>
      <c r="O716" s="23">
        <v>912.61</v>
      </c>
      <c r="P716">
        <v>431.67</v>
      </c>
      <c r="Q716" s="12" t="str" cm="1">
        <f t="array" ref="Q716:R716">VLOOKUP(E716,store[],{3,5},FALSE)</f>
        <v>South</v>
      </c>
      <c r="R716" t="str">
        <v>Outlet</v>
      </c>
      <c r="S716" s="4">
        <f t="shared" si="11"/>
        <v>3649.88</v>
      </c>
    </row>
    <row r="717" spans="1:19">
      <c r="A717" t="s">
        <v>1425</v>
      </c>
      <c r="B717" s="3">
        <v>45795</v>
      </c>
      <c r="C717" t="s">
        <v>1426</v>
      </c>
      <c r="D717" t="s">
        <v>302</v>
      </c>
      <c r="E717" t="s">
        <v>66</v>
      </c>
      <c r="F717">
        <v>3</v>
      </c>
      <c r="G717" t="s">
        <v>23</v>
      </c>
      <c r="H717">
        <v>38</v>
      </c>
      <c r="I717" s="12" t="s">
        <v>24</v>
      </c>
      <c r="J717" s="12" t="s">
        <v>35</v>
      </c>
      <c r="K717" s="12" t="s">
        <v>60</v>
      </c>
      <c r="L717" s="12" t="s">
        <v>303</v>
      </c>
      <c r="M717" s="12" t="s">
        <v>46</v>
      </c>
      <c r="N717" s="14">
        <v>0.09</v>
      </c>
      <c r="O717" s="23">
        <v>79.77</v>
      </c>
      <c r="P717">
        <v>255.04901960784301</v>
      </c>
      <c r="Q717" s="12" t="str" cm="1">
        <f t="array" ref="Q717:R717">VLOOKUP(E717,store[],{3,5},FALSE)</f>
        <v>South</v>
      </c>
      <c r="R717" t="str">
        <v>Online</v>
      </c>
      <c r="S717" s="4">
        <f t="shared" si="11"/>
        <v>239.04</v>
      </c>
    </row>
    <row r="718" spans="1:19">
      <c r="A718" t="s">
        <v>1427</v>
      </c>
      <c r="B718" s="3">
        <v>45755</v>
      </c>
      <c r="C718" t="s">
        <v>490</v>
      </c>
      <c r="D718" t="s">
        <v>242</v>
      </c>
      <c r="E718" t="s">
        <v>122</v>
      </c>
      <c r="F718">
        <v>4</v>
      </c>
      <c r="G718" t="s">
        <v>23</v>
      </c>
      <c r="H718">
        <v>22</v>
      </c>
      <c r="I718" s="12" t="s">
        <v>34</v>
      </c>
      <c r="J718" s="12" t="s">
        <v>491</v>
      </c>
      <c r="K718" s="12" t="s">
        <v>52</v>
      </c>
      <c r="L718" s="12" t="s">
        <v>243</v>
      </c>
      <c r="M718" s="12" t="s">
        <v>46</v>
      </c>
      <c r="N718" s="14">
        <v>0.25</v>
      </c>
      <c r="O718" s="23">
        <v>603.52</v>
      </c>
      <c r="P718">
        <v>358.47</v>
      </c>
      <c r="Q718" s="12" t="str" cm="1">
        <f t="array" ref="Q718:R718">VLOOKUP(E718,store[],{3,5},FALSE)</f>
        <v>North</v>
      </c>
      <c r="R718" t="str">
        <v>Flagship</v>
      </c>
      <c r="S718" s="4">
        <f t="shared" si="11"/>
        <v>2413.08</v>
      </c>
    </row>
    <row r="719" spans="1:19">
      <c r="A719" t="s">
        <v>1428</v>
      </c>
      <c r="B719" s="3">
        <v>45625</v>
      </c>
      <c r="C719" t="s">
        <v>944</v>
      </c>
      <c r="D719" t="s">
        <v>192</v>
      </c>
      <c r="E719" t="s">
        <v>208</v>
      </c>
      <c r="F719">
        <v>4</v>
      </c>
      <c r="G719" t="s">
        <v>50</v>
      </c>
      <c r="H719">
        <v>29</v>
      </c>
      <c r="I719" s="12" t="s">
        <v>24</v>
      </c>
      <c r="J719" s="12" t="s">
        <v>35</v>
      </c>
      <c r="K719" s="12" t="s">
        <v>26</v>
      </c>
      <c r="L719" s="12" t="s">
        <v>194</v>
      </c>
      <c r="M719" s="12" t="s">
        <v>37</v>
      </c>
      <c r="N719" s="14">
        <v>0.23</v>
      </c>
      <c r="O719" s="23">
        <v>453.12</v>
      </c>
      <c r="P719">
        <v>480.9</v>
      </c>
      <c r="Q719" s="12" t="str" cm="1">
        <f t="array" ref="Q719:R719">VLOOKUP(E719,store[],{3,5},FALSE)</f>
        <v>North</v>
      </c>
      <c r="R719" t="str">
        <v>Online</v>
      </c>
      <c r="S719" s="4">
        <f t="shared" si="11"/>
        <v>1811.56</v>
      </c>
    </row>
    <row r="720" spans="1:19">
      <c r="A720" t="s">
        <v>1429</v>
      </c>
      <c r="B720" s="3">
        <v>45656</v>
      </c>
      <c r="C720" t="s">
        <v>1430</v>
      </c>
      <c r="D720" t="s">
        <v>89</v>
      </c>
      <c r="E720" t="s">
        <v>127</v>
      </c>
      <c r="F720">
        <v>2</v>
      </c>
      <c r="G720" t="s">
        <v>23</v>
      </c>
      <c r="H720">
        <v>47</v>
      </c>
      <c r="I720" s="12" t="s">
        <v>34</v>
      </c>
      <c r="J720" s="12" t="s">
        <v>161</v>
      </c>
      <c r="K720" s="12" t="s">
        <v>26</v>
      </c>
      <c r="L720" s="12" t="s">
        <v>92</v>
      </c>
      <c r="M720" s="12" t="s">
        <v>75</v>
      </c>
      <c r="N720" s="14">
        <v>0.15</v>
      </c>
      <c r="O720" s="23">
        <v>974.35</v>
      </c>
      <c r="P720">
        <v>179.77</v>
      </c>
      <c r="Q720" s="12" t="str" cm="1">
        <f t="array" ref="Q720:R720">VLOOKUP(E720,store[],{3,5},FALSE)</f>
        <v>South</v>
      </c>
      <c r="R720" t="str">
        <v>Flagship</v>
      </c>
      <c r="S720" s="4">
        <f t="shared" si="11"/>
        <v>1948.4</v>
      </c>
    </row>
    <row r="721" spans="1:19">
      <c r="A721" t="s">
        <v>1431</v>
      </c>
      <c r="B721" s="3">
        <v>45824</v>
      </c>
      <c r="C721" t="s">
        <v>166</v>
      </c>
      <c r="D721" t="s">
        <v>1126</v>
      </c>
      <c r="E721" t="s">
        <v>32</v>
      </c>
      <c r="F721">
        <v>4</v>
      </c>
      <c r="G721" t="s">
        <v>50</v>
      </c>
      <c r="H721">
        <v>33</v>
      </c>
      <c r="I721" s="12" t="s">
        <v>34</v>
      </c>
      <c r="J721" s="12" t="s">
        <v>169</v>
      </c>
      <c r="K721" s="12" t="s">
        <v>26</v>
      </c>
      <c r="L721" s="12" t="s">
        <v>1127</v>
      </c>
      <c r="M721" s="12" t="s">
        <v>28</v>
      </c>
      <c r="N721" s="14">
        <v>0.23</v>
      </c>
      <c r="O721" s="23">
        <v>52.35</v>
      </c>
      <c r="P721">
        <v>60.65</v>
      </c>
      <c r="Q721" s="12" t="str" cm="1">
        <f t="array" ref="Q721:R721">VLOOKUP(E721,store[],{3,5},FALSE)</f>
        <v>North</v>
      </c>
      <c r="R721" t="str">
        <v>Flagship</v>
      </c>
      <c r="S721" s="4">
        <f t="shared" si="11"/>
        <v>208.48</v>
      </c>
    </row>
    <row r="722" spans="1:19">
      <c r="A722" t="s">
        <v>1432</v>
      </c>
      <c r="B722" s="3">
        <v>45824</v>
      </c>
      <c r="C722" t="s">
        <v>946</v>
      </c>
      <c r="D722" t="s">
        <v>134</v>
      </c>
      <c r="E722" t="s">
        <v>32</v>
      </c>
      <c r="F722">
        <v>3</v>
      </c>
      <c r="G722" t="s">
        <v>23</v>
      </c>
      <c r="H722">
        <v>45</v>
      </c>
      <c r="I722" s="12" t="s">
        <v>24</v>
      </c>
      <c r="J722" s="12" t="s">
        <v>260</v>
      </c>
      <c r="K722" s="12" t="s">
        <v>60</v>
      </c>
      <c r="L722" s="12" t="s">
        <v>136</v>
      </c>
      <c r="M722" s="12" t="s">
        <v>28</v>
      </c>
      <c r="N722" s="14">
        <v>0.23</v>
      </c>
      <c r="O722" s="23">
        <v>681.58</v>
      </c>
      <c r="P722">
        <v>240.63</v>
      </c>
      <c r="Q722" s="12" t="str" cm="1">
        <f t="array" ref="Q722:R722">VLOOKUP(E722,store[],{3,5},FALSE)</f>
        <v>North</v>
      </c>
      <c r="R722" t="str">
        <v>Flagship</v>
      </c>
      <c r="S722" s="4">
        <f t="shared" si="11"/>
        <v>2044.05</v>
      </c>
    </row>
    <row r="723" spans="1:19">
      <c r="A723" t="s">
        <v>1433</v>
      </c>
      <c r="B723" s="3">
        <v>45384</v>
      </c>
      <c r="C723" t="s">
        <v>1373</v>
      </c>
      <c r="D723" t="s">
        <v>359</v>
      </c>
      <c r="E723" t="s">
        <v>122</v>
      </c>
      <c r="F723">
        <v>3</v>
      </c>
      <c r="G723" t="s">
        <v>23</v>
      </c>
      <c r="H723">
        <v>55</v>
      </c>
      <c r="I723" s="12" t="s">
        <v>24</v>
      </c>
      <c r="J723" s="12" t="s">
        <v>239</v>
      </c>
      <c r="K723" s="12" t="s">
        <v>52</v>
      </c>
      <c r="L723" s="12" t="s">
        <v>361</v>
      </c>
      <c r="M723" s="12" t="s">
        <v>46</v>
      </c>
      <c r="N723" s="14">
        <v>0.03</v>
      </c>
      <c r="O723" s="23">
        <v>71.23</v>
      </c>
      <c r="P723">
        <v>289.359375</v>
      </c>
      <c r="Q723" s="12" t="str" cm="1">
        <f t="array" ref="Q723:R723">VLOOKUP(E723,store[],{3,5},FALSE)</f>
        <v>North</v>
      </c>
      <c r="R723" t="str">
        <v>Flagship</v>
      </c>
      <c r="S723" s="4">
        <f t="shared" si="11"/>
        <v>213.6</v>
      </c>
    </row>
    <row r="724" spans="1:19">
      <c r="A724" t="s">
        <v>1434</v>
      </c>
      <c r="B724" s="3">
        <v>45379</v>
      </c>
      <c r="C724" t="s">
        <v>926</v>
      </c>
      <c r="D724" t="s">
        <v>65</v>
      </c>
      <c r="E724" t="s">
        <v>98</v>
      </c>
      <c r="F724">
        <v>1</v>
      </c>
      <c r="G724" t="s">
        <v>50</v>
      </c>
      <c r="H724">
        <v>31</v>
      </c>
      <c r="I724" s="12" t="s">
        <v>24</v>
      </c>
      <c r="J724" s="12" t="s">
        <v>498</v>
      </c>
      <c r="K724" s="12" t="s">
        <v>52</v>
      </c>
      <c r="L724" s="12" t="s">
        <v>68</v>
      </c>
      <c r="M724" s="12" t="s">
        <v>37</v>
      </c>
      <c r="N724" s="14">
        <v>0.21</v>
      </c>
      <c r="O724" s="23">
        <v>31.36</v>
      </c>
      <c r="P724">
        <v>465.34</v>
      </c>
      <c r="Q724" s="12" t="str" cm="1">
        <f t="array" ref="Q724:R724">VLOOKUP(E724,store[],{3,5},FALSE)</f>
        <v>South</v>
      </c>
      <c r="R724" t="str">
        <v>Outlet</v>
      </c>
      <c r="S724" s="4">
        <f t="shared" si="11"/>
        <v>31.15</v>
      </c>
    </row>
    <row r="725" spans="1:19">
      <c r="A725" t="s">
        <v>1435</v>
      </c>
      <c r="B725" s="3">
        <v>45674</v>
      </c>
      <c r="C725" t="s">
        <v>1436</v>
      </c>
      <c r="D725" t="s">
        <v>745</v>
      </c>
      <c r="E725" t="s">
        <v>149</v>
      </c>
      <c r="F725">
        <v>2</v>
      </c>
      <c r="G725" t="s">
        <v>23</v>
      </c>
      <c r="H725">
        <v>56</v>
      </c>
      <c r="I725" s="12" t="s">
        <v>34</v>
      </c>
      <c r="J725" s="12" t="s">
        <v>932</v>
      </c>
      <c r="K725" s="12" t="s">
        <v>73</v>
      </c>
      <c r="L725" s="12" t="s">
        <v>746</v>
      </c>
      <c r="M725" s="12" t="s">
        <v>28</v>
      </c>
      <c r="N725" s="14">
        <v>0.14000000000000001</v>
      </c>
      <c r="O725" s="23">
        <v>555.54999999999995</v>
      </c>
      <c r="P725">
        <v>313.26</v>
      </c>
      <c r="Q725" s="12" t="str" cm="1">
        <f t="array" ref="Q725:R725">VLOOKUP(E725,store[],{3,5},FALSE)</f>
        <v>East</v>
      </c>
      <c r="R725" t="str">
        <v>Flagship</v>
      </c>
      <c r="S725" s="4">
        <f t="shared" si="11"/>
        <v>1110.82</v>
      </c>
    </row>
    <row r="726" spans="1:19">
      <c r="A726" t="s">
        <v>1437</v>
      </c>
      <c r="B726" s="3">
        <v>45760</v>
      </c>
      <c r="C726" t="s">
        <v>890</v>
      </c>
      <c r="D726" t="s">
        <v>532</v>
      </c>
      <c r="E726" t="s">
        <v>117</v>
      </c>
      <c r="F726">
        <v>4</v>
      </c>
      <c r="G726" t="s">
        <v>23</v>
      </c>
      <c r="H726">
        <v>64</v>
      </c>
      <c r="I726" s="12" t="s">
        <v>24</v>
      </c>
      <c r="J726" s="12" t="s">
        <v>59</v>
      </c>
      <c r="K726" s="12" t="s">
        <v>60</v>
      </c>
      <c r="L726" s="12" t="s">
        <v>533</v>
      </c>
      <c r="M726" s="12" t="s">
        <v>46</v>
      </c>
      <c r="N726" s="14">
        <v>0.06</v>
      </c>
      <c r="O726" s="23">
        <v>805.99</v>
      </c>
      <c r="P726">
        <v>340.39</v>
      </c>
      <c r="Q726" s="12" t="str" cm="1">
        <f t="array" ref="Q726:R726">VLOOKUP(E726,store[],{3,5},FALSE)</f>
        <v>West</v>
      </c>
      <c r="R726" t="str">
        <v>Flagship</v>
      </c>
      <c r="S726" s="4">
        <f t="shared" si="11"/>
        <v>3223.72</v>
      </c>
    </row>
    <row r="727" spans="1:19">
      <c r="A727" t="s">
        <v>1438</v>
      </c>
      <c r="B727" s="3">
        <v>45474</v>
      </c>
      <c r="C727" t="s">
        <v>1187</v>
      </c>
      <c r="D727" t="s">
        <v>368</v>
      </c>
      <c r="E727" t="s">
        <v>105</v>
      </c>
      <c r="F727">
        <v>1</v>
      </c>
      <c r="G727" t="s">
        <v>23</v>
      </c>
      <c r="H727">
        <v>53</v>
      </c>
      <c r="I727" s="12" t="s">
        <v>24</v>
      </c>
      <c r="J727" s="12" t="s">
        <v>80</v>
      </c>
      <c r="K727" s="12" t="s">
        <v>52</v>
      </c>
      <c r="L727" s="12" t="s">
        <v>369</v>
      </c>
      <c r="M727" s="12" t="s">
        <v>46</v>
      </c>
      <c r="N727" s="14">
        <v>0.28000000000000003</v>
      </c>
      <c r="O727" s="23">
        <v>506.55</v>
      </c>
      <c r="P727">
        <v>214.32</v>
      </c>
      <c r="Q727" s="12" t="str" cm="1">
        <f t="array" ref="Q727:R727">VLOOKUP(E727,store[],{3,5},FALSE)</f>
        <v>North</v>
      </c>
      <c r="R727" t="str">
        <v>Flagship</v>
      </c>
      <c r="S727" s="4">
        <f t="shared" si="11"/>
        <v>506.27</v>
      </c>
    </row>
    <row r="728" spans="1:19">
      <c r="A728" t="s">
        <v>1439</v>
      </c>
      <c r="B728" s="3">
        <v>45640</v>
      </c>
      <c r="C728" t="s">
        <v>1440</v>
      </c>
      <c r="D728" t="s">
        <v>745</v>
      </c>
      <c r="E728" t="s">
        <v>272</v>
      </c>
      <c r="F728">
        <v>3</v>
      </c>
      <c r="G728" t="s">
        <v>23</v>
      </c>
      <c r="H728">
        <v>29</v>
      </c>
      <c r="I728" s="12" t="s">
        <v>24</v>
      </c>
      <c r="J728" s="12" t="s">
        <v>440</v>
      </c>
      <c r="K728" s="12" t="s">
        <v>52</v>
      </c>
      <c r="L728" s="12" t="s">
        <v>746</v>
      </c>
      <c r="M728" s="12" t="s">
        <v>28</v>
      </c>
      <c r="N728" s="14">
        <v>0.02</v>
      </c>
      <c r="O728" s="23">
        <v>28.69</v>
      </c>
      <c r="P728">
        <v>313.26</v>
      </c>
      <c r="Q728" s="12" t="str" cm="1">
        <f t="array" ref="Q728:R728">VLOOKUP(E728,store[],{3,5},FALSE)</f>
        <v>South</v>
      </c>
      <c r="R728" t="str">
        <v>Online</v>
      </c>
      <c r="S728" s="4">
        <f t="shared" si="11"/>
        <v>86.01</v>
      </c>
    </row>
    <row r="729" spans="1:19">
      <c r="A729" t="s">
        <v>1441</v>
      </c>
      <c r="B729" s="3">
        <v>45253</v>
      </c>
      <c r="C729" t="s">
        <v>1442</v>
      </c>
      <c r="D729" t="s">
        <v>49</v>
      </c>
      <c r="E729" t="s">
        <v>72</v>
      </c>
      <c r="F729">
        <v>1</v>
      </c>
      <c r="G729" t="s">
        <v>50</v>
      </c>
      <c r="H729">
        <v>28</v>
      </c>
      <c r="I729" s="12" t="s">
        <v>34</v>
      </c>
      <c r="J729" s="12" t="s">
        <v>204</v>
      </c>
      <c r="K729" s="12" t="s">
        <v>60</v>
      </c>
      <c r="L729" s="12" t="s">
        <v>53</v>
      </c>
      <c r="M729" s="12" t="s">
        <v>37</v>
      </c>
      <c r="N729" s="14">
        <v>0.23</v>
      </c>
      <c r="O729" s="23">
        <v>106.07</v>
      </c>
      <c r="P729">
        <v>392.89</v>
      </c>
      <c r="Q729" s="12" t="str" cm="1">
        <f t="array" ref="Q729:R729">VLOOKUP(E729,store[],{3,5},FALSE)</f>
        <v>South</v>
      </c>
      <c r="R729" t="str">
        <v>Online</v>
      </c>
      <c r="S729" s="4">
        <f t="shared" si="11"/>
        <v>105.84</v>
      </c>
    </row>
    <row r="730" spans="1:19">
      <c r="A730" t="s">
        <v>1443</v>
      </c>
      <c r="B730" s="3">
        <v>45225</v>
      </c>
      <c r="C730" t="s">
        <v>813</v>
      </c>
      <c r="D730" t="s">
        <v>372</v>
      </c>
      <c r="E730" t="s">
        <v>90</v>
      </c>
      <c r="F730">
        <v>4</v>
      </c>
      <c r="G730" t="s">
        <v>33</v>
      </c>
      <c r="H730">
        <v>63</v>
      </c>
      <c r="I730" s="12" t="s">
        <v>34</v>
      </c>
      <c r="J730" s="12" t="s">
        <v>251</v>
      </c>
      <c r="K730" s="12" t="s">
        <v>52</v>
      </c>
      <c r="L730" s="12" t="s">
        <v>374</v>
      </c>
      <c r="M730" s="12" t="s">
        <v>130</v>
      </c>
      <c r="N730" s="14">
        <v>0.06</v>
      </c>
      <c r="O730" s="23">
        <v>289.77</v>
      </c>
      <c r="P730">
        <v>438.25</v>
      </c>
      <c r="Q730" s="12" t="str" cm="1">
        <f t="array" ref="Q730:R730">VLOOKUP(E730,store[],{3,5},FALSE)</f>
        <v>East</v>
      </c>
      <c r="R730" t="str">
        <v>Flagship</v>
      </c>
      <c r="S730" s="4">
        <f t="shared" si="11"/>
        <v>1158.8399999999999</v>
      </c>
    </row>
    <row r="731" spans="1:19">
      <c r="A731" t="s">
        <v>1444</v>
      </c>
      <c r="B731" s="3">
        <v>45263</v>
      </c>
      <c r="C731" t="s">
        <v>1120</v>
      </c>
      <c r="D731" t="s">
        <v>359</v>
      </c>
      <c r="E731" t="s">
        <v>160</v>
      </c>
      <c r="F731">
        <v>2</v>
      </c>
      <c r="G731" t="s">
        <v>50</v>
      </c>
      <c r="H731">
        <v>46</v>
      </c>
      <c r="I731" s="12" t="s">
        <v>24</v>
      </c>
      <c r="J731" s="12" t="s">
        <v>188</v>
      </c>
      <c r="K731" s="12" t="s">
        <v>73</v>
      </c>
      <c r="L731" s="12" t="s">
        <v>361</v>
      </c>
      <c r="M731" s="12" t="s">
        <v>46</v>
      </c>
      <c r="N731" s="14">
        <v>0.01</v>
      </c>
      <c r="O731" s="23">
        <v>354.26</v>
      </c>
      <c r="P731">
        <v>289.359375</v>
      </c>
      <c r="Q731" s="12" t="str" cm="1">
        <f t="array" ref="Q731:R731">VLOOKUP(E731,store[],{3,5},FALSE)</f>
        <v>East</v>
      </c>
      <c r="R731" t="str">
        <v>Flagship</v>
      </c>
      <c r="S731" s="4">
        <f t="shared" si="11"/>
        <v>708.5</v>
      </c>
    </row>
    <row r="732" spans="1:19">
      <c r="A732" t="s">
        <v>1445</v>
      </c>
      <c r="B732" s="3">
        <v>45554</v>
      </c>
      <c r="C732" t="s">
        <v>1446</v>
      </c>
      <c r="D732" t="s">
        <v>741</v>
      </c>
      <c r="E732" t="s">
        <v>98</v>
      </c>
      <c r="F732">
        <v>1</v>
      </c>
      <c r="G732" t="s">
        <v>33</v>
      </c>
      <c r="H732">
        <v>60</v>
      </c>
      <c r="I732" s="12" t="s">
        <v>24</v>
      </c>
      <c r="J732" s="12" t="s">
        <v>457</v>
      </c>
      <c r="K732" s="12" t="s">
        <v>26</v>
      </c>
      <c r="L732" s="12" t="s">
        <v>742</v>
      </c>
      <c r="M732" s="12" t="s">
        <v>75</v>
      </c>
      <c r="N732" s="14">
        <v>0.25</v>
      </c>
      <c r="O732" s="23">
        <v>522.72</v>
      </c>
      <c r="P732">
        <v>243.7</v>
      </c>
      <c r="Q732" s="12" t="str" cm="1">
        <f t="array" ref="Q732:R732">VLOOKUP(E732,store[],{3,5},FALSE)</f>
        <v>South</v>
      </c>
      <c r="R732" t="str">
        <v>Outlet</v>
      </c>
      <c r="S732" s="4">
        <f t="shared" si="11"/>
        <v>522.47</v>
      </c>
    </row>
    <row r="733" spans="1:19">
      <c r="A733" t="s">
        <v>1447</v>
      </c>
      <c r="B733" s="3">
        <v>45569</v>
      </c>
      <c r="C733" t="s">
        <v>1208</v>
      </c>
      <c r="D733" t="s">
        <v>183</v>
      </c>
      <c r="E733" t="s">
        <v>127</v>
      </c>
      <c r="F733">
        <v>3</v>
      </c>
      <c r="G733" t="s">
        <v>50</v>
      </c>
      <c r="H733">
        <v>43</v>
      </c>
      <c r="I733" s="12" t="s">
        <v>34</v>
      </c>
      <c r="J733" s="12" t="s">
        <v>67</v>
      </c>
      <c r="K733" s="12" t="s">
        <v>52</v>
      </c>
      <c r="L733" s="12" t="s">
        <v>184</v>
      </c>
      <c r="M733" s="12" t="s">
        <v>130</v>
      </c>
      <c r="N733" s="14">
        <v>0.03</v>
      </c>
      <c r="O733" s="23">
        <v>966.02</v>
      </c>
      <c r="P733">
        <v>261</v>
      </c>
      <c r="Q733" s="12" t="str" cm="1">
        <f t="array" ref="Q733:R733">VLOOKUP(E733,store[],{3,5},FALSE)</f>
        <v>South</v>
      </c>
      <c r="R733" t="str">
        <v>Flagship</v>
      </c>
      <c r="S733" s="4">
        <f t="shared" si="11"/>
        <v>2897.97</v>
      </c>
    </row>
    <row r="734" spans="1:19">
      <c r="A734" t="s">
        <v>1448</v>
      </c>
      <c r="B734" s="3">
        <v>45217</v>
      </c>
      <c r="C734" t="s">
        <v>830</v>
      </c>
      <c r="D734" t="s">
        <v>409</v>
      </c>
      <c r="E734" t="s">
        <v>32</v>
      </c>
      <c r="F734">
        <v>1</v>
      </c>
      <c r="G734" t="s">
        <v>33</v>
      </c>
      <c r="H734">
        <v>29</v>
      </c>
      <c r="I734" s="12" t="s">
        <v>24</v>
      </c>
      <c r="J734" s="12" t="s">
        <v>80</v>
      </c>
      <c r="K734" s="12" t="s">
        <v>60</v>
      </c>
      <c r="L734" s="12" t="s">
        <v>411</v>
      </c>
      <c r="M734" s="12" t="s">
        <v>28</v>
      </c>
      <c r="N734" s="14">
        <v>0.04</v>
      </c>
      <c r="O734" s="23">
        <v>498.61</v>
      </c>
      <c r="P734">
        <v>190.29</v>
      </c>
      <c r="Q734" s="12" t="str" cm="1">
        <f t="array" ref="Q734:R734">VLOOKUP(E734,store[],{3,5},FALSE)</f>
        <v>North</v>
      </c>
      <c r="R734" t="str">
        <v>Flagship</v>
      </c>
      <c r="S734" s="4">
        <f t="shared" si="11"/>
        <v>498.57</v>
      </c>
    </row>
    <row r="735" spans="1:19">
      <c r="A735" t="s">
        <v>1449</v>
      </c>
      <c r="B735" s="3">
        <v>45783</v>
      </c>
      <c r="C735" t="s">
        <v>1450</v>
      </c>
      <c r="D735" t="s">
        <v>449</v>
      </c>
      <c r="E735" t="s">
        <v>179</v>
      </c>
      <c r="F735">
        <v>4</v>
      </c>
      <c r="G735" t="s">
        <v>33</v>
      </c>
      <c r="H735">
        <v>54</v>
      </c>
      <c r="I735" s="12" t="s">
        <v>24</v>
      </c>
      <c r="J735" s="12" t="s">
        <v>932</v>
      </c>
      <c r="K735" s="12" t="s">
        <v>52</v>
      </c>
      <c r="L735" s="12" t="s">
        <v>450</v>
      </c>
      <c r="M735" s="12" t="s">
        <v>37</v>
      </c>
      <c r="N735" s="14">
        <v>0.05</v>
      </c>
      <c r="O735" s="23">
        <v>758.27</v>
      </c>
      <c r="P735">
        <v>450.71</v>
      </c>
      <c r="Q735" s="12" t="str" cm="1">
        <f t="array" ref="Q735:R735">VLOOKUP(E735,store[],{3,5},FALSE)</f>
        <v>East</v>
      </c>
      <c r="R735" t="str">
        <v>Online</v>
      </c>
      <c r="S735" s="4">
        <f t="shared" si="11"/>
        <v>3032.88</v>
      </c>
    </row>
    <row r="736" spans="1:19">
      <c r="A736" t="s">
        <v>1451</v>
      </c>
      <c r="B736" s="3">
        <v>45371</v>
      </c>
      <c r="C736" t="s">
        <v>840</v>
      </c>
      <c r="D736" t="s">
        <v>414</v>
      </c>
      <c r="E736" t="s">
        <v>198</v>
      </c>
      <c r="F736">
        <v>2</v>
      </c>
      <c r="G736" t="s">
        <v>33</v>
      </c>
      <c r="H736">
        <v>54</v>
      </c>
      <c r="I736" s="12" t="s">
        <v>24</v>
      </c>
      <c r="J736" s="12" t="s">
        <v>35</v>
      </c>
      <c r="K736" s="12" t="s">
        <v>73</v>
      </c>
      <c r="L736" s="12" t="s">
        <v>415</v>
      </c>
      <c r="M736" s="12" t="s">
        <v>130</v>
      </c>
      <c r="N736" s="14">
        <v>0.23</v>
      </c>
      <c r="O736" s="23">
        <v>371.03</v>
      </c>
      <c r="P736">
        <v>364.67</v>
      </c>
      <c r="Q736" s="12" t="str" cm="1">
        <f t="array" ref="Q736:R736">VLOOKUP(E736,store[],{3,5},FALSE)</f>
        <v>South</v>
      </c>
      <c r="R736" t="str">
        <v>Outlet</v>
      </c>
      <c r="S736" s="4">
        <f t="shared" si="11"/>
        <v>741.6</v>
      </c>
    </row>
    <row r="737" spans="1:19">
      <c r="A737" t="s">
        <v>1452</v>
      </c>
      <c r="B737" s="3">
        <v>45453</v>
      </c>
      <c r="C737" t="s">
        <v>1453</v>
      </c>
      <c r="D737" t="s">
        <v>372</v>
      </c>
      <c r="E737" t="s">
        <v>32</v>
      </c>
      <c r="F737">
        <v>1</v>
      </c>
      <c r="G737" t="s">
        <v>50</v>
      </c>
      <c r="H737">
        <v>20</v>
      </c>
      <c r="I737" s="12" t="s">
        <v>24</v>
      </c>
      <c r="J737" s="12" t="s">
        <v>91</v>
      </c>
      <c r="K737" s="12" t="s">
        <v>26</v>
      </c>
      <c r="L737" s="12" t="s">
        <v>374</v>
      </c>
      <c r="M737" s="12" t="s">
        <v>130</v>
      </c>
      <c r="N737" s="14">
        <v>0.05</v>
      </c>
      <c r="O737" s="23">
        <v>230.32</v>
      </c>
      <c r="P737">
        <v>438.25</v>
      </c>
      <c r="Q737" s="12" t="str" cm="1">
        <f t="array" ref="Q737:R737">VLOOKUP(E737,store[],{3,5},FALSE)</f>
        <v>North</v>
      </c>
      <c r="R737" t="str">
        <v>Flagship</v>
      </c>
      <c r="S737" s="4">
        <f t="shared" si="11"/>
        <v>230.27</v>
      </c>
    </row>
    <row r="738" spans="1:19">
      <c r="A738" t="s">
        <v>1454</v>
      </c>
      <c r="B738" s="3">
        <v>45526</v>
      </c>
      <c r="C738" t="s">
        <v>1455</v>
      </c>
      <c r="D738" t="s">
        <v>698</v>
      </c>
      <c r="E738" t="s">
        <v>179</v>
      </c>
      <c r="F738">
        <v>2</v>
      </c>
      <c r="G738" t="s">
        <v>50</v>
      </c>
      <c r="H738">
        <v>30</v>
      </c>
      <c r="I738" s="12" t="s">
        <v>34</v>
      </c>
      <c r="J738" s="12" t="s">
        <v>440</v>
      </c>
      <c r="K738" s="12" t="s">
        <v>73</v>
      </c>
      <c r="L738" s="12" t="s">
        <v>699</v>
      </c>
      <c r="M738" s="12" t="s">
        <v>28</v>
      </c>
      <c r="N738" s="14">
        <v>0.28000000000000003</v>
      </c>
      <c r="O738" s="23">
        <v>985.43</v>
      </c>
      <c r="P738">
        <v>103.45</v>
      </c>
      <c r="Q738" s="12" t="str" cm="1">
        <f t="array" ref="Q738:R738">VLOOKUP(E738,store[],{3,5},FALSE)</f>
        <v>East</v>
      </c>
      <c r="R738" t="str">
        <v>Online</v>
      </c>
      <c r="S738" s="4">
        <f t="shared" si="11"/>
        <v>1970.3</v>
      </c>
    </row>
    <row r="739" spans="1:19">
      <c r="A739" t="s">
        <v>1456</v>
      </c>
      <c r="B739" s="3">
        <v>45756</v>
      </c>
      <c r="C739" t="s">
        <v>1064</v>
      </c>
      <c r="D739" t="s">
        <v>810</v>
      </c>
      <c r="E739" t="s">
        <v>72</v>
      </c>
      <c r="F739">
        <v>2</v>
      </c>
      <c r="G739" t="s">
        <v>33</v>
      </c>
      <c r="H739">
        <v>42</v>
      </c>
      <c r="I739" s="12" t="s">
        <v>34</v>
      </c>
      <c r="J739" s="12" t="s">
        <v>333</v>
      </c>
      <c r="K739" s="12" t="s">
        <v>52</v>
      </c>
      <c r="L739" s="12" t="s">
        <v>811</v>
      </c>
      <c r="M739" s="12" t="s">
        <v>28</v>
      </c>
      <c r="N739" s="14">
        <v>0.3</v>
      </c>
      <c r="O739" s="23">
        <v>492.5</v>
      </c>
      <c r="P739">
        <v>495.72</v>
      </c>
      <c r="Q739" s="12" t="str" cm="1">
        <f t="array" ref="Q739:R739">VLOOKUP(E739,store[],{3,5},FALSE)</f>
        <v>South</v>
      </c>
      <c r="R739" t="str">
        <v>Online</v>
      </c>
      <c r="S739" s="4">
        <f t="shared" si="11"/>
        <v>984.4</v>
      </c>
    </row>
    <row r="740" spans="1:19">
      <c r="A740" t="s">
        <v>1457</v>
      </c>
      <c r="B740" s="3">
        <v>45657</v>
      </c>
      <c r="C740" t="s">
        <v>731</v>
      </c>
      <c r="D740" t="s">
        <v>381</v>
      </c>
      <c r="E740" t="s">
        <v>272</v>
      </c>
      <c r="F740">
        <v>2</v>
      </c>
      <c r="G740" t="s">
        <v>33</v>
      </c>
      <c r="H740">
        <v>58</v>
      </c>
      <c r="I740" s="12" t="s">
        <v>24</v>
      </c>
      <c r="J740" s="12" t="s">
        <v>251</v>
      </c>
      <c r="K740" s="12" t="s">
        <v>73</v>
      </c>
      <c r="L740" s="12" t="s">
        <v>382</v>
      </c>
      <c r="M740" s="12" t="s">
        <v>130</v>
      </c>
      <c r="N740" s="14">
        <v>0.28000000000000003</v>
      </c>
      <c r="O740" s="23">
        <v>213.69</v>
      </c>
      <c r="P740">
        <v>167.34</v>
      </c>
      <c r="Q740" s="12" t="str" cm="1">
        <f t="array" ref="Q740:R740">VLOOKUP(E740,store[],{3,5},FALSE)</f>
        <v>South</v>
      </c>
      <c r="R740" t="str">
        <v>Online</v>
      </c>
      <c r="S740" s="4">
        <f t="shared" si="11"/>
        <v>426.82</v>
      </c>
    </row>
    <row r="741" spans="1:19">
      <c r="A741" t="s">
        <v>1458</v>
      </c>
      <c r="B741" s="3">
        <v>45716</v>
      </c>
      <c r="C741" t="s">
        <v>96</v>
      </c>
      <c r="D741" t="s">
        <v>291</v>
      </c>
      <c r="E741" t="s">
        <v>43</v>
      </c>
      <c r="F741">
        <v>4</v>
      </c>
      <c r="G741" t="s">
        <v>33</v>
      </c>
      <c r="H741">
        <v>21</v>
      </c>
      <c r="I741" s="12" t="s">
        <v>34</v>
      </c>
      <c r="J741" s="12" t="s">
        <v>99</v>
      </c>
      <c r="K741" s="12" t="s">
        <v>60</v>
      </c>
      <c r="L741" s="12" t="s">
        <v>292</v>
      </c>
      <c r="M741" s="12" t="s">
        <v>28</v>
      </c>
      <c r="N741" s="14">
        <v>0.08</v>
      </c>
      <c r="O741" s="23">
        <v>618.83000000000004</v>
      </c>
      <c r="P741">
        <v>131.51</v>
      </c>
      <c r="Q741" s="12" t="str" cm="1">
        <f t="array" ref="Q741:R741">VLOOKUP(E741,store[],{3,5},FALSE)</f>
        <v>West</v>
      </c>
      <c r="R741" t="str">
        <v>Online</v>
      </c>
      <c r="S741" s="4">
        <f t="shared" si="11"/>
        <v>2475</v>
      </c>
    </row>
    <row r="742" spans="1:19">
      <c r="A742" t="s">
        <v>1459</v>
      </c>
      <c r="B742" s="3">
        <v>45313</v>
      </c>
      <c r="C742" t="s">
        <v>546</v>
      </c>
      <c r="D742" t="s">
        <v>57</v>
      </c>
      <c r="E742" t="s">
        <v>272</v>
      </c>
      <c r="F742">
        <v>2</v>
      </c>
      <c r="G742" t="s">
        <v>33</v>
      </c>
      <c r="H742">
        <v>28</v>
      </c>
      <c r="I742" s="12" t="s">
        <v>34</v>
      </c>
      <c r="J742" s="12" t="s">
        <v>457</v>
      </c>
      <c r="K742" s="12" t="s">
        <v>26</v>
      </c>
      <c r="L742" s="12" t="s">
        <v>61</v>
      </c>
      <c r="M742" s="12" t="s">
        <v>46</v>
      </c>
      <c r="N742" s="14">
        <v>0.16</v>
      </c>
      <c r="O742" s="23">
        <v>81.16</v>
      </c>
      <c r="P742">
        <v>17.309999999999999</v>
      </c>
      <c r="Q742" s="12" t="str" cm="1">
        <f t="array" ref="Q742:R742">VLOOKUP(E742,store[],{3,5},FALSE)</f>
        <v>South</v>
      </c>
      <c r="R742" t="str">
        <v>Online</v>
      </c>
      <c r="S742" s="4">
        <f t="shared" si="11"/>
        <v>162</v>
      </c>
    </row>
    <row r="743" spans="1:19">
      <c r="A743" t="s">
        <v>1460</v>
      </c>
      <c r="B743" s="3">
        <v>45372</v>
      </c>
      <c r="C743" t="s">
        <v>436</v>
      </c>
      <c r="D743" t="s">
        <v>400</v>
      </c>
      <c r="E743" t="s">
        <v>127</v>
      </c>
      <c r="F743">
        <v>1</v>
      </c>
      <c r="G743" t="s">
        <v>23</v>
      </c>
      <c r="H743">
        <v>29</v>
      </c>
      <c r="I743" s="12" t="s">
        <v>34</v>
      </c>
      <c r="J743" s="12" t="s">
        <v>59</v>
      </c>
      <c r="K743" s="12" t="s">
        <v>52</v>
      </c>
      <c r="L743" s="12" t="s">
        <v>401</v>
      </c>
      <c r="M743" s="12" t="s">
        <v>75</v>
      </c>
      <c r="N743" s="14">
        <v>0.09</v>
      </c>
      <c r="O743" s="23">
        <v>431.69</v>
      </c>
      <c r="P743">
        <v>176.07</v>
      </c>
      <c r="Q743" s="12" t="str" cm="1">
        <f t="array" ref="Q743:R743">VLOOKUP(E743,store[],{3,5},FALSE)</f>
        <v>South</v>
      </c>
      <c r="R743" t="str">
        <v>Flagship</v>
      </c>
      <c r="S743" s="4">
        <f t="shared" si="11"/>
        <v>431.6</v>
      </c>
    </row>
    <row r="744" spans="1:19">
      <c r="A744" t="s">
        <v>1461</v>
      </c>
      <c r="B744" s="3">
        <v>45648</v>
      </c>
      <c r="C744" t="s">
        <v>558</v>
      </c>
      <c r="D744" t="s">
        <v>928</v>
      </c>
      <c r="E744" t="s">
        <v>58</v>
      </c>
      <c r="F744">
        <v>3</v>
      </c>
      <c r="G744" t="s">
        <v>33</v>
      </c>
      <c r="H744">
        <v>18</v>
      </c>
      <c r="I744" s="12" t="s">
        <v>34</v>
      </c>
      <c r="J744" s="12" t="s">
        <v>378</v>
      </c>
      <c r="K744" s="12" t="s">
        <v>26</v>
      </c>
      <c r="L744" s="12" t="s">
        <v>929</v>
      </c>
      <c r="M744" s="12" t="s">
        <v>130</v>
      </c>
      <c r="N744" s="14">
        <v>0.28999999999999998</v>
      </c>
      <c r="O744" s="23">
        <v>438.65</v>
      </c>
      <c r="P744">
        <v>245.77831168831199</v>
      </c>
      <c r="Q744" s="12" t="str" cm="1">
        <f t="array" ref="Q744:R744">VLOOKUP(E744,store[],{3,5},FALSE)</f>
        <v>North</v>
      </c>
      <c r="R744" t="str">
        <v>Outlet</v>
      </c>
      <c r="S744" s="4">
        <f t="shared" si="11"/>
        <v>1315.08</v>
      </c>
    </row>
    <row r="745" spans="1:19">
      <c r="A745" t="s">
        <v>1462</v>
      </c>
      <c r="B745" s="3">
        <v>45384</v>
      </c>
      <c r="C745" t="s">
        <v>1463</v>
      </c>
      <c r="D745" t="s">
        <v>221</v>
      </c>
      <c r="E745" t="s">
        <v>22</v>
      </c>
      <c r="F745">
        <v>3</v>
      </c>
      <c r="G745" t="s">
        <v>23</v>
      </c>
      <c r="H745">
        <v>41</v>
      </c>
      <c r="I745" s="12" t="s">
        <v>34</v>
      </c>
      <c r="J745" s="12" t="s">
        <v>356</v>
      </c>
      <c r="K745" s="12" t="s">
        <v>73</v>
      </c>
      <c r="L745" s="12" t="s">
        <v>223</v>
      </c>
      <c r="M745" s="12" t="s">
        <v>75</v>
      </c>
      <c r="N745" s="14">
        <v>0.26</v>
      </c>
      <c r="O745" s="23">
        <v>339.41</v>
      </c>
      <c r="P745">
        <v>228.53</v>
      </c>
      <c r="Q745" s="12" t="str" cm="1">
        <f t="array" ref="Q745:R745">VLOOKUP(E745,store[],{3,5},FALSE)</f>
        <v>North</v>
      </c>
      <c r="R745" t="str">
        <v>Outlet</v>
      </c>
      <c r="S745" s="4">
        <f t="shared" si="11"/>
        <v>1017.45</v>
      </c>
    </row>
    <row r="746" spans="1:19">
      <c r="A746" t="s">
        <v>1464</v>
      </c>
      <c r="B746" s="3">
        <v>45687</v>
      </c>
      <c r="C746" t="s">
        <v>264</v>
      </c>
      <c r="D746" t="s">
        <v>221</v>
      </c>
      <c r="E746" t="s">
        <v>127</v>
      </c>
      <c r="F746">
        <v>4</v>
      </c>
      <c r="G746" t="s">
        <v>50</v>
      </c>
      <c r="H746">
        <v>21</v>
      </c>
      <c r="I746" s="12" t="s">
        <v>34</v>
      </c>
      <c r="J746" s="12" t="s">
        <v>214</v>
      </c>
      <c r="K746" s="12" t="s">
        <v>26</v>
      </c>
      <c r="L746" s="12" t="s">
        <v>223</v>
      </c>
      <c r="M746" s="12" t="s">
        <v>75</v>
      </c>
      <c r="N746" s="14">
        <v>0.21</v>
      </c>
      <c r="O746" s="23">
        <v>848.47</v>
      </c>
      <c r="P746">
        <v>228.53</v>
      </c>
      <c r="Q746" s="12" t="str" cm="1">
        <f t="array" ref="Q746:R746">VLOOKUP(E746,store[],{3,5},FALSE)</f>
        <v>South</v>
      </c>
      <c r="R746" t="str">
        <v>Flagship</v>
      </c>
      <c r="S746" s="4">
        <f t="shared" si="11"/>
        <v>3393.04</v>
      </c>
    </row>
    <row r="747" spans="1:19">
      <c r="A747" t="s">
        <v>1465</v>
      </c>
      <c r="B747" s="3">
        <v>45747</v>
      </c>
      <c r="C747" t="s">
        <v>1383</v>
      </c>
      <c r="D747" t="s">
        <v>178</v>
      </c>
      <c r="E747" t="s">
        <v>43</v>
      </c>
      <c r="F747">
        <v>1</v>
      </c>
      <c r="G747" t="s">
        <v>33</v>
      </c>
      <c r="H747">
        <v>26</v>
      </c>
      <c r="I747" s="12" t="s">
        <v>24</v>
      </c>
      <c r="J747" s="12" t="s">
        <v>128</v>
      </c>
      <c r="K747" s="12" t="s">
        <v>26</v>
      </c>
      <c r="L747" s="12" t="s">
        <v>180</v>
      </c>
      <c r="M747" s="12" t="s">
        <v>37</v>
      </c>
      <c r="N747" s="14">
        <v>0.08</v>
      </c>
      <c r="O747" s="23">
        <v>664.87</v>
      </c>
      <c r="P747">
        <v>349.17</v>
      </c>
      <c r="Q747" s="12" t="str" cm="1">
        <f t="array" ref="Q747:R747">VLOOKUP(E747,store[],{3,5},FALSE)</f>
        <v>West</v>
      </c>
      <c r="R747" t="str">
        <v>Online</v>
      </c>
      <c r="S747" s="4">
        <f t="shared" si="11"/>
        <v>664.79</v>
      </c>
    </row>
    <row r="748" spans="1:19">
      <c r="A748" t="s">
        <v>1466</v>
      </c>
      <c r="B748" s="3">
        <v>45687</v>
      </c>
      <c r="C748" t="s">
        <v>694</v>
      </c>
      <c r="D748" t="s">
        <v>97</v>
      </c>
      <c r="E748" t="s">
        <v>66</v>
      </c>
      <c r="F748">
        <v>1</v>
      </c>
      <c r="G748" t="s">
        <v>33</v>
      </c>
      <c r="H748">
        <v>35</v>
      </c>
      <c r="I748" s="12" t="s">
        <v>24</v>
      </c>
      <c r="J748" s="12" t="s">
        <v>51</v>
      </c>
      <c r="K748" s="12" t="s">
        <v>60</v>
      </c>
      <c r="L748" s="12" t="s">
        <v>100</v>
      </c>
      <c r="M748" s="12" t="s">
        <v>28</v>
      </c>
      <c r="N748" s="14">
        <v>0.23</v>
      </c>
      <c r="O748" s="23">
        <v>412.11</v>
      </c>
      <c r="P748">
        <v>166.06</v>
      </c>
      <c r="Q748" s="12" t="str" cm="1">
        <f t="array" ref="Q748:R748">VLOOKUP(E748,store[],{3,5},FALSE)</f>
        <v>South</v>
      </c>
      <c r="R748" t="str">
        <v>Online</v>
      </c>
      <c r="S748" s="4">
        <f t="shared" si="11"/>
        <v>411.88</v>
      </c>
    </row>
    <row r="749" spans="1:19">
      <c r="A749" t="s">
        <v>1467</v>
      </c>
      <c r="B749" s="3">
        <v>45916</v>
      </c>
      <c r="C749" t="s">
        <v>1468</v>
      </c>
      <c r="D749" t="s">
        <v>242</v>
      </c>
      <c r="E749" t="s">
        <v>105</v>
      </c>
      <c r="F749">
        <v>1</v>
      </c>
      <c r="G749" t="s">
        <v>50</v>
      </c>
      <c r="H749">
        <v>50</v>
      </c>
      <c r="I749" s="12" t="s">
        <v>24</v>
      </c>
      <c r="J749" s="12" t="s">
        <v>256</v>
      </c>
      <c r="K749" s="12" t="s">
        <v>52</v>
      </c>
      <c r="L749" s="12" t="s">
        <v>243</v>
      </c>
      <c r="M749" s="12" t="s">
        <v>46</v>
      </c>
      <c r="N749" s="14">
        <v>0.05</v>
      </c>
      <c r="O749" s="23">
        <v>126.09</v>
      </c>
      <c r="P749">
        <v>358.47</v>
      </c>
      <c r="Q749" s="12" t="str" cm="1">
        <f t="array" ref="Q749:R749">VLOOKUP(E749,store[],{3,5},FALSE)</f>
        <v>North</v>
      </c>
      <c r="R749" t="str">
        <v>Flagship</v>
      </c>
      <c r="S749" s="4">
        <f t="shared" si="11"/>
        <v>126.04</v>
      </c>
    </row>
    <row r="750" spans="1:19">
      <c r="A750" t="s">
        <v>1469</v>
      </c>
      <c r="B750" s="3">
        <v>45917</v>
      </c>
      <c r="C750" t="s">
        <v>840</v>
      </c>
      <c r="D750" t="s">
        <v>178</v>
      </c>
      <c r="E750" t="s">
        <v>168</v>
      </c>
      <c r="F750">
        <v>4</v>
      </c>
      <c r="G750" t="s">
        <v>50</v>
      </c>
      <c r="H750">
        <v>54</v>
      </c>
      <c r="I750" s="12" t="s">
        <v>24</v>
      </c>
      <c r="J750" s="12" t="s">
        <v>35</v>
      </c>
      <c r="K750" s="12" t="s">
        <v>73</v>
      </c>
      <c r="L750" s="12" t="s">
        <v>180</v>
      </c>
      <c r="M750" s="12" t="s">
        <v>37</v>
      </c>
      <c r="N750" s="14">
        <v>0.19</v>
      </c>
      <c r="O750" s="23">
        <v>602.39</v>
      </c>
      <c r="P750">
        <v>349.17</v>
      </c>
      <c r="Q750" s="12" t="str" cm="1">
        <f t="array" ref="Q750:R750">VLOOKUP(E750,store[],{3,5},FALSE)</f>
        <v>East</v>
      </c>
      <c r="R750" t="str">
        <v>Online</v>
      </c>
      <c r="S750" s="4">
        <f t="shared" si="11"/>
        <v>2408.8000000000002</v>
      </c>
    </row>
    <row r="751" spans="1:19">
      <c r="A751" t="s">
        <v>1470</v>
      </c>
      <c r="B751" s="3">
        <v>45941</v>
      </c>
      <c r="C751" t="s">
        <v>419</v>
      </c>
      <c r="D751" t="s">
        <v>542</v>
      </c>
      <c r="E751" t="s">
        <v>22</v>
      </c>
      <c r="F751">
        <v>3</v>
      </c>
      <c r="G751" t="s">
        <v>50</v>
      </c>
      <c r="H751">
        <v>60</v>
      </c>
      <c r="I751" s="12" t="s">
        <v>24</v>
      </c>
      <c r="J751" s="12" t="s">
        <v>199</v>
      </c>
      <c r="K751" s="12" t="s">
        <v>73</v>
      </c>
      <c r="L751" s="12" t="s">
        <v>543</v>
      </c>
      <c r="M751" s="12" t="s">
        <v>28</v>
      </c>
      <c r="N751" s="14">
        <v>0.02</v>
      </c>
      <c r="O751" s="23">
        <v>447.69</v>
      </c>
      <c r="P751">
        <v>152.91999999999999</v>
      </c>
      <c r="Q751" s="12" t="str" cm="1">
        <f t="array" ref="Q751:R751">VLOOKUP(E751,store[],{3,5},FALSE)</f>
        <v>North</v>
      </c>
      <c r="R751" t="str">
        <v>Outlet</v>
      </c>
      <c r="S751" s="4">
        <f t="shared" si="11"/>
        <v>1343.01</v>
      </c>
    </row>
    <row r="752" spans="1:19">
      <c r="A752" t="s">
        <v>1471</v>
      </c>
      <c r="B752" s="3">
        <v>45778</v>
      </c>
      <c r="C752" t="s">
        <v>763</v>
      </c>
      <c r="D752" t="s">
        <v>116</v>
      </c>
      <c r="E752" t="s">
        <v>22</v>
      </c>
      <c r="F752">
        <v>3</v>
      </c>
      <c r="G752" t="s">
        <v>50</v>
      </c>
      <c r="H752">
        <v>19</v>
      </c>
      <c r="I752" s="12" t="s">
        <v>24</v>
      </c>
      <c r="J752" s="12" t="s">
        <v>99</v>
      </c>
      <c r="K752" s="12" t="s">
        <v>26</v>
      </c>
      <c r="L752" s="12" t="s">
        <v>119</v>
      </c>
      <c r="M752" s="12" t="s">
        <v>37</v>
      </c>
      <c r="N752" s="14">
        <v>0.04</v>
      </c>
      <c r="O752" s="23">
        <v>35.159999999999997</v>
      </c>
      <c r="P752">
        <v>419.28</v>
      </c>
      <c r="Q752" s="12" t="str" cm="1">
        <f t="array" ref="Q752:R752">VLOOKUP(E752,store[],{3,5},FALSE)</f>
        <v>North</v>
      </c>
      <c r="R752" t="str">
        <v>Outlet</v>
      </c>
      <c r="S752" s="4">
        <f t="shared" si="11"/>
        <v>105.36</v>
      </c>
    </row>
    <row r="753" spans="1:19">
      <c r="A753" t="s">
        <v>1472</v>
      </c>
      <c r="B753" s="3">
        <v>45740</v>
      </c>
      <c r="C753" t="s">
        <v>1450</v>
      </c>
      <c r="D753" t="s">
        <v>155</v>
      </c>
      <c r="E753" t="s">
        <v>272</v>
      </c>
      <c r="F753">
        <v>2</v>
      </c>
      <c r="G753" t="s">
        <v>50</v>
      </c>
      <c r="H753">
        <v>54</v>
      </c>
      <c r="I753" s="12" t="s">
        <v>24</v>
      </c>
      <c r="J753" s="12" t="s">
        <v>932</v>
      </c>
      <c r="K753" s="12" t="s">
        <v>52</v>
      </c>
      <c r="L753" s="12" t="s">
        <v>156</v>
      </c>
      <c r="M753" s="12" t="s">
        <v>28</v>
      </c>
      <c r="N753" s="14">
        <v>0.18</v>
      </c>
      <c r="O753" s="23">
        <v>838.59</v>
      </c>
      <c r="P753">
        <v>477.61</v>
      </c>
      <c r="Q753" s="12" t="str" cm="1">
        <f t="array" ref="Q753:R753">VLOOKUP(E753,store[],{3,5},FALSE)</f>
        <v>South</v>
      </c>
      <c r="R753" t="str">
        <v>Online</v>
      </c>
      <c r="S753" s="4">
        <f t="shared" si="11"/>
        <v>1676.82</v>
      </c>
    </row>
    <row r="754" spans="1:19">
      <c r="A754" t="s">
        <v>1473</v>
      </c>
      <c r="B754" s="3">
        <v>45598</v>
      </c>
      <c r="C754" t="s">
        <v>979</v>
      </c>
      <c r="D754" t="s">
        <v>57</v>
      </c>
      <c r="E754" t="s">
        <v>179</v>
      </c>
      <c r="F754">
        <v>4</v>
      </c>
      <c r="G754" t="s">
        <v>33</v>
      </c>
      <c r="H754">
        <v>43</v>
      </c>
      <c r="I754" s="12" t="s">
        <v>24</v>
      </c>
      <c r="J754" s="12" t="s">
        <v>199</v>
      </c>
      <c r="K754" s="12" t="s">
        <v>52</v>
      </c>
      <c r="L754" s="12" t="s">
        <v>61</v>
      </c>
      <c r="M754" s="12" t="s">
        <v>46</v>
      </c>
      <c r="N754" s="14">
        <v>0.26</v>
      </c>
      <c r="O754" s="23">
        <v>867.94</v>
      </c>
      <c r="P754">
        <v>17.309999999999999</v>
      </c>
      <c r="Q754" s="12" t="str" cm="1">
        <f t="array" ref="Q754:R754">VLOOKUP(E754,store[],{3,5},FALSE)</f>
        <v>East</v>
      </c>
      <c r="R754" t="str">
        <v>Online</v>
      </c>
      <c r="S754" s="4">
        <f t="shared" si="11"/>
        <v>3470.72</v>
      </c>
    </row>
    <row r="755" spans="1:19">
      <c r="A755" t="s">
        <v>1474</v>
      </c>
      <c r="B755" s="3">
        <v>45591</v>
      </c>
      <c r="C755" t="s">
        <v>1408</v>
      </c>
      <c r="D755" t="s">
        <v>104</v>
      </c>
      <c r="E755" t="s">
        <v>32</v>
      </c>
      <c r="F755">
        <v>1</v>
      </c>
      <c r="G755" t="s">
        <v>23</v>
      </c>
      <c r="H755">
        <v>18</v>
      </c>
      <c r="I755" s="12" t="s">
        <v>34</v>
      </c>
      <c r="J755" s="12" t="s">
        <v>444</v>
      </c>
      <c r="K755" s="12" t="s">
        <v>52</v>
      </c>
      <c r="L755" s="12" t="s">
        <v>107</v>
      </c>
      <c r="M755" s="12" t="s">
        <v>37</v>
      </c>
      <c r="N755" s="14">
        <v>0.25</v>
      </c>
      <c r="O755" s="23">
        <v>623.88</v>
      </c>
      <c r="P755">
        <v>326.06</v>
      </c>
      <c r="Q755" s="12" t="str" cm="1">
        <f t="array" ref="Q755:R755">VLOOKUP(E755,store[],{3,5},FALSE)</f>
        <v>North</v>
      </c>
      <c r="R755" t="str">
        <v>Flagship</v>
      </c>
      <c r="S755" s="4">
        <f t="shared" si="11"/>
        <v>623.63</v>
      </c>
    </row>
    <row r="756" spans="1:19">
      <c r="A756" t="s">
        <v>1475</v>
      </c>
      <c r="B756" s="3">
        <v>45546</v>
      </c>
      <c r="C756" t="s">
        <v>1373</v>
      </c>
      <c r="D756" t="s">
        <v>449</v>
      </c>
      <c r="E756" t="s">
        <v>98</v>
      </c>
      <c r="F756">
        <v>2</v>
      </c>
      <c r="G756" t="s">
        <v>33</v>
      </c>
      <c r="H756">
        <v>55</v>
      </c>
      <c r="I756" s="12" t="s">
        <v>24</v>
      </c>
      <c r="J756" s="12" t="s">
        <v>239</v>
      </c>
      <c r="K756" s="12" t="s">
        <v>52</v>
      </c>
      <c r="L756" s="12" t="s">
        <v>450</v>
      </c>
      <c r="M756" s="12" t="s">
        <v>37</v>
      </c>
      <c r="N756" s="14">
        <v>0.12</v>
      </c>
      <c r="O756" s="23">
        <v>567.95000000000005</v>
      </c>
      <c r="P756">
        <v>450.71</v>
      </c>
      <c r="Q756" s="12" t="str" cm="1">
        <f t="array" ref="Q756:R756">VLOOKUP(E756,store[],{3,5},FALSE)</f>
        <v>South</v>
      </c>
      <c r="R756" t="str">
        <v>Outlet</v>
      </c>
      <c r="S756" s="4">
        <f t="shared" si="11"/>
        <v>1135.6600000000001</v>
      </c>
    </row>
    <row r="757" spans="1:19">
      <c r="A757" t="s">
        <v>1476</v>
      </c>
      <c r="B757" s="3">
        <v>45483</v>
      </c>
      <c r="C757" t="s">
        <v>648</v>
      </c>
      <c r="D757" t="s">
        <v>311</v>
      </c>
      <c r="E757" t="s">
        <v>160</v>
      </c>
      <c r="F757">
        <v>2</v>
      </c>
      <c r="G757" t="s">
        <v>23</v>
      </c>
      <c r="H757">
        <v>64</v>
      </c>
      <c r="I757" s="12" t="s">
        <v>34</v>
      </c>
      <c r="J757" s="12" t="s">
        <v>256</v>
      </c>
      <c r="K757" s="12" t="s">
        <v>52</v>
      </c>
      <c r="L757" s="12" t="s">
        <v>312</v>
      </c>
      <c r="M757" s="12" t="s">
        <v>28</v>
      </c>
      <c r="N757" s="14">
        <v>0.19</v>
      </c>
      <c r="O757" s="23">
        <v>671.69</v>
      </c>
      <c r="P757">
        <v>204.39</v>
      </c>
      <c r="Q757" s="12" t="str" cm="1">
        <f t="array" ref="Q757:R757">VLOOKUP(E757,store[],{3,5},FALSE)</f>
        <v>East</v>
      </c>
      <c r="R757" t="str">
        <v>Flagship</v>
      </c>
      <c r="S757" s="4">
        <f t="shared" si="11"/>
        <v>1343</v>
      </c>
    </row>
    <row r="758" spans="1:19">
      <c r="A758" t="s">
        <v>1477</v>
      </c>
      <c r="B758" s="3">
        <v>45786</v>
      </c>
      <c r="C758" t="s">
        <v>989</v>
      </c>
      <c r="D758" t="s">
        <v>887</v>
      </c>
      <c r="E758" t="s">
        <v>66</v>
      </c>
      <c r="F758">
        <v>2</v>
      </c>
      <c r="G758" t="s">
        <v>33</v>
      </c>
      <c r="H758">
        <v>26</v>
      </c>
      <c r="I758" s="12" t="s">
        <v>34</v>
      </c>
      <c r="J758" s="12" t="s">
        <v>51</v>
      </c>
      <c r="K758" s="12" t="s">
        <v>60</v>
      </c>
      <c r="L758" s="12" t="s">
        <v>888</v>
      </c>
      <c r="M758" s="12" t="s">
        <v>46</v>
      </c>
      <c r="N758" s="14">
        <v>0.21</v>
      </c>
      <c r="O758" s="23">
        <v>257.95999999999998</v>
      </c>
      <c r="P758">
        <v>312.8</v>
      </c>
      <c r="Q758" s="12" t="str" cm="1">
        <f t="array" ref="Q758:R758">VLOOKUP(E758,store[],{3,5},FALSE)</f>
        <v>South</v>
      </c>
      <c r="R758" t="str">
        <v>Online</v>
      </c>
      <c r="S758" s="4">
        <f t="shared" si="11"/>
        <v>515.5</v>
      </c>
    </row>
    <row r="759" spans="1:19">
      <c r="A759" t="s">
        <v>1478</v>
      </c>
      <c r="B759" s="3">
        <v>45475</v>
      </c>
      <c r="C759" t="s">
        <v>1193</v>
      </c>
      <c r="D759" t="s">
        <v>187</v>
      </c>
      <c r="E759" t="s">
        <v>135</v>
      </c>
      <c r="F759">
        <v>4</v>
      </c>
      <c r="G759" t="s">
        <v>33</v>
      </c>
      <c r="H759">
        <v>52</v>
      </c>
      <c r="I759" s="12" t="s">
        <v>24</v>
      </c>
      <c r="J759" s="12" t="s">
        <v>498</v>
      </c>
      <c r="K759" s="12" t="s">
        <v>52</v>
      </c>
      <c r="L759" s="12" t="s">
        <v>189</v>
      </c>
      <c r="M759" s="12" t="s">
        <v>37</v>
      </c>
      <c r="N759" s="14">
        <v>0.27</v>
      </c>
      <c r="O759" s="23">
        <v>281.48</v>
      </c>
      <c r="P759">
        <v>431.67</v>
      </c>
      <c r="Q759" s="12" t="str" cm="1">
        <f t="array" ref="Q759:R759">VLOOKUP(E759,store[],{3,5},FALSE)</f>
        <v>East</v>
      </c>
      <c r="R759" t="str">
        <v>Online</v>
      </c>
      <c r="S759" s="4">
        <f t="shared" si="11"/>
        <v>1124.8399999999999</v>
      </c>
    </row>
    <row r="760" spans="1:19">
      <c r="A760" t="s">
        <v>1479</v>
      </c>
      <c r="B760" s="3">
        <v>45470</v>
      </c>
      <c r="C760" t="s">
        <v>801</v>
      </c>
      <c r="D760" t="s">
        <v>291</v>
      </c>
      <c r="E760" t="s">
        <v>272</v>
      </c>
      <c r="F760">
        <v>1</v>
      </c>
      <c r="G760" t="s">
        <v>50</v>
      </c>
      <c r="H760">
        <v>34</v>
      </c>
      <c r="I760" s="12" t="s">
        <v>24</v>
      </c>
      <c r="J760" s="12" t="s">
        <v>336</v>
      </c>
      <c r="K760" s="12" t="s">
        <v>26</v>
      </c>
      <c r="L760" s="12" t="s">
        <v>292</v>
      </c>
      <c r="M760" s="12" t="s">
        <v>28</v>
      </c>
      <c r="N760" s="14">
        <v>0.13</v>
      </c>
      <c r="O760" s="23">
        <v>202.13</v>
      </c>
      <c r="P760">
        <v>131.51</v>
      </c>
      <c r="Q760" s="12" t="str" cm="1">
        <f t="array" ref="Q760:R760">VLOOKUP(E760,store[],{3,5},FALSE)</f>
        <v>South</v>
      </c>
      <c r="R760" t="str">
        <v>Online</v>
      </c>
      <c r="S760" s="4">
        <f t="shared" si="11"/>
        <v>202</v>
      </c>
    </row>
    <row r="761" spans="1:19">
      <c r="A761" t="s">
        <v>1480</v>
      </c>
      <c r="B761" s="3">
        <v>45243</v>
      </c>
      <c r="C761" t="s">
        <v>1481</v>
      </c>
      <c r="D761" t="s">
        <v>31</v>
      </c>
      <c r="E761" t="s">
        <v>58</v>
      </c>
      <c r="F761">
        <v>1</v>
      </c>
      <c r="G761" t="s">
        <v>33</v>
      </c>
      <c r="H761">
        <v>64</v>
      </c>
      <c r="I761" s="12" t="s">
        <v>24</v>
      </c>
      <c r="J761" s="12" t="s">
        <v>761</v>
      </c>
      <c r="K761" s="12" t="s">
        <v>52</v>
      </c>
      <c r="L761" s="12" t="s">
        <v>36</v>
      </c>
      <c r="M761" s="12" t="s">
        <v>37</v>
      </c>
      <c r="N761" s="14">
        <v>0.01</v>
      </c>
      <c r="O761" s="23">
        <v>370.66</v>
      </c>
      <c r="P761">
        <v>403.71</v>
      </c>
      <c r="Q761" s="12" t="str" cm="1">
        <f t="array" ref="Q761:R761">VLOOKUP(E761,store[],{3,5},FALSE)</f>
        <v>North</v>
      </c>
      <c r="R761" t="str">
        <v>Outlet</v>
      </c>
      <c r="S761" s="4">
        <f t="shared" si="11"/>
        <v>370.65</v>
      </c>
    </row>
    <row r="762" spans="1:19">
      <c r="A762" t="s">
        <v>1482</v>
      </c>
      <c r="B762" s="3">
        <v>45341</v>
      </c>
      <c r="C762" t="s">
        <v>1483</v>
      </c>
      <c r="D762" t="s">
        <v>698</v>
      </c>
      <c r="E762" t="s">
        <v>208</v>
      </c>
      <c r="F762">
        <v>4</v>
      </c>
      <c r="G762" t="s">
        <v>23</v>
      </c>
      <c r="H762">
        <v>24</v>
      </c>
      <c r="I762" s="12" t="s">
        <v>24</v>
      </c>
      <c r="J762" s="12" t="s">
        <v>609</v>
      </c>
      <c r="K762" s="12" t="s">
        <v>73</v>
      </c>
      <c r="L762" s="12" t="s">
        <v>699</v>
      </c>
      <c r="M762" s="12" t="s">
        <v>28</v>
      </c>
      <c r="N762" s="14">
        <v>0.12</v>
      </c>
      <c r="O762" s="23">
        <v>731.53</v>
      </c>
      <c r="P762">
        <v>103.45</v>
      </c>
      <c r="Q762" s="12" t="str" cm="1">
        <f t="array" ref="Q762:R762">VLOOKUP(E762,store[],{3,5},FALSE)</f>
        <v>North</v>
      </c>
      <c r="R762" t="str">
        <v>Online</v>
      </c>
      <c r="S762" s="4">
        <f t="shared" si="11"/>
        <v>2925.64</v>
      </c>
    </row>
    <row r="763" spans="1:19">
      <c r="A763" t="s">
        <v>1484</v>
      </c>
      <c r="B763" s="3">
        <v>45371</v>
      </c>
      <c r="C763" t="s">
        <v>931</v>
      </c>
      <c r="D763" t="s">
        <v>267</v>
      </c>
      <c r="E763" t="s">
        <v>105</v>
      </c>
      <c r="F763">
        <v>3</v>
      </c>
      <c r="G763" t="s">
        <v>33</v>
      </c>
      <c r="H763">
        <v>47</v>
      </c>
      <c r="I763" s="12" t="s">
        <v>34</v>
      </c>
      <c r="J763" s="12" t="s">
        <v>932</v>
      </c>
      <c r="K763" s="12" t="s">
        <v>52</v>
      </c>
      <c r="L763" s="12" t="s">
        <v>268</v>
      </c>
      <c r="M763" s="12" t="s">
        <v>75</v>
      </c>
      <c r="N763" s="14">
        <v>7.0000000000000007E-2</v>
      </c>
      <c r="O763" s="23">
        <v>468.25</v>
      </c>
      <c r="P763">
        <v>325.26</v>
      </c>
      <c r="Q763" s="12" t="str" cm="1">
        <f t="array" ref="Q763:R763">VLOOKUP(E763,store[],{3,5},FALSE)</f>
        <v>North</v>
      </c>
      <c r="R763" t="str">
        <v>Flagship</v>
      </c>
      <c r="S763" s="4">
        <f t="shared" si="11"/>
        <v>1404.54</v>
      </c>
    </row>
    <row r="764" spans="1:19">
      <c r="A764" t="s">
        <v>1485</v>
      </c>
      <c r="B764" s="3">
        <v>45360</v>
      </c>
      <c r="C764" t="s">
        <v>1033</v>
      </c>
      <c r="D764" t="s">
        <v>178</v>
      </c>
      <c r="E764" t="s">
        <v>90</v>
      </c>
      <c r="F764">
        <v>1</v>
      </c>
      <c r="G764" t="s">
        <v>50</v>
      </c>
      <c r="H764">
        <v>26</v>
      </c>
      <c r="I764" s="12" t="s">
        <v>34</v>
      </c>
      <c r="J764" s="12" t="s">
        <v>188</v>
      </c>
      <c r="K764" s="12" t="s">
        <v>52</v>
      </c>
      <c r="L764" s="12" t="s">
        <v>180</v>
      </c>
      <c r="M764" s="12" t="s">
        <v>37</v>
      </c>
      <c r="N764" s="14">
        <v>0.1</v>
      </c>
      <c r="O764" s="23">
        <v>928.72</v>
      </c>
      <c r="P764">
        <v>349.17</v>
      </c>
      <c r="Q764" s="12" t="str" cm="1">
        <f t="array" ref="Q764:R764">VLOOKUP(E764,store[],{3,5},FALSE)</f>
        <v>East</v>
      </c>
      <c r="R764" t="str">
        <v>Flagship</v>
      </c>
      <c r="S764" s="4">
        <f t="shared" si="11"/>
        <v>928.62</v>
      </c>
    </row>
    <row r="765" spans="1:19">
      <c r="A765" t="s">
        <v>1486</v>
      </c>
      <c r="B765" s="3">
        <v>45499</v>
      </c>
      <c r="C765" t="s">
        <v>789</v>
      </c>
      <c r="D765" t="s">
        <v>634</v>
      </c>
      <c r="E765" t="s">
        <v>160</v>
      </c>
      <c r="F765">
        <v>3</v>
      </c>
      <c r="G765" t="s">
        <v>33</v>
      </c>
      <c r="H765">
        <v>29</v>
      </c>
      <c r="I765" s="12" t="s">
        <v>24</v>
      </c>
      <c r="J765" s="12" t="s">
        <v>410</v>
      </c>
      <c r="K765" s="12" t="s">
        <v>26</v>
      </c>
      <c r="L765" s="12" t="s">
        <v>635</v>
      </c>
      <c r="M765" s="12" t="s">
        <v>130</v>
      </c>
      <c r="N765" s="14">
        <v>0.06</v>
      </c>
      <c r="O765" s="23">
        <v>217.22</v>
      </c>
      <c r="P765">
        <v>306.45999999999998</v>
      </c>
      <c r="Q765" s="12" t="str" cm="1">
        <f t="array" ref="Q765:R765">VLOOKUP(E765,store[],{3,5},FALSE)</f>
        <v>East</v>
      </c>
      <c r="R765" t="str">
        <v>Flagship</v>
      </c>
      <c r="S765" s="4">
        <f t="shared" si="11"/>
        <v>651.48</v>
      </c>
    </row>
    <row r="766" spans="1:19">
      <c r="A766" t="s">
        <v>1487</v>
      </c>
      <c r="B766" s="3">
        <v>45745</v>
      </c>
      <c r="C766" t="s">
        <v>558</v>
      </c>
      <c r="D766" t="s">
        <v>97</v>
      </c>
      <c r="E766" t="s">
        <v>22</v>
      </c>
      <c r="F766">
        <v>1</v>
      </c>
      <c r="G766" t="s">
        <v>23</v>
      </c>
      <c r="H766">
        <v>18</v>
      </c>
      <c r="I766" s="12" t="s">
        <v>34</v>
      </c>
      <c r="J766" s="12" t="s">
        <v>378</v>
      </c>
      <c r="K766" s="12" t="s">
        <v>26</v>
      </c>
      <c r="L766" s="12" t="s">
        <v>100</v>
      </c>
      <c r="M766" s="12" t="s">
        <v>28</v>
      </c>
      <c r="N766" s="14">
        <v>0.3</v>
      </c>
      <c r="O766" s="23">
        <v>387.99</v>
      </c>
      <c r="P766">
        <v>166.06</v>
      </c>
      <c r="Q766" s="12" t="str" cm="1">
        <f t="array" ref="Q766:R766">VLOOKUP(E766,store[],{3,5},FALSE)</f>
        <v>North</v>
      </c>
      <c r="R766" t="str">
        <v>Outlet</v>
      </c>
      <c r="S766" s="4">
        <f t="shared" si="11"/>
        <v>387.69</v>
      </c>
    </row>
    <row r="767" spans="1:19">
      <c r="A767" t="s">
        <v>1488</v>
      </c>
      <c r="B767" s="3">
        <v>45718</v>
      </c>
      <c r="C767" t="s">
        <v>166</v>
      </c>
      <c r="D767" t="s">
        <v>928</v>
      </c>
      <c r="E767" t="s">
        <v>179</v>
      </c>
      <c r="F767">
        <v>4</v>
      </c>
      <c r="G767" t="s">
        <v>23</v>
      </c>
      <c r="H767">
        <v>33</v>
      </c>
      <c r="I767" s="12" t="s">
        <v>34</v>
      </c>
      <c r="J767" s="12" t="s">
        <v>169</v>
      </c>
      <c r="K767" s="12" t="s">
        <v>26</v>
      </c>
      <c r="L767" s="12" t="s">
        <v>929</v>
      </c>
      <c r="M767" s="12" t="s">
        <v>130</v>
      </c>
      <c r="N767" s="14">
        <v>0.23</v>
      </c>
      <c r="O767" s="23">
        <v>186.24</v>
      </c>
      <c r="P767">
        <v>245.77831168831199</v>
      </c>
      <c r="Q767" s="12" t="str" cm="1">
        <f t="array" ref="Q767:R767">VLOOKUP(E767,store[],{3,5},FALSE)</f>
        <v>East</v>
      </c>
      <c r="R767" t="str">
        <v>Online</v>
      </c>
      <c r="S767" s="4">
        <f t="shared" si="11"/>
        <v>744.04</v>
      </c>
    </row>
    <row r="768" spans="1:19">
      <c r="A768" t="s">
        <v>1489</v>
      </c>
      <c r="B768" s="3">
        <v>45454</v>
      </c>
      <c r="C768" t="s">
        <v>994</v>
      </c>
      <c r="D768" t="s">
        <v>295</v>
      </c>
      <c r="E768" t="s">
        <v>43</v>
      </c>
      <c r="F768">
        <v>4</v>
      </c>
      <c r="G768" t="s">
        <v>50</v>
      </c>
      <c r="H768">
        <v>28</v>
      </c>
      <c r="I768" s="12" t="s">
        <v>34</v>
      </c>
      <c r="J768" s="12" t="s">
        <v>356</v>
      </c>
      <c r="K768" s="12" t="s">
        <v>73</v>
      </c>
      <c r="L768" s="12" t="s">
        <v>296</v>
      </c>
      <c r="M768" s="12" t="s">
        <v>37</v>
      </c>
      <c r="N768" s="14">
        <v>0.22</v>
      </c>
      <c r="O768" s="23">
        <v>609.05999999999995</v>
      </c>
      <c r="P768">
        <v>38.520000000000003</v>
      </c>
      <c r="Q768" s="12" t="str" cm="1">
        <f t="array" ref="Q768:R768">VLOOKUP(E768,store[],{3,5},FALSE)</f>
        <v>West</v>
      </c>
      <c r="R768" t="str">
        <v>Online</v>
      </c>
      <c r="S768" s="4">
        <f t="shared" si="11"/>
        <v>2435.36</v>
      </c>
    </row>
    <row r="769" spans="1:19">
      <c r="A769" t="s">
        <v>1490</v>
      </c>
      <c r="B769" s="3">
        <v>45434</v>
      </c>
      <c r="C769" t="s">
        <v>667</v>
      </c>
      <c r="D769" t="s">
        <v>89</v>
      </c>
      <c r="E769" t="s">
        <v>272</v>
      </c>
      <c r="F769">
        <v>1</v>
      </c>
      <c r="G769" t="s">
        <v>33</v>
      </c>
      <c r="H769">
        <v>47</v>
      </c>
      <c r="I769" s="12" t="s">
        <v>34</v>
      </c>
      <c r="J769" s="12" t="s">
        <v>214</v>
      </c>
      <c r="K769" s="12" t="s">
        <v>52</v>
      </c>
      <c r="L769" s="12" t="s">
        <v>92</v>
      </c>
      <c r="M769" s="12" t="s">
        <v>75</v>
      </c>
      <c r="N769" s="14">
        <v>0.21</v>
      </c>
      <c r="O769" s="23">
        <v>827.91</v>
      </c>
      <c r="P769">
        <v>179.77</v>
      </c>
      <c r="Q769" s="12" t="str" cm="1">
        <f t="array" ref="Q769:R769">VLOOKUP(E769,store[],{3,5},FALSE)</f>
        <v>South</v>
      </c>
      <c r="R769" t="str">
        <v>Online</v>
      </c>
      <c r="S769" s="4">
        <f t="shared" si="11"/>
        <v>827.7</v>
      </c>
    </row>
    <row r="770" spans="1:19">
      <c r="A770" t="s">
        <v>1491</v>
      </c>
      <c r="B770" s="3">
        <v>45486</v>
      </c>
      <c r="C770" t="s">
        <v>365</v>
      </c>
      <c r="D770" t="s">
        <v>359</v>
      </c>
      <c r="E770" t="s">
        <v>90</v>
      </c>
      <c r="F770">
        <v>1</v>
      </c>
      <c r="G770" t="s">
        <v>33</v>
      </c>
      <c r="H770">
        <v>48</v>
      </c>
      <c r="I770" s="12" t="s">
        <v>24</v>
      </c>
      <c r="J770" s="12" t="s">
        <v>35</v>
      </c>
      <c r="K770" s="12" t="s">
        <v>60</v>
      </c>
      <c r="L770" s="12" t="s">
        <v>361</v>
      </c>
      <c r="M770" s="12" t="s">
        <v>46</v>
      </c>
      <c r="N770" s="14">
        <v>0.24</v>
      </c>
      <c r="O770" s="23">
        <v>303.79000000000002</v>
      </c>
      <c r="P770">
        <v>289.359375</v>
      </c>
      <c r="Q770" s="12" t="str" cm="1">
        <f t="array" ref="Q770:R770">VLOOKUP(E770,store[],{3,5},FALSE)</f>
        <v>East</v>
      </c>
      <c r="R770" t="str">
        <v>Flagship</v>
      </c>
      <c r="S770" s="4">
        <f t="shared" ref="S770:S833" si="12">(O770-N770)*F770</f>
        <v>303.55</v>
      </c>
    </row>
    <row r="771" spans="1:19">
      <c r="A771" t="s">
        <v>1492</v>
      </c>
      <c r="B771" s="3">
        <v>45902</v>
      </c>
      <c r="C771" t="s">
        <v>923</v>
      </c>
      <c r="D771" t="s">
        <v>786</v>
      </c>
      <c r="E771" t="s">
        <v>179</v>
      </c>
      <c r="F771">
        <v>2</v>
      </c>
      <c r="G771" t="s">
        <v>50</v>
      </c>
      <c r="H771">
        <v>64</v>
      </c>
      <c r="I771" s="12" t="s">
        <v>24</v>
      </c>
      <c r="J771" s="12" t="s">
        <v>360</v>
      </c>
      <c r="K771" s="12" t="s">
        <v>60</v>
      </c>
      <c r="L771" s="12" t="s">
        <v>787</v>
      </c>
      <c r="M771" s="12" t="s">
        <v>130</v>
      </c>
      <c r="N771" s="14">
        <v>0.14000000000000001</v>
      </c>
      <c r="O771" s="23">
        <v>365.91</v>
      </c>
      <c r="P771">
        <v>353.47</v>
      </c>
      <c r="Q771" s="12" t="str" cm="1">
        <f t="array" ref="Q771:R771">VLOOKUP(E771,store[],{3,5},FALSE)</f>
        <v>East</v>
      </c>
      <c r="R771" t="str">
        <v>Online</v>
      </c>
      <c r="S771" s="4">
        <f t="shared" si="12"/>
        <v>731.54</v>
      </c>
    </row>
    <row r="772" spans="1:19">
      <c r="A772" t="s">
        <v>1493</v>
      </c>
      <c r="B772" s="3">
        <v>45762</v>
      </c>
      <c r="C772" t="s">
        <v>703</v>
      </c>
      <c r="D772" t="s">
        <v>425</v>
      </c>
      <c r="E772" t="s">
        <v>32</v>
      </c>
      <c r="F772">
        <v>3</v>
      </c>
      <c r="G772" t="s">
        <v>23</v>
      </c>
      <c r="H772">
        <v>24</v>
      </c>
      <c r="I772" s="12" t="s">
        <v>34</v>
      </c>
      <c r="J772" s="12" t="s">
        <v>204</v>
      </c>
      <c r="K772" s="12" t="s">
        <v>52</v>
      </c>
      <c r="L772" s="12" t="s">
        <v>426</v>
      </c>
      <c r="M772" s="12" t="s">
        <v>130</v>
      </c>
      <c r="N772" s="14">
        <v>0.16</v>
      </c>
      <c r="O772" s="23">
        <v>852.72</v>
      </c>
      <c r="P772">
        <v>174.02</v>
      </c>
      <c r="Q772" s="12" t="str" cm="1">
        <f t="array" ref="Q772:R772">VLOOKUP(E772,store[],{3,5},FALSE)</f>
        <v>North</v>
      </c>
      <c r="R772" t="str">
        <v>Flagship</v>
      </c>
      <c r="S772" s="4">
        <f t="shared" si="12"/>
        <v>2557.6799999999998</v>
      </c>
    </row>
    <row r="773" spans="1:19">
      <c r="A773" t="s">
        <v>1494</v>
      </c>
      <c r="B773" s="3">
        <v>45752</v>
      </c>
      <c r="C773" t="s">
        <v>1495</v>
      </c>
      <c r="D773" t="s">
        <v>234</v>
      </c>
      <c r="E773" t="s">
        <v>72</v>
      </c>
      <c r="F773">
        <v>1</v>
      </c>
      <c r="G773" t="s">
        <v>23</v>
      </c>
      <c r="H773">
        <v>32</v>
      </c>
      <c r="I773" s="12" t="s">
        <v>24</v>
      </c>
      <c r="J773" s="12" t="s">
        <v>214</v>
      </c>
      <c r="K773" s="12" t="s">
        <v>52</v>
      </c>
      <c r="L773" s="12" t="s">
        <v>236</v>
      </c>
      <c r="M773" s="12" t="s">
        <v>75</v>
      </c>
      <c r="N773" s="14">
        <v>0.18</v>
      </c>
      <c r="O773" s="23">
        <v>768.25</v>
      </c>
      <c r="P773">
        <v>298.86</v>
      </c>
      <c r="Q773" s="12" t="str" cm="1">
        <f t="array" ref="Q773:R773">VLOOKUP(E773,store[],{3,5},FALSE)</f>
        <v>South</v>
      </c>
      <c r="R773" t="str">
        <v>Online</v>
      </c>
      <c r="S773" s="4">
        <f t="shared" si="12"/>
        <v>768.07</v>
      </c>
    </row>
    <row r="774" spans="1:19">
      <c r="A774" t="s">
        <v>1496</v>
      </c>
      <c r="B774" s="3">
        <v>45254</v>
      </c>
      <c r="C774" t="s">
        <v>1497</v>
      </c>
      <c r="D774" t="s">
        <v>603</v>
      </c>
      <c r="E774" t="s">
        <v>135</v>
      </c>
      <c r="F774">
        <v>2</v>
      </c>
      <c r="G774" t="s">
        <v>50</v>
      </c>
      <c r="H774">
        <v>26</v>
      </c>
      <c r="I774" s="12" t="s">
        <v>24</v>
      </c>
      <c r="J774" s="12" t="s">
        <v>106</v>
      </c>
      <c r="K774" s="12" t="s">
        <v>60</v>
      </c>
      <c r="L774" s="12" t="s">
        <v>604</v>
      </c>
      <c r="M774" s="12" t="s">
        <v>75</v>
      </c>
      <c r="N774" s="14">
        <v>0.02</v>
      </c>
      <c r="O774" s="23">
        <v>318.62</v>
      </c>
      <c r="P774">
        <v>447.43</v>
      </c>
      <c r="Q774" s="12" t="str" cm="1">
        <f t="array" ref="Q774:R774">VLOOKUP(E774,store[],{3,5},FALSE)</f>
        <v>East</v>
      </c>
      <c r="R774" t="str">
        <v>Online</v>
      </c>
      <c r="S774" s="4">
        <f t="shared" si="12"/>
        <v>637.20000000000005</v>
      </c>
    </row>
    <row r="775" spans="1:19">
      <c r="A775" t="s">
        <v>1498</v>
      </c>
      <c r="B775" s="3">
        <v>45683</v>
      </c>
      <c r="C775" t="s">
        <v>710</v>
      </c>
      <c r="D775" t="s">
        <v>49</v>
      </c>
      <c r="E775" t="s">
        <v>198</v>
      </c>
      <c r="F775">
        <v>4</v>
      </c>
      <c r="G775" t="s">
        <v>33</v>
      </c>
      <c r="H775">
        <v>45</v>
      </c>
      <c r="I775" s="12" t="s">
        <v>34</v>
      </c>
      <c r="J775" s="12" t="s">
        <v>308</v>
      </c>
      <c r="K775" s="12" t="s">
        <v>26</v>
      </c>
      <c r="L775" s="12" t="s">
        <v>53</v>
      </c>
      <c r="M775" s="12" t="s">
        <v>37</v>
      </c>
      <c r="N775" s="14">
        <v>0.14000000000000001</v>
      </c>
      <c r="O775" s="23">
        <v>402.11</v>
      </c>
      <c r="P775">
        <v>392.89</v>
      </c>
      <c r="Q775" s="12" t="str" cm="1">
        <f t="array" ref="Q775:R775">VLOOKUP(E775,store[],{3,5},FALSE)</f>
        <v>South</v>
      </c>
      <c r="R775" t="str">
        <v>Outlet</v>
      </c>
      <c r="S775" s="4">
        <f t="shared" si="12"/>
        <v>1607.88</v>
      </c>
    </row>
    <row r="776" spans="1:19">
      <c r="A776" t="s">
        <v>1499</v>
      </c>
      <c r="B776" s="3">
        <v>45804</v>
      </c>
      <c r="C776" t="s">
        <v>310</v>
      </c>
      <c r="D776" t="s">
        <v>814</v>
      </c>
      <c r="E776" t="s">
        <v>32</v>
      </c>
      <c r="F776">
        <v>3</v>
      </c>
      <c r="G776" t="s">
        <v>50</v>
      </c>
      <c r="H776">
        <v>36</v>
      </c>
      <c r="I776" s="12" t="s">
        <v>24</v>
      </c>
      <c r="J776" s="12" t="s">
        <v>204</v>
      </c>
      <c r="K776" s="12" t="s">
        <v>26</v>
      </c>
      <c r="L776" s="12" t="s">
        <v>815</v>
      </c>
      <c r="M776" s="12" t="s">
        <v>75</v>
      </c>
      <c r="N776" s="14">
        <v>0.18</v>
      </c>
      <c r="O776" s="23">
        <v>846.31</v>
      </c>
      <c r="P776">
        <v>388.46</v>
      </c>
      <c r="Q776" s="12" t="str" cm="1">
        <f t="array" ref="Q776:R776">VLOOKUP(E776,store[],{3,5},FALSE)</f>
        <v>North</v>
      </c>
      <c r="R776" t="str">
        <v>Flagship</v>
      </c>
      <c r="S776" s="4">
        <f t="shared" si="12"/>
        <v>2538.39</v>
      </c>
    </row>
    <row r="777" spans="1:19">
      <c r="A777" t="s">
        <v>1500</v>
      </c>
      <c r="B777" s="3">
        <v>45821</v>
      </c>
      <c r="C777" t="s">
        <v>338</v>
      </c>
      <c r="D777" t="s">
        <v>242</v>
      </c>
      <c r="E777" t="s">
        <v>98</v>
      </c>
      <c r="F777">
        <v>1</v>
      </c>
      <c r="G777" t="s">
        <v>50</v>
      </c>
      <c r="H777">
        <v>36</v>
      </c>
      <c r="I777" s="12" t="s">
        <v>34</v>
      </c>
      <c r="J777" s="12" t="s">
        <v>235</v>
      </c>
      <c r="K777" s="12" t="s">
        <v>52</v>
      </c>
      <c r="L777" s="12" t="s">
        <v>243</v>
      </c>
      <c r="M777" s="12" t="s">
        <v>46</v>
      </c>
      <c r="N777" s="14">
        <v>7.0000000000000007E-2</v>
      </c>
      <c r="O777" s="23">
        <v>269.94</v>
      </c>
      <c r="P777">
        <v>358.47</v>
      </c>
      <c r="Q777" s="12" t="str" cm="1">
        <f t="array" ref="Q777:R777">VLOOKUP(E777,store[],{3,5},FALSE)</f>
        <v>South</v>
      </c>
      <c r="R777" t="str">
        <v>Outlet</v>
      </c>
      <c r="S777" s="4">
        <f t="shared" si="12"/>
        <v>269.87</v>
      </c>
    </row>
    <row r="778" spans="1:19">
      <c r="A778" t="s">
        <v>1501</v>
      </c>
      <c r="B778" s="3">
        <v>45472</v>
      </c>
      <c r="C778" t="s">
        <v>926</v>
      </c>
      <c r="D778" t="s">
        <v>291</v>
      </c>
      <c r="E778" t="s">
        <v>72</v>
      </c>
      <c r="F778">
        <v>3</v>
      </c>
      <c r="G778" t="s">
        <v>50</v>
      </c>
      <c r="H778">
        <v>31</v>
      </c>
      <c r="I778" s="12" t="s">
        <v>24</v>
      </c>
      <c r="J778" s="12" t="s">
        <v>498</v>
      </c>
      <c r="K778" s="12" t="s">
        <v>52</v>
      </c>
      <c r="L778" s="12" t="s">
        <v>292</v>
      </c>
      <c r="M778" s="12" t="s">
        <v>28</v>
      </c>
      <c r="N778" s="14">
        <v>0.28999999999999998</v>
      </c>
      <c r="O778" s="23">
        <v>909.25</v>
      </c>
      <c r="P778">
        <v>131.51</v>
      </c>
      <c r="Q778" s="12" t="str" cm="1">
        <f t="array" ref="Q778:R778">VLOOKUP(E778,store[],{3,5},FALSE)</f>
        <v>South</v>
      </c>
      <c r="R778" t="str">
        <v>Online</v>
      </c>
      <c r="S778" s="4">
        <f t="shared" si="12"/>
        <v>2726.88</v>
      </c>
    </row>
    <row r="779" spans="1:19">
      <c r="A779" t="s">
        <v>1502</v>
      </c>
      <c r="B779" s="3">
        <v>45331</v>
      </c>
      <c r="C779" t="s">
        <v>1503</v>
      </c>
      <c r="D779" t="s">
        <v>372</v>
      </c>
      <c r="E779" t="s">
        <v>208</v>
      </c>
      <c r="F779">
        <v>2</v>
      </c>
      <c r="G779" t="s">
        <v>50</v>
      </c>
      <c r="H779">
        <v>23</v>
      </c>
      <c r="I779" s="12" t="s">
        <v>24</v>
      </c>
      <c r="J779" s="12" t="s">
        <v>308</v>
      </c>
      <c r="K779" s="12" t="s">
        <v>73</v>
      </c>
      <c r="L779" s="12" t="s">
        <v>374</v>
      </c>
      <c r="M779" s="12" t="s">
        <v>130</v>
      </c>
      <c r="N779" s="14">
        <v>0.21</v>
      </c>
      <c r="O779" s="23">
        <v>229.81</v>
      </c>
      <c r="P779">
        <v>438.25</v>
      </c>
      <c r="Q779" s="12" t="str" cm="1">
        <f t="array" ref="Q779:R779">VLOOKUP(E779,store[],{3,5},FALSE)</f>
        <v>North</v>
      </c>
      <c r="R779" t="str">
        <v>Online</v>
      </c>
      <c r="S779" s="4">
        <f t="shared" si="12"/>
        <v>459.2</v>
      </c>
    </row>
    <row r="780" spans="1:19">
      <c r="A780" t="s">
        <v>1504</v>
      </c>
      <c r="B780" s="3">
        <v>45451</v>
      </c>
      <c r="C780" t="s">
        <v>343</v>
      </c>
      <c r="D780" t="s">
        <v>267</v>
      </c>
      <c r="E780" t="s">
        <v>122</v>
      </c>
      <c r="F780">
        <v>3</v>
      </c>
      <c r="G780" t="s">
        <v>33</v>
      </c>
      <c r="H780">
        <v>27</v>
      </c>
      <c r="I780" s="12" t="s">
        <v>34</v>
      </c>
      <c r="J780" s="12" t="s">
        <v>345</v>
      </c>
      <c r="K780" s="12" t="s">
        <v>346</v>
      </c>
      <c r="L780" s="12" t="s">
        <v>268</v>
      </c>
      <c r="M780" s="12" t="s">
        <v>75</v>
      </c>
      <c r="N780" s="14">
        <v>0.06</v>
      </c>
      <c r="O780" s="23">
        <v>442.36</v>
      </c>
      <c r="P780">
        <v>325.26</v>
      </c>
      <c r="Q780" s="12" t="str" cm="1">
        <f t="array" ref="Q780:R780">VLOOKUP(E780,store[],{3,5},FALSE)</f>
        <v>North</v>
      </c>
      <c r="R780" t="str">
        <v>Flagship</v>
      </c>
      <c r="S780" s="4">
        <f t="shared" si="12"/>
        <v>1326.9</v>
      </c>
    </row>
    <row r="781" spans="1:19">
      <c r="A781" t="s">
        <v>1505</v>
      </c>
      <c r="B781" s="3">
        <v>45386</v>
      </c>
      <c r="C781" t="s">
        <v>147</v>
      </c>
      <c r="D781" t="s">
        <v>400</v>
      </c>
      <c r="E781" t="s">
        <v>22</v>
      </c>
      <c r="F781">
        <v>3</v>
      </c>
      <c r="G781" t="s">
        <v>23</v>
      </c>
      <c r="H781">
        <v>58</v>
      </c>
      <c r="I781" s="12" t="s">
        <v>34</v>
      </c>
      <c r="J781" s="12" t="s">
        <v>99</v>
      </c>
      <c r="K781" s="12" t="s">
        <v>52</v>
      </c>
      <c r="L781" s="12" t="s">
        <v>401</v>
      </c>
      <c r="M781" s="12" t="s">
        <v>75</v>
      </c>
      <c r="N781" s="14">
        <v>0.01</v>
      </c>
      <c r="O781" s="23">
        <v>413.74</v>
      </c>
      <c r="P781">
        <v>176.07</v>
      </c>
      <c r="Q781" s="12" t="str" cm="1">
        <f t="array" ref="Q781:R781">VLOOKUP(E781,store[],{3,5},FALSE)</f>
        <v>North</v>
      </c>
      <c r="R781" t="str">
        <v>Outlet</v>
      </c>
      <c r="S781" s="4">
        <f t="shared" si="12"/>
        <v>1241.19</v>
      </c>
    </row>
    <row r="782" spans="1:19">
      <c r="A782" t="s">
        <v>1506</v>
      </c>
      <c r="B782" s="3">
        <v>45477</v>
      </c>
      <c r="C782" t="s">
        <v>500</v>
      </c>
      <c r="D782" t="s">
        <v>287</v>
      </c>
      <c r="E782" t="s">
        <v>98</v>
      </c>
      <c r="F782">
        <v>4</v>
      </c>
      <c r="G782" t="s">
        <v>33</v>
      </c>
      <c r="H782">
        <v>56</v>
      </c>
      <c r="I782" s="12" t="s">
        <v>24</v>
      </c>
      <c r="J782" s="12" t="s">
        <v>308</v>
      </c>
      <c r="K782" s="12" t="s">
        <v>73</v>
      </c>
      <c r="L782" s="12" t="s">
        <v>288</v>
      </c>
      <c r="M782" s="12" t="s">
        <v>46</v>
      </c>
      <c r="N782" s="14">
        <v>0.18</v>
      </c>
      <c r="O782" s="23">
        <v>79.75</v>
      </c>
      <c r="P782">
        <v>183.04</v>
      </c>
      <c r="Q782" s="12" t="str" cm="1">
        <f t="array" ref="Q782:R782">VLOOKUP(E782,store[],{3,5},FALSE)</f>
        <v>South</v>
      </c>
      <c r="R782" t="str">
        <v>Outlet</v>
      </c>
      <c r="S782" s="4">
        <f t="shared" si="12"/>
        <v>318.27999999999997</v>
      </c>
    </row>
    <row r="783" spans="1:19">
      <c r="A783" t="s">
        <v>1507</v>
      </c>
      <c r="B783" s="3">
        <v>45433</v>
      </c>
      <c r="C783" t="s">
        <v>697</v>
      </c>
      <c r="D783" t="s">
        <v>295</v>
      </c>
      <c r="E783" t="s">
        <v>208</v>
      </c>
      <c r="F783">
        <v>4</v>
      </c>
      <c r="G783" t="s">
        <v>23</v>
      </c>
      <c r="H783">
        <v>23</v>
      </c>
      <c r="I783" s="12" t="s">
        <v>34</v>
      </c>
      <c r="J783" s="12" t="s">
        <v>373</v>
      </c>
      <c r="K783" s="12" t="s">
        <v>73</v>
      </c>
      <c r="L783" s="12" t="s">
        <v>296</v>
      </c>
      <c r="M783" s="12" t="s">
        <v>37</v>
      </c>
      <c r="N783" s="14">
        <v>0.03</v>
      </c>
      <c r="O783" s="23">
        <v>95.06</v>
      </c>
      <c r="P783">
        <v>38.520000000000003</v>
      </c>
      <c r="Q783" s="12" t="str" cm="1">
        <f t="array" ref="Q783:R783">VLOOKUP(E783,store[],{3,5},FALSE)</f>
        <v>North</v>
      </c>
      <c r="R783" t="str">
        <v>Online</v>
      </c>
      <c r="S783" s="4">
        <f t="shared" si="12"/>
        <v>380.12</v>
      </c>
    </row>
    <row r="784" spans="1:19">
      <c r="A784" t="s">
        <v>1508</v>
      </c>
      <c r="B784" s="3">
        <v>45759</v>
      </c>
      <c r="C784" t="s">
        <v>298</v>
      </c>
      <c r="D784" t="s">
        <v>187</v>
      </c>
      <c r="E784" t="s">
        <v>66</v>
      </c>
      <c r="F784">
        <v>4</v>
      </c>
      <c r="G784" t="s">
        <v>50</v>
      </c>
      <c r="H784">
        <v>46</v>
      </c>
      <c r="I784" s="12" t="s">
        <v>24</v>
      </c>
      <c r="J784" s="12" t="s">
        <v>199</v>
      </c>
      <c r="K784" s="12" t="s">
        <v>52</v>
      </c>
      <c r="L784" s="12" t="s">
        <v>189</v>
      </c>
      <c r="M784" s="12" t="s">
        <v>37</v>
      </c>
      <c r="N784" s="14">
        <v>0.27</v>
      </c>
      <c r="O784" s="23">
        <v>107.08</v>
      </c>
      <c r="P784">
        <v>431.67</v>
      </c>
      <c r="Q784" s="12" t="str" cm="1">
        <f t="array" ref="Q784:R784">VLOOKUP(E784,store[],{3,5},FALSE)</f>
        <v>South</v>
      </c>
      <c r="R784" t="str">
        <v>Online</v>
      </c>
      <c r="S784" s="4">
        <f t="shared" si="12"/>
        <v>427.24</v>
      </c>
    </row>
    <row r="785" spans="1:19">
      <c r="A785" t="s">
        <v>1509</v>
      </c>
      <c r="B785" s="3">
        <v>45794</v>
      </c>
      <c r="C785" t="s">
        <v>1510</v>
      </c>
      <c r="D785" t="s">
        <v>85</v>
      </c>
      <c r="E785" t="s">
        <v>160</v>
      </c>
      <c r="F785">
        <v>1</v>
      </c>
      <c r="G785" t="s">
        <v>50</v>
      </c>
      <c r="H785">
        <v>32</v>
      </c>
      <c r="I785" s="12" t="s">
        <v>34</v>
      </c>
      <c r="J785" s="12" t="s">
        <v>345</v>
      </c>
      <c r="K785" s="12" t="s">
        <v>52</v>
      </c>
      <c r="L785" s="12" t="s">
        <v>86</v>
      </c>
      <c r="M785" s="12" t="s">
        <v>75</v>
      </c>
      <c r="N785" s="14">
        <v>0.03</v>
      </c>
      <c r="O785" s="23">
        <v>873.18</v>
      </c>
      <c r="P785">
        <v>201.41</v>
      </c>
      <c r="Q785" s="12" t="str" cm="1">
        <f t="array" ref="Q785:R785">VLOOKUP(E785,store[],{3,5},FALSE)</f>
        <v>East</v>
      </c>
      <c r="R785" t="str">
        <v>Flagship</v>
      </c>
      <c r="S785" s="4">
        <f t="shared" si="12"/>
        <v>873.15</v>
      </c>
    </row>
    <row r="786" spans="1:19">
      <c r="A786" t="s">
        <v>1511</v>
      </c>
      <c r="B786" s="3">
        <v>45764</v>
      </c>
      <c r="C786" t="s">
        <v>602</v>
      </c>
      <c r="D786" t="s">
        <v>79</v>
      </c>
      <c r="E786" t="s">
        <v>160</v>
      </c>
      <c r="F786">
        <v>1</v>
      </c>
      <c r="G786" t="s">
        <v>50</v>
      </c>
      <c r="H786">
        <v>39</v>
      </c>
      <c r="I786" s="12" t="s">
        <v>34</v>
      </c>
      <c r="J786" s="12" t="s">
        <v>193</v>
      </c>
      <c r="K786" s="12" t="s">
        <v>26</v>
      </c>
      <c r="L786" s="12" t="s">
        <v>81</v>
      </c>
      <c r="M786" s="12" t="s">
        <v>75</v>
      </c>
      <c r="N786" s="14">
        <v>0.1</v>
      </c>
      <c r="O786" s="23">
        <v>914.75</v>
      </c>
      <c r="P786">
        <v>138.05000000000001</v>
      </c>
      <c r="Q786" s="12" t="str" cm="1">
        <f t="array" ref="Q786:R786">VLOOKUP(E786,store[],{3,5},FALSE)</f>
        <v>East</v>
      </c>
      <c r="R786" t="str">
        <v>Flagship</v>
      </c>
      <c r="S786" s="4">
        <f t="shared" si="12"/>
        <v>914.65</v>
      </c>
    </row>
    <row r="787" spans="1:19">
      <c r="A787" t="s">
        <v>1512</v>
      </c>
      <c r="B787" s="3">
        <v>45279</v>
      </c>
      <c r="C787" t="s">
        <v>710</v>
      </c>
      <c r="D787" t="s">
        <v>575</v>
      </c>
      <c r="E787" t="s">
        <v>149</v>
      </c>
      <c r="F787">
        <v>4</v>
      </c>
      <c r="G787" t="s">
        <v>23</v>
      </c>
      <c r="H787">
        <v>45</v>
      </c>
      <c r="I787" s="12" t="s">
        <v>34</v>
      </c>
      <c r="J787" s="12" t="s">
        <v>308</v>
      </c>
      <c r="K787" s="12" t="s">
        <v>26</v>
      </c>
      <c r="L787" s="12" t="s">
        <v>576</v>
      </c>
      <c r="M787" s="12" t="s">
        <v>28</v>
      </c>
      <c r="N787" s="14">
        <v>0.1</v>
      </c>
      <c r="O787" s="23">
        <v>457.33</v>
      </c>
      <c r="P787">
        <v>107.06</v>
      </c>
      <c r="Q787" s="12" t="str" cm="1">
        <f t="array" ref="Q787:R787">VLOOKUP(E787,store[],{3,5},FALSE)</f>
        <v>East</v>
      </c>
      <c r="R787" t="str">
        <v>Flagship</v>
      </c>
      <c r="S787" s="4">
        <f t="shared" si="12"/>
        <v>1828.92</v>
      </c>
    </row>
    <row r="788" spans="1:19">
      <c r="A788" t="s">
        <v>1513</v>
      </c>
      <c r="B788" s="3">
        <v>45602</v>
      </c>
      <c r="C788" t="s">
        <v>1514</v>
      </c>
      <c r="D788" t="s">
        <v>85</v>
      </c>
      <c r="E788" t="s">
        <v>22</v>
      </c>
      <c r="F788">
        <v>3</v>
      </c>
      <c r="G788" t="s">
        <v>33</v>
      </c>
      <c r="H788">
        <v>30</v>
      </c>
      <c r="I788" s="12" t="s">
        <v>24</v>
      </c>
      <c r="J788" s="12" t="s">
        <v>510</v>
      </c>
      <c r="K788" s="12" t="s">
        <v>60</v>
      </c>
      <c r="L788" s="12" t="s">
        <v>86</v>
      </c>
      <c r="M788" s="12" t="s">
        <v>75</v>
      </c>
      <c r="N788" s="14">
        <v>0.23</v>
      </c>
      <c r="O788" s="23">
        <v>761.88</v>
      </c>
      <c r="P788">
        <v>201.41</v>
      </c>
      <c r="Q788" s="12" t="str" cm="1">
        <f t="array" ref="Q788:R788">VLOOKUP(E788,store[],{3,5},FALSE)</f>
        <v>North</v>
      </c>
      <c r="R788" t="str">
        <v>Outlet</v>
      </c>
      <c r="S788" s="4">
        <f t="shared" si="12"/>
        <v>2284.9499999999998</v>
      </c>
    </row>
    <row r="789" spans="1:19">
      <c r="A789" t="s">
        <v>1515</v>
      </c>
      <c r="B789" s="3">
        <v>45793</v>
      </c>
      <c r="C789" t="s">
        <v>1373</v>
      </c>
      <c r="D789" t="s">
        <v>786</v>
      </c>
      <c r="E789" t="s">
        <v>135</v>
      </c>
      <c r="F789">
        <v>4</v>
      </c>
      <c r="G789" t="s">
        <v>23</v>
      </c>
      <c r="H789">
        <v>55</v>
      </c>
      <c r="I789" s="12" t="s">
        <v>24</v>
      </c>
      <c r="J789" s="12" t="s">
        <v>239</v>
      </c>
      <c r="K789" s="12" t="s">
        <v>52</v>
      </c>
      <c r="L789" s="12" t="s">
        <v>787</v>
      </c>
      <c r="M789" s="12" t="s">
        <v>130</v>
      </c>
      <c r="N789" s="14">
        <v>0.13</v>
      </c>
      <c r="O789" s="23">
        <v>122.87</v>
      </c>
      <c r="P789">
        <v>353.47</v>
      </c>
      <c r="Q789" s="12" t="str" cm="1">
        <f t="array" ref="Q789:R789">VLOOKUP(E789,store[],{3,5},FALSE)</f>
        <v>East</v>
      </c>
      <c r="R789" t="str">
        <v>Online</v>
      </c>
      <c r="S789" s="4">
        <f t="shared" si="12"/>
        <v>490.96</v>
      </c>
    </row>
    <row r="790" spans="1:19">
      <c r="A790" t="s">
        <v>1516</v>
      </c>
      <c r="B790" s="3">
        <v>45778</v>
      </c>
      <c r="C790" t="s">
        <v>1517</v>
      </c>
      <c r="D790" t="s">
        <v>575</v>
      </c>
      <c r="E790" t="s">
        <v>72</v>
      </c>
      <c r="F790">
        <v>4</v>
      </c>
      <c r="G790" t="s">
        <v>50</v>
      </c>
      <c r="H790">
        <v>18</v>
      </c>
      <c r="I790" s="12" t="s">
        <v>34</v>
      </c>
      <c r="J790" s="12" t="s">
        <v>35</v>
      </c>
      <c r="K790" s="12" t="s">
        <v>52</v>
      </c>
      <c r="L790" s="12" t="s">
        <v>576</v>
      </c>
      <c r="M790" s="12" t="s">
        <v>28</v>
      </c>
      <c r="N790" s="14">
        <v>0.28000000000000003</v>
      </c>
      <c r="O790" s="23">
        <v>753</v>
      </c>
      <c r="P790">
        <v>107.06</v>
      </c>
      <c r="Q790" s="12" t="str" cm="1">
        <f t="array" ref="Q790:R790">VLOOKUP(E790,store[],{3,5},FALSE)</f>
        <v>South</v>
      </c>
      <c r="R790" t="str">
        <v>Online</v>
      </c>
      <c r="S790" s="4">
        <f t="shared" si="12"/>
        <v>3010.88</v>
      </c>
    </row>
    <row r="791" spans="1:19">
      <c r="A791" t="s">
        <v>1518</v>
      </c>
      <c r="B791" s="3">
        <v>45325</v>
      </c>
      <c r="C791" t="s">
        <v>946</v>
      </c>
      <c r="D791" t="s">
        <v>183</v>
      </c>
      <c r="E791" t="s">
        <v>58</v>
      </c>
      <c r="F791">
        <v>2</v>
      </c>
      <c r="G791" t="s">
        <v>23</v>
      </c>
      <c r="H791">
        <v>45</v>
      </c>
      <c r="I791" s="12" t="s">
        <v>24</v>
      </c>
      <c r="J791" s="12" t="s">
        <v>260</v>
      </c>
      <c r="K791" s="12" t="s">
        <v>60</v>
      </c>
      <c r="L791" s="12" t="s">
        <v>184</v>
      </c>
      <c r="M791" s="12" t="s">
        <v>130</v>
      </c>
      <c r="N791" s="14">
        <v>0.21</v>
      </c>
      <c r="O791" s="23">
        <v>788.05</v>
      </c>
      <c r="P791">
        <v>261</v>
      </c>
      <c r="Q791" s="12" t="str" cm="1">
        <f t="array" ref="Q791:R791">VLOOKUP(E791,store[],{3,5},FALSE)</f>
        <v>North</v>
      </c>
      <c r="R791" t="str">
        <v>Outlet</v>
      </c>
      <c r="S791" s="4">
        <f t="shared" si="12"/>
        <v>1575.68</v>
      </c>
    </row>
    <row r="792" spans="1:19">
      <c r="A792" t="s">
        <v>1519</v>
      </c>
      <c r="B792" s="3">
        <v>45875</v>
      </c>
      <c r="C792" t="s">
        <v>617</v>
      </c>
      <c r="D792" t="s">
        <v>542</v>
      </c>
      <c r="E792" t="s">
        <v>168</v>
      </c>
      <c r="F792">
        <v>2</v>
      </c>
      <c r="G792" t="s">
        <v>23</v>
      </c>
      <c r="H792">
        <v>34</v>
      </c>
      <c r="I792" s="12" t="s">
        <v>34</v>
      </c>
      <c r="J792" s="12" t="s">
        <v>356</v>
      </c>
      <c r="K792" s="12" t="s">
        <v>60</v>
      </c>
      <c r="L792" s="12" t="s">
        <v>543</v>
      </c>
      <c r="M792" s="12" t="s">
        <v>28</v>
      </c>
      <c r="N792" s="14">
        <v>0.28999999999999998</v>
      </c>
      <c r="O792" s="23">
        <v>807.1</v>
      </c>
      <c r="P792">
        <v>152.91999999999999</v>
      </c>
      <c r="Q792" s="12" t="str" cm="1">
        <f t="array" ref="Q792:R792">VLOOKUP(E792,store[],{3,5},FALSE)</f>
        <v>East</v>
      </c>
      <c r="R792" t="str">
        <v>Online</v>
      </c>
      <c r="S792" s="4">
        <f t="shared" si="12"/>
        <v>1613.62</v>
      </c>
    </row>
    <row r="793" spans="1:19">
      <c r="A793" t="s">
        <v>1520</v>
      </c>
      <c r="B793" s="3">
        <v>45320</v>
      </c>
      <c r="C793" t="s">
        <v>791</v>
      </c>
      <c r="D793" t="s">
        <v>484</v>
      </c>
      <c r="E793" t="s">
        <v>105</v>
      </c>
      <c r="F793">
        <v>2</v>
      </c>
      <c r="G793" t="s">
        <v>33</v>
      </c>
      <c r="H793">
        <v>54</v>
      </c>
      <c r="I793" s="12" t="s">
        <v>24</v>
      </c>
      <c r="J793" s="12" t="s">
        <v>91</v>
      </c>
      <c r="K793" s="12" t="s">
        <v>26</v>
      </c>
      <c r="L793" s="12" t="s">
        <v>485</v>
      </c>
      <c r="M793" s="12" t="s">
        <v>37</v>
      </c>
      <c r="N793" s="14">
        <v>0.02</v>
      </c>
      <c r="O793" s="23">
        <v>443.09</v>
      </c>
      <c r="P793">
        <v>439.07</v>
      </c>
      <c r="Q793" s="12" t="str" cm="1">
        <f t="array" ref="Q793:R793">VLOOKUP(E793,store[],{3,5},FALSE)</f>
        <v>North</v>
      </c>
      <c r="R793" t="str">
        <v>Flagship</v>
      </c>
      <c r="S793" s="4">
        <f t="shared" si="12"/>
        <v>886.14</v>
      </c>
    </row>
    <row r="794" spans="1:19">
      <c r="A794" t="s">
        <v>1521</v>
      </c>
      <c r="B794" s="3">
        <v>45870</v>
      </c>
      <c r="C794" t="s">
        <v>843</v>
      </c>
      <c r="D794" t="s">
        <v>314</v>
      </c>
      <c r="E794" t="s">
        <v>122</v>
      </c>
      <c r="F794">
        <v>1</v>
      </c>
      <c r="G794" t="s">
        <v>50</v>
      </c>
      <c r="H794">
        <v>45</v>
      </c>
      <c r="I794" s="12" t="s">
        <v>24</v>
      </c>
      <c r="J794" s="12" t="s">
        <v>35</v>
      </c>
      <c r="K794" s="12" t="s">
        <v>73</v>
      </c>
      <c r="L794" s="12" t="s">
        <v>315</v>
      </c>
      <c r="M794" s="12" t="s">
        <v>28</v>
      </c>
      <c r="N794" s="14">
        <v>0.02</v>
      </c>
      <c r="O794" s="23">
        <v>512.16</v>
      </c>
      <c r="P794">
        <v>21.34</v>
      </c>
      <c r="Q794" s="12" t="str" cm="1">
        <f t="array" ref="Q794:R794">VLOOKUP(E794,store[],{3,5},FALSE)</f>
        <v>North</v>
      </c>
      <c r="R794" t="str">
        <v>Flagship</v>
      </c>
      <c r="S794" s="4">
        <f t="shared" si="12"/>
        <v>512.14</v>
      </c>
    </row>
    <row r="795" spans="1:19">
      <c r="A795" t="s">
        <v>1522</v>
      </c>
      <c r="B795" s="3">
        <v>45577</v>
      </c>
      <c r="C795" t="s">
        <v>968</v>
      </c>
      <c r="D795" t="s">
        <v>745</v>
      </c>
      <c r="E795" t="s">
        <v>160</v>
      </c>
      <c r="F795">
        <v>2</v>
      </c>
      <c r="G795" t="s">
        <v>50</v>
      </c>
      <c r="H795">
        <v>54</v>
      </c>
      <c r="I795" s="12" t="s">
        <v>24</v>
      </c>
      <c r="J795" s="12" t="s">
        <v>378</v>
      </c>
      <c r="K795" s="12" t="s">
        <v>52</v>
      </c>
      <c r="L795" s="12" t="s">
        <v>746</v>
      </c>
      <c r="M795" s="12" t="s">
        <v>28</v>
      </c>
      <c r="N795" s="14">
        <v>0.23</v>
      </c>
      <c r="O795" s="23">
        <v>602.54999999999995</v>
      </c>
      <c r="P795">
        <v>313.26</v>
      </c>
      <c r="Q795" s="12" t="str" cm="1">
        <f t="array" ref="Q795:R795">VLOOKUP(E795,store[],{3,5},FALSE)</f>
        <v>East</v>
      </c>
      <c r="R795" t="str">
        <v>Flagship</v>
      </c>
      <c r="S795" s="4">
        <f t="shared" si="12"/>
        <v>1204.6400000000001</v>
      </c>
    </row>
    <row r="796" spans="1:19">
      <c r="A796" t="s">
        <v>1523</v>
      </c>
      <c r="B796" s="3">
        <v>45745</v>
      </c>
      <c r="C796" t="s">
        <v>504</v>
      </c>
      <c r="D796" t="s">
        <v>449</v>
      </c>
      <c r="E796" t="s">
        <v>90</v>
      </c>
      <c r="F796">
        <v>3</v>
      </c>
      <c r="G796" t="s">
        <v>50</v>
      </c>
      <c r="H796">
        <v>39</v>
      </c>
      <c r="I796" s="12" t="s">
        <v>34</v>
      </c>
      <c r="J796" s="12" t="s">
        <v>360</v>
      </c>
      <c r="K796" s="12" t="s">
        <v>60</v>
      </c>
      <c r="L796" s="12" t="s">
        <v>450</v>
      </c>
      <c r="M796" s="12" t="s">
        <v>37</v>
      </c>
      <c r="N796" s="14">
        <v>0.09</v>
      </c>
      <c r="O796" s="23">
        <v>846.19</v>
      </c>
      <c r="P796">
        <v>450.71</v>
      </c>
      <c r="Q796" s="12" t="str" cm="1">
        <f t="array" ref="Q796:R796">VLOOKUP(E796,store[],{3,5},FALSE)</f>
        <v>East</v>
      </c>
      <c r="R796" t="str">
        <v>Flagship</v>
      </c>
      <c r="S796" s="4">
        <f t="shared" si="12"/>
        <v>2538.3000000000002</v>
      </c>
    </row>
    <row r="797" spans="1:19">
      <c r="A797" t="s">
        <v>1524</v>
      </c>
      <c r="B797" s="3">
        <v>45772</v>
      </c>
      <c r="C797" t="s">
        <v>803</v>
      </c>
      <c r="D797" t="s">
        <v>167</v>
      </c>
      <c r="E797" t="s">
        <v>43</v>
      </c>
      <c r="F797">
        <v>1</v>
      </c>
      <c r="G797" t="s">
        <v>23</v>
      </c>
      <c r="H797">
        <v>58</v>
      </c>
      <c r="I797" s="12" t="s">
        <v>34</v>
      </c>
      <c r="J797" s="12" t="s">
        <v>67</v>
      </c>
      <c r="K797" s="12" t="s">
        <v>26</v>
      </c>
      <c r="L797" s="12" t="s">
        <v>170</v>
      </c>
      <c r="M797" s="12" t="s">
        <v>130</v>
      </c>
      <c r="N797" s="14">
        <v>0.28999999999999998</v>
      </c>
      <c r="O797" s="23">
        <v>506.73</v>
      </c>
      <c r="P797">
        <v>218.22</v>
      </c>
      <c r="Q797" s="12" t="str" cm="1">
        <f t="array" ref="Q797:R797">VLOOKUP(E797,store[],{3,5},FALSE)</f>
        <v>West</v>
      </c>
      <c r="R797" t="str">
        <v>Online</v>
      </c>
      <c r="S797" s="4">
        <f t="shared" si="12"/>
        <v>506.44</v>
      </c>
    </row>
    <row r="798" spans="1:19">
      <c r="A798" t="s">
        <v>1525</v>
      </c>
      <c r="B798" s="3">
        <v>45299</v>
      </c>
      <c r="C798" t="s">
        <v>1526</v>
      </c>
      <c r="D798" t="s">
        <v>501</v>
      </c>
      <c r="E798" t="s">
        <v>117</v>
      </c>
      <c r="F798">
        <v>1</v>
      </c>
      <c r="G798" t="s">
        <v>50</v>
      </c>
      <c r="H798">
        <v>55</v>
      </c>
      <c r="I798" s="12" t="s">
        <v>24</v>
      </c>
      <c r="J798" s="12" t="s">
        <v>510</v>
      </c>
      <c r="K798" s="12" t="s">
        <v>73</v>
      </c>
      <c r="L798" s="12" t="s">
        <v>502</v>
      </c>
      <c r="M798" s="12" t="s">
        <v>37</v>
      </c>
      <c r="N798" s="14">
        <v>0.13</v>
      </c>
      <c r="O798" s="23">
        <v>408.66</v>
      </c>
      <c r="P798">
        <v>88.49</v>
      </c>
      <c r="Q798" s="12" t="str" cm="1">
        <f t="array" ref="Q798:R798">VLOOKUP(E798,store[],{3,5},FALSE)</f>
        <v>West</v>
      </c>
      <c r="R798" t="str">
        <v>Flagship</v>
      </c>
      <c r="S798" s="4">
        <f t="shared" si="12"/>
        <v>408.53</v>
      </c>
    </row>
    <row r="799" spans="1:19">
      <c r="A799" t="s">
        <v>1527</v>
      </c>
      <c r="B799" s="3">
        <v>45447</v>
      </c>
      <c r="C799" t="s">
        <v>1528</v>
      </c>
      <c r="D799" t="s">
        <v>484</v>
      </c>
      <c r="E799" t="s">
        <v>32</v>
      </c>
      <c r="F799">
        <v>3</v>
      </c>
      <c r="G799" t="s">
        <v>50</v>
      </c>
      <c r="H799">
        <v>40</v>
      </c>
      <c r="I799" s="12" t="s">
        <v>34</v>
      </c>
      <c r="J799" s="12" t="s">
        <v>336</v>
      </c>
      <c r="K799" s="12" t="s">
        <v>26</v>
      </c>
      <c r="L799" s="12" t="s">
        <v>485</v>
      </c>
      <c r="M799" s="12" t="s">
        <v>37</v>
      </c>
      <c r="N799" s="14">
        <v>0.06</v>
      </c>
      <c r="O799" s="23">
        <v>170.48</v>
      </c>
      <c r="P799">
        <v>439.07</v>
      </c>
      <c r="Q799" s="12" t="str" cm="1">
        <f t="array" ref="Q799:R799">VLOOKUP(E799,store[],{3,5},FALSE)</f>
        <v>North</v>
      </c>
      <c r="R799" t="str">
        <v>Flagship</v>
      </c>
      <c r="S799" s="4">
        <f t="shared" si="12"/>
        <v>511.26</v>
      </c>
    </row>
    <row r="800" spans="1:19">
      <c r="A800" t="s">
        <v>1529</v>
      </c>
      <c r="B800" s="3">
        <v>45717</v>
      </c>
      <c r="C800" t="s">
        <v>428</v>
      </c>
      <c r="D800" t="s">
        <v>928</v>
      </c>
      <c r="E800" t="s">
        <v>127</v>
      </c>
      <c r="F800">
        <v>1</v>
      </c>
      <c r="G800" t="s">
        <v>33</v>
      </c>
      <c r="H800">
        <v>36</v>
      </c>
      <c r="I800" s="12" t="s">
        <v>24</v>
      </c>
      <c r="J800" s="12" t="s">
        <v>345</v>
      </c>
      <c r="K800" s="12" t="s">
        <v>60</v>
      </c>
      <c r="L800" s="12" t="s">
        <v>929</v>
      </c>
      <c r="M800" s="12" t="s">
        <v>130</v>
      </c>
      <c r="N800" s="14">
        <v>0.18</v>
      </c>
      <c r="O800" s="23">
        <v>423.48</v>
      </c>
      <c r="P800">
        <v>245.77831168831199</v>
      </c>
      <c r="Q800" s="12" t="str" cm="1">
        <f t="array" ref="Q800:R800">VLOOKUP(E800,store[],{3,5},FALSE)</f>
        <v>South</v>
      </c>
      <c r="R800" t="str">
        <v>Flagship</v>
      </c>
      <c r="S800" s="4">
        <f t="shared" si="12"/>
        <v>423.3</v>
      </c>
    </row>
    <row r="801" spans="1:19">
      <c r="A801" t="s">
        <v>1530</v>
      </c>
      <c r="B801" s="3">
        <v>45213</v>
      </c>
      <c r="C801" t="s">
        <v>1190</v>
      </c>
      <c r="D801" t="s">
        <v>603</v>
      </c>
      <c r="E801" t="s">
        <v>272</v>
      </c>
      <c r="F801">
        <v>4</v>
      </c>
      <c r="G801" t="s">
        <v>23</v>
      </c>
      <c r="H801">
        <v>28</v>
      </c>
      <c r="I801" s="12" t="s">
        <v>34</v>
      </c>
      <c r="J801" s="12" t="s">
        <v>373</v>
      </c>
      <c r="K801" s="12" t="s">
        <v>73</v>
      </c>
      <c r="L801" s="12" t="s">
        <v>604</v>
      </c>
      <c r="M801" s="12" t="s">
        <v>75</v>
      </c>
      <c r="N801" s="14">
        <v>0.1</v>
      </c>
      <c r="O801" s="23">
        <v>23.57</v>
      </c>
      <c r="P801">
        <v>447.43</v>
      </c>
      <c r="Q801" s="12" t="str" cm="1">
        <f t="array" ref="Q801:R801">VLOOKUP(E801,store[],{3,5},FALSE)</f>
        <v>South</v>
      </c>
      <c r="R801" t="str">
        <v>Online</v>
      </c>
      <c r="S801" s="4">
        <f t="shared" si="12"/>
        <v>93.88</v>
      </c>
    </row>
    <row r="802" spans="1:19">
      <c r="A802" t="s">
        <v>1531</v>
      </c>
      <c r="B802" s="3">
        <v>45837</v>
      </c>
      <c r="C802" t="s">
        <v>182</v>
      </c>
      <c r="D802" t="s">
        <v>449</v>
      </c>
      <c r="E802" t="s">
        <v>160</v>
      </c>
      <c r="F802">
        <v>2</v>
      </c>
      <c r="G802" t="s">
        <v>50</v>
      </c>
      <c r="H802">
        <v>50</v>
      </c>
      <c r="I802" s="12" t="s">
        <v>24</v>
      </c>
      <c r="J802" s="12" t="s">
        <v>59</v>
      </c>
      <c r="K802" s="12" t="s">
        <v>60</v>
      </c>
      <c r="L802" s="12" t="s">
        <v>450</v>
      </c>
      <c r="M802" s="12" t="s">
        <v>37</v>
      </c>
      <c r="N802" s="14">
        <v>0.1</v>
      </c>
      <c r="O802" s="23">
        <v>953.26</v>
      </c>
      <c r="P802">
        <v>450.71</v>
      </c>
      <c r="Q802" s="12" t="str" cm="1">
        <f t="array" ref="Q802:R802">VLOOKUP(E802,store[],{3,5},FALSE)</f>
        <v>East</v>
      </c>
      <c r="R802" t="str">
        <v>Flagship</v>
      </c>
      <c r="S802" s="4">
        <f t="shared" si="12"/>
        <v>1906.32</v>
      </c>
    </row>
    <row r="803" spans="1:19">
      <c r="A803" t="s">
        <v>1532</v>
      </c>
      <c r="B803" s="3">
        <v>45277</v>
      </c>
      <c r="C803" t="s">
        <v>977</v>
      </c>
      <c r="D803" t="s">
        <v>575</v>
      </c>
      <c r="E803" t="s">
        <v>66</v>
      </c>
      <c r="F803">
        <v>3</v>
      </c>
      <c r="G803" t="s">
        <v>50</v>
      </c>
      <c r="H803">
        <v>39</v>
      </c>
      <c r="I803" s="12" t="s">
        <v>34</v>
      </c>
      <c r="J803" s="12" t="s">
        <v>440</v>
      </c>
      <c r="K803" s="12" t="s">
        <v>26</v>
      </c>
      <c r="L803" s="12" t="s">
        <v>576</v>
      </c>
      <c r="M803" s="12" t="s">
        <v>28</v>
      </c>
      <c r="N803" s="14">
        <v>0.14000000000000001</v>
      </c>
      <c r="O803" s="23">
        <v>405.13</v>
      </c>
      <c r="P803">
        <v>107.06</v>
      </c>
      <c r="Q803" s="12" t="str" cm="1">
        <f t="array" ref="Q803:R803">VLOOKUP(E803,store[],{3,5},FALSE)</f>
        <v>South</v>
      </c>
      <c r="R803" t="str">
        <v>Online</v>
      </c>
      <c r="S803" s="4">
        <f t="shared" si="12"/>
        <v>1214.97</v>
      </c>
    </row>
    <row r="804" spans="1:19">
      <c r="A804" t="s">
        <v>1533</v>
      </c>
      <c r="B804" s="3">
        <v>45248</v>
      </c>
      <c r="C804" t="s">
        <v>1273</v>
      </c>
      <c r="D804" t="s">
        <v>868</v>
      </c>
      <c r="E804" t="s">
        <v>72</v>
      </c>
      <c r="F804">
        <v>2</v>
      </c>
      <c r="G804" t="s">
        <v>33</v>
      </c>
      <c r="H804">
        <v>52</v>
      </c>
      <c r="I804" s="12" t="s">
        <v>34</v>
      </c>
      <c r="J804" s="12" t="s">
        <v>251</v>
      </c>
      <c r="K804" s="12" t="s">
        <v>52</v>
      </c>
      <c r="L804" s="12" t="s">
        <v>869</v>
      </c>
      <c r="M804" s="12" t="s">
        <v>130</v>
      </c>
      <c r="N804" s="14">
        <v>0.26</v>
      </c>
      <c r="O804" s="23">
        <v>333.83</v>
      </c>
      <c r="P804">
        <v>254.62086956521699</v>
      </c>
      <c r="Q804" s="12" t="str" cm="1">
        <f t="array" ref="Q804:R804">VLOOKUP(E804,store[],{3,5},FALSE)</f>
        <v>South</v>
      </c>
      <c r="R804" t="str">
        <v>Online</v>
      </c>
      <c r="S804" s="4">
        <f t="shared" si="12"/>
        <v>667.14</v>
      </c>
    </row>
    <row r="805" spans="1:19">
      <c r="A805" t="s">
        <v>1534</v>
      </c>
      <c r="B805" s="3">
        <v>45741</v>
      </c>
      <c r="C805" t="s">
        <v>767</v>
      </c>
      <c r="D805" t="s">
        <v>372</v>
      </c>
      <c r="E805" t="s">
        <v>22</v>
      </c>
      <c r="F805">
        <v>2</v>
      </c>
      <c r="G805" t="s">
        <v>33</v>
      </c>
      <c r="H805">
        <v>64</v>
      </c>
      <c r="I805" s="12" t="s">
        <v>34</v>
      </c>
      <c r="J805" s="12" t="s">
        <v>360</v>
      </c>
      <c r="K805" s="12" t="s">
        <v>26</v>
      </c>
      <c r="L805" s="12" t="s">
        <v>374</v>
      </c>
      <c r="M805" s="12" t="s">
        <v>130</v>
      </c>
      <c r="N805" s="14">
        <v>0.22</v>
      </c>
      <c r="O805" s="23">
        <v>727.18</v>
      </c>
      <c r="P805">
        <v>438.25</v>
      </c>
      <c r="Q805" s="12" t="str" cm="1">
        <f t="array" ref="Q805:R805">VLOOKUP(E805,store[],{3,5},FALSE)</f>
        <v>North</v>
      </c>
      <c r="R805" t="str">
        <v>Outlet</v>
      </c>
      <c r="S805" s="4">
        <f t="shared" si="12"/>
        <v>1453.92</v>
      </c>
    </row>
    <row r="806" spans="1:19">
      <c r="A806" t="s">
        <v>1535</v>
      </c>
      <c r="B806" s="3">
        <v>45778</v>
      </c>
      <c r="C806" t="s">
        <v>1536</v>
      </c>
      <c r="D806" t="s">
        <v>183</v>
      </c>
      <c r="E806" t="s">
        <v>168</v>
      </c>
      <c r="F806">
        <v>2</v>
      </c>
      <c r="G806" t="s">
        <v>50</v>
      </c>
      <c r="H806">
        <v>44</v>
      </c>
      <c r="I806" s="12" t="s">
        <v>24</v>
      </c>
      <c r="J806" s="12" t="s">
        <v>51</v>
      </c>
      <c r="K806" s="12" t="s">
        <v>52</v>
      </c>
      <c r="L806" s="12" t="s">
        <v>184</v>
      </c>
      <c r="M806" s="12" t="s">
        <v>130</v>
      </c>
      <c r="N806" s="14">
        <v>0.19</v>
      </c>
      <c r="O806" s="23">
        <v>516.02</v>
      </c>
      <c r="P806">
        <v>261</v>
      </c>
      <c r="Q806" s="12" t="str" cm="1">
        <f t="array" ref="Q806:R806">VLOOKUP(E806,store[],{3,5},FALSE)</f>
        <v>East</v>
      </c>
      <c r="R806" t="str">
        <v>Online</v>
      </c>
      <c r="S806" s="4">
        <f t="shared" si="12"/>
        <v>1031.6600000000001</v>
      </c>
    </row>
    <row r="807" spans="1:19">
      <c r="A807" t="s">
        <v>1537</v>
      </c>
      <c r="B807" s="3">
        <v>45361</v>
      </c>
      <c r="C807" t="s">
        <v>541</v>
      </c>
      <c r="D807" t="s">
        <v>449</v>
      </c>
      <c r="E807" t="s">
        <v>272</v>
      </c>
      <c r="F807">
        <v>2</v>
      </c>
      <c r="G807" t="s">
        <v>23</v>
      </c>
      <c r="H807">
        <v>29</v>
      </c>
      <c r="I807" s="12" t="s">
        <v>24</v>
      </c>
      <c r="J807" s="12" t="s">
        <v>111</v>
      </c>
      <c r="K807" s="12" t="s">
        <v>52</v>
      </c>
      <c r="L807" s="12" t="s">
        <v>450</v>
      </c>
      <c r="M807" s="12" t="s">
        <v>37</v>
      </c>
      <c r="N807" s="14">
        <v>0.28000000000000003</v>
      </c>
      <c r="O807" s="23">
        <v>705.61</v>
      </c>
      <c r="P807">
        <v>450.71</v>
      </c>
      <c r="Q807" s="12" t="str" cm="1">
        <f t="array" ref="Q807:R807">VLOOKUP(E807,store[],{3,5},FALSE)</f>
        <v>South</v>
      </c>
      <c r="R807" t="str">
        <v>Online</v>
      </c>
      <c r="S807" s="4">
        <f t="shared" si="12"/>
        <v>1410.66</v>
      </c>
    </row>
    <row r="808" spans="1:19">
      <c r="A808" t="s">
        <v>1538</v>
      </c>
      <c r="B808" s="3">
        <v>45414</v>
      </c>
      <c r="C808" t="s">
        <v>712</v>
      </c>
      <c r="D808" t="s">
        <v>814</v>
      </c>
      <c r="E808" t="s">
        <v>43</v>
      </c>
      <c r="F808">
        <v>3</v>
      </c>
      <c r="G808" t="s">
        <v>50</v>
      </c>
      <c r="H808">
        <v>22</v>
      </c>
      <c r="I808" s="12" t="s">
        <v>24</v>
      </c>
      <c r="J808" s="12" t="s">
        <v>239</v>
      </c>
      <c r="K808" s="12" t="s">
        <v>26</v>
      </c>
      <c r="L808" s="12" t="s">
        <v>815</v>
      </c>
      <c r="M808" s="12" t="s">
        <v>75</v>
      </c>
      <c r="N808" s="14">
        <v>0.18</v>
      </c>
      <c r="O808" s="23">
        <v>654.47</v>
      </c>
      <c r="P808">
        <v>388.46</v>
      </c>
      <c r="Q808" s="12" t="str" cm="1">
        <f t="array" ref="Q808:R808">VLOOKUP(E808,store[],{3,5},FALSE)</f>
        <v>West</v>
      </c>
      <c r="R808" t="str">
        <v>Online</v>
      </c>
      <c r="S808" s="4">
        <f t="shared" si="12"/>
        <v>1962.87</v>
      </c>
    </row>
    <row r="809" spans="1:19">
      <c r="A809" t="s">
        <v>1539</v>
      </c>
      <c r="B809" s="3">
        <v>45734</v>
      </c>
      <c r="C809" t="s">
        <v>527</v>
      </c>
      <c r="D809" t="s">
        <v>110</v>
      </c>
      <c r="E809" t="s">
        <v>122</v>
      </c>
      <c r="F809">
        <v>2</v>
      </c>
      <c r="G809" t="s">
        <v>23</v>
      </c>
      <c r="H809">
        <v>44</v>
      </c>
      <c r="I809" s="12" t="s">
        <v>34</v>
      </c>
      <c r="J809" s="12" t="s">
        <v>260</v>
      </c>
      <c r="K809" s="12" t="s">
        <v>52</v>
      </c>
      <c r="L809" s="12" t="s">
        <v>112</v>
      </c>
      <c r="M809" s="12" t="s">
        <v>28</v>
      </c>
      <c r="N809" s="14">
        <v>0.23</v>
      </c>
      <c r="O809" s="23">
        <v>315.27</v>
      </c>
      <c r="P809">
        <v>131.24</v>
      </c>
      <c r="Q809" s="12" t="str" cm="1">
        <f t="array" ref="Q809:R809">VLOOKUP(E809,store[],{3,5},FALSE)</f>
        <v>North</v>
      </c>
      <c r="R809" t="str">
        <v>Flagship</v>
      </c>
      <c r="S809" s="4">
        <f t="shared" si="12"/>
        <v>630.08000000000004</v>
      </c>
    </row>
    <row r="810" spans="1:19">
      <c r="A810" t="s">
        <v>1540</v>
      </c>
      <c r="B810" s="3">
        <v>45623</v>
      </c>
      <c r="C810" t="s">
        <v>904</v>
      </c>
      <c r="D810" t="s">
        <v>567</v>
      </c>
      <c r="E810" t="s">
        <v>198</v>
      </c>
      <c r="F810">
        <v>1</v>
      </c>
      <c r="G810" t="s">
        <v>23</v>
      </c>
      <c r="H810">
        <v>35</v>
      </c>
      <c r="I810" s="12" t="s">
        <v>24</v>
      </c>
      <c r="J810" s="12" t="s">
        <v>222</v>
      </c>
      <c r="K810" s="12" t="s">
        <v>52</v>
      </c>
      <c r="L810" s="12" t="s">
        <v>568</v>
      </c>
      <c r="M810" s="12" t="s">
        <v>28</v>
      </c>
      <c r="N810" s="14">
        <v>0.05</v>
      </c>
      <c r="O810" s="23">
        <v>974.47</v>
      </c>
      <c r="P810">
        <v>38.76</v>
      </c>
      <c r="Q810" s="12" t="str" cm="1">
        <f t="array" ref="Q810:R810">VLOOKUP(E810,store[],{3,5},FALSE)</f>
        <v>South</v>
      </c>
      <c r="R810" t="str">
        <v>Outlet</v>
      </c>
      <c r="S810" s="4">
        <f t="shared" si="12"/>
        <v>974.42</v>
      </c>
    </row>
    <row r="811" spans="1:19">
      <c r="A811" t="s">
        <v>1541</v>
      </c>
      <c r="B811" s="3">
        <v>45340</v>
      </c>
      <c r="C811" t="s">
        <v>468</v>
      </c>
      <c r="D811" t="s">
        <v>868</v>
      </c>
      <c r="E811" t="s">
        <v>72</v>
      </c>
      <c r="F811">
        <v>2</v>
      </c>
      <c r="G811" t="s">
        <v>23</v>
      </c>
      <c r="H811">
        <v>58</v>
      </c>
      <c r="I811" s="12" t="s">
        <v>24</v>
      </c>
      <c r="J811" s="12" t="s">
        <v>235</v>
      </c>
      <c r="K811" s="12" t="s">
        <v>60</v>
      </c>
      <c r="L811" s="12" t="s">
        <v>869</v>
      </c>
      <c r="M811" s="12" t="s">
        <v>130</v>
      </c>
      <c r="N811" s="14">
        <v>0.17</v>
      </c>
      <c r="O811" s="23">
        <v>803.3</v>
      </c>
      <c r="P811">
        <v>254.62086956521699</v>
      </c>
      <c r="Q811" s="12" t="str" cm="1">
        <f t="array" ref="Q811:R811">VLOOKUP(E811,store[],{3,5},FALSE)</f>
        <v>South</v>
      </c>
      <c r="R811" t="str">
        <v>Online</v>
      </c>
      <c r="S811" s="4">
        <f t="shared" si="12"/>
        <v>1606.26</v>
      </c>
    </row>
    <row r="812" spans="1:19">
      <c r="A812" t="s">
        <v>1542</v>
      </c>
      <c r="B812" s="3">
        <v>45447</v>
      </c>
      <c r="C812" t="s">
        <v>758</v>
      </c>
      <c r="D812" t="s">
        <v>868</v>
      </c>
      <c r="E812" t="s">
        <v>168</v>
      </c>
      <c r="F812">
        <v>4</v>
      </c>
      <c r="G812" t="s">
        <v>50</v>
      </c>
      <c r="H812">
        <v>32</v>
      </c>
      <c r="I812" s="12" t="s">
        <v>34</v>
      </c>
      <c r="J812" s="12" t="s">
        <v>111</v>
      </c>
      <c r="K812" s="12" t="s">
        <v>60</v>
      </c>
      <c r="L812" s="12" t="s">
        <v>869</v>
      </c>
      <c r="M812" s="12" t="s">
        <v>130</v>
      </c>
      <c r="N812" s="14">
        <v>0.21</v>
      </c>
      <c r="O812" s="23">
        <v>863.87</v>
      </c>
      <c r="P812">
        <v>254.62086956521699</v>
      </c>
      <c r="Q812" s="12" t="str" cm="1">
        <f t="array" ref="Q812:R812">VLOOKUP(E812,store[],{3,5},FALSE)</f>
        <v>East</v>
      </c>
      <c r="R812" t="str">
        <v>Online</v>
      </c>
      <c r="S812" s="4">
        <f t="shared" si="12"/>
        <v>3454.64</v>
      </c>
    </row>
    <row r="813" spans="1:19">
      <c r="A813" t="s">
        <v>1543</v>
      </c>
      <c r="B813" s="3">
        <v>45513</v>
      </c>
      <c r="C813" t="s">
        <v>956</v>
      </c>
      <c r="D813" t="s">
        <v>429</v>
      </c>
      <c r="E813" t="s">
        <v>160</v>
      </c>
      <c r="F813">
        <v>1</v>
      </c>
      <c r="G813" t="s">
        <v>23</v>
      </c>
      <c r="H813">
        <v>19</v>
      </c>
      <c r="I813" s="12" t="s">
        <v>24</v>
      </c>
      <c r="J813" s="12" t="s">
        <v>410</v>
      </c>
      <c r="K813" s="12" t="s">
        <v>26</v>
      </c>
      <c r="L813" s="12" t="s">
        <v>430</v>
      </c>
      <c r="M813" s="12" t="s">
        <v>75</v>
      </c>
      <c r="N813" s="14">
        <v>0.17</v>
      </c>
      <c r="O813" s="23">
        <v>450.11</v>
      </c>
      <c r="P813">
        <v>143.43</v>
      </c>
      <c r="Q813" s="12" t="str" cm="1">
        <f t="array" ref="Q813:R813">VLOOKUP(E813,store[],{3,5},FALSE)</f>
        <v>East</v>
      </c>
      <c r="R813" t="str">
        <v>Flagship</v>
      </c>
      <c r="S813" s="4">
        <f t="shared" si="12"/>
        <v>449.94</v>
      </c>
    </row>
    <row r="814" spans="1:19">
      <c r="A814" t="s">
        <v>1544</v>
      </c>
      <c r="B814" s="3">
        <v>45486</v>
      </c>
      <c r="C814" t="s">
        <v>1545</v>
      </c>
      <c r="D814" t="s">
        <v>741</v>
      </c>
      <c r="E814" t="s">
        <v>149</v>
      </c>
      <c r="F814">
        <v>1</v>
      </c>
      <c r="G814" t="s">
        <v>50</v>
      </c>
      <c r="H814">
        <v>29</v>
      </c>
      <c r="I814" s="12" t="s">
        <v>24</v>
      </c>
      <c r="J814" s="12" t="s">
        <v>235</v>
      </c>
      <c r="K814" s="12" t="s">
        <v>73</v>
      </c>
      <c r="L814" s="12" t="s">
        <v>742</v>
      </c>
      <c r="M814" s="12" t="s">
        <v>75</v>
      </c>
      <c r="N814" s="14">
        <v>0.18</v>
      </c>
      <c r="O814" s="23">
        <v>289.82</v>
      </c>
      <c r="P814">
        <v>243.7</v>
      </c>
      <c r="Q814" s="12" t="str" cm="1">
        <f t="array" ref="Q814:R814">VLOOKUP(E814,store[],{3,5},FALSE)</f>
        <v>East</v>
      </c>
      <c r="R814" t="str">
        <v>Flagship</v>
      </c>
      <c r="S814" s="4">
        <f t="shared" si="12"/>
        <v>289.64</v>
      </c>
    </row>
    <row r="815" spans="1:19">
      <c r="A815" t="s">
        <v>1546</v>
      </c>
      <c r="B815" s="3">
        <v>45890</v>
      </c>
      <c r="C815" t="s">
        <v>639</v>
      </c>
      <c r="D815" t="s">
        <v>420</v>
      </c>
      <c r="E815" t="s">
        <v>168</v>
      </c>
      <c r="F815">
        <v>4</v>
      </c>
      <c r="G815" t="s">
        <v>33</v>
      </c>
      <c r="H815">
        <v>50</v>
      </c>
      <c r="I815" s="12" t="s">
        <v>34</v>
      </c>
      <c r="J815" s="12" t="s">
        <v>440</v>
      </c>
      <c r="K815" s="12" t="s">
        <v>60</v>
      </c>
      <c r="L815" s="12" t="s">
        <v>421</v>
      </c>
      <c r="M815" s="12" t="s">
        <v>28</v>
      </c>
      <c r="N815" s="14">
        <v>0.1</v>
      </c>
      <c r="O815" s="23">
        <v>250.64</v>
      </c>
      <c r="P815">
        <v>434.84</v>
      </c>
      <c r="Q815" s="12" t="str" cm="1">
        <f t="array" ref="Q815:R815">VLOOKUP(E815,store[],{3,5},FALSE)</f>
        <v>East</v>
      </c>
      <c r="R815" t="str">
        <v>Online</v>
      </c>
      <c r="S815" s="4">
        <f t="shared" si="12"/>
        <v>1002.16</v>
      </c>
    </row>
    <row r="816" spans="1:19">
      <c r="A816" t="s">
        <v>1547</v>
      </c>
      <c r="B816" s="3">
        <v>45876</v>
      </c>
      <c r="C816" t="s">
        <v>413</v>
      </c>
      <c r="D816" t="s">
        <v>167</v>
      </c>
      <c r="E816" t="s">
        <v>135</v>
      </c>
      <c r="F816">
        <v>4</v>
      </c>
      <c r="G816" t="s">
        <v>50</v>
      </c>
      <c r="H816">
        <v>22</v>
      </c>
      <c r="I816" s="12" t="s">
        <v>34</v>
      </c>
      <c r="J816" s="12" t="s">
        <v>35</v>
      </c>
      <c r="K816" s="12" t="s">
        <v>26</v>
      </c>
      <c r="L816" s="12" t="s">
        <v>170</v>
      </c>
      <c r="M816" s="12" t="s">
        <v>130</v>
      </c>
      <c r="N816" s="14">
        <v>0.16</v>
      </c>
      <c r="O816" s="23">
        <v>373.49</v>
      </c>
      <c r="P816">
        <v>218.22</v>
      </c>
      <c r="Q816" s="12" t="str" cm="1">
        <f t="array" ref="Q816:R816">VLOOKUP(E816,store[],{3,5},FALSE)</f>
        <v>East</v>
      </c>
      <c r="R816" t="str">
        <v>Online</v>
      </c>
      <c r="S816" s="4">
        <f t="shared" si="12"/>
        <v>1493.32</v>
      </c>
    </row>
    <row r="817" spans="1:19">
      <c r="A817" t="s">
        <v>1548</v>
      </c>
      <c r="B817" s="3">
        <v>45398</v>
      </c>
      <c r="C817" t="s">
        <v>611</v>
      </c>
      <c r="D817" t="s">
        <v>414</v>
      </c>
      <c r="E817" t="s">
        <v>127</v>
      </c>
      <c r="F817">
        <v>4</v>
      </c>
      <c r="G817" t="s">
        <v>33</v>
      </c>
      <c r="H817">
        <v>27</v>
      </c>
      <c r="I817" s="12" t="s">
        <v>34</v>
      </c>
      <c r="J817" s="12" t="s">
        <v>214</v>
      </c>
      <c r="K817" s="12" t="s">
        <v>60</v>
      </c>
      <c r="L817" s="12" t="s">
        <v>415</v>
      </c>
      <c r="M817" s="12" t="s">
        <v>130</v>
      </c>
      <c r="N817" s="14">
        <v>0.18</v>
      </c>
      <c r="O817" s="23">
        <v>348.91</v>
      </c>
      <c r="P817">
        <v>364.67</v>
      </c>
      <c r="Q817" s="12" t="str" cm="1">
        <f t="array" ref="Q817:R817">VLOOKUP(E817,store[],{3,5},FALSE)</f>
        <v>South</v>
      </c>
      <c r="R817" t="str">
        <v>Flagship</v>
      </c>
      <c r="S817" s="4">
        <f t="shared" si="12"/>
        <v>1394.92</v>
      </c>
    </row>
    <row r="818" spans="1:19">
      <c r="A818" t="s">
        <v>1549</v>
      </c>
      <c r="B818" s="3">
        <v>45390</v>
      </c>
      <c r="C818" t="s">
        <v>1528</v>
      </c>
      <c r="D818" t="s">
        <v>242</v>
      </c>
      <c r="E818" t="s">
        <v>32</v>
      </c>
      <c r="F818">
        <v>4</v>
      </c>
      <c r="G818" t="s">
        <v>23</v>
      </c>
      <c r="H818">
        <v>40</v>
      </c>
      <c r="I818" s="12" t="s">
        <v>34</v>
      </c>
      <c r="J818" s="12" t="s">
        <v>336</v>
      </c>
      <c r="K818" s="12" t="s">
        <v>26</v>
      </c>
      <c r="L818" s="12" t="s">
        <v>243</v>
      </c>
      <c r="M818" s="12" t="s">
        <v>46</v>
      </c>
      <c r="N818" s="14">
        <v>0.17</v>
      </c>
      <c r="O818" s="23">
        <v>212.96</v>
      </c>
      <c r="P818">
        <v>358.47</v>
      </c>
      <c r="Q818" s="12" t="str" cm="1">
        <f t="array" ref="Q818:R818">VLOOKUP(E818,store[],{3,5},FALSE)</f>
        <v>North</v>
      </c>
      <c r="R818" t="str">
        <v>Flagship</v>
      </c>
      <c r="S818" s="4">
        <f t="shared" si="12"/>
        <v>851.16</v>
      </c>
    </row>
    <row r="819" spans="1:19">
      <c r="A819" t="s">
        <v>1550</v>
      </c>
      <c r="B819" s="3">
        <v>45406</v>
      </c>
      <c r="C819" t="s">
        <v>1551</v>
      </c>
      <c r="D819" t="s">
        <v>139</v>
      </c>
      <c r="E819" t="s">
        <v>135</v>
      </c>
      <c r="F819">
        <v>3</v>
      </c>
      <c r="G819" t="s">
        <v>50</v>
      </c>
      <c r="H819">
        <v>21</v>
      </c>
      <c r="I819" s="12" t="s">
        <v>24</v>
      </c>
      <c r="J819" s="12" t="s">
        <v>161</v>
      </c>
      <c r="K819" s="12" t="s">
        <v>73</v>
      </c>
      <c r="L819" s="12" t="s">
        <v>141</v>
      </c>
      <c r="M819" s="12" t="s">
        <v>75</v>
      </c>
      <c r="N819" s="14">
        <v>0.11</v>
      </c>
      <c r="O819" s="23">
        <v>871.34</v>
      </c>
      <c r="P819">
        <v>250.02157142857101</v>
      </c>
      <c r="Q819" s="12" t="str" cm="1">
        <f t="array" ref="Q819:R819">VLOOKUP(E819,store[],{3,5},FALSE)</f>
        <v>East</v>
      </c>
      <c r="R819" t="str">
        <v>Online</v>
      </c>
      <c r="S819" s="4">
        <f t="shared" si="12"/>
        <v>2613.69</v>
      </c>
    </row>
    <row r="820" spans="1:19">
      <c r="A820" t="s">
        <v>1552</v>
      </c>
      <c r="B820" s="3">
        <v>45844</v>
      </c>
      <c r="C820" t="s">
        <v>1169</v>
      </c>
      <c r="D820" t="s">
        <v>242</v>
      </c>
      <c r="E820" t="s">
        <v>90</v>
      </c>
      <c r="F820">
        <v>2</v>
      </c>
      <c r="G820" t="s">
        <v>23</v>
      </c>
      <c r="H820">
        <v>53</v>
      </c>
      <c r="I820" s="12" t="s">
        <v>34</v>
      </c>
      <c r="J820" s="12" t="s">
        <v>118</v>
      </c>
      <c r="K820" s="12" t="s">
        <v>52</v>
      </c>
      <c r="L820" s="12" t="s">
        <v>243</v>
      </c>
      <c r="M820" s="12" t="s">
        <v>46</v>
      </c>
      <c r="N820" s="14">
        <v>0.06</v>
      </c>
      <c r="O820" s="23">
        <v>698.94</v>
      </c>
      <c r="P820">
        <v>358.47</v>
      </c>
      <c r="Q820" s="12" t="str" cm="1">
        <f t="array" ref="Q820:R820">VLOOKUP(E820,store[],{3,5},FALSE)</f>
        <v>East</v>
      </c>
      <c r="R820" t="str">
        <v>Flagship</v>
      </c>
      <c r="S820" s="4">
        <f t="shared" si="12"/>
        <v>1397.76</v>
      </c>
    </row>
    <row r="821" spans="1:19">
      <c r="A821" t="s">
        <v>1553</v>
      </c>
      <c r="B821" s="3">
        <v>45697</v>
      </c>
      <c r="C821" t="s">
        <v>801</v>
      </c>
      <c r="D821" t="s">
        <v>31</v>
      </c>
      <c r="E821" t="s">
        <v>90</v>
      </c>
      <c r="F821">
        <v>1</v>
      </c>
      <c r="G821" t="s">
        <v>50</v>
      </c>
      <c r="H821">
        <v>34</v>
      </c>
      <c r="I821" s="12" t="s">
        <v>24</v>
      </c>
      <c r="J821" s="12" t="s">
        <v>336</v>
      </c>
      <c r="K821" s="12" t="s">
        <v>26</v>
      </c>
      <c r="L821" s="12" t="s">
        <v>36</v>
      </c>
      <c r="M821" s="12" t="s">
        <v>37</v>
      </c>
      <c r="N821" s="14">
        <v>0.23</v>
      </c>
      <c r="O821" s="23">
        <v>719.94</v>
      </c>
      <c r="P821">
        <v>403.71</v>
      </c>
      <c r="Q821" s="12" t="str" cm="1">
        <f t="array" ref="Q821:R821">VLOOKUP(E821,store[],{3,5},FALSE)</f>
        <v>East</v>
      </c>
      <c r="R821" t="str">
        <v>Flagship</v>
      </c>
      <c r="S821" s="4">
        <f t="shared" si="12"/>
        <v>719.71</v>
      </c>
    </row>
    <row r="822" spans="1:19">
      <c r="A822" t="s">
        <v>1554</v>
      </c>
      <c r="B822" s="3">
        <v>45607</v>
      </c>
      <c r="C822" t="s">
        <v>1013</v>
      </c>
      <c r="D822" t="s">
        <v>567</v>
      </c>
      <c r="E822" t="s">
        <v>72</v>
      </c>
      <c r="F822">
        <v>2</v>
      </c>
      <c r="G822" t="s">
        <v>33</v>
      </c>
      <c r="H822">
        <v>29</v>
      </c>
      <c r="I822" s="12" t="s">
        <v>34</v>
      </c>
      <c r="J822" s="12" t="s">
        <v>345</v>
      </c>
      <c r="K822" s="12" t="s">
        <v>52</v>
      </c>
      <c r="L822" s="12" t="s">
        <v>568</v>
      </c>
      <c r="M822" s="12" t="s">
        <v>28</v>
      </c>
      <c r="N822" s="14">
        <v>0.22</v>
      </c>
      <c r="O822" s="23">
        <v>278.16000000000003</v>
      </c>
      <c r="P822">
        <v>38.76</v>
      </c>
      <c r="Q822" s="12" t="str" cm="1">
        <f t="array" ref="Q822:R822">VLOOKUP(E822,store[],{3,5},FALSE)</f>
        <v>South</v>
      </c>
      <c r="R822" t="str">
        <v>Online</v>
      </c>
      <c r="S822" s="4">
        <f t="shared" si="12"/>
        <v>555.88</v>
      </c>
    </row>
    <row r="823" spans="1:19">
      <c r="A823" t="s">
        <v>1555</v>
      </c>
      <c r="B823" s="3">
        <v>45307</v>
      </c>
      <c r="C823" t="s">
        <v>1042</v>
      </c>
      <c r="D823" t="s">
        <v>42</v>
      </c>
      <c r="E823" t="s">
        <v>58</v>
      </c>
      <c r="F823">
        <v>1</v>
      </c>
      <c r="G823" t="s">
        <v>23</v>
      </c>
      <c r="H823">
        <v>37</v>
      </c>
      <c r="I823" s="12" t="s">
        <v>34</v>
      </c>
      <c r="J823" s="12" t="s">
        <v>209</v>
      </c>
      <c r="K823" s="12" t="s">
        <v>26</v>
      </c>
      <c r="L823" s="12" t="s">
        <v>45</v>
      </c>
      <c r="M823" s="12" t="s">
        <v>46</v>
      </c>
      <c r="N823" s="14">
        <v>0.17</v>
      </c>
      <c r="O823" s="23">
        <v>678.9</v>
      </c>
      <c r="P823">
        <v>43.29</v>
      </c>
      <c r="Q823" s="12" t="str" cm="1">
        <f t="array" ref="Q823:R823">VLOOKUP(E823,store[],{3,5},FALSE)</f>
        <v>North</v>
      </c>
      <c r="R823" t="str">
        <v>Outlet</v>
      </c>
      <c r="S823" s="4">
        <f t="shared" si="12"/>
        <v>678.73</v>
      </c>
    </row>
    <row r="824" spans="1:19">
      <c r="A824" t="s">
        <v>1556</v>
      </c>
      <c r="B824" s="3">
        <v>45520</v>
      </c>
      <c r="C824" t="s">
        <v>986</v>
      </c>
      <c r="D824" t="s">
        <v>425</v>
      </c>
      <c r="E824" t="s">
        <v>122</v>
      </c>
      <c r="F824">
        <v>4</v>
      </c>
      <c r="G824" t="s">
        <v>23</v>
      </c>
      <c r="H824">
        <v>49</v>
      </c>
      <c r="I824" s="12" t="s">
        <v>34</v>
      </c>
      <c r="J824" s="12" t="s">
        <v>91</v>
      </c>
      <c r="K824" s="12" t="s">
        <v>52</v>
      </c>
      <c r="L824" s="12" t="s">
        <v>426</v>
      </c>
      <c r="M824" s="12" t="s">
        <v>130</v>
      </c>
      <c r="N824" s="14">
        <v>0.15</v>
      </c>
      <c r="O824" s="23">
        <v>94.13</v>
      </c>
      <c r="P824">
        <v>174.02</v>
      </c>
      <c r="Q824" s="12" t="str" cm="1">
        <f t="array" ref="Q824:R824">VLOOKUP(E824,store[],{3,5},FALSE)</f>
        <v>North</v>
      </c>
      <c r="R824" t="str">
        <v>Flagship</v>
      </c>
      <c r="S824" s="4">
        <f t="shared" si="12"/>
        <v>375.92</v>
      </c>
    </row>
    <row r="825" spans="1:19">
      <c r="A825" t="s">
        <v>1557</v>
      </c>
      <c r="B825" s="3">
        <v>45933</v>
      </c>
      <c r="C825" t="s">
        <v>1558</v>
      </c>
      <c r="D825" t="s">
        <v>275</v>
      </c>
      <c r="E825" t="s">
        <v>105</v>
      </c>
      <c r="F825">
        <v>4</v>
      </c>
      <c r="G825" t="s">
        <v>33</v>
      </c>
      <c r="H825">
        <v>31</v>
      </c>
      <c r="I825" s="12" t="s">
        <v>24</v>
      </c>
      <c r="J825" s="12" t="s">
        <v>199</v>
      </c>
      <c r="K825" s="12" t="s">
        <v>60</v>
      </c>
      <c r="L825" s="12" t="s">
        <v>276</v>
      </c>
      <c r="M825" s="12" t="s">
        <v>28</v>
      </c>
      <c r="N825" s="14">
        <v>0.01</v>
      </c>
      <c r="O825" s="23">
        <v>415.02</v>
      </c>
      <c r="P825">
        <v>167.12</v>
      </c>
      <c r="Q825" s="12" t="str" cm="1">
        <f t="array" ref="Q825:R825">VLOOKUP(E825,store[],{3,5},FALSE)</f>
        <v>North</v>
      </c>
      <c r="R825" t="str">
        <v>Flagship</v>
      </c>
      <c r="S825" s="4">
        <f t="shared" si="12"/>
        <v>1660.04</v>
      </c>
    </row>
    <row r="826" spans="1:19">
      <c r="A826" t="s">
        <v>1559</v>
      </c>
      <c r="B826" s="3">
        <v>45841</v>
      </c>
      <c r="C826" t="s">
        <v>1361</v>
      </c>
      <c r="D826" t="s">
        <v>555</v>
      </c>
      <c r="E826" t="s">
        <v>72</v>
      </c>
      <c r="F826">
        <v>4</v>
      </c>
      <c r="G826" t="s">
        <v>23</v>
      </c>
      <c r="H826">
        <v>23</v>
      </c>
      <c r="I826" s="12" t="s">
        <v>34</v>
      </c>
      <c r="J826" s="12" t="s">
        <v>356</v>
      </c>
      <c r="K826" s="12" t="s">
        <v>26</v>
      </c>
      <c r="L826" s="12" t="s">
        <v>556</v>
      </c>
      <c r="M826" s="12" t="s">
        <v>37</v>
      </c>
      <c r="N826" s="14">
        <v>0.03</v>
      </c>
      <c r="O826" s="23">
        <v>780.07</v>
      </c>
      <c r="P826">
        <v>449.4</v>
      </c>
      <c r="Q826" s="12" t="str" cm="1">
        <f t="array" ref="Q826:R826">VLOOKUP(E826,store[],{3,5},FALSE)</f>
        <v>South</v>
      </c>
      <c r="R826" t="str">
        <v>Online</v>
      </c>
      <c r="S826" s="4">
        <f t="shared" si="12"/>
        <v>3120.16</v>
      </c>
    </row>
    <row r="827" spans="1:19">
      <c r="A827" t="s">
        <v>1560</v>
      </c>
      <c r="B827" s="3">
        <v>45877</v>
      </c>
      <c r="C827" t="s">
        <v>624</v>
      </c>
      <c r="D827" t="s">
        <v>786</v>
      </c>
      <c r="E827" t="s">
        <v>122</v>
      </c>
      <c r="F827">
        <v>4</v>
      </c>
      <c r="G827" t="s">
        <v>23</v>
      </c>
      <c r="H827">
        <v>27</v>
      </c>
      <c r="I827" s="12" t="s">
        <v>34</v>
      </c>
      <c r="J827" s="12" t="s">
        <v>378</v>
      </c>
      <c r="K827" s="12" t="s">
        <v>73</v>
      </c>
      <c r="L827" s="12" t="s">
        <v>787</v>
      </c>
      <c r="M827" s="12" t="s">
        <v>130</v>
      </c>
      <c r="N827" s="14">
        <v>0.28000000000000003</v>
      </c>
      <c r="O827" s="23">
        <v>184.57</v>
      </c>
      <c r="P827">
        <v>353.47</v>
      </c>
      <c r="Q827" s="12" t="str" cm="1">
        <f t="array" ref="Q827:R827">VLOOKUP(E827,store[],{3,5},FALSE)</f>
        <v>North</v>
      </c>
      <c r="R827" t="str">
        <v>Flagship</v>
      </c>
      <c r="S827" s="4">
        <f t="shared" si="12"/>
        <v>737.16</v>
      </c>
    </row>
    <row r="828" spans="1:19">
      <c r="A828" t="s">
        <v>1561</v>
      </c>
      <c r="B828" s="3">
        <v>45532</v>
      </c>
      <c r="C828" t="s">
        <v>413</v>
      </c>
      <c r="D828" t="s">
        <v>134</v>
      </c>
      <c r="E828" t="s">
        <v>72</v>
      </c>
      <c r="F828">
        <v>4</v>
      </c>
      <c r="G828" t="s">
        <v>33</v>
      </c>
      <c r="H828">
        <v>22</v>
      </c>
      <c r="I828" s="12" t="s">
        <v>34</v>
      </c>
      <c r="J828" s="12" t="s">
        <v>35</v>
      </c>
      <c r="K828" s="12" t="s">
        <v>26</v>
      </c>
      <c r="L828" s="12" t="s">
        <v>136</v>
      </c>
      <c r="M828" s="12" t="s">
        <v>28</v>
      </c>
      <c r="N828" s="14">
        <v>0.22</v>
      </c>
      <c r="O828" s="23">
        <v>277.58</v>
      </c>
      <c r="P828">
        <v>240.63</v>
      </c>
      <c r="Q828" s="12" t="str" cm="1">
        <f t="array" ref="Q828:R828">VLOOKUP(E828,store[],{3,5},FALSE)</f>
        <v>South</v>
      </c>
      <c r="R828" t="str">
        <v>Online</v>
      </c>
      <c r="S828" s="4">
        <f t="shared" si="12"/>
        <v>1109.44</v>
      </c>
    </row>
    <row r="829" spans="1:19">
      <c r="A829" t="s">
        <v>1562</v>
      </c>
      <c r="B829" s="3">
        <v>45734</v>
      </c>
      <c r="C829" t="s">
        <v>923</v>
      </c>
      <c r="D829" t="s">
        <v>311</v>
      </c>
      <c r="E829" t="s">
        <v>22</v>
      </c>
      <c r="F829">
        <v>1</v>
      </c>
      <c r="G829" t="s">
        <v>23</v>
      </c>
      <c r="H829">
        <v>64</v>
      </c>
      <c r="I829" s="12" t="s">
        <v>24</v>
      </c>
      <c r="J829" s="12" t="s">
        <v>360</v>
      </c>
      <c r="K829" s="12" t="s">
        <v>60</v>
      </c>
      <c r="L829" s="12" t="s">
        <v>312</v>
      </c>
      <c r="M829" s="12" t="s">
        <v>28</v>
      </c>
      <c r="N829" s="14">
        <v>0.18</v>
      </c>
      <c r="O829" s="23">
        <v>36.799999999999997</v>
      </c>
      <c r="P829">
        <v>204.39</v>
      </c>
      <c r="Q829" s="12" t="str" cm="1">
        <f t="array" ref="Q829:R829">VLOOKUP(E829,store[],{3,5},FALSE)</f>
        <v>North</v>
      </c>
      <c r="R829" t="str">
        <v>Outlet</v>
      </c>
      <c r="S829" s="4">
        <f t="shared" si="12"/>
        <v>36.619999999999997</v>
      </c>
    </row>
    <row r="830" spans="1:19">
      <c r="A830" t="s">
        <v>1563</v>
      </c>
      <c r="B830" s="3">
        <v>45809</v>
      </c>
      <c r="C830" t="s">
        <v>1564</v>
      </c>
      <c r="D830" t="s">
        <v>110</v>
      </c>
      <c r="E830" t="s">
        <v>179</v>
      </c>
      <c r="F830">
        <v>1</v>
      </c>
      <c r="G830" t="s">
        <v>23</v>
      </c>
      <c r="H830">
        <v>54</v>
      </c>
      <c r="I830" s="12" t="s">
        <v>24</v>
      </c>
      <c r="J830" s="12" t="s">
        <v>498</v>
      </c>
      <c r="K830" s="12" t="s">
        <v>73</v>
      </c>
      <c r="L830" s="12" t="s">
        <v>112</v>
      </c>
      <c r="M830" s="12" t="s">
        <v>28</v>
      </c>
      <c r="N830" s="14">
        <v>0.14000000000000001</v>
      </c>
      <c r="O830" s="23">
        <v>539.37</v>
      </c>
      <c r="P830">
        <v>131.24</v>
      </c>
      <c r="Q830" s="12" t="str" cm="1">
        <f t="array" ref="Q830:R830">VLOOKUP(E830,store[],{3,5},FALSE)</f>
        <v>East</v>
      </c>
      <c r="R830" t="str">
        <v>Online</v>
      </c>
      <c r="S830" s="4">
        <f t="shared" si="12"/>
        <v>539.23</v>
      </c>
    </row>
    <row r="831" spans="1:19">
      <c r="A831" t="s">
        <v>1565</v>
      </c>
      <c r="B831" s="3">
        <v>45760</v>
      </c>
      <c r="C831" t="s">
        <v>979</v>
      </c>
      <c r="D831" t="s">
        <v>291</v>
      </c>
      <c r="E831" t="s">
        <v>160</v>
      </c>
      <c r="F831">
        <v>1</v>
      </c>
      <c r="G831" t="s">
        <v>33</v>
      </c>
      <c r="H831">
        <v>43</v>
      </c>
      <c r="I831" s="12" t="s">
        <v>24</v>
      </c>
      <c r="J831" s="12" t="s">
        <v>199</v>
      </c>
      <c r="K831" s="12" t="s">
        <v>52</v>
      </c>
      <c r="L831" s="12" t="s">
        <v>292</v>
      </c>
      <c r="M831" s="12" t="s">
        <v>28</v>
      </c>
      <c r="N831" s="14">
        <v>0.3</v>
      </c>
      <c r="O831" s="23">
        <v>27.83</v>
      </c>
      <c r="P831">
        <v>131.51</v>
      </c>
      <c r="Q831" s="12" t="str" cm="1">
        <f t="array" ref="Q831:R831">VLOOKUP(E831,store[],{3,5},FALSE)</f>
        <v>East</v>
      </c>
      <c r="R831" t="str">
        <v>Flagship</v>
      </c>
      <c r="S831" s="4">
        <f t="shared" si="12"/>
        <v>27.53</v>
      </c>
    </row>
    <row r="832" spans="1:19">
      <c r="A832" t="s">
        <v>1566</v>
      </c>
      <c r="B832" s="3">
        <v>45456</v>
      </c>
      <c r="C832" t="s">
        <v>1567</v>
      </c>
      <c r="D832" t="s">
        <v>79</v>
      </c>
      <c r="E832" t="s">
        <v>72</v>
      </c>
      <c r="F832">
        <v>3</v>
      </c>
      <c r="G832" t="s">
        <v>50</v>
      </c>
      <c r="H832">
        <v>54</v>
      </c>
      <c r="I832" s="12" t="s">
        <v>34</v>
      </c>
      <c r="J832" s="12" t="s">
        <v>25</v>
      </c>
      <c r="K832" s="12" t="s">
        <v>60</v>
      </c>
      <c r="L832" s="12" t="s">
        <v>81</v>
      </c>
      <c r="M832" s="12" t="s">
        <v>75</v>
      </c>
      <c r="N832" s="14">
        <v>0.28000000000000003</v>
      </c>
      <c r="O832" s="23">
        <v>698.72</v>
      </c>
      <c r="P832">
        <v>138.05000000000001</v>
      </c>
      <c r="Q832" s="12" t="str" cm="1">
        <f t="array" ref="Q832:R832">VLOOKUP(E832,store[],{3,5},FALSE)</f>
        <v>South</v>
      </c>
      <c r="R832" t="str">
        <v>Online</v>
      </c>
      <c r="S832" s="4">
        <f t="shared" si="12"/>
        <v>2095.3200000000002</v>
      </c>
    </row>
    <row r="833" spans="1:19">
      <c r="A833" t="s">
        <v>1568</v>
      </c>
      <c r="B833" s="3">
        <v>45698</v>
      </c>
      <c r="C833" t="s">
        <v>677</v>
      </c>
      <c r="D833" t="s">
        <v>49</v>
      </c>
      <c r="E833" t="s">
        <v>149</v>
      </c>
      <c r="F833">
        <v>4</v>
      </c>
      <c r="G833" t="s">
        <v>50</v>
      </c>
      <c r="H833">
        <v>55</v>
      </c>
      <c r="I833" s="12" t="s">
        <v>34</v>
      </c>
      <c r="J833" s="12" t="s">
        <v>333</v>
      </c>
      <c r="K833" s="12" t="s">
        <v>52</v>
      </c>
      <c r="L833" s="12" t="s">
        <v>53</v>
      </c>
      <c r="M833" s="12" t="s">
        <v>37</v>
      </c>
      <c r="N833" s="14">
        <v>0.15</v>
      </c>
      <c r="O833" s="23">
        <v>528.23</v>
      </c>
      <c r="P833">
        <v>392.89</v>
      </c>
      <c r="Q833" s="12" t="str" cm="1">
        <f t="array" ref="Q833:R833">VLOOKUP(E833,store[],{3,5},FALSE)</f>
        <v>East</v>
      </c>
      <c r="R833" t="str">
        <v>Flagship</v>
      </c>
      <c r="S833" s="4">
        <f t="shared" si="12"/>
        <v>2112.3200000000002</v>
      </c>
    </row>
    <row r="834" spans="1:19">
      <c r="A834" t="s">
        <v>1569</v>
      </c>
      <c r="B834" s="3">
        <v>45548</v>
      </c>
      <c r="C834" t="s">
        <v>233</v>
      </c>
      <c r="D834" t="s">
        <v>381</v>
      </c>
      <c r="E834" t="s">
        <v>117</v>
      </c>
      <c r="F834">
        <v>2</v>
      </c>
      <c r="G834" t="s">
        <v>33</v>
      </c>
      <c r="H834">
        <v>59</v>
      </c>
      <c r="I834" s="12" t="s">
        <v>34</v>
      </c>
      <c r="J834" s="12" t="s">
        <v>235</v>
      </c>
      <c r="K834" s="12" t="s">
        <v>52</v>
      </c>
      <c r="L834" s="12" t="s">
        <v>382</v>
      </c>
      <c r="M834" s="12" t="s">
        <v>130</v>
      </c>
      <c r="N834" s="14">
        <v>0.24</v>
      </c>
      <c r="O834" s="23">
        <v>780.9</v>
      </c>
      <c r="P834">
        <v>167.34</v>
      </c>
      <c r="Q834" s="12" t="str" cm="1">
        <f t="array" ref="Q834:R834">VLOOKUP(E834,store[],{3,5},FALSE)</f>
        <v>West</v>
      </c>
      <c r="R834" t="str">
        <v>Flagship</v>
      </c>
      <c r="S834" s="4">
        <f t="shared" ref="S834:S897" si="13">(O834-N834)*F834</f>
        <v>1561.32</v>
      </c>
    </row>
    <row r="835" spans="1:19">
      <c r="A835" t="s">
        <v>1570</v>
      </c>
      <c r="B835" s="3">
        <v>45236</v>
      </c>
      <c r="C835" t="s">
        <v>1351</v>
      </c>
      <c r="D835" t="s">
        <v>279</v>
      </c>
      <c r="E835" t="s">
        <v>98</v>
      </c>
      <c r="F835">
        <v>1</v>
      </c>
      <c r="G835" t="s">
        <v>50</v>
      </c>
      <c r="H835">
        <v>38</v>
      </c>
      <c r="I835" s="12" t="s">
        <v>24</v>
      </c>
      <c r="J835" s="12" t="s">
        <v>193</v>
      </c>
      <c r="K835" s="12" t="s">
        <v>73</v>
      </c>
      <c r="L835" s="12" t="s">
        <v>280</v>
      </c>
      <c r="M835" s="12" t="s">
        <v>75</v>
      </c>
      <c r="N835" s="14">
        <v>0.06</v>
      </c>
      <c r="O835" s="23">
        <v>977.97</v>
      </c>
      <c r="P835">
        <v>123.46</v>
      </c>
      <c r="Q835" s="12" t="str" cm="1">
        <f t="array" ref="Q835:R835">VLOOKUP(E835,store[],{3,5},FALSE)</f>
        <v>South</v>
      </c>
      <c r="R835" t="str">
        <v>Outlet</v>
      </c>
      <c r="S835" s="4">
        <f t="shared" si="13"/>
        <v>977.91</v>
      </c>
    </row>
    <row r="836" spans="1:19">
      <c r="A836" t="s">
        <v>1571</v>
      </c>
      <c r="B836" s="3">
        <v>45310</v>
      </c>
      <c r="C836" t="s">
        <v>423</v>
      </c>
      <c r="D836" t="s">
        <v>359</v>
      </c>
      <c r="E836" t="s">
        <v>208</v>
      </c>
      <c r="F836">
        <v>4</v>
      </c>
      <c r="G836" t="s">
        <v>23</v>
      </c>
      <c r="H836">
        <v>20</v>
      </c>
      <c r="I836" s="12" t="s">
        <v>34</v>
      </c>
      <c r="J836" s="12" t="s">
        <v>35</v>
      </c>
      <c r="K836" s="12" t="s">
        <v>52</v>
      </c>
      <c r="L836" s="12" t="s">
        <v>361</v>
      </c>
      <c r="M836" s="12" t="s">
        <v>46</v>
      </c>
      <c r="N836" s="14">
        <v>0.19</v>
      </c>
      <c r="O836" s="23">
        <v>354.65</v>
      </c>
      <c r="P836">
        <v>289.359375</v>
      </c>
      <c r="Q836" s="12" t="str" cm="1">
        <f t="array" ref="Q836:R836">VLOOKUP(E836,store[],{3,5},FALSE)</f>
        <v>North</v>
      </c>
      <c r="R836" t="str">
        <v>Online</v>
      </c>
      <c r="S836" s="4">
        <f t="shared" si="13"/>
        <v>1417.84</v>
      </c>
    </row>
    <row r="837" spans="1:19">
      <c r="A837" t="s">
        <v>1572</v>
      </c>
      <c r="B837" s="3">
        <v>45376</v>
      </c>
      <c r="C837" t="s">
        <v>1567</v>
      </c>
      <c r="D837" t="s">
        <v>741</v>
      </c>
      <c r="E837" t="s">
        <v>135</v>
      </c>
      <c r="F837">
        <v>1</v>
      </c>
      <c r="G837" t="s">
        <v>50</v>
      </c>
      <c r="H837">
        <v>54</v>
      </c>
      <c r="I837" s="12" t="s">
        <v>34</v>
      </c>
      <c r="J837" s="12" t="s">
        <v>25</v>
      </c>
      <c r="K837" s="12" t="s">
        <v>60</v>
      </c>
      <c r="L837" s="12" t="s">
        <v>742</v>
      </c>
      <c r="M837" s="12" t="s">
        <v>75</v>
      </c>
      <c r="N837" s="14">
        <v>0.09</v>
      </c>
      <c r="O837" s="23">
        <v>671.62</v>
      </c>
      <c r="P837">
        <v>243.7</v>
      </c>
      <c r="Q837" s="12" t="str" cm="1">
        <f t="array" ref="Q837:R837">VLOOKUP(E837,store[],{3,5},FALSE)</f>
        <v>East</v>
      </c>
      <c r="R837" t="str">
        <v>Online</v>
      </c>
      <c r="S837" s="4">
        <f t="shared" si="13"/>
        <v>671.53</v>
      </c>
    </row>
    <row r="838" spans="1:19">
      <c r="A838" t="s">
        <v>1573</v>
      </c>
      <c r="B838" s="3">
        <v>45914</v>
      </c>
      <c r="C838" t="s">
        <v>1284</v>
      </c>
      <c r="D838" t="s">
        <v>542</v>
      </c>
      <c r="E838" t="s">
        <v>22</v>
      </c>
      <c r="F838">
        <v>1</v>
      </c>
      <c r="G838" t="s">
        <v>33</v>
      </c>
      <c r="H838">
        <v>64</v>
      </c>
      <c r="I838" s="12" t="s">
        <v>34</v>
      </c>
      <c r="J838" s="12" t="s">
        <v>214</v>
      </c>
      <c r="K838" s="12" t="s">
        <v>26</v>
      </c>
      <c r="L838" s="12" t="s">
        <v>543</v>
      </c>
      <c r="M838" s="12" t="s">
        <v>28</v>
      </c>
      <c r="N838" s="14">
        <v>0.28999999999999998</v>
      </c>
      <c r="O838" s="23">
        <v>867.32</v>
      </c>
      <c r="P838">
        <v>152.91999999999999</v>
      </c>
      <c r="Q838" s="12" t="str" cm="1">
        <f t="array" ref="Q838:R838">VLOOKUP(E838,store[],{3,5},FALSE)</f>
        <v>North</v>
      </c>
      <c r="R838" t="str">
        <v>Outlet</v>
      </c>
      <c r="S838" s="4">
        <f t="shared" si="13"/>
        <v>867.03</v>
      </c>
    </row>
    <row r="839" spans="1:19">
      <c r="A839" t="s">
        <v>1574</v>
      </c>
      <c r="B839" s="3">
        <v>45336</v>
      </c>
      <c r="C839" t="s">
        <v>613</v>
      </c>
      <c r="D839" t="s">
        <v>234</v>
      </c>
      <c r="E839" t="s">
        <v>208</v>
      </c>
      <c r="F839">
        <v>3</v>
      </c>
      <c r="G839" t="s">
        <v>33</v>
      </c>
      <c r="H839">
        <v>34</v>
      </c>
      <c r="I839" s="12" t="s">
        <v>34</v>
      </c>
      <c r="J839" s="12" t="s">
        <v>251</v>
      </c>
      <c r="K839" s="12" t="s">
        <v>52</v>
      </c>
      <c r="L839" s="12" t="s">
        <v>236</v>
      </c>
      <c r="M839" s="12" t="s">
        <v>75</v>
      </c>
      <c r="N839" s="14">
        <v>0.15</v>
      </c>
      <c r="O839" s="23">
        <v>240.27</v>
      </c>
      <c r="P839">
        <v>298.86</v>
      </c>
      <c r="Q839" s="12" t="str" cm="1">
        <f t="array" ref="Q839:R839">VLOOKUP(E839,store[],{3,5},FALSE)</f>
        <v>North</v>
      </c>
      <c r="R839" t="str">
        <v>Online</v>
      </c>
      <c r="S839" s="4">
        <f t="shared" si="13"/>
        <v>720.36</v>
      </c>
    </row>
    <row r="840" spans="1:19">
      <c r="A840" t="s">
        <v>1575</v>
      </c>
      <c r="B840" s="3">
        <v>45728</v>
      </c>
      <c r="C840" t="s">
        <v>692</v>
      </c>
      <c r="D840" t="s">
        <v>567</v>
      </c>
      <c r="E840" t="s">
        <v>117</v>
      </c>
      <c r="F840">
        <v>2</v>
      </c>
      <c r="G840" t="s">
        <v>50</v>
      </c>
      <c r="H840">
        <v>61</v>
      </c>
      <c r="I840" s="12" t="s">
        <v>34</v>
      </c>
      <c r="J840" s="12" t="s">
        <v>227</v>
      </c>
      <c r="K840" s="12" t="s">
        <v>26</v>
      </c>
      <c r="L840" s="12" t="s">
        <v>568</v>
      </c>
      <c r="M840" s="12" t="s">
        <v>28</v>
      </c>
      <c r="N840" s="14">
        <v>0.28000000000000003</v>
      </c>
      <c r="O840" s="23">
        <v>619.12</v>
      </c>
      <c r="P840">
        <v>38.76</v>
      </c>
      <c r="Q840" s="12" t="str" cm="1">
        <f t="array" ref="Q840:R840">VLOOKUP(E840,store[],{3,5},FALSE)</f>
        <v>West</v>
      </c>
      <c r="R840" t="str">
        <v>Flagship</v>
      </c>
      <c r="S840" s="4">
        <f t="shared" si="13"/>
        <v>1237.68</v>
      </c>
    </row>
    <row r="841" spans="1:19">
      <c r="A841" t="s">
        <v>1576</v>
      </c>
      <c r="B841" s="3">
        <v>45755</v>
      </c>
      <c r="C841" t="s">
        <v>186</v>
      </c>
      <c r="D841" t="s">
        <v>514</v>
      </c>
      <c r="E841" t="s">
        <v>90</v>
      </c>
      <c r="F841">
        <v>3</v>
      </c>
      <c r="G841" t="s">
        <v>33</v>
      </c>
      <c r="H841">
        <v>42</v>
      </c>
      <c r="I841" s="12" t="s">
        <v>34</v>
      </c>
      <c r="J841" s="12" t="s">
        <v>188</v>
      </c>
      <c r="K841" s="12" t="s">
        <v>52</v>
      </c>
      <c r="L841" s="12" t="s">
        <v>515</v>
      </c>
      <c r="M841" s="12" t="s">
        <v>75</v>
      </c>
      <c r="N841" s="14">
        <v>0.08</v>
      </c>
      <c r="O841" s="23">
        <v>693.42</v>
      </c>
      <c r="P841">
        <v>371.38</v>
      </c>
      <c r="Q841" s="12" t="str" cm="1">
        <f t="array" ref="Q841:R841">VLOOKUP(E841,store[],{3,5},FALSE)</f>
        <v>East</v>
      </c>
      <c r="R841" t="str">
        <v>Flagship</v>
      </c>
      <c r="S841" s="4">
        <f t="shared" si="13"/>
        <v>2080.02</v>
      </c>
    </row>
    <row r="842" spans="1:19">
      <c r="A842" t="s">
        <v>1577</v>
      </c>
      <c r="B842" s="3">
        <v>45695</v>
      </c>
      <c r="C842" t="s">
        <v>589</v>
      </c>
      <c r="D842" t="s">
        <v>505</v>
      </c>
      <c r="E842" t="s">
        <v>168</v>
      </c>
      <c r="F842">
        <v>4</v>
      </c>
      <c r="G842" t="s">
        <v>50</v>
      </c>
      <c r="H842">
        <v>38</v>
      </c>
      <c r="I842" s="12" t="s">
        <v>24</v>
      </c>
      <c r="J842" s="12" t="s">
        <v>214</v>
      </c>
      <c r="K842" s="12" t="s">
        <v>73</v>
      </c>
      <c r="L842" s="12" t="s">
        <v>506</v>
      </c>
      <c r="M842" s="12" t="s">
        <v>37</v>
      </c>
      <c r="N842" s="14">
        <v>0.28000000000000003</v>
      </c>
      <c r="O842" s="23">
        <v>751.63</v>
      </c>
      <c r="P842">
        <v>177.98</v>
      </c>
      <c r="Q842" s="12" t="str" cm="1">
        <f t="array" ref="Q842:R842">VLOOKUP(E842,store[],{3,5},FALSE)</f>
        <v>East</v>
      </c>
      <c r="R842" t="str">
        <v>Online</v>
      </c>
      <c r="S842" s="4">
        <f t="shared" si="13"/>
        <v>3005.4</v>
      </c>
    </row>
    <row r="843" spans="1:19">
      <c r="A843" t="s">
        <v>1578</v>
      </c>
      <c r="B843" s="3">
        <v>45380</v>
      </c>
      <c r="C843" t="s">
        <v>1528</v>
      </c>
      <c r="D843" t="s">
        <v>311</v>
      </c>
      <c r="E843" t="s">
        <v>122</v>
      </c>
      <c r="F843">
        <v>3</v>
      </c>
      <c r="G843" t="s">
        <v>50</v>
      </c>
      <c r="H843">
        <v>40</v>
      </c>
      <c r="I843" s="12" t="s">
        <v>34</v>
      </c>
      <c r="J843" s="12" t="s">
        <v>336</v>
      </c>
      <c r="K843" s="12" t="s">
        <v>26</v>
      </c>
      <c r="L843" s="12" t="s">
        <v>312</v>
      </c>
      <c r="M843" s="12" t="s">
        <v>28</v>
      </c>
      <c r="N843" s="14">
        <v>0.19</v>
      </c>
      <c r="O843" s="23">
        <v>108.14</v>
      </c>
      <c r="P843">
        <v>204.39</v>
      </c>
      <c r="Q843" s="12" t="str" cm="1">
        <f t="array" ref="Q843:R843">VLOOKUP(E843,store[],{3,5},FALSE)</f>
        <v>North</v>
      </c>
      <c r="R843" t="str">
        <v>Flagship</v>
      </c>
      <c r="S843" s="4">
        <f t="shared" si="13"/>
        <v>323.85000000000002</v>
      </c>
    </row>
    <row r="844" spans="1:19">
      <c r="A844" t="s">
        <v>1579</v>
      </c>
      <c r="B844" s="3">
        <v>45446</v>
      </c>
      <c r="C844" t="s">
        <v>593</v>
      </c>
      <c r="D844" t="s">
        <v>139</v>
      </c>
      <c r="E844" t="s">
        <v>72</v>
      </c>
      <c r="F844">
        <v>1</v>
      </c>
      <c r="G844" t="s">
        <v>50</v>
      </c>
      <c r="H844">
        <v>57</v>
      </c>
      <c r="I844" s="12" t="s">
        <v>24</v>
      </c>
      <c r="J844" s="12" t="s">
        <v>140</v>
      </c>
      <c r="K844" s="12" t="s">
        <v>52</v>
      </c>
      <c r="L844" s="12" t="s">
        <v>141</v>
      </c>
      <c r="M844" s="12" t="s">
        <v>75</v>
      </c>
      <c r="N844" s="14">
        <v>0.17</v>
      </c>
      <c r="O844" s="23">
        <v>964.11</v>
      </c>
      <c r="P844">
        <v>250.02157142857101</v>
      </c>
      <c r="Q844" s="12" t="str" cm="1">
        <f t="array" ref="Q844:R844">VLOOKUP(E844,store[],{3,5},FALSE)</f>
        <v>South</v>
      </c>
      <c r="R844" t="str">
        <v>Online</v>
      </c>
      <c r="S844" s="4">
        <f t="shared" si="13"/>
        <v>963.94</v>
      </c>
    </row>
    <row r="845" spans="1:19">
      <c r="A845" t="s">
        <v>1580</v>
      </c>
      <c r="B845" s="3">
        <v>45525</v>
      </c>
      <c r="C845" t="s">
        <v>417</v>
      </c>
      <c r="D845" t="s">
        <v>314</v>
      </c>
      <c r="E845" t="s">
        <v>90</v>
      </c>
      <c r="F845">
        <v>1</v>
      </c>
      <c r="G845" t="s">
        <v>23</v>
      </c>
      <c r="H845">
        <v>34</v>
      </c>
      <c r="I845" s="12" t="s">
        <v>34</v>
      </c>
      <c r="J845" s="12" t="s">
        <v>59</v>
      </c>
      <c r="K845" s="12" t="s">
        <v>73</v>
      </c>
      <c r="L845" s="12" t="s">
        <v>315</v>
      </c>
      <c r="M845" s="12" t="s">
        <v>28</v>
      </c>
      <c r="N845" s="14">
        <v>0.28999999999999998</v>
      </c>
      <c r="O845" s="23">
        <v>346.2</v>
      </c>
      <c r="P845">
        <v>21.34</v>
      </c>
      <c r="Q845" s="12" t="str" cm="1">
        <f t="array" ref="Q845:R845">VLOOKUP(E845,store[],{3,5},FALSE)</f>
        <v>East</v>
      </c>
      <c r="R845" t="str">
        <v>Flagship</v>
      </c>
      <c r="S845" s="4">
        <f t="shared" si="13"/>
        <v>345.91</v>
      </c>
    </row>
    <row r="846" spans="1:19">
      <c r="A846" t="s">
        <v>1581</v>
      </c>
      <c r="B846" s="3">
        <v>45527</v>
      </c>
      <c r="C846" t="s">
        <v>1582</v>
      </c>
      <c r="D846" t="s">
        <v>159</v>
      </c>
      <c r="E846" t="s">
        <v>122</v>
      </c>
      <c r="F846">
        <v>3</v>
      </c>
      <c r="G846" t="s">
        <v>23</v>
      </c>
      <c r="H846">
        <v>59</v>
      </c>
      <c r="I846" s="12" t="s">
        <v>24</v>
      </c>
      <c r="J846" s="12" t="s">
        <v>239</v>
      </c>
      <c r="K846" s="12" t="s">
        <v>52</v>
      </c>
      <c r="L846" s="12" t="s">
        <v>162</v>
      </c>
      <c r="M846" s="12" t="s">
        <v>37</v>
      </c>
      <c r="N846" s="14">
        <v>0.28999999999999998</v>
      </c>
      <c r="O846" s="23">
        <v>791.75</v>
      </c>
      <c r="P846">
        <v>253.33</v>
      </c>
      <c r="Q846" s="12" t="str" cm="1">
        <f t="array" ref="Q846:R846">VLOOKUP(E846,store[],{3,5},FALSE)</f>
        <v>North</v>
      </c>
      <c r="R846" t="str">
        <v>Flagship</v>
      </c>
      <c r="S846" s="4">
        <f t="shared" si="13"/>
        <v>2374.38</v>
      </c>
    </row>
    <row r="847" spans="1:19">
      <c r="A847" t="s">
        <v>1583</v>
      </c>
      <c r="B847" s="3">
        <v>45265</v>
      </c>
      <c r="C847" t="s">
        <v>562</v>
      </c>
      <c r="D847" t="s">
        <v>104</v>
      </c>
      <c r="E847" t="s">
        <v>149</v>
      </c>
      <c r="F847">
        <v>1</v>
      </c>
      <c r="G847" t="s">
        <v>33</v>
      </c>
      <c r="H847">
        <v>54</v>
      </c>
      <c r="I847" s="12" t="s">
        <v>24</v>
      </c>
      <c r="J847" s="12" t="s">
        <v>231</v>
      </c>
      <c r="K847" s="12" t="s">
        <v>52</v>
      </c>
      <c r="L847" s="12" t="s">
        <v>107</v>
      </c>
      <c r="M847" s="12" t="s">
        <v>37</v>
      </c>
      <c r="N847" s="14">
        <v>0.13</v>
      </c>
      <c r="O847" s="23">
        <v>529.84</v>
      </c>
      <c r="P847">
        <v>326.06</v>
      </c>
      <c r="Q847" s="12" t="str" cm="1">
        <f t="array" ref="Q847:R847">VLOOKUP(E847,store[],{3,5},FALSE)</f>
        <v>East</v>
      </c>
      <c r="R847" t="str">
        <v>Flagship</v>
      </c>
      <c r="S847" s="4">
        <f t="shared" si="13"/>
        <v>529.71</v>
      </c>
    </row>
    <row r="848" spans="1:19">
      <c r="A848" t="s">
        <v>1584</v>
      </c>
      <c r="B848" s="3">
        <v>45936</v>
      </c>
      <c r="C848" t="s">
        <v>756</v>
      </c>
      <c r="D848" t="s">
        <v>420</v>
      </c>
      <c r="E848" t="s">
        <v>22</v>
      </c>
      <c r="F848">
        <v>3</v>
      </c>
      <c r="G848" t="s">
        <v>33</v>
      </c>
      <c r="H848">
        <v>42</v>
      </c>
      <c r="I848" s="12" t="s">
        <v>24</v>
      </c>
      <c r="J848" s="12" t="s">
        <v>111</v>
      </c>
      <c r="K848" s="12" t="s">
        <v>52</v>
      </c>
      <c r="L848" s="12" t="s">
        <v>421</v>
      </c>
      <c r="M848" s="12" t="s">
        <v>28</v>
      </c>
      <c r="N848" s="14">
        <v>0.11</v>
      </c>
      <c r="O848" s="23">
        <v>582.57000000000005</v>
      </c>
      <c r="P848">
        <v>434.84</v>
      </c>
      <c r="Q848" s="12" t="str" cm="1">
        <f t="array" ref="Q848:R848">VLOOKUP(E848,store[],{3,5},FALSE)</f>
        <v>North</v>
      </c>
      <c r="R848" t="str">
        <v>Outlet</v>
      </c>
      <c r="S848" s="4">
        <f t="shared" si="13"/>
        <v>1747.38</v>
      </c>
    </row>
    <row r="849" spans="1:19">
      <c r="A849" t="s">
        <v>1585</v>
      </c>
      <c r="B849" s="3">
        <v>45242</v>
      </c>
      <c r="C849" t="s">
        <v>833</v>
      </c>
      <c r="D849" t="s">
        <v>1126</v>
      </c>
      <c r="E849" t="s">
        <v>32</v>
      </c>
      <c r="F849">
        <v>1</v>
      </c>
      <c r="G849" t="s">
        <v>50</v>
      </c>
      <c r="H849">
        <v>20</v>
      </c>
      <c r="I849" s="12" t="s">
        <v>34</v>
      </c>
      <c r="J849" s="12" t="s">
        <v>373</v>
      </c>
      <c r="K849" s="12" t="s">
        <v>60</v>
      </c>
      <c r="L849" s="12" t="s">
        <v>1127</v>
      </c>
      <c r="M849" s="12" t="s">
        <v>28</v>
      </c>
      <c r="N849" s="14">
        <v>0.22</v>
      </c>
      <c r="O849" s="23">
        <v>219.81</v>
      </c>
      <c r="P849">
        <v>60.65</v>
      </c>
      <c r="Q849" s="12" t="str" cm="1">
        <f t="array" ref="Q849:R849">VLOOKUP(E849,store[],{3,5},FALSE)</f>
        <v>North</v>
      </c>
      <c r="R849" t="str">
        <v>Flagship</v>
      </c>
      <c r="S849" s="4">
        <f t="shared" si="13"/>
        <v>219.59</v>
      </c>
    </row>
    <row r="850" spans="1:19">
      <c r="A850" t="s">
        <v>1586</v>
      </c>
      <c r="B850" s="3">
        <v>45437</v>
      </c>
      <c r="C850" t="s">
        <v>1430</v>
      </c>
      <c r="D850" t="s">
        <v>79</v>
      </c>
      <c r="E850" t="s">
        <v>160</v>
      </c>
      <c r="F850">
        <v>4</v>
      </c>
      <c r="G850" t="s">
        <v>23</v>
      </c>
      <c r="H850">
        <v>47</v>
      </c>
      <c r="I850" s="12" t="s">
        <v>34</v>
      </c>
      <c r="J850" s="12" t="s">
        <v>161</v>
      </c>
      <c r="K850" s="12" t="s">
        <v>26</v>
      </c>
      <c r="L850" s="12" t="s">
        <v>81</v>
      </c>
      <c r="M850" s="12" t="s">
        <v>75</v>
      </c>
      <c r="N850" s="14">
        <v>0.27</v>
      </c>
      <c r="O850" s="23">
        <v>883.31</v>
      </c>
      <c r="P850">
        <v>138.05000000000001</v>
      </c>
      <c r="Q850" s="12" t="str" cm="1">
        <f t="array" ref="Q850:R850">VLOOKUP(E850,store[],{3,5},FALSE)</f>
        <v>East</v>
      </c>
      <c r="R850" t="str">
        <v>Flagship</v>
      </c>
      <c r="S850" s="4">
        <f t="shared" si="13"/>
        <v>3532.16</v>
      </c>
    </row>
    <row r="851" spans="1:19">
      <c r="A851" t="s">
        <v>1587</v>
      </c>
      <c r="B851" s="3">
        <v>45627</v>
      </c>
      <c r="C851" t="s">
        <v>880</v>
      </c>
      <c r="D851" t="s">
        <v>377</v>
      </c>
      <c r="E851" t="s">
        <v>98</v>
      </c>
      <c r="F851">
        <v>4</v>
      </c>
      <c r="G851" t="s">
        <v>50</v>
      </c>
      <c r="H851">
        <v>43</v>
      </c>
      <c r="I851" s="12" t="s">
        <v>34</v>
      </c>
      <c r="J851" s="12" t="s">
        <v>333</v>
      </c>
      <c r="K851" s="12" t="s">
        <v>26</v>
      </c>
      <c r="L851" s="12" t="s">
        <v>379</v>
      </c>
      <c r="M851" s="12" t="s">
        <v>28</v>
      </c>
      <c r="N851" s="14">
        <v>0.04</v>
      </c>
      <c r="O851" s="23">
        <v>329.06</v>
      </c>
      <c r="P851">
        <v>144.53</v>
      </c>
      <c r="Q851" s="12" t="str" cm="1">
        <f t="array" ref="Q851:R851">VLOOKUP(E851,store[],{3,5},FALSE)</f>
        <v>South</v>
      </c>
      <c r="R851" t="str">
        <v>Outlet</v>
      </c>
      <c r="S851" s="4">
        <f t="shared" si="13"/>
        <v>1316.08</v>
      </c>
    </row>
    <row r="852" spans="1:19">
      <c r="A852" t="s">
        <v>1588</v>
      </c>
      <c r="B852" s="3">
        <v>45678</v>
      </c>
      <c r="C852" t="s">
        <v>470</v>
      </c>
      <c r="D852" t="s">
        <v>741</v>
      </c>
      <c r="E852" t="s">
        <v>272</v>
      </c>
      <c r="F852">
        <v>1</v>
      </c>
      <c r="G852" t="s">
        <v>33</v>
      </c>
      <c r="H852">
        <v>50</v>
      </c>
      <c r="I852" s="12" t="s">
        <v>34</v>
      </c>
      <c r="J852" s="12" t="s">
        <v>235</v>
      </c>
      <c r="K852" s="12" t="s">
        <v>26</v>
      </c>
      <c r="L852" s="12" t="s">
        <v>742</v>
      </c>
      <c r="M852" s="12" t="s">
        <v>75</v>
      </c>
      <c r="N852" s="14">
        <v>0.03</v>
      </c>
      <c r="O852" s="23">
        <v>935.78</v>
      </c>
      <c r="P852">
        <v>243.7</v>
      </c>
      <c r="Q852" s="12" t="str" cm="1">
        <f t="array" ref="Q852:R852">VLOOKUP(E852,store[],{3,5},FALSE)</f>
        <v>South</v>
      </c>
      <c r="R852" t="str">
        <v>Online</v>
      </c>
      <c r="S852" s="4">
        <f t="shared" si="13"/>
        <v>935.75</v>
      </c>
    </row>
    <row r="853" spans="1:19">
      <c r="A853" t="s">
        <v>1589</v>
      </c>
      <c r="B853" s="3">
        <v>45484</v>
      </c>
      <c r="C853" t="s">
        <v>103</v>
      </c>
      <c r="D853" t="s">
        <v>148</v>
      </c>
      <c r="E853" t="s">
        <v>168</v>
      </c>
      <c r="F853">
        <v>4</v>
      </c>
      <c r="G853" t="s">
        <v>23</v>
      </c>
      <c r="H853">
        <v>34</v>
      </c>
      <c r="I853" s="12" t="s">
        <v>34</v>
      </c>
      <c r="J853" s="12" t="s">
        <v>106</v>
      </c>
      <c r="K853" s="12" t="s">
        <v>73</v>
      </c>
      <c r="L853" s="12" t="s">
        <v>150</v>
      </c>
      <c r="M853" s="12" t="s">
        <v>46</v>
      </c>
      <c r="N853" s="14">
        <v>0.2</v>
      </c>
      <c r="O853" s="23">
        <v>597.79999999999995</v>
      </c>
      <c r="P853">
        <v>482.75</v>
      </c>
      <c r="Q853" s="12" t="str" cm="1">
        <f t="array" ref="Q853:R853">VLOOKUP(E853,store[],{3,5},FALSE)</f>
        <v>East</v>
      </c>
      <c r="R853" t="str">
        <v>Online</v>
      </c>
      <c r="S853" s="4">
        <f t="shared" si="13"/>
        <v>2390.4</v>
      </c>
    </row>
    <row r="854" spans="1:19">
      <c r="A854" t="s">
        <v>1590</v>
      </c>
      <c r="B854" s="3">
        <v>45700</v>
      </c>
      <c r="C854" t="s">
        <v>1591</v>
      </c>
      <c r="D854" t="s">
        <v>197</v>
      </c>
      <c r="E854" t="s">
        <v>160</v>
      </c>
      <c r="F854">
        <v>4</v>
      </c>
      <c r="G854" t="s">
        <v>23</v>
      </c>
      <c r="H854">
        <v>32</v>
      </c>
      <c r="I854" s="12" t="s">
        <v>34</v>
      </c>
      <c r="J854" s="12" t="s">
        <v>169</v>
      </c>
      <c r="K854" s="12" t="s">
        <v>60</v>
      </c>
      <c r="L854" s="12" t="s">
        <v>200</v>
      </c>
      <c r="M854" s="12" t="s">
        <v>37</v>
      </c>
      <c r="N854" s="14">
        <v>0.16</v>
      </c>
      <c r="O854" s="23">
        <v>266.98</v>
      </c>
      <c r="P854">
        <v>242.23</v>
      </c>
      <c r="Q854" s="12" t="str" cm="1">
        <f t="array" ref="Q854:R854">VLOOKUP(E854,store[],{3,5},FALSE)</f>
        <v>East</v>
      </c>
      <c r="R854" t="str">
        <v>Flagship</v>
      </c>
      <c r="S854" s="4">
        <f t="shared" si="13"/>
        <v>1067.28</v>
      </c>
    </row>
    <row r="855" spans="1:19">
      <c r="A855" t="s">
        <v>1592</v>
      </c>
      <c r="B855" s="3">
        <v>45873</v>
      </c>
      <c r="C855" t="s">
        <v>1593</v>
      </c>
      <c r="D855" t="s">
        <v>79</v>
      </c>
      <c r="E855" t="s">
        <v>122</v>
      </c>
      <c r="F855">
        <v>3</v>
      </c>
      <c r="G855" t="s">
        <v>23</v>
      </c>
      <c r="H855">
        <v>33</v>
      </c>
      <c r="I855" s="12" t="s">
        <v>24</v>
      </c>
      <c r="J855" s="12" t="s">
        <v>336</v>
      </c>
      <c r="K855" s="12" t="s">
        <v>26</v>
      </c>
      <c r="L855" s="12" t="s">
        <v>81</v>
      </c>
      <c r="M855" s="12" t="s">
        <v>75</v>
      </c>
      <c r="N855" s="14">
        <v>0.03</v>
      </c>
      <c r="O855" s="23">
        <v>360.18</v>
      </c>
      <c r="P855">
        <v>138.05000000000001</v>
      </c>
      <c r="Q855" s="12" t="str" cm="1">
        <f t="array" ref="Q855:R855">VLOOKUP(E855,store[],{3,5},FALSE)</f>
        <v>North</v>
      </c>
      <c r="R855" t="str">
        <v>Flagship</v>
      </c>
      <c r="S855" s="4">
        <f t="shared" si="13"/>
        <v>1080.45</v>
      </c>
    </row>
    <row r="856" spans="1:19">
      <c r="A856" t="s">
        <v>1594</v>
      </c>
      <c r="B856" s="3">
        <v>45860</v>
      </c>
      <c r="C856" t="s">
        <v>1503</v>
      </c>
      <c r="D856" t="s">
        <v>71</v>
      </c>
      <c r="E856" t="s">
        <v>90</v>
      </c>
      <c r="F856">
        <v>3</v>
      </c>
      <c r="G856" t="s">
        <v>50</v>
      </c>
      <c r="H856">
        <v>23</v>
      </c>
      <c r="I856" s="12" t="s">
        <v>24</v>
      </c>
      <c r="J856" s="12" t="s">
        <v>308</v>
      </c>
      <c r="K856" s="12" t="s">
        <v>73</v>
      </c>
      <c r="L856" s="12" t="s">
        <v>74</v>
      </c>
      <c r="M856" s="12" t="s">
        <v>75</v>
      </c>
      <c r="N856" s="14">
        <v>0.05</v>
      </c>
      <c r="O856" s="23">
        <v>247.41</v>
      </c>
      <c r="P856">
        <v>461.47</v>
      </c>
      <c r="Q856" s="12" t="str" cm="1">
        <f t="array" ref="Q856:R856">VLOOKUP(E856,store[],{3,5},FALSE)</f>
        <v>East</v>
      </c>
      <c r="R856" t="str">
        <v>Flagship</v>
      </c>
      <c r="S856" s="4">
        <f t="shared" si="13"/>
        <v>742.08</v>
      </c>
    </row>
    <row r="857" spans="1:19">
      <c r="A857" t="s">
        <v>1595</v>
      </c>
      <c r="B857" s="3">
        <v>45235</v>
      </c>
      <c r="C857" t="s">
        <v>1596</v>
      </c>
      <c r="D857" t="s">
        <v>344</v>
      </c>
      <c r="E857" t="s">
        <v>122</v>
      </c>
      <c r="F857">
        <v>3</v>
      </c>
      <c r="G857" t="s">
        <v>23</v>
      </c>
      <c r="H857">
        <v>21</v>
      </c>
      <c r="I857" s="12" t="s">
        <v>24</v>
      </c>
      <c r="J857" s="12" t="s">
        <v>498</v>
      </c>
      <c r="K857" s="12" t="s">
        <v>26</v>
      </c>
      <c r="L857" s="12" t="s">
        <v>347</v>
      </c>
      <c r="M857" s="12" t="s">
        <v>28</v>
      </c>
      <c r="N857" s="14">
        <v>0.23</v>
      </c>
      <c r="O857" s="23">
        <v>674.66</v>
      </c>
      <c r="P857">
        <v>318.91000000000003</v>
      </c>
      <c r="Q857" s="12" t="str" cm="1">
        <f t="array" ref="Q857:R857">VLOOKUP(E857,store[],{3,5},FALSE)</f>
        <v>North</v>
      </c>
      <c r="R857" t="str">
        <v>Flagship</v>
      </c>
      <c r="S857" s="4">
        <f t="shared" si="13"/>
        <v>2023.29</v>
      </c>
    </row>
    <row r="858" spans="1:19">
      <c r="A858" t="s">
        <v>1597</v>
      </c>
      <c r="B858" s="3">
        <v>45874</v>
      </c>
      <c r="C858" t="s">
        <v>587</v>
      </c>
      <c r="D858" t="s">
        <v>449</v>
      </c>
      <c r="E858" t="s">
        <v>72</v>
      </c>
      <c r="F858">
        <v>1</v>
      </c>
      <c r="G858" t="s">
        <v>33</v>
      </c>
      <c r="H858">
        <v>26</v>
      </c>
      <c r="I858" s="12" t="s">
        <v>34</v>
      </c>
      <c r="J858" s="12" t="s">
        <v>444</v>
      </c>
      <c r="K858" s="12" t="s">
        <v>60</v>
      </c>
      <c r="L858" s="12" t="s">
        <v>450</v>
      </c>
      <c r="M858" s="12" t="s">
        <v>37</v>
      </c>
      <c r="N858" s="14">
        <v>0.27</v>
      </c>
      <c r="O858" s="23">
        <v>913.98</v>
      </c>
      <c r="P858">
        <v>450.71</v>
      </c>
      <c r="Q858" s="12" t="str" cm="1">
        <f t="array" ref="Q858:R858">VLOOKUP(E858,store[],{3,5},FALSE)</f>
        <v>South</v>
      </c>
      <c r="R858" t="str">
        <v>Online</v>
      </c>
      <c r="S858" s="4">
        <f t="shared" si="13"/>
        <v>913.71</v>
      </c>
    </row>
    <row r="859" spans="1:19">
      <c r="A859" t="s">
        <v>1598</v>
      </c>
      <c r="B859" s="3">
        <v>45769</v>
      </c>
      <c r="C859" t="s">
        <v>554</v>
      </c>
      <c r="D859" t="s">
        <v>317</v>
      </c>
      <c r="E859" t="s">
        <v>168</v>
      </c>
      <c r="F859">
        <v>4</v>
      </c>
      <c r="G859" t="s">
        <v>33</v>
      </c>
      <c r="H859">
        <v>53</v>
      </c>
      <c r="I859" s="12" t="s">
        <v>34</v>
      </c>
      <c r="J859" s="12" t="s">
        <v>91</v>
      </c>
      <c r="K859" s="12" t="s">
        <v>60</v>
      </c>
      <c r="L859" s="12" t="s">
        <v>318</v>
      </c>
      <c r="M859" s="12" t="s">
        <v>37</v>
      </c>
      <c r="N859" s="14">
        <v>0.13</v>
      </c>
      <c r="O859" s="23">
        <v>370.5</v>
      </c>
      <c r="P859">
        <v>377.52</v>
      </c>
      <c r="Q859" s="12" t="str" cm="1">
        <f t="array" ref="Q859:R859">VLOOKUP(E859,store[],{3,5},FALSE)</f>
        <v>East</v>
      </c>
      <c r="R859" t="str">
        <v>Online</v>
      </c>
      <c r="S859" s="4">
        <f t="shared" si="13"/>
        <v>1481.48</v>
      </c>
    </row>
    <row r="860" spans="1:19">
      <c r="A860" t="s">
        <v>1599</v>
      </c>
      <c r="B860" s="3">
        <v>45619</v>
      </c>
      <c r="C860" t="s">
        <v>871</v>
      </c>
      <c r="D860" t="s">
        <v>155</v>
      </c>
      <c r="E860" t="s">
        <v>149</v>
      </c>
      <c r="F860">
        <v>1</v>
      </c>
      <c r="G860" t="s">
        <v>33</v>
      </c>
      <c r="H860">
        <v>60</v>
      </c>
      <c r="I860" s="12" t="s">
        <v>34</v>
      </c>
      <c r="J860" s="12" t="s">
        <v>231</v>
      </c>
      <c r="K860" s="12" t="s">
        <v>26</v>
      </c>
      <c r="L860" s="12" t="s">
        <v>156</v>
      </c>
      <c r="M860" s="12" t="s">
        <v>28</v>
      </c>
      <c r="N860" s="14">
        <v>0.1</v>
      </c>
      <c r="O860" s="23">
        <v>735.1</v>
      </c>
      <c r="P860">
        <v>477.61</v>
      </c>
      <c r="Q860" s="12" t="str" cm="1">
        <f t="array" ref="Q860:R860">VLOOKUP(E860,store[],{3,5},FALSE)</f>
        <v>East</v>
      </c>
      <c r="R860" t="str">
        <v>Flagship</v>
      </c>
      <c r="S860" s="4">
        <f t="shared" si="13"/>
        <v>735</v>
      </c>
    </row>
    <row r="861" spans="1:19">
      <c r="A861" t="s">
        <v>1600</v>
      </c>
      <c r="B861" s="3">
        <v>45614</v>
      </c>
      <c r="C861" t="s">
        <v>652</v>
      </c>
      <c r="D861" t="s">
        <v>221</v>
      </c>
      <c r="E861" t="s">
        <v>198</v>
      </c>
      <c r="F861">
        <v>3</v>
      </c>
      <c r="G861" t="s">
        <v>23</v>
      </c>
      <c r="H861">
        <v>33</v>
      </c>
      <c r="I861" s="12" t="s">
        <v>34</v>
      </c>
      <c r="J861" s="12" t="s">
        <v>209</v>
      </c>
      <c r="K861" s="12" t="s">
        <v>52</v>
      </c>
      <c r="L861" s="12" t="s">
        <v>223</v>
      </c>
      <c r="M861" s="12" t="s">
        <v>75</v>
      </c>
      <c r="N861" s="14">
        <v>0.05</v>
      </c>
      <c r="O861" s="23">
        <v>448.55</v>
      </c>
      <c r="P861">
        <v>228.53</v>
      </c>
      <c r="Q861" s="12" t="str" cm="1">
        <f t="array" ref="Q861:R861">VLOOKUP(E861,store[],{3,5},FALSE)</f>
        <v>South</v>
      </c>
      <c r="R861" t="str">
        <v>Outlet</v>
      </c>
      <c r="S861" s="4">
        <f t="shared" si="13"/>
        <v>1345.5</v>
      </c>
    </row>
    <row r="862" spans="1:19">
      <c r="A862" t="s">
        <v>1601</v>
      </c>
      <c r="B862" s="3">
        <v>45691</v>
      </c>
      <c r="C862" t="s">
        <v>1306</v>
      </c>
      <c r="D862" t="s">
        <v>814</v>
      </c>
      <c r="E862" t="s">
        <v>149</v>
      </c>
      <c r="F862">
        <v>3</v>
      </c>
      <c r="G862" t="s">
        <v>50</v>
      </c>
      <c r="H862">
        <v>53</v>
      </c>
      <c r="I862" s="12" t="s">
        <v>24</v>
      </c>
      <c r="J862" s="12" t="s">
        <v>111</v>
      </c>
      <c r="K862" s="12" t="s">
        <v>52</v>
      </c>
      <c r="L862" s="12" t="s">
        <v>815</v>
      </c>
      <c r="M862" s="12" t="s">
        <v>75</v>
      </c>
      <c r="N862" s="14">
        <v>7.0000000000000007E-2</v>
      </c>
      <c r="O862" s="23">
        <v>904.96</v>
      </c>
      <c r="P862">
        <v>388.46</v>
      </c>
      <c r="Q862" s="12" t="str" cm="1">
        <f t="array" ref="Q862:R862">VLOOKUP(E862,store[],{3,5},FALSE)</f>
        <v>East</v>
      </c>
      <c r="R862" t="str">
        <v>Flagship</v>
      </c>
      <c r="S862" s="4">
        <f t="shared" si="13"/>
        <v>2714.67</v>
      </c>
    </row>
    <row r="863" spans="1:19">
      <c r="A863" t="s">
        <v>1602</v>
      </c>
      <c r="B863" s="3">
        <v>45608</v>
      </c>
      <c r="C863" t="s">
        <v>1424</v>
      </c>
      <c r="D863" t="s">
        <v>741</v>
      </c>
      <c r="E863" t="s">
        <v>149</v>
      </c>
      <c r="F863">
        <v>4</v>
      </c>
      <c r="G863" t="s">
        <v>50</v>
      </c>
      <c r="H863">
        <v>23</v>
      </c>
      <c r="I863" s="12" t="s">
        <v>24</v>
      </c>
      <c r="J863" s="12" t="s">
        <v>67</v>
      </c>
      <c r="K863" s="12" t="s">
        <v>26</v>
      </c>
      <c r="L863" s="12" t="s">
        <v>742</v>
      </c>
      <c r="M863" s="12" t="s">
        <v>75</v>
      </c>
      <c r="N863" s="14">
        <v>0.16</v>
      </c>
      <c r="O863" s="23">
        <v>408.72</v>
      </c>
      <c r="P863">
        <v>243.7</v>
      </c>
      <c r="Q863" s="12" t="str" cm="1">
        <f t="array" ref="Q863:R863">VLOOKUP(E863,store[],{3,5},FALSE)</f>
        <v>East</v>
      </c>
      <c r="R863" t="str">
        <v>Flagship</v>
      </c>
      <c r="S863" s="4">
        <f t="shared" si="13"/>
        <v>1634.24</v>
      </c>
    </row>
    <row r="864" spans="1:19">
      <c r="A864" t="s">
        <v>1603</v>
      </c>
      <c r="B864" s="3">
        <v>45412</v>
      </c>
      <c r="C864" t="s">
        <v>773</v>
      </c>
      <c r="D864" t="s">
        <v>368</v>
      </c>
      <c r="E864" t="s">
        <v>22</v>
      </c>
      <c r="F864">
        <v>4</v>
      </c>
      <c r="G864" t="s">
        <v>23</v>
      </c>
      <c r="H864">
        <v>46</v>
      </c>
      <c r="I864" s="12" t="s">
        <v>34</v>
      </c>
      <c r="J864" s="12" t="s">
        <v>204</v>
      </c>
      <c r="K864" s="12" t="s">
        <v>26</v>
      </c>
      <c r="L864" s="12" t="s">
        <v>369</v>
      </c>
      <c r="M864" s="12" t="s">
        <v>46</v>
      </c>
      <c r="N864" s="14">
        <v>0.27</v>
      </c>
      <c r="O864" s="23">
        <v>770.65</v>
      </c>
      <c r="P864">
        <v>214.32</v>
      </c>
      <c r="Q864" s="12" t="str" cm="1">
        <f t="array" ref="Q864:R864">VLOOKUP(E864,store[],{3,5},FALSE)</f>
        <v>North</v>
      </c>
      <c r="R864" t="str">
        <v>Outlet</v>
      </c>
      <c r="S864" s="4">
        <f t="shared" si="13"/>
        <v>3081.52</v>
      </c>
    </row>
    <row r="865" spans="1:19">
      <c r="A865" t="s">
        <v>1604</v>
      </c>
      <c r="B865" s="3">
        <v>45767</v>
      </c>
      <c r="C865" t="s">
        <v>262</v>
      </c>
      <c r="D865" t="s">
        <v>271</v>
      </c>
      <c r="E865" t="s">
        <v>179</v>
      </c>
      <c r="F865">
        <v>1</v>
      </c>
      <c r="G865" t="s">
        <v>50</v>
      </c>
      <c r="H865">
        <v>47</v>
      </c>
      <c r="I865" s="12" t="s">
        <v>24</v>
      </c>
      <c r="J865" s="12" t="s">
        <v>106</v>
      </c>
      <c r="K865" s="12" t="s">
        <v>52</v>
      </c>
      <c r="L865" s="12" t="s">
        <v>273</v>
      </c>
      <c r="M865" s="12" t="s">
        <v>75</v>
      </c>
      <c r="N865" s="14">
        <v>0.03</v>
      </c>
      <c r="O865" s="23">
        <v>649.22</v>
      </c>
      <c r="P865">
        <v>19.52</v>
      </c>
      <c r="Q865" s="12" t="str" cm="1">
        <f t="array" ref="Q865:R865">VLOOKUP(E865,store[],{3,5},FALSE)</f>
        <v>East</v>
      </c>
      <c r="R865" t="str">
        <v>Online</v>
      </c>
      <c r="S865" s="4">
        <f t="shared" si="13"/>
        <v>649.19000000000005</v>
      </c>
    </row>
    <row r="866" spans="1:19">
      <c r="A866" t="s">
        <v>1605</v>
      </c>
      <c r="B866" s="3">
        <v>45428</v>
      </c>
      <c r="C866" t="s">
        <v>121</v>
      </c>
      <c r="D866" t="s">
        <v>89</v>
      </c>
      <c r="E866" t="s">
        <v>168</v>
      </c>
      <c r="F866">
        <v>2</v>
      </c>
      <c r="G866" t="s">
        <v>23</v>
      </c>
      <c r="H866">
        <v>55</v>
      </c>
      <c r="I866" s="12" t="s">
        <v>24</v>
      </c>
      <c r="J866" s="12" t="s">
        <v>44</v>
      </c>
      <c r="K866" s="12" t="s">
        <v>60</v>
      </c>
      <c r="L866" s="12" t="s">
        <v>92</v>
      </c>
      <c r="M866" s="12" t="s">
        <v>75</v>
      </c>
      <c r="N866" s="14">
        <v>0.2</v>
      </c>
      <c r="O866" s="23">
        <v>379.78</v>
      </c>
      <c r="P866">
        <v>179.77</v>
      </c>
      <c r="Q866" s="12" t="str" cm="1">
        <f t="array" ref="Q866:R866">VLOOKUP(E866,store[],{3,5},FALSE)</f>
        <v>East</v>
      </c>
      <c r="R866" t="str">
        <v>Online</v>
      </c>
      <c r="S866" s="4">
        <f t="shared" si="13"/>
        <v>759.16</v>
      </c>
    </row>
    <row r="867" spans="1:19">
      <c r="A867" t="s">
        <v>1606</v>
      </c>
      <c r="B867" s="3">
        <v>45770</v>
      </c>
      <c r="C867" t="s">
        <v>763</v>
      </c>
      <c r="D867" t="s">
        <v>159</v>
      </c>
      <c r="E867" t="s">
        <v>43</v>
      </c>
      <c r="F867">
        <v>3</v>
      </c>
      <c r="G867" t="s">
        <v>33</v>
      </c>
      <c r="H867">
        <v>19</v>
      </c>
      <c r="I867" s="12" t="s">
        <v>24</v>
      </c>
      <c r="J867" s="12" t="s">
        <v>99</v>
      </c>
      <c r="K867" s="12" t="s">
        <v>26</v>
      </c>
      <c r="L867" s="12" t="s">
        <v>162</v>
      </c>
      <c r="M867" s="12" t="s">
        <v>37</v>
      </c>
      <c r="N867" s="14">
        <v>0.1</v>
      </c>
      <c r="O867" s="23">
        <v>924.15</v>
      </c>
      <c r="P867">
        <v>253.33</v>
      </c>
      <c r="Q867" s="12" t="str" cm="1">
        <f t="array" ref="Q867:R867">VLOOKUP(E867,store[],{3,5},FALSE)</f>
        <v>West</v>
      </c>
      <c r="R867" t="str">
        <v>Online</v>
      </c>
      <c r="S867" s="4">
        <f t="shared" si="13"/>
        <v>2772.15</v>
      </c>
    </row>
    <row r="868" spans="1:19">
      <c r="A868" t="s">
        <v>1607</v>
      </c>
      <c r="B868" s="3">
        <v>45571</v>
      </c>
      <c r="C868" t="s">
        <v>956</v>
      </c>
      <c r="D868" t="s">
        <v>344</v>
      </c>
      <c r="E868" t="s">
        <v>32</v>
      </c>
      <c r="F868">
        <v>3</v>
      </c>
      <c r="G868" t="s">
        <v>50</v>
      </c>
      <c r="H868">
        <v>19</v>
      </c>
      <c r="I868" s="12" t="s">
        <v>24</v>
      </c>
      <c r="J868" s="12" t="s">
        <v>410</v>
      </c>
      <c r="K868" s="12" t="s">
        <v>26</v>
      </c>
      <c r="L868" s="12" t="s">
        <v>347</v>
      </c>
      <c r="M868" s="12" t="s">
        <v>28</v>
      </c>
      <c r="N868" s="14">
        <v>0.28999999999999998</v>
      </c>
      <c r="O868" s="23">
        <v>144.66999999999999</v>
      </c>
      <c r="P868">
        <v>318.91000000000003</v>
      </c>
      <c r="Q868" s="12" t="str" cm="1">
        <f t="array" ref="Q868:R868">VLOOKUP(E868,store[],{3,5},FALSE)</f>
        <v>North</v>
      </c>
      <c r="R868" t="str">
        <v>Flagship</v>
      </c>
      <c r="S868" s="4">
        <f t="shared" si="13"/>
        <v>433.14</v>
      </c>
    </row>
    <row r="869" spans="1:19">
      <c r="A869" t="s">
        <v>1608</v>
      </c>
      <c r="B869" s="3">
        <v>45700</v>
      </c>
      <c r="C869" t="s">
        <v>1609</v>
      </c>
      <c r="D869" t="s">
        <v>89</v>
      </c>
      <c r="E869" t="s">
        <v>122</v>
      </c>
      <c r="F869">
        <v>2</v>
      </c>
      <c r="G869" t="s">
        <v>33</v>
      </c>
      <c r="H869">
        <v>62</v>
      </c>
      <c r="I869" s="12" t="s">
        <v>24</v>
      </c>
      <c r="J869" s="12" t="s">
        <v>218</v>
      </c>
      <c r="K869" s="12" t="s">
        <v>52</v>
      </c>
      <c r="L869" s="12" t="s">
        <v>92</v>
      </c>
      <c r="M869" s="12" t="s">
        <v>75</v>
      </c>
      <c r="N869" s="14">
        <v>0.1</v>
      </c>
      <c r="O869" s="23">
        <v>667.17</v>
      </c>
      <c r="P869">
        <v>179.77</v>
      </c>
      <c r="Q869" s="12" t="str" cm="1">
        <f t="array" ref="Q869:R869">VLOOKUP(E869,store[],{3,5},FALSE)</f>
        <v>North</v>
      </c>
      <c r="R869" t="str">
        <v>Flagship</v>
      </c>
      <c r="S869" s="4">
        <f t="shared" si="13"/>
        <v>1334.14</v>
      </c>
    </row>
    <row r="870" spans="1:19">
      <c r="A870" t="s">
        <v>1610</v>
      </c>
      <c r="B870" s="3">
        <v>45382</v>
      </c>
      <c r="C870" t="s">
        <v>1336</v>
      </c>
      <c r="D870" t="s">
        <v>532</v>
      </c>
      <c r="E870" t="s">
        <v>22</v>
      </c>
      <c r="F870">
        <v>1</v>
      </c>
      <c r="G870" t="s">
        <v>23</v>
      </c>
      <c r="H870">
        <v>31</v>
      </c>
      <c r="I870" s="12" t="s">
        <v>24</v>
      </c>
      <c r="J870" s="12" t="s">
        <v>231</v>
      </c>
      <c r="K870" s="12" t="s">
        <v>73</v>
      </c>
      <c r="L870" s="12" t="s">
        <v>533</v>
      </c>
      <c r="M870" s="12" t="s">
        <v>46</v>
      </c>
      <c r="N870" s="14">
        <v>0.22</v>
      </c>
      <c r="O870" s="23">
        <v>984.6</v>
      </c>
      <c r="P870">
        <v>340.39</v>
      </c>
      <c r="Q870" s="12" t="str" cm="1">
        <f t="array" ref="Q870:R870">VLOOKUP(E870,store[],{3,5},FALSE)</f>
        <v>North</v>
      </c>
      <c r="R870" t="str">
        <v>Outlet</v>
      </c>
      <c r="S870" s="4">
        <f t="shared" si="13"/>
        <v>984.38</v>
      </c>
    </row>
    <row r="871" spans="1:19">
      <c r="A871" t="s">
        <v>1611</v>
      </c>
      <c r="B871" s="3">
        <v>45260</v>
      </c>
      <c r="C871" t="s">
        <v>1612</v>
      </c>
      <c r="D871" t="s">
        <v>197</v>
      </c>
      <c r="E871" t="s">
        <v>43</v>
      </c>
      <c r="F871">
        <v>1</v>
      </c>
      <c r="G871" t="s">
        <v>23</v>
      </c>
      <c r="H871">
        <v>21</v>
      </c>
      <c r="I871" s="12" t="s">
        <v>34</v>
      </c>
      <c r="J871" s="12" t="s">
        <v>308</v>
      </c>
      <c r="K871" s="12" t="s">
        <v>73</v>
      </c>
      <c r="L871" s="12" t="s">
        <v>200</v>
      </c>
      <c r="M871" s="12" t="s">
        <v>37</v>
      </c>
      <c r="N871" s="14">
        <v>0</v>
      </c>
      <c r="O871" s="23">
        <v>139.29</v>
      </c>
      <c r="P871">
        <v>242.23</v>
      </c>
      <c r="Q871" s="12" t="str" cm="1">
        <f t="array" ref="Q871:R871">VLOOKUP(E871,store[],{3,5},FALSE)</f>
        <v>West</v>
      </c>
      <c r="R871" t="str">
        <v>Online</v>
      </c>
      <c r="S871" s="4">
        <f t="shared" si="13"/>
        <v>139.29</v>
      </c>
    </row>
    <row r="872" spans="1:19">
      <c r="A872" t="s">
        <v>1613</v>
      </c>
      <c r="B872" s="3">
        <v>45702</v>
      </c>
      <c r="C872" t="s">
        <v>620</v>
      </c>
      <c r="D872" t="s">
        <v>226</v>
      </c>
      <c r="E872" t="s">
        <v>43</v>
      </c>
      <c r="F872">
        <v>3</v>
      </c>
      <c r="G872" t="s">
        <v>50</v>
      </c>
      <c r="H872">
        <v>25</v>
      </c>
      <c r="I872" s="12" t="s">
        <v>24</v>
      </c>
      <c r="J872" s="12" t="s">
        <v>169</v>
      </c>
      <c r="K872" s="12" t="s">
        <v>52</v>
      </c>
      <c r="L872" s="12" t="s">
        <v>228</v>
      </c>
      <c r="M872" s="12" t="s">
        <v>46</v>
      </c>
      <c r="N872" s="14">
        <v>0.1</v>
      </c>
      <c r="O872" s="23">
        <v>459.57</v>
      </c>
      <c r="P872">
        <v>337.42</v>
      </c>
      <c r="Q872" s="12" t="str" cm="1">
        <f t="array" ref="Q872:R872">VLOOKUP(E872,store[],{3,5},FALSE)</f>
        <v>West</v>
      </c>
      <c r="R872" t="str">
        <v>Online</v>
      </c>
      <c r="S872" s="4">
        <f t="shared" si="13"/>
        <v>1378.41</v>
      </c>
    </row>
    <row r="873" spans="1:19">
      <c r="A873" t="s">
        <v>1614</v>
      </c>
      <c r="B873" s="3">
        <v>45302</v>
      </c>
      <c r="C873" t="s">
        <v>611</v>
      </c>
      <c r="D873" t="s">
        <v>295</v>
      </c>
      <c r="E873" t="s">
        <v>122</v>
      </c>
      <c r="F873">
        <v>1</v>
      </c>
      <c r="G873" t="s">
        <v>23</v>
      </c>
      <c r="H873">
        <v>27</v>
      </c>
      <c r="I873" s="12" t="s">
        <v>34</v>
      </c>
      <c r="J873" s="12" t="s">
        <v>214</v>
      </c>
      <c r="K873" s="12" t="s">
        <v>60</v>
      </c>
      <c r="L873" s="12" t="s">
        <v>296</v>
      </c>
      <c r="M873" s="12" t="s">
        <v>37</v>
      </c>
      <c r="N873" s="14">
        <v>0.28999999999999998</v>
      </c>
      <c r="O873" s="23">
        <v>517.82000000000005</v>
      </c>
      <c r="P873">
        <v>38.520000000000003</v>
      </c>
      <c r="Q873" s="12" t="str" cm="1">
        <f t="array" ref="Q873:R873">VLOOKUP(E873,store[],{3,5},FALSE)</f>
        <v>North</v>
      </c>
      <c r="R873" t="str">
        <v>Flagship</v>
      </c>
      <c r="S873" s="4">
        <f t="shared" si="13"/>
        <v>517.53</v>
      </c>
    </row>
    <row r="874" spans="1:19">
      <c r="A874" t="s">
        <v>1615</v>
      </c>
      <c r="B874" s="3">
        <v>45653</v>
      </c>
      <c r="C874" t="s">
        <v>997</v>
      </c>
      <c r="D874" t="s">
        <v>49</v>
      </c>
      <c r="E874" t="s">
        <v>179</v>
      </c>
      <c r="F874">
        <v>4</v>
      </c>
      <c r="G874" t="s">
        <v>50</v>
      </c>
      <c r="H874">
        <v>34</v>
      </c>
      <c r="I874" s="12" t="s">
        <v>34</v>
      </c>
      <c r="J874" s="12" t="s">
        <v>106</v>
      </c>
      <c r="K874" s="12" t="s">
        <v>26</v>
      </c>
      <c r="L874" s="12" t="s">
        <v>53</v>
      </c>
      <c r="M874" s="12" t="s">
        <v>37</v>
      </c>
      <c r="N874" s="14">
        <v>0.28999999999999998</v>
      </c>
      <c r="O874" s="23">
        <v>282.45</v>
      </c>
      <c r="P874">
        <v>392.89</v>
      </c>
      <c r="Q874" s="12" t="str" cm="1">
        <f t="array" ref="Q874:R874">VLOOKUP(E874,store[],{3,5},FALSE)</f>
        <v>East</v>
      </c>
      <c r="R874" t="str">
        <v>Online</v>
      </c>
      <c r="S874" s="4">
        <f t="shared" si="13"/>
        <v>1128.6400000000001</v>
      </c>
    </row>
    <row r="875" spans="1:19">
      <c r="A875" t="s">
        <v>1616</v>
      </c>
      <c r="B875" s="3">
        <v>45250</v>
      </c>
      <c r="C875" t="s">
        <v>961</v>
      </c>
      <c r="D875" t="s">
        <v>514</v>
      </c>
      <c r="E875" t="s">
        <v>66</v>
      </c>
      <c r="F875">
        <v>2</v>
      </c>
      <c r="G875" t="s">
        <v>50</v>
      </c>
      <c r="H875">
        <v>54</v>
      </c>
      <c r="I875" s="12" t="s">
        <v>24</v>
      </c>
      <c r="J875" s="12" t="s">
        <v>932</v>
      </c>
      <c r="K875" s="12" t="s">
        <v>26</v>
      </c>
      <c r="L875" s="12" t="s">
        <v>515</v>
      </c>
      <c r="M875" s="12" t="s">
        <v>75</v>
      </c>
      <c r="N875" s="14">
        <v>0.23</v>
      </c>
      <c r="O875" s="23">
        <v>386.46</v>
      </c>
      <c r="P875">
        <v>371.38</v>
      </c>
      <c r="Q875" s="12" t="str" cm="1">
        <f t="array" ref="Q875:R875">VLOOKUP(E875,store[],{3,5},FALSE)</f>
        <v>South</v>
      </c>
      <c r="R875" t="str">
        <v>Online</v>
      </c>
      <c r="S875" s="4">
        <f t="shared" si="13"/>
        <v>772.46</v>
      </c>
    </row>
    <row r="876" spans="1:19">
      <c r="A876" t="s">
        <v>1617</v>
      </c>
      <c r="B876" s="3">
        <v>45661</v>
      </c>
      <c r="C876" t="s">
        <v>1618</v>
      </c>
      <c r="D876" t="s">
        <v>314</v>
      </c>
      <c r="E876" t="s">
        <v>22</v>
      </c>
      <c r="F876">
        <v>1</v>
      </c>
      <c r="G876" t="s">
        <v>50</v>
      </c>
      <c r="H876">
        <v>60</v>
      </c>
      <c r="I876" s="12" t="s">
        <v>24</v>
      </c>
      <c r="J876" s="12" t="s">
        <v>251</v>
      </c>
      <c r="K876" s="12" t="s">
        <v>60</v>
      </c>
      <c r="L876" s="12" t="s">
        <v>315</v>
      </c>
      <c r="M876" s="12" t="s">
        <v>28</v>
      </c>
      <c r="N876" s="14">
        <v>0.15</v>
      </c>
      <c r="O876" s="23">
        <v>270.45</v>
      </c>
      <c r="P876">
        <v>21.34</v>
      </c>
      <c r="Q876" s="12" t="str" cm="1">
        <f t="array" ref="Q876:R876">VLOOKUP(E876,store[],{3,5},FALSE)</f>
        <v>North</v>
      </c>
      <c r="R876" t="str">
        <v>Outlet</v>
      </c>
      <c r="S876" s="4">
        <f t="shared" si="13"/>
        <v>270.3</v>
      </c>
    </row>
    <row r="877" spans="1:19">
      <c r="A877" t="s">
        <v>1619</v>
      </c>
      <c r="B877" s="3">
        <v>45493</v>
      </c>
      <c r="C877" t="s">
        <v>442</v>
      </c>
      <c r="D877" t="s">
        <v>49</v>
      </c>
      <c r="E877" t="s">
        <v>168</v>
      </c>
      <c r="F877">
        <v>4</v>
      </c>
      <c r="G877" t="s">
        <v>50</v>
      </c>
      <c r="H877">
        <v>21</v>
      </c>
      <c r="I877" s="12" t="s">
        <v>24</v>
      </c>
      <c r="J877" s="12" t="s">
        <v>444</v>
      </c>
      <c r="K877" s="12" t="s">
        <v>52</v>
      </c>
      <c r="L877" s="12" t="s">
        <v>53</v>
      </c>
      <c r="M877" s="12" t="s">
        <v>37</v>
      </c>
      <c r="N877" s="14">
        <v>0.09</v>
      </c>
      <c r="O877" s="23">
        <v>762.94</v>
      </c>
      <c r="P877">
        <v>392.89</v>
      </c>
      <c r="Q877" s="12" t="str" cm="1">
        <f t="array" ref="Q877:R877">VLOOKUP(E877,store[],{3,5},FALSE)</f>
        <v>East</v>
      </c>
      <c r="R877" t="str">
        <v>Online</v>
      </c>
      <c r="S877" s="4">
        <f t="shared" si="13"/>
        <v>3051.4</v>
      </c>
    </row>
    <row r="878" spans="1:19">
      <c r="A878" t="s">
        <v>1620</v>
      </c>
      <c r="B878" s="3">
        <v>45242</v>
      </c>
      <c r="C878" t="s">
        <v>722</v>
      </c>
      <c r="D878" t="s">
        <v>745</v>
      </c>
      <c r="E878" t="s">
        <v>149</v>
      </c>
      <c r="F878">
        <v>1</v>
      </c>
      <c r="G878" t="s">
        <v>50</v>
      </c>
      <c r="H878">
        <v>21</v>
      </c>
      <c r="I878" s="12" t="s">
        <v>24</v>
      </c>
      <c r="J878" s="12" t="s">
        <v>118</v>
      </c>
      <c r="K878" s="12" t="s">
        <v>26</v>
      </c>
      <c r="L878" s="12" t="s">
        <v>746</v>
      </c>
      <c r="M878" s="12" t="s">
        <v>28</v>
      </c>
      <c r="N878" s="14">
        <v>0.25</v>
      </c>
      <c r="O878" s="23">
        <v>409.03</v>
      </c>
      <c r="P878">
        <v>313.26</v>
      </c>
      <c r="Q878" s="12" t="str" cm="1">
        <f t="array" ref="Q878:R878">VLOOKUP(E878,store[],{3,5},FALSE)</f>
        <v>East</v>
      </c>
      <c r="R878" t="str">
        <v>Flagship</v>
      </c>
      <c r="S878" s="4">
        <f t="shared" si="13"/>
        <v>408.78</v>
      </c>
    </row>
    <row r="879" spans="1:19">
      <c r="A879" t="s">
        <v>1621</v>
      </c>
      <c r="B879" s="3">
        <v>45411</v>
      </c>
      <c r="C879" t="s">
        <v>785</v>
      </c>
      <c r="D879" t="s">
        <v>1259</v>
      </c>
      <c r="E879" t="s">
        <v>160</v>
      </c>
      <c r="F879">
        <v>2</v>
      </c>
      <c r="G879" t="s">
        <v>23</v>
      </c>
      <c r="H879">
        <v>47</v>
      </c>
      <c r="I879" s="12" t="s">
        <v>34</v>
      </c>
      <c r="J879" s="12" t="s">
        <v>204</v>
      </c>
      <c r="K879" s="12" t="s">
        <v>26</v>
      </c>
      <c r="L879" s="12" t="s">
        <v>1260</v>
      </c>
      <c r="M879" s="12" t="s">
        <v>130</v>
      </c>
      <c r="N879" s="14">
        <v>0.13</v>
      </c>
      <c r="O879" s="23">
        <v>891.13</v>
      </c>
      <c r="P879">
        <v>358.47</v>
      </c>
      <c r="Q879" s="12" t="str" cm="1">
        <f t="array" ref="Q879:R879">VLOOKUP(E879,store[],{3,5},FALSE)</f>
        <v>East</v>
      </c>
      <c r="R879" t="str">
        <v>Flagship</v>
      </c>
      <c r="S879" s="4">
        <f t="shared" si="13"/>
        <v>1782</v>
      </c>
    </row>
    <row r="880" spans="1:19">
      <c r="A880" t="s">
        <v>1622</v>
      </c>
      <c r="B880" s="3">
        <v>45593</v>
      </c>
      <c r="C880" t="s">
        <v>1183</v>
      </c>
      <c r="D880" t="s">
        <v>603</v>
      </c>
      <c r="E880" t="s">
        <v>117</v>
      </c>
      <c r="F880">
        <v>1</v>
      </c>
      <c r="G880" t="s">
        <v>33</v>
      </c>
      <c r="H880">
        <v>48</v>
      </c>
      <c r="I880" s="12" t="s">
        <v>34</v>
      </c>
      <c r="J880" s="12" t="s">
        <v>251</v>
      </c>
      <c r="K880" s="12" t="s">
        <v>26</v>
      </c>
      <c r="L880" s="12" t="s">
        <v>604</v>
      </c>
      <c r="M880" s="12" t="s">
        <v>75</v>
      </c>
      <c r="N880" s="14">
        <v>0.21</v>
      </c>
      <c r="O880" s="23">
        <v>553.38</v>
      </c>
      <c r="P880">
        <v>447.43</v>
      </c>
      <c r="Q880" s="12" t="str" cm="1">
        <f t="array" ref="Q880:R880">VLOOKUP(E880,store[],{3,5},FALSE)</f>
        <v>West</v>
      </c>
      <c r="R880" t="str">
        <v>Flagship</v>
      </c>
      <c r="S880" s="4">
        <f t="shared" si="13"/>
        <v>553.16999999999996</v>
      </c>
    </row>
    <row r="881" spans="1:19">
      <c r="A881" t="s">
        <v>1623</v>
      </c>
      <c r="B881" s="3">
        <v>45281</v>
      </c>
      <c r="C881" t="s">
        <v>1155</v>
      </c>
      <c r="D881" t="s">
        <v>462</v>
      </c>
      <c r="E881" t="s">
        <v>149</v>
      </c>
      <c r="F881">
        <v>2</v>
      </c>
      <c r="G881" t="s">
        <v>50</v>
      </c>
      <c r="H881">
        <v>41</v>
      </c>
      <c r="I881" s="12" t="s">
        <v>34</v>
      </c>
      <c r="J881" s="12" t="s">
        <v>256</v>
      </c>
      <c r="K881" s="12" t="s">
        <v>52</v>
      </c>
      <c r="L881" s="12" t="s">
        <v>464</v>
      </c>
      <c r="M881" s="12" t="s">
        <v>130</v>
      </c>
      <c r="N881" s="14">
        <v>0.16</v>
      </c>
      <c r="O881" s="23">
        <v>652.29999999999995</v>
      </c>
      <c r="P881">
        <v>119.57</v>
      </c>
      <c r="Q881" s="12" t="str" cm="1">
        <f t="array" ref="Q881:R881">VLOOKUP(E881,store[],{3,5},FALSE)</f>
        <v>East</v>
      </c>
      <c r="R881" t="str">
        <v>Flagship</v>
      </c>
      <c r="S881" s="4">
        <f t="shared" si="13"/>
        <v>1304.28</v>
      </c>
    </row>
    <row r="882" spans="1:19">
      <c r="A882" t="s">
        <v>1624</v>
      </c>
      <c r="B882" s="3">
        <v>45575</v>
      </c>
      <c r="C882" t="s">
        <v>1468</v>
      </c>
      <c r="D882" t="s">
        <v>449</v>
      </c>
      <c r="E882" t="s">
        <v>127</v>
      </c>
      <c r="F882">
        <v>4</v>
      </c>
      <c r="G882" t="s">
        <v>50</v>
      </c>
      <c r="H882">
        <v>50</v>
      </c>
      <c r="I882" s="12" t="s">
        <v>24</v>
      </c>
      <c r="J882" s="12" t="s">
        <v>256</v>
      </c>
      <c r="K882" s="12" t="s">
        <v>52</v>
      </c>
      <c r="L882" s="12" t="s">
        <v>450</v>
      </c>
      <c r="M882" s="12" t="s">
        <v>37</v>
      </c>
      <c r="N882" s="14">
        <v>0.18</v>
      </c>
      <c r="O882" s="23">
        <v>194.36</v>
      </c>
      <c r="P882">
        <v>450.71</v>
      </c>
      <c r="Q882" s="12" t="str" cm="1">
        <f t="array" ref="Q882:R882">VLOOKUP(E882,store[],{3,5},FALSE)</f>
        <v>South</v>
      </c>
      <c r="R882" t="str">
        <v>Flagship</v>
      </c>
      <c r="S882" s="4">
        <f t="shared" si="13"/>
        <v>776.72</v>
      </c>
    </row>
    <row r="883" spans="1:19">
      <c r="A883" t="s">
        <v>1625</v>
      </c>
      <c r="B883" s="3">
        <v>45660</v>
      </c>
      <c r="C883" t="s">
        <v>685</v>
      </c>
      <c r="D883" t="s">
        <v>603</v>
      </c>
      <c r="E883" t="s">
        <v>105</v>
      </c>
      <c r="F883">
        <v>3</v>
      </c>
      <c r="G883" t="s">
        <v>50</v>
      </c>
      <c r="H883">
        <v>31</v>
      </c>
      <c r="I883" s="12" t="s">
        <v>24</v>
      </c>
      <c r="J883" s="12" t="s">
        <v>188</v>
      </c>
      <c r="K883" s="12" t="s">
        <v>73</v>
      </c>
      <c r="L883" s="12" t="s">
        <v>604</v>
      </c>
      <c r="M883" s="12" t="s">
        <v>75</v>
      </c>
      <c r="N883" s="14">
        <v>0.21</v>
      </c>
      <c r="O883" s="23">
        <v>476.37</v>
      </c>
      <c r="P883">
        <v>447.43</v>
      </c>
      <c r="Q883" s="12" t="str" cm="1">
        <f t="array" ref="Q883:R883">VLOOKUP(E883,store[],{3,5},FALSE)</f>
        <v>North</v>
      </c>
      <c r="R883" t="str">
        <v>Flagship</v>
      </c>
      <c r="S883" s="4">
        <f t="shared" si="13"/>
        <v>1428.48</v>
      </c>
    </row>
    <row r="884" spans="1:19">
      <c r="A884" t="s">
        <v>1626</v>
      </c>
      <c r="B884" s="3">
        <v>45360</v>
      </c>
      <c r="C884" t="s">
        <v>1152</v>
      </c>
      <c r="D884" t="s">
        <v>295</v>
      </c>
      <c r="E884" t="s">
        <v>58</v>
      </c>
      <c r="F884">
        <v>3</v>
      </c>
      <c r="G884" t="s">
        <v>33</v>
      </c>
      <c r="H884">
        <v>63</v>
      </c>
      <c r="I884" s="12" t="s">
        <v>34</v>
      </c>
      <c r="J884" s="12" t="s">
        <v>444</v>
      </c>
      <c r="K884" s="12" t="s">
        <v>52</v>
      </c>
      <c r="L884" s="12" t="s">
        <v>296</v>
      </c>
      <c r="M884" s="12" t="s">
        <v>37</v>
      </c>
      <c r="N884" s="14">
        <v>0</v>
      </c>
      <c r="O884" s="23">
        <v>174.57</v>
      </c>
      <c r="P884">
        <v>38.520000000000003</v>
      </c>
      <c r="Q884" s="12" t="str" cm="1">
        <f t="array" ref="Q884:R884">VLOOKUP(E884,store[],{3,5},FALSE)</f>
        <v>North</v>
      </c>
      <c r="R884" t="str">
        <v>Outlet</v>
      </c>
      <c r="S884" s="4">
        <f t="shared" si="13"/>
        <v>523.71</v>
      </c>
    </row>
    <row r="885" spans="1:19">
      <c r="A885" t="s">
        <v>1627</v>
      </c>
      <c r="B885" s="3">
        <v>45526</v>
      </c>
      <c r="C885" t="s">
        <v>452</v>
      </c>
      <c r="D885" t="s">
        <v>462</v>
      </c>
      <c r="E885" t="s">
        <v>90</v>
      </c>
      <c r="F885">
        <v>3</v>
      </c>
      <c r="G885" t="s">
        <v>33</v>
      </c>
      <c r="H885">
        <v>40</v>
      </c>
      <c r="I885" s="12" t="s">
        <v>24</v>
      </c>
      <c r="J885" s="12" t="s">
        <v>51</v>
      </c>
      <c r="K885" s="12" t="s">
        <v>73</v>
      </c>
      <c r="L885" s="12" t="s">
        <v>464</v>
      </c>
      <c r="M885" s="12" t="s">
        <v>130</v>
      </c>
      <c r="N885" s="14">
        <v>0.02</v>
      </c>
      <c r="O885" s="23">
        <v>762</v>
      </c>
      <c r="P885">
        <v>119.57</v>
      </c>
      <c r="Q885" s="12" t="str" cm="1">
        <f t="array" ref="Q885:R885">VLOOKUP(E885,store[],{3,5},FALSE)</f>
        <v>East</v>
      </c>
      <c r="R885" t="str">
        <v>Flagship</v>
      </c>
      <c r="S885" s="4">
        <f t="shared" si="13"/>
        <v>2285.94</v>
      </c>
    </row>
    <row r="886" spans="1:19">
      <c r="A886" t="s">
        <v>1628</v>
      </c>
      <c r="B886" s="3">
        <v>45395</v>
      </c>
      <c r="C886" t="s">
        <v>1290</v>
      </c>
      <c r="D886" t="s">
        <v>155</v>
      </c>
      <c r="E886" t="s">
        <v>135</v>
      </c>
      <c r="F886">
        <v>1</v>
      </c>
      <c r="G886" t="s">
        <v>23</v>
      </c>
      <c r="H886">
        <v>40</v>
      </c>
      <c r="I886" s="12" t="s">
        <v>24</v>
      </c>
      <c r="J886" s="12" t="s">
        <v>410</v>
      </c>
      <c r="K886" s="12" t="s">
        <v>73</v>
      </c>
      <c r="L886" s="12" t="s">
        <v>156</v>
      </c>
      <c r="M886" s="12" t="s">
        <v>28</v>
      </c>
      <c r="N886" s="14">
        <v>0.05</v>
      </c>
      <c r="O886" s="23">
        <v>44.08</v>
      </c>
      <c r="P886">
        <v>477.61</v>
      </c>
      <c r="Q886" s="12" t="str" cm="1">
        <f t="array" ref="Q886:R886">VLOOKUP(E886,store[],{3,5},FALSE)</f>
        <v>East</v>
      </c>
      <c r="R886" t="str">
        <v>Online</v>
      </c>
      <c r="S886" s="4">
        <f t="shared" si="13"/>
        <v>44.03</v>
      </c>
    </row>
    <row r="887" spans="1:19">
      <c r="A887" t="s">
        <v>1629</v>
      </c>
      <c r="B887" s="3">
        <v>45466</v>
      </c>
      <c r="C887" t="s">
        <v>697</v>
      </c>
      <c r="D887" t="s">
        <v>57</v>
      </c>
      <c r="E887" t="s">
        <v>149</v>
      </c>
      <c r="F887">
        <v>1</v>
      </c>
      <c r="G887" t="s">
        <v>50</v>
      </c>
      <c r="H887">
        <v>23</v>
      </c>
      <c r="I887" s="12" t="s">
        <v>34</v>
      </c>
      <c r="J887" s="12" t="s">
        <v>373</v>
      </c>
      <c r="K887" s="12" t="s">
        <v>73</v>
      </c>
      <c r="L887" s="12" t="s">
        <v>61</v>
      </c>
      <c r="M887" s="12" t="s">
        <v>46</v>
      </c>
      <c r="N887" s="14">
        <v>0.24</v>
      </c>
      <c r="O887" s="23">
        <v>992.37</v>
      </c>
      <c r="P887">
        <v>17.309999999999999</v>
      </c>
      <c r="Q887" s="12" t="str" cm="1">
        <f t="array" ref="Q887:R887">VLOOKUP(E887,store[],{3,5},FALSE)</f>
        <v>East</v>
      </c>
      <c r="R887" t="str">
        <v>Flagship</v>
      </c>
      <c r="S887" s="4">
        <f t="shared" si="13"/>
        <v>992.13</v>
      </c>
    </row>
    <row r="888" spans="1:19">
      <c r="A888" t="s">
        <v>1630</v>
      </c>
      <c r="B888" s="3">
        <v>45876</v>
      </c>
      <c r="C888" t="s">
        <v>513</v>
      </c>
      <c r="D888" t="s">
        <v>311</v>
      </c>
      <c r="E888" t="s">
        <v>168</v>
      </c>
      <c r="F888">
        <v>3</v>
      </c>
      <c r="G888" t="s">
        <v>50</v>
      </c>
      <c r="H888">
        <v>25</v>
      </c>
      <c r="I888" s="12" t="s">
        <v>34</v>
      </c>
      <c r="J888" s="12" t="s">
        <v>209</v>
      </c>
      <c r="K888" s="12" t="s">
        <v>73</v>
      </c>
      <c r="L888" s="12" t="s">
        <v>312</v>
      </c>
      <c r="M888" s="12" t="s">
        <v>28</v>
      </c>
      <c r="N888" s="14">
        <v>0.28999999999999998</v>
      </c>
      <c r="O888" s="23">
        <v>465.4</v>
      </c>
      <c r="P888">
        <v>204.39</v>
      </c>
      <c r="Q888" s="12" t="str" cm="1">
        <f t="array" ref="Q888:R888">VLOOKUP(E888,store[],{3,5},FALSE)</f>
        <v>East</v>
      </c>
      <c r="R888" t="str">
        <v>Online</v>
      </c>
      <c r="S888" s="4">
        <f t="shared" si="13"/>
        <v>1395.33</v>
      </c>
    </row>
    <row r="889" spans="1:19">
      <c r="A889" t="s">
        <v>1631</v>
      </c>
      <c r="B889" s="3">
        <v>45724</v>
      </c>
      <c r="C889" t="s">
        <v>525</v>
      </c>
      <c r="D889" t="s">
        <v>226</v>
      </c>
      <c r="E889" t="s">
        <v>168</v>
      </c>
      <c r="F889">
        <v>2</v>
      </c>
      <c r="G889" t="s">
        <v>33</v>
      </c>
      <c r="H889">
        <v>40</v>
      </c>
      <c r="I889" s="12" t="s">
        <v>34</v>
      </c>
      <c r="J889" s="12" t="s">
        <v>256</v>
      </c>
      <c r="K889" s="12" t="s">
        <v>73</v>
      </c>
      <c r="L889" s="12" t="s">
        <v>228</v>
      </c>
      <c r="M889" s="12" t="s">
        <v>46</v>
      </c>
      <c r="N889" s="14">
        <v>0.15</v>
      </c>
      <c r="O889" s="23">
        <v>693.61</v>
      </c>
      <c r="P889">
        <v>337.42</v>
      </c>
      <c r="Q889" s="12" t="str" cm="1">
        <f t="array" ref="Q889:R889">VLOOKUP(E889,store[],{3,5},FALSE)</f>
        <v>East</v>
      </c>
      <c r="R889" t="str">
        <v>Online</v>
      </c>
      <c r="S889" s="4">
        <f t="shared" si="13"/>
        <v>1386.92</v>
      </c>
    </row>
    <row r="890" spans="1:19">
      <c r="A890" t="s">
        <v>1632</v>
      </c>
      <c r="B890" s="3">
        <v>45801</v>
      </c>
      <c r="C890" t="s">
        <v>1633</v>
      </c>
      <c r="D890" t="s">
        <v>178</v>
      </c>
      <c r="E890" t="s">
        <v>43</v>
      </c>
      <c r="F890">
        <v>2</v>
      </c>
      <c r="G890" t="s">
        <v>33</v>
      </c>
      <c r="H890">
        <v>28</v>
      </c>
      <c r="I890" s="12" t="s">
        <v>34</v>
      </c>
      <c r="J890" s="12" t="s">
        <v>256</v>
      </c>
      <c r="K890" s="12" t="s">
        <v>60</v>
      </c>
      <c r="L890" s="12" t="s">
        <v>180</v>
      </c>
      <c r="M890" s="12" t="s">
        <v>37</v>
      </c>
      <c r="N890" s="14">
        <v>0.13</v>
      </c>
      <c r="O890" s="23">
        <v>995.11</v>
      </c>
      <c r="P890">
        <v>349.17</v>
      </c>
      <c r="Q890" s="12" t="str" cm="1">
        <f t="array" ref="Q890:R890">VLOOKUP(E890,store[],{3,5},FALSE)</f>
        <v>West</v>
      </c>
      <c r="R890" t="str">
        <v>Online</v>
      </c>
      <c r="S890" s="4">
        <f t="shared" si="13"/>
        <v>1989.96</v>
      </c>
    </row>
    <row r="891" spans="1:19">
      <c r="A891" t="s">
        <v>1634</v>
      </c>
      <c r="B891" s="3">
        <v>45749</v>
      </c>
      <c r="C891" t="s">
        <v>182</v>
      </c>
      <c r="D891" t="s">
        <v>250</v>
      </c>
      <c r="E891" t="s">
        <v>72</v>
      </c>
      <c r="F891">
        <v>3</v>
      </c>
      <c r="G891" t="s">
        <v>50</v>
      </c>
      <c r="H891">
        <v>50</v>
      </c>
      <c r="I891" s="12" t="s">
        <v>24</v>
      </c>
      <c r="J891" s="12" t="s">
        <v>59</v>
      </c>
      <c r="K891" s="12" t="s">
        <v>60</v>
      </c>
      <c r="L891" s="12" t="s">
        <v>252</v>
      </c>
      <c r="M891" s="12" t="s">
        <v>130</v>
      </c>
      <c r="N891" s="14">
        <v>0.06</v>
      </c>
      <c r="O891" s="23">
        <v>70.97</v>
      </c>
      <c r="P891">
        <v>248.82191780821901</v>
      </c>
      <c r="Q891" s="12" t="str" cm="1">
        <f t="array" ref="Q891:R891">VLOOKUP(E891,store[],{3,5},FALSE)</f>
        <v>South</v>
      </c>
      <c r="R891" t="str">
        <v>Online</v>
      </c>
      <c r="S891" s="4">
        <f t="shared" si="13"/>
        <v>212.73</v>
      </c>
    </row>
    <row r="892" spans="1:19">
      <c r="A892" t="s">
        <v>1635</v>
      </c>
      <c r="B892" s="3">
        <v>45325</v>
      </c>
      <c r="C892" t="s">
        <v>529</v>
      </c>
      <c r="D892" t="s">
        <v>359</v>
      </c>
      <c r="E892" t="s">
        <v>127</v>
      </c>
      <c r="F892">
        <v>3</v>
      </c>
      <c r="G892" t="s">
        <v>23</v>
      </c>
      <c r="H892">
        <v>51</v>
      </c>
      <c r="I892" s="12" t="s">
        <v>24</v>
      </c>
      <c r="J892" s="12" t="s">
        <v>222</v>
      </c>
      <c r="K892" s="12" t="s">
        <v>26</v>
      </c>
      <c r="L892" s="12" t="s">
        <v>361</v>
      </c>
      <c r="M892" s="12" t="s">
        <v>46</v>
      </c>
      <c r="N892" s="14">
        <v>0.16</v>
      </c>
      <c r="O892" s="23">
        <v>470.42</v>
      </c>
      <c r="P892">
        <v>289.359375</v>
      </c>
      <c r="Q892" s="12" t="str" cm="1">
        <f t="array" ref="Q892:R892">VLOOKUP(E892,store[],{3,5},FALSE)</f>
        <v>South</v>
      </c>
      <c r="R892" t="str">
        <v>Flagship</v>
      </c>
      <c r="S892" s="4">
        <f t="shared" si="13"/>
        <v>1410.78</v>
      </c>
    </row>
    <row r="893" spans="1:19">
      <c r="A893" t="s">
        <v>1636</v>
      </c>
      <c r="B893" s="3">
        <v>45932</v>
      </c>
      <c r="C893" t="s">
        <v>554</v>
      </c>
      <c r="D893" t="s">
        <v>400</v>
      </c>
      <c r="E893" t="s">
        <v>117</v>
      </c>
      <c r="F893">
        <v>2</v>
      </c>
      <c r="G893" t="s">
        <v>23</v>
      </c>
      <c r="H893">
        <v>53</v>
      </c>
      <c r="I893" s="12" t="s">
        <v>34</v>
      </c>
      <c r="J893" s="12" t="s">
        <v>91</v>
      </c>
      <c r="K893" s="12" t="s">
        <v>60</v>
      </c>
      <c r="L893" s="12" t="s">
        <v>401</v>
      </c>
      <c r="M893" s="12" t="s">
        <v>75</v>
      </c>
      <c r="N893" s="14">
        <v>0.18</v>
      </c>
      <c r="O893" s="23">
        <v>215.59</v>
      </c>
      <c r="P893">
        <v>176.07</v>
      </c>
      <c r="Q893" s="12" t="str" cm="1">
        <f t="array" ref="Q893:R893">VLOOKUP(E893,store[],{3,5},FALSE)</f>
        <v>West</v>
      </c>
      <c r="R893" t="str">
        <v>Flagship</v>
      </c>
      <c r="S893" s="4">
        <f t="shared" si="13"/>
        <v>430.82</v>
      </c>
    </row>
    <row r="894" spans="1:19">
      <c r="A894" t="s">
        <v>1637</v>
      </c>
      <c r="B894" s="3">
        <v>45895</v>
      </c>
      <c r="C894" t="s">
        <v>147</v>
      </c>
      <c r="D894" t="s">
        <v>603</v>
      </c>
      <c r="E894" t="s">
        <v>90</v>
      </c>
      <c r="F894">
        <v>1</v>
      </c>
      <c r="G894" t="s">
        <v>50</v>
      </c>
      <c r="H894">
        <v>58</v>
      </c>
      <c r="I894" s="12" t="s">
        <v>34</v>
      </c>
      <c r="J894" s="12" t="s">
        <v>99</v>
      </c>
      <c r="K894" s="12" t="s">
        <v>52</v>
      </c>
      <c r="L894" s="12" t="s">
        <v>604</v>
      </c>
      <c r="M894" s="12" t="s">
        <v>75</v>
      </c>
      <c r="N894" s="14">
        <v>0.27</v>
      </c>
      <c r="O894" s="23">
        <v>533.79999999999995</v>
      </c>
      <c r="P894">
        <v>447.43</v>
      </c>
      <c r="Q894" s="12" t="str" cm="1">
        <f t="array" ref="Q894:R894">VLOOKUP(E894,store[],{3,5},FALSE)</f>
        <v>East</v>
      </c>
      <c r="R894" t="str">
        <v>Flagship</v>
      </c>
      <c r="S894" s="4">
        <f t="shared" si="13"/>
        <v>533.53</v>
      </c>
    </row>
    <row r="895" spans="1:19">
      <c r="A895" t="s">
        <v>1638</v>
      </c>
      <c r="B895" s="3">
        <v>45614</v>
      </c>
      <c r="C895" t="s">
        <v>546</v>
      </c>
      <c r="D895" t="s">
        <v>579</v>
      </c>
      <c r="E895" t="s">
        <v>22</v>
      </c>
      <c r="F895">
        <v>2</v>
      </c>
      <c r="G895" t="s">
        <v>33</v>
      </c>
      <c r="H895">
        <v>28</v>
      </c>
      <c r="I895" s="12" t="s">
        <v>34</v>
      </c>
      <c r="J895" s="12" t="s">
        <v>457</v>
      </c>
      <c r="K895" s="12" t="s">
        <v>26</v>
      </c>
      <c r="L895" s="12" t="s">
        <v>580</v>
      </c>
      <c r="M895" s="12" t="s">
        <v>46</v>
      </c>
      <c r="N895" s="14">
        <v>0.24</v>
      </c>
      <c r="O895" s="23">
        <v>732.67</v>
      </c>
      <c r="P895">
        <v>283.83</v>
      </c>
      <c r="Q895" s="12" t="str" cm="1">
        <f t="array" ref="Q895:R895">VLOOKUP(E895,store[],{3,5},FALSE)</f>
        <v>North</v>
      </c>
      <c r="R895" t="str">
        <v>Outlet</v>
      </c>
      <c r="S895" s="4">
        <f t="shared" si="13"/>
        <v>1464.86</v>
      </c>
    </row>
    <row r="896" spans="1:19">
      <c r="A896" t="s">
        <v>1639</v>
      </c>
      <c r="B896" s="3">
        <v>45247</v>
      </c>
      <c r="C896" t="s">
        <v>622</v>
      </c>
      <c r="D896" t="s">
        <v>148</v>
      </c>
      <c r="E896" t="s">
        <v>149</v>
      </c>
      <c r="F896">
        <v>4</v>
      </c>
      <c r="G896" t="s">
        <v>50</v>
      </c>
      <c r="H896">
        <v>42</v>
      </c>
      <c r="I896" s="12" t="s">
        <v>34</v>
      </c>
      <c r="J896" s="12" t="s">
        <v>260</v>
      </c>
      <c r="K896" s="12" t="s">
        <v>60</v>
      </c>
      <c r="L896" s="12" t="s">
        <v>150</v>
      </c>
      <c r="M896" s="12" t="s">
        <v>46</v>
      </c>
      <c r="N896" s="14">
        <v>0.1</v>
      </c>
      <c r="O896" s="23">
        <v>106.48</v>
      </c>
      <c r="P896">
        <v>482.75</v>
      </c>
      <c r="Q896" s="12" t="str" cm="1">
        <f t="array" ref="Q896:R896">VLOOKUP(E896,store[],{3,5},FALSE)</f>
        <v>East</v>
      </c>
      <c r="R896" t="str">
        <v>Flagship</v>
      </c>
      <c r="S896" s="4">
        <f t="shared" si="13"/>
        <v>425.52</v>
      </c>
    </row>
    <row r="897" spans="1:19">
      <c r="A897" t="s">
        <v>1640</v>
      </c>
      <c r="B897" s="3">
        <v>45696</v>
      </c>
      <c r="C897" t="s">
        <v>470</v>
      </c>
      <c r="D897" t="s">
        <v>509</v>
      </c>
      <c r="E897" t="s">
        <v>22</v>
      </c>
      <c r="F897">
        <v>1</v>
      </c>
      <c r="G897" t="s">
        <v>23</v>
      </c>
      <c r="H897">
        <v>50</v>
      </c>
      <c r="I897" s="12" t="s">
        <v>34</v>
      </c>
      <c r="J897" s="12" t="s">
        <v>235</v>
      </c>
      <c r="K897" s="12" t="s">
        <v>26</v>
      </c>
      <c r="L897" s="12" t="s">
        <v>511</v>
      </c>
      <c r="M897" s="12" t="s">
        <v>28</v>
      </c>
      <c r="N897" s="14">
        <v>0.28000000000000003</v>
      </c>
      <c r="O897" s="23">
        <v>38.950000000000003</v>
      </c>
      <c r="P897">
        <v>30.62</v>
      </c>
      <c r="Q897" s="12" t="str" cm="1">
        <f t="array" ref="Q897:R897">VLOOKUP(E897,store[],{3,5},FALSE)</f>
        <v>North</v>
      </c>
      <c r="R897" t="str">
        <v>Outlet</v>
      </c>
      <c r="S897" s="4">
        <f t="shared" si="13"/>
        <v>38.67</v>
      </c>
    </row>
    <row r="898" spans="1:19">
      <c r="A898" t="s">
        <v>1641</v>
      </c>
      <c r="B898" s="3">
        <v>45294</v>
      </c>
      <c r="C898" t="s">
        <v>241</v>
      </c>
      <c r="D898" t="s">
        <v>1259</v>
      </c>
      <c r="E898" t="s">
        <v>117</v>
      </c>
      <c r="F898">
        <v>1</v>
      </c>
      <c r="G898" t="s">
        <v>50</v>
      </c>
      <c r="H898">
        <v>27</v>
      </c>
      <c r="I898" s="12" t="s">
        <v>24</v>
      </c>
      <c r="J898" s="12" t="s">
        <v>227</v>
      </c>
      <c r="K898" s="12" t="s">
        <v>52</v>
      </c>
      <c r="L898" s="12" t="s">
        <v>1260</v>
      </c>
      <c r="M898" s="12" t="s">
        <v>130</v>
      </c>
      <c r="N898" s="14">
        <v>0.02</v>
      </c>
      <c r="O898" s="23">
        <v>835.17</v>
      </c>
      <c r="P898">
        <v>358.47</v>
      </c>
      <c r="Q898" s="12" t="str" cm="1">
        <f t="array" ref="Q898:R898">VLOOKUP(E898,store[],{3,5},FALSE)</f>
        <v>West</v>
      </c>
      <c r="R898" t="str">
        <v>Flagship</v>
      </c>
      <c r="S898" s="4">
        <f t="shared" ref="S898:S961" si="14">(O898-N898)*F898</f>
        <v>835.15</v>
      </c>
    </row>
    <row r="899" spans="1:19">
      <c r="A899" t="s">
        <v>1642</v>
      </c>
      <c r="B899" s="3">
        <v>45389</v>
      </c>
      <c r="C899" t="s">
        <v>791</v>
      </c>
      <c r="D899" t="s">
        <v>359</v>
      </c>
      <c r="E899" t="s">
        <v>22</v>
      </c>
      <c r="F899">
        <v>1</v>
      </c>
      <c r="G899" t="s">
        <v>23</v>
      </c>
      <c r="H899">
        <v>54</v>
      </c>
      <c r="I899" s="12" t="s">
        <v>24</v>
      </c>
      <c r="J899" s="12" t="s">
        <v>91</v>
      </c>
      <c r="K899" s="12" t="s">
        <v>26</v>
      </c>
      <c r="L899" s="12" t="s">
        <v>361</v>
      </c>
      <c r="M899" s="12" t="s">
        <v>46</v>
      </c>
      <c r="N899" s="14">
        <v>0.24</v>
      </c>
      <c r="O899" s="23">
        <v>113.07</v>
      </c>
      <c r="P899">
        <v>289.359375</v>
      </c>
      <c r="Q899" s="12" t="str" cm="1">
        <f t="array" ref="Q899:R899">VLOOKUP(E899,store[],{3,5},FALSE)</f>
        <v>North</v>
      </c>
      <c r="R899" t="str">
        <v>Outlet</v>
      </c>
      <c r="S899" s="4">
        <f t="shared" si="14"/>
        <v>112.83</v>
      </c>
    </row>
    <row r="900" spans="1:19">
      <c r="A900" t="s">
        <v>1643</v>
      </c>
      <c r="B900" s="3">
        <v>45930</v>
      </c>
      <c r="C900" t="s">
        <v>819</v>
      </c>
      <c r="D900" t="s">
        <v>242</v>
      </c>
      <c r="E900" t="s">
        <v>208</v>
      </c>
      <c r="F900">
        <v>2</v>
      </c>
      <c r="G900" t="s">
        <v>50</v>
      </c>
      <c r="H900">
        <v>18</v>
      </c>
      <c r="I900" s="12" t="s">
        <v>24</v>
      </c>
      <c r="J900" s="12" t="s">
        <v>510</v>
      </c>
      <c r="K900" s="12" t="s">
        <v>60</v>
      </c>
      <c r="L900" s="12" t="s">
        <v>243</v>
      </c>
      <c r="M900" s="12" t="s">
        <v>46</v>
      </c>
      <c r="N900" s="14">
        <v>0.23</v>
      </c>
      <c r="O900" s="23">
        <v>451.33</v>
      </c>
      <c r="P900">
        <v>358.47</v>
      </c>
      <c r="Q900" s="12" t="str" cm="1">
        <f t="array" ref="Q900:R900">VLOOKUP(E900,store[],{3,5},FALSE)</f>
        <v>North</v>
      </c>
      <c r="R900" t="str">
        <v>Online</v>
      </c>
      <c r="S900" s="4">
        <f t="shared" si="14"/>
        <v>902.2</v>
      </c>
    </row>
    <row r="901" spans="1:19">
      <c r="A901" t="s">
        <v>1644</v>
      </c>
      <c r="B901" s="3">
        <v>45456</v>
      </c>
      <c r="C901" t="s">
        <v>330</v>
      </c>
      <c r="D901" t="s">
        <v>400</v>
      </c>
      <c r="E901" t="s">
        <v>179</v>
      </c>
      <c r="F901">
        <v>3</v>
      </c>
      <c r="G901" t="s">
        <v>50</v>
      </c>
      <c r="H901">
        <v>28</v>
      </c>
      <c r="I901" s="12" t="s">
        <v>24</v>
      </c>
      <c r="J901" s="12" t="s">
        <v>308</v>
      </c>
      <c r="K901" s="12" t="s">
        <v>73</v>
      </c>
      <c r="L901" s="12" t="s">
        <v>401</v>
      </c>
      <c r="M901" s="12" t="s">
        <v>75</v>
      </c>
      <c r="N901" s="14">
        <v>0.16</v>
      </c>
      <c r="O901" s="23">
        <v>619.80999999999995</v>
      </c>
      <c r="P901">
        <v>176.07</v>
      </c>
      <c r="Q901" s="12" t="str" cm="1">
        <f t="array" ref="Q901:R901">VLOOKUP(E901,store[],{3,5},FALSE)</f>
        <v>East</v>
      </c>
      <c r="R901" t="str">
        <v>Online</v>
      </c>
      <c r="S901" s="4">
        <f t="shared" si="14"/>
        <v>1858.95</v>
      </c>
    </row>
    <row r="902" spans="1:19">
      <c r="A902" t="s">
        <v>1645</v>
      </c>
      <c r="B902" s="3">
        <v>45713</v>
      </c>
      <c r="C902" t="s">
        <v>589</v>
      </c>
      <c r="D902" t="s">
        <v>661</v>
      </c>
      <c r="E902" t="s">
        <v>66</v>
      </c>
      <c r="F902">
        <v>4</v>
      </c>
      <c r="G902" t="s">
        <v>33</v>
      </c>
      <c r="H902">
        <v>38</v>
      </c>
      <c r="I902" s="12" t="s">
        <v>24</v>
      </c>
      <c r="J902" s="12" t="s">
        <v>214</v>
      </c>
      <c r="K902" s="12" t="s">
        <v>73</v>
      </c>
      <c r="L902" s="12" t="s">
        <v>662</v>
      </c>
      <c r="M902" s="12" t="s">
        <v>37</v>
      </c>
      <c r="N902" s="14">
        <v>0.26</v>
      </c>
      <c r="O902" s="23">
        <v>46.97</v>
      </c>
      <c r="P902">
        <v>86.42</v>
      </c>
      <c r="Q902" s="12" t="str" cm="1">
        <f t="array" ref="Q902:R902">VLOOKUP(E902,store[],{3,5},FALSE)</f>
        <v>South</v>
      </c>
      <c r="R902" t="str">
        <v>Online</v>
      </c>
      <c r="S902" s="4">
        <f t="shared" si="14"/>
        <v>186.84</v>
      </c>
    </row>
    <row r="903" spans="1:19">
      <c r="A903" t="s">
        <v>1646</v>
      </c>
      <c r="B903" s="3">
        <v>45784</v>
      </c>
      <c r="C903" t="s">
        <v>672</v>
      </c>
      <c r="D903" t="s">
        <v>381</v>
      </c>
      <c r="E903" t="s">
        <v>198</v>
      </c>
      <c r="F903">
        <v>2</v>
      </c>
      <c r="G903" t="s">
        <v>50</v>
      </c>
      <c r="H903">
        <v>46</v>
      </c>
      <c r="I903" s="12" t="s">
        <v>34</v>
      </c>
      <c r="J903" s="12" t="s">
        <v>188</v>
      </c>
      <c r="K903" s="12" t="s">
        <v>60</v>
      </c>
      <c r="L903" s="12" t="s">
        <v>382</v>
      </c>
      <c r="M903" s="12" t="s">
        <v>130</v>
      </c>
      <c r="N903" s="14">
        <v>0.14000000000000001</v>
      </c>
      <c r="O903" s="23">
        <v>71.48</v>
      </c>
      <c r="P903">
        <v>167.34</v>
      </c>
      <c r="Q903" s="12" t="str" cm="1">
        <f t="array" ref="Q903:R903">VLOOKUP(E903,store[],{3,5},FALSE)</f>
        <v>South</v>
      </c>
      <c r="R903" t="str">
        <v>Outlet</v>
      </c>
      <c r="S903" s="4">
        <f t="shared" si="14"/>
        <v>142.68</v>
      </c>
    </row>
    <row r="904" spans="1:19">
      <c r="A904" t="s">
        <v>1647</v>
      </c>
      <c r="B904" s="3">
        <v>45812</v>
      </c>
      <c r="C904" t="s">
        <v>975</v>
      </c>
      <c r="D904" t="s">
        <v>71</v>
      </c>
      <c r="E904" t="s">
        <v>135</v>
      </c>
      <c r="F904">
        <v>2</v>
      </c>
      <c r="G904" t="s">
        <v>23</v>
      </c>
      <c r="H904">
        <v>55</v>
      </c>
      <c r="I904" s="12" t="s">
        <v>24</v>
      </c>
      <c r="J904" s="12" t="s">
        <v>256</v>
      </c>
      <c r="K904" s="12" t="s">
        <v>346</v>
      </c>
      <c r="L904" s="12" t="s">
        <v>74</v>
      </c>
      <c r="M904" s="12" t="s">
        <v>75</v>
      </c>
      <c r="N904" s="14">
        <v>7.0000000000000007E-2</v>
      </c>
      <c r="O904" s="23">
        <v>404.08</v>
      </c>
      <c r="P904">
        <v>461.47</v>
      </c>
      <c r="Q904" s="12" t="str" cm="1">
        <f t="array" ref="Q904:R904">VLOOKUP(E904,store[],{3,5},FALSE)</f>
        <v>East</v>
      </c>
      <c r="R904" t="str">
        <v>Online</v>
      </c>
      <c r="S904" s="4">
        <f t="shared" si="14"/>
        <v>808.02</v>
      </c>
    </row>
    <row r="905" spans="1:19">
      <c r="A905" t="s">
        <v>1648</v>
      </c>
      <c r="B905" s="3">
        <v>45653</v>
      </c>
      <c r="C905" t="s">
        <v>476</v>
      </c>
      <c r="D905" t="s">
        <v>377</v>
      </c>
      <c r="E905" t="s">
        <v>117</v>
      </c>
      <c r="F905">
        <v>1</v>
      </c>
      <c r="G905" t="s">
        <v>50</v>
      </c>
      <c r="H905">
        <v>25</v>
      </c>
      <c r="I905" s="12" t="s">
        <v>24</v>
      </c>
      <c r="J905" s="12" t="s">
        <v>25</v>
      </c>
      <c r="K905" s="12" t="s">
        <v>26</v>
      </c>
      <c r="L905" s="12" t="s">
        <v>379</v>
      </c>
      <c r="M905" s="12" t="s">
        <v>28</v>
      </c>
      <c r="N905" s="14">
        <v>0.05</v>
      </c>
      <c r="O905" s="23">
        <v>519.91</v>
      </c>
      <c r="P905">
        <v>144.53</v>
      </c>
      <c r="Q905" s="12" t="str" cm="1">
        <f t="array" ref="Q905:R905">VLOOKUP(E905,store[],{3,5},FALSE)</f>
        <v>West</v>
      </c>
      <c r="R905" t="str">
        <v>Flagship</v>
      </c>
      <c r="S905" s="4">
        <f t="shared" si="14"/>
        <v>519.86</v>
      </c>
    </row>
    <row r="906" spans="1:19">
      <c r="A906" t="s">
        <v>1649</v>
      </c>
      <c r="B906" s="3">
        <v>45672</v>
      </c>
      <c r="C906" t="s">
        <v>1024</v>
      </c>
      <c r="D906" t="s">
        <v>505</v>
      </c>
      <c r="E906" t="s">
        <v>149</v>
      </c>
      <c r="F906">
        <v>3</v>
      </c>
      <c r="G906" t="s">
        <v>33</v>
      </c>
      <c r="H906">
        <v>46</v>
      </c>
      <c r="I906" s="12" t="s">
        <v>24</v>
      </c>
      <c r="J906" s="12" t="s">
        <v>260</v>
      </c>
      <c r="K906" s="12" t="s">
        <v>52</v>
      </c>
      <c r="L906" s="12" t="s">
        <v>506</v>
      </c>
      <c r="M906" s="12" t="s">
        <v>37</v>
      </c>
      <c r="N906" s="14">
        <v>0.05</v>
      </c>
      <c r="O906" s="23">
        <v>566.16</v>
      </c>
      <c r="P906">
        <v>177.98</v>
      </c>
      <c r="Q906" s="12" t="str" cm="1">
        <f t="array" ref="Q906:R906">VLOOKUP(E906,store[],{3,5},FALSE)</f>
        <v>East</v>
      </c>
      <c r="R906" t="str">
        <v>Flagship</v>
      </c>
      <c r="S906" s="4">
        <f t="shared" si="14"/>
        <v>1698.33</v>
      </c>
    </row>
    <row r="907" spans="1:19">
      <c r="A907" t="s">
        <v>1650</v>
      </c>
      <c r="B907" s="3">
        <v>45799</v>
      </c>
      <c r="C907" t="s">
        <v>1651</v>
      </c>
      <c r="D907" t="s">
        <v>282</v>
      </c>
      <c r="E907" t="s">
        <v>168</v>
      </c>
      <c r="F907">
        <v>2</v>
      </c>
      <c r="G907" t="s">
        <v>50</v>
      </c>
      <c r="H907">
        <v>46</v>
      </c>
      <c r="I907" s="12" t="s">
        <v>24</v>
      </c>
      <c r="J907" s="12" t="s">
        <v>80</v>
      </c>
      <c r="K907" s="12" t="s">
        <v>26</v>
      </c>
      <c r="L907" s="12" t="s">
        <v>283</v>
      </c>
      <c r="M907" s="12" t="s">
        <v>28</v>
      </c>
      <c r="N907" s="14">
        <v>0.09</v>
      </c>
      <c r="O907" s="23">
        <v>295.12</v>
      </c>
      <c r="P907">
        <v>212.26</v>
      </c>
      <c r="Q907" s="12" t="str" cm="1">
        <f t="array" ref="Q907:R907">VLOOKUP(E907,store[],{3,5},FALSE)</f>
        <v>East</v>
      </c>
      <c r="R907" t="str">
        <v>Online</v>
      </c>
      <c r="S907" s="4">
        <f t="shared" si="14"/>
        <v>590.05999999999995</v>
      </c>
    </row>
    <row r="908" spans="1:19">
      <c r="A908" t="s">
        <v>1652</v>
      </c>
      <c r="B908" s="3">
        <v>45848</v>
      </c>
      <c r="C908" t="s">
        <v>1653</v>
      </c>
      <c r="D908" t="s">
        <v>116</v>
      </c>
      <c r="E908" t="s">
        <v>272</v>
      </c>
      <c r="F908">
        <v>2</v>
      </c>
      <c r="G908" t="s">
        <v>33</v>
      </c>
      <c r="H908">
        <v>27</v>
      </c>
      <c r="I908" s="12" t="s">
        <v>24</v>
      </c>
      <c r="J908" s="12" t="s">
        <v>356</v>
      </c>
      <c r="K908" s="12" t="s">
        <v>60</v>
      </c>
      <c r="L908" s="12" t="s">
        <v>119</v>
      </c>
      <c r="M908" s="12" t="s">
        <v>37</v>
      </c>
      <c r="N908" s="14">
        <v>0.25</v>
      </c>
      <c r="O908" s="23">
        <v>414.18</v>
      </c>
      <c r="P908">
        <v>419.28</v>
      </c>
      <c r="Q908" s="12" t="str" cm="1">
        <f t="array" ref="Q908:R908">VLOOKUP(E908,store[],{3,5},FALSE)</f>
        <v>South</v>
      </c>
      <c r="R908" t="str">
        <v>Online</v>
      </c>
      <c r="S908" s="4">
        <f t="shared" si="14"/>
        <v>827.86</v>
      </c>
    </row>
    <row r="909" spans="1:19">
      <c r="A909" t="s">
        <v>1654</v>
      </c>
      <c r="B909" s="3">
        <v>45918</v>
      </c>
      <c r="C909" t="s">
        <v>1655</v>
      </c>
      <c r="D909" t="s">
        <v>714</v>
      </c>
      <c r="E909" t="s">
        <v>43</v>
      </c>
      <c r="F909">
        <v>2</v>
      </c>
      <c r="G909" t="s">
        <v>23</v>
      </c>
      <c r="H909">
        <v>53</v>
      </c>
      <c r="I909" s="12" t="s">
        <v>34</v>
      </c>
      <c r="J909" s="12" t="s">
        <v>510</v>
      </c>
      <c r="K909" s="12" t="s">
        <v>73</v>
      </c>
      <c r="L909" s="12" t="s">
        <v>715</v>
      </c>
      <c r="M909" s="12" t="s">
        <v>130</v>
      </c>
      <c r="N909" s="14">
        <v>0</v>
      </c>
      <c r="O909" s="23">
        <v>433.75</v>
      </c>
      <c r="P909">
        <v>113.83</v>
      </c>
      <c r="Q909" s="12" t="str" cm="1">
        <f t="array" ref="Q909:R909">VLOOKUP(E909,store[],{3,5},FALSE)</f>
        <v>West</v>
      </c>
      <c r="R909" t="str">
        <v>Online</v>
      </c>
      <c r="S909" s="4">
        <f t="shared" si="14"/>
        <v>867.5</v>
      </c>
    </row>
    <row r="910" spans="1:19">
      <c r="A910" t="s">
        <v>1656</v>
      </c>
      <c r="B910" s="3">
        <v>45288</v>
      </c>
      <c r="C910" t="s">
        <v>1379</v>
      </c>
      <c r="D910" t="s">
        <v>462</v>
      </c>
      <c r="E910" t="s">
        <v>135</v>
      </c>
      <c r="F910">
        <v>3</v>
      </c>
      <c r="G910" t="s">
        <v>50</v>
      </c>
      <c r="H910">
        <v>59</v>
      </c>
      <c r="I910" s="12" t="s">
        <v>24</v>
      </c>
      <c r="J910" s="12" t="s">
        <v>440</v>
      </c>
      <c r="K910" s="12" t="s">
        <v>52</v>
      </c>
      <c r="L910" s="12" t="s">
        <v>464</v>
      </c>
      <c r="M910" s="12" t="s">
        <v>130</v>
      </c>
      <c r="N910" s="14">
        <v>0.13</v>
      </c>
      <c r="O910" s="23">
        <v>104.33</v>
      </c>
      <c r="P910">
        <v>119.57</v>
      </c>
      <c r="Q910" s="12" t="str" cm="1">
        <f t="array" ref="Q910:R910">VLOOKUP(E910,store[],{3,5},FALSE)</f>
        <v>East</v>
      </c>
      <c r="R910" t="str">
        <v>Online</v>
      </c>
      <c r="S910" s="4">
        <f t="shared" si="14"/>
        <v>312.60000000000002</v>
      </c>
    </row>
    <row r="911" spans="1:19">
      <c r="A911" t="s">
        <v>1657</v>
      </c>
      <c r="B911" s="3">
        <v>45477</v>
      </c>
      <c r="C911" t="s">
        <v>88</v>
      </c>
      <c r="D911" t="s">
        <v>634</v>
      </c>
      <c r="E911" t="s">
        <v>208</v>
      </c>
      <c r="F911">
        <v>1</v>
      </c>
      <c r="G911" t="s">
        <v>23</v>
      </c>
      <c r="H911">
        <v>45</v>
      </c>
      <c r="I911" s="12" t="s">
        <v>34</v>
      </c>
      <c r="J911" s="12" t="s">
        <v>91</v>
      </c>
      <c r="K911" s="12" t="s">
        <v>52</v>
      </c>
      <c r="L911" s="12" t="s">
        <v>635</v>
      </c>
      <c r="M911" s="12" t="s">
        <v>130</v>
      </c>
      <c r="N911" s="14">
        <v>0.04</v>
      </c>
      <c r="O911" s="23">
        <v>221.7</v>
      </c>
      <c r="P911">
        <v>306.45999999999998</v>
      </c>
      <c r="Q911" s="12" t="str" cm="1">
        <f t="array" ref="Q911:R911">VLOOKUP(E911,store[],{3,5},FALSE)</f>
        <v>North</v>
      </c>
      <c r="R911" t="str">
        <v>Online</v>
      </c>
      <c r="S911" s="4">
        <f t="shared" si="14"/>
        <v>221.66</v>
      </c>
    </row>
    <row r="912" spans="1:19">
      <c r="A912" t="s">
        <v>1658</v>
      </c>
      <c r="B912" s="3">
        <v>45796</v>
      </c>
      <c r="C912" t="s">
        <v>833</v>
      </c>
      <c r="D912" t="s">
        <v>178</v>
      </c>
      <c r="E912" t="s">
        <v>58</v>
      </c>
      <c r="F912">
        <v>2</v>
      </c>
      <c r="G912" t="s">
        <v>50</v>
      </c>
      <c r="H912">
        <v>20</v>
      </c>
      <c r="I912" s="12" t="s">
        <v>34</v>
      </c>
      <c r="J912" s="12" t="s">
        <v>373</v>
      </c>
      <c r="K912" s="12" t="s">
        <v>60</v>
      </c>
      <c r="L912" s="12" t="s">
        <v>180</v>
      </c>
      <c r="M912" s="12" t="s">
        <v>37</v>
      </c>
      <c r="N912" s="14">
        <v>0.14000000000000001</v>
      </c>
      <c r="O912" s="23">
        <v>491.26</v>
      </c>
      <c r="P912">
        <v>349.17</v>
      </c>
      <c r="Q912" s="12" t="str" cm="1">
        <f t="array" ref="Q912:R912">VLOOKUP(E912,store[],{3,5},FALSE)</f>
        <v>North</v>
      </c>
      <c r="R912" t="str">
        <v>Outlet</v>
      </c>
      <c r="S912" s="4">
        <f t="shared" si="14"/>
        <v>982.24</v>
      </c>
    </row>
    <row r="913" spans="1:19">
      <c r="A913" t="s">
        <v>1659</v>
      </c>
      <c r="B913" s="3">
        <v>45630</v>
      </c>
      <c r="C913" t="s">
        <v>1029</v>
      </c>
      <c r="D913" t="s">
        <v>786</v>
      </c>
      <c r="E913" t="s">
        <v>43</v>
      </c>
      <c r="F913">
        <v>4</v>
      </c>
      <c r="G913" t="s">
        <v>23</v>
      </c>
      <c r="H913">
        <v>60</v>
      </c>
      <c r="I913" s="12" t="s">
        <v>24</v>
      </c>
      <c r="J913" s="12" t="s">
        <v>161</v>
      </c>
      <c r="K913" s="12" t="s">
        <v>73</v>
      </c>
      <c r="L913" s="12" t="s">
        <v>787</v>
      </c>
      <c r="M913" s="12" t="s">
        <v>130</v>
      </c>
      <c r="N913" s="14">
        <v>0.15</v>
      </c>
      <c r="O913" s="23">
        <v>923.14</v>
      </c>
      <c r="P913">
        <v>353.47</v>
      </c>
      <c r="Q913" s="12" t="str" cm="1">
        <f t="array" ref="Q913:R913">VLOOKUP(E913,store[],{3,5},FALSE)</f>
        <v>West</v>
      </c>
      <c r="R913" t="str">
        <v>Online</v>
      </c>
      <c r="S913" s="4">
        <f t="shared" si="14"/>
        <v>3691.96</v>
      </c>
    </row>
    <row r="914" spans="1:19">
      <c r="A914" t="s">
        <v>1660</v>
      </c>
      <c r="B914" s="3">
        <v>45625</v>
      </c>
      <c r="C914" t="s">
        <v>1661</v>
      </c>
      <c r="D914" t="s">
        <v>779</v>
      </c>
      <c r="E914" t="s">
        <v>66</v>
      </c>
      <c r="F914">
        <v>2</v>
      </c>
      <c r="G914" t="s">
        <v>23</v>
      </c>
      <c r="H914">
        <v>38</v>
      </c>
      <c r="I914" s="12" t="s">
        <v>24</v>
      </c>
      <c r="J914" s="12" t="s">
        <v>360</v>
      </c>
      <c r="K914" s="12" t="s">
        <v>26</v>
      </c>
      <c r="L914" s="12" t="s">
        <v>780</v>
      </c>
      <c r="M914" s="12" t="s">
        <v>46</v>
      </c>
      <c r="N914" s="14">
        <v>0.08</v>
      </c>
      <c r="O914" s="23">
        <v>747.65</v>
      </c>
      <c r="P914">
        <v>299.11</v>
      </c>
      <c r="Q914" s="12" t="str" cm="1">
        <f t="array" ref="Q914:R914">VLOOKUP(E914,store[],{3,5},FALSE)</f>
        <v>South</v>
      </c>
      <c r="R914" t="str">
        <v>Online</v>
      </c>
      <c r="S914" s="4">
        <f t="shared" si="14"/>
        <v>1495.14</v>
      </c>
    </row>
    <row r="915" spans="1:19">
      <c r="A915" t="s">
        <v>1662</v>
      </c>
      <c r="B915" s="3">
        <v>45773</v>
      </c>
      <c r="C915" t="s">
        <v>1653</v>
      </c>
      <c r="D915" t="s">
        <v>449</v>
      </c>
      <c r="E915" t="s">
        <v>66</v>
      </c>
      <c r="F915">
        <v>3</v>
      </c>
      <c r="G915" t="s">
        <v>50</v>
      </c>
      <c r="H915">
        <v>27</v>
      </c>
      <c r="I915" s="12" t="s">
        <v>24</v>
      </c>
      <c r="J915" s="12" t="s">
        <v>356</v>
      </c>
      <c r="K915" s="12" t="s">
        <v>60</v>
      </c>
      <c r="L915" s="12" t="s">
        <v>450</v>
      </c>
      <c r="M915" s="12" t="s">
        <v>37</v>
      </c>
      <c r="N915" s="14">
        <v>0.13</v>
      </c>
      <c r="O915" s="23">
        <v>94.55</v>
      </c>
      <c r="P915">
        <v>450.71</v>
      </c>
      <c r="Q915" s="12" t="str" cm="1">
        <f t="array" ref="Q915:R915">VLOOKUP(E915,store[],{3,5},FALSE)</f>
        <v>South</v>
      </c>
      <c r="R915" t="str">
        <v>Online</v>
      </c>
      <c r="S915" s="4">
        <f t="shared" si="14"/>
        <v>283.26</v>
      </c>
    </row>
    <row r="916" spans="1:19">
      <c r="A916" t="s">
        <v>1663</v>
      </c>
      <c r="B916" s="3">
        <v>45308</v>
      </c>
      <c r="C916" t="s">
        <v>1004</v>
      </c>
      <c r="D916" t="s">
        <v>65</v>
      </c>
      <c r="E916" t="s">
        <v>135</v>
      </c>
      <c r="F916">
        <v>3</v>
      </c>
      <c r="G916" t="s">
        <v>23</v>
      </c>
      <c r="H916">
        <v>55</v>
      </c>
      <c r="I916" s="12" t="s">
        <v>34</v>
      </c>
      <c r="J916" s="12" t="s">
        <v>209</v>
      </c>
      <c r="K916" s="12" t="s">
        <v>26</v>
      </c>
      <c r="L916" s="12" t="s">
        <v>68</v>
      </c>
      <c r="M916" s="12" t="s">
        <v>37</v>
      </c>
      <c r="N916" s="14">
        <v>0.06</v>
      </c>
      <c r="O916" s="23">
        <v>620.12</v>
      </c>
      <c r="P916">
        <v>465.34</v>
      </c>
      <c r="Q916" s="12" t="str" cm="1">
        <f t="array" ref="Q916:R916">VLOOKUP(E916,store[],{3,5},FALSE)</f>
        <v>East</v>
      </c>
      <c r="R916" t="str">
        <v>Online</v>
      </c>
      <c r="S916" s="4">
        <f t="shared" si="14"/>
        <v>1860.18</v>
      </c>
    </row>
    <row r="917" spans="1:19">
      <c r="A917" t="s">
        <v>1664</v>
      </c>
      <c r="B917" s="3">
        <v>45869</v>
      </c>
      <c r="C917" t="s">
        <v>1367</v>
      </c>
      <c r="D917" t="s">
        <v>167</v>
      </c>
      <c r="E917" t="s">
        <v>179</v>
      </c>
      <c r="F917">
        <v>2</v>
      </c>
      <c r="G917" t="s">
        <v>50</v>
      </c>
      <c r="H917">
        <v>22</v>
      </c>
      <c r="I917" s="12" t="s">
        <v>34</v>
      </c>
      <c r="J917" s="12" t="s">
        <v>35</v>
      </c>
      <c r="K917" s="12" t="s">
        <v>73</v>
      </c>
      <c r="L917" s="12" t="s">
        <v>170</v>
      </c>
      <c r="M917" s="12" t="s">
        <v>130</v>
      </c>
      <c r="N917" s="14">
        <v>0.12</v>
      </c>
      <c r="O917" s="23">
        <v>354.09</v>
      </c>
      <c r="P917">
        <v>218.22</v>
      </c>
      <c r="Q917" s="12" t="str" cm="1">
        <f t="array" ref="Q917:R917">VLOOKUP(E917,store[],{3,5},FALSE)</f>
        <v>East</v>
      </c>
      <c r="R917" t="str">
        <v>Online</v>
      </c>
      <c r="S917" s="4">
        <f t="shared" si="14"/>
        <v>707.94</v>
      </c>
    </row>
    <row r="918" spans="1:19">
      <c r="A918" t="s">
        <v>1665</v>
      </c>
      <c r="B918" s="3">
        <v>45621</v>
      </c>
      <c r="C918" t="s">
        <v>1440</v>
      </c>
      <c r="D918" t="s">
        <v>207</v>
      </c>
      <c r="E918" t="s">
        <v>58</v>
      </c>
      <c r="F918">
        <v>3</v>
      </c>
      <c r="G918" t="s">
        <v>50</v>
      </c>
      <c r="H918">
        <v>29</v>
      </c>
      <c r="I918" s="12" t="s">
        <v>24</v>
      </c>
      <c r="J918" s="12" t="s">
        <v>440</v>
      </c>
      <c r="K918" s="12" t="s">
        <v>52</v>
      </c>
      <c r="L918" s="12" t="s">
        <v>210</v>
      </c>
      <c r="M918" s="12" t="s">
        <v>130</v>
      </c>
      <c r="N918" s="14">
        <v>0.22</v>
      </c>
      <c r="O918" s="23">
        <v>214.94</v>
      </c>
      <c r="P918">
        <v>386.56</v>
      </c>
      <c r="Q918" s="12" t="str" cm="1">
        <f t="array" ref="Q918:R918">VLOOKUP(E918,store[],{3,5},FALSE)</f>
        <v>North</v>
      </c>
      <c r="R918" t="str">
        <v>Outlet</v>
      </c>
      <c r="S918" s="4">
        <f t="shared" si="14"/>
        <v>644.16</v>
      </c>
    </row>
    <row r="919" spans="1:19">
      <c r="A919" t="s">
        <v>1666</v>
      </c>
      <c r="B919" s="3">
        <v>45428</v>
      </c>
      <c r="C919" t="s">
        <v>682</v>
      </c>
      <c r="D919" t="s">
        <v>810</v>
      </c>
      <c r="E919" t="s">
        <v>208</v>
      </c>
      <c r="F919">
        <v>2</v>
      </c>
      <c r="G919" t="s">
        <v>23</v>
      </c>
      <c r="H919">
        <v>46</v>
      </c>
      <c r="I919" s="12" t="s">
        <v>24</v>
      </c>
      <c r="J919" s="12" t="s">
        <v>51</v>
      </c>
      <c r="K919" s="12" t="s">
        <v>73</v>
      </c>
      <c r="L919" s="12" t="s">
        <v>811</v>
      </c>
      <c r="M919" s="12" t="s">
        <v>28</v>
      </c>
      <c r="N919" s="14">
        <v>0.16</v>
      </c>
      <c r="O919" s="23">
        <v>309.77999999999997</v>
      </c>
      <c r="P919">
        <v>495.72</v>
      </c>
      <c r="Q919" s="12" t="str" cm="1">
        <f t="array" ref="Q919:R919">VLOOKUP(E919,store[],{3,5},FALSE)</f>
        <v>North</v>
      </c>
      <c r="R919" t="str">
        <v>Online</v>
      </c>
      <c r="S919" s="4">
        <f t="shared" si="14"/>
        <v>619.24</v>
      </c>
    </row>
    <row r="920" spans="1:19">
      <c r="A920" t="s">
        <v>1667</v>
      </c>
      <c r="B920" s="3">
        <v>45807</v>
      </c>
      <c r="C920" t="s">
        <v>703</v>
      </c>
      <c r="D920" t="s">
        <v>197</v>
      </c>
      <c r="E920" t="s">
        <v>22</v>
      </c>
      <c r="F920">
        <v>2</v>
      </c>
      <c r="G920" t="s">
        <v>33</v>
      </c>
      <c r="H920">
        <v>24</v>
      </c>
      <c r="I920" s="12" t="s">
        <v>34</v>
      </c>
      <c r="J920" s="12" t="s">
        <v>204</v>
      </c>
      <c r="K920" s="12" t="s">
        <v>52</v>
      </c>
      <c r="L920" s="12" t="s">
        <v>200</v>
      </c>
      <c r="M920" s="12" t="s">
        <v>37</v>
      </c>
      <c r="N920" s="14">
        <v>0.14000000000000001</v>
      </c>
      <c r="O920" s="23">
        <v>183.85</v>
      </c>
      <c r="P920">
        <v>242.23</v>
      </c>
      <c r="Q920" s="12" t="str" cm="1">
        <f t="array" ref="Q920:R920">VLOOKUP(E920,store[],{3,5},FALSE)</f>
        <v>North</v>
      </c>
      <c r="R920" t="str">
        <v>Outlet</v>
      </c>
      <c r="S920" s="4">
        <f t="shared" si="14"/>
        <v>367.42</v>
      </c>
    </row>
    <row r="921" spans="1:19">
      <c r="A921" t="s">
        <v>1668</v>
      </c>
      <c r="B921" s="3">
        <v>45238</v>
      </c>
      <c r="C921" t="s">
        <v>20</v>
      </c>
      <c r="D921" t="s">
        <v>79</v>
      </c>
      <c r="E921" t="s">
        <v>90</v>
      </c>
      <c r="F921">
        <v>1</v>
      </c>
      <c r="G921" t="s">
        <v>23</v>
      </c>
      <c r="H921">
        <v>55</v>
      </c>
      <c r="I921" s="12" t="s">
        <v>24</v>
      </c>
      <c r="J921" s="12" t="s">
        <v>25</v>
      </c>
      <c r="K921" s="12" t="s">
        <v>26</v>
      </c>
      <c r="L921" s="12" t="s">
        <v>81</v>
      </c>
      <c r="M921" s="12" t="s">
        <v>75</v>
      </c>
      <c r="N921" s="14">
        <v>0.01</v>
      </c>
      <c r="O921" s="23">
        <v>550.05999999999995</v>
      </c>
      <c r="P921">
        <v>138.05000000000001</v>
      </c>
      <c r="Q921" s="12" t="str" cm="1">
        <f t="array" ref="Q921:R921">VLOOKUP(E921,store[],{3,5},FALSE)</f>
        <v>East</v>
      </c>
      <c r="R921" t="str">
        <v>Flagship</v>
      </c>
      <c r="S921" s="4">
        <f t="shared" si="14"/>
        <v>550.04999999999995</v>
      </c>
    </row>
    <row r="922" spans="1:19">
      <c r="A922" t="s">
        <v>1669</v>
      </c>
      <c r="B922" s="3">
        <v>45253</v>
      </c>
      <c r="C922" t="s">
        <v>434</v>
      </c>
      <c r="D922" t="s">
        <v>221</v>
      </c>
      <c r="E922" t="s">
        <v>72</v>
      </c>
      <c r="F922">
        <v>2</v>
      </c>
      <c r="G922" t="s">
        <v>50</v>
      </c>
      <c r="H922">
        <v>54</v>
      </c>
      <c r="I922" s="12" t="s">
        <v>34</v>
      </c>
      <c r="J922" s="12" t="s">
        <v>227</v>
      </c>
      <c r="K922" s="12" t="s">
        <v>60</v>
      </c>
      <c r="L922" s="12" t="s">
        <v>223</v>
      </c>
      <c r="M922" s="12" t="s">
        <v>75</v>
      </c>
      <c r="N922" s="14">
        <v>0.13</v>
      </c>
      <c r="O922" s="23">
        <v>32.19</v>
      </c>
      <c r="P922">
        <v>228.53</v>
      </c>
      <c r="Q922" s="12" t="str" cm="1">
        <f t="array" ref="Q922:R922">VLOOKUP(E922,store[],{3,5},FALSE)</f>
        <v>South</v>
      </c>
      <c r="R922" t="str">
        <v>Online</v>
      </c>
      <c r="S922" s="4">
        <f t="shared" si="14"/>
        <v>64.12</v>
      </c>
    </row>
    <row r="923" spans="1:19">
      <c r="A923" t="s">
        <v>1670</v>
      </c>
      <c r="B923" s="3">
        <v>45460</v>
      </c>
      <c r="C923" t="s">
        <v>641</v>
      </c>
      <c r="D923" t="s">
        <v>89</v>
      </c>
      <c r="E923" t="s">
        <v>135</v>
      </c>
      <c r="F923">
        <v>2</v>
      </c>
      <c r="G923" t="s">
        <v>23</v>
      </c>
      <c r="H923">
        <v>43</v>
      </c>
      <c r="I923" s="12" t="s">
        <v>24</v>
      </c>
      <c r="J923" s="12" t="s">
        <v>498</v>
      </c>
      <c r="K923" s="12" t="s">
        <v>26</v>
      </c>
      <c r="L923" s="12" t="s">
        <v>92</v>
      </c>
      <c r="M923" s="12" t="s">
        <v>75</v>
      </c>
      <c r="N923" s="14">
        <v>0.08</v>
      </c>
      <c r="O923" s="23">
        <v>892.06</v>
      </c>
      <c r="P923">
        <v>179.77</v>
      </c>
      <c r="Q923" s="12" t="str" cm="1">
        <f t="array" ref="Q923:R923">VLOOKUP(E923,store[],{3,5},FALSE)</f>
        <v>East</v>
      </c>
      <c r="R923" t="str">
        <v>Online</v>
      </c>
      <c r="S923" s="4">
        <f t="shared" si="14"/>
        <v>1783.96</v>
      </c>
    </row>
    <row r="924" spans="1:19">
      <c r="A924" t="s">
        <v>1671</v>
      </c>
      <c r="B924" s="3">
        <v>45628</v>
      </c>
      <c r="C924" t="s">
        <v>664</v>
      </c>
      <c r="D924" t="s">
        <v>714</v>
      </c>
      <c r="E924" t="s">
        <v>179</v>
      </c>
      <c r="F924">
        <v>1</v>
      </c>
      <c r="G924" t="s">
        <v>50</v>
      </c>
      <c r="H924">
        <v>42</v>
      </c>
      <c r="I924" s="12" t="s">
        <v>24</v>
      </c>
      <c r="J924" s="12" t="s">
        <v>463</v>
      </c>
      <c r="K924" s="12" t="s">
        <v>60</v>
      </c>
      <c r="L924" s="12" t="s">
        <v>715</v>
      </c>
      <c r="M924" s="12" t="s">
        <v>130</v>
      </c>
      <c r="N924" s="14">
        <v>0.16</v>
      </c>
      <c r="O924" s="23">
        <v>127.47</v>
      </c>
      <c r="P924">
        <v>113.83</v>
      </c>
      <c r="Q924" s="12" t="str" cm="1">
        <f t="array" ref="Q924:R924">VLOOKUP(E924,store[],{3,5},FALSE)</f>
        <v>East</v>
      </c>
      <c r="R924" t="str">
        <v>Online</v>
      </c>
      <c r="S924" s="4">
        <f t="shared" si="14"/>
        <v>127.31</v>
      </c>
    </row>
    <row r="925" spans="1:19">
      <c r="A925" t="s">
        <v>1672</v>
      </c>
      <c r="B925" s="3">
        <v>45778</v>
      </c>
      <c r="C925" t="s">
        <v>1187</v>
      </c>
      <c r="D925" t="s">
        <v>192</v>
      </c>
      <c r="E925" t="s">
        <v>98</v>
      </c>
      <c r="F925">
        <v>3</v>
      </c>
      <c r="G925" t="s">
        <v>23</v>
      </c>
      <c r="H925">
        <v>53</v>
      </c>
      <c r="I925" s="12" t="s">
        <v>24</v>
      </c>
      <c r="J925" s="12" t="s">
        <v>80</v>
      </c>
      <c r="K925" s="12" t="s">
        <v>52</v>
      </c>
      <c r="L925" s="12" t="s">
        <v>194</v>
      </c>
      <c r="M925" s="12" t="s">
        <v>37</v>
      </c>
      <c r="N925" s="14">
        <v>0.18</v>
      </c>
      <c r="O925" s="23">
        <v>212.87</v>
      </c>
      <c r="P925">
        <v>480.9</v>
      </c>
      <c r="Q925" s="12" t="str" cm="1">
        <f t="array" ref="Q925:R925">VLOOKUP(E925,store[],{3,5},FALSE)</f>
        <v>South</v>
      </c>
      <c r="R925" t="str">
        <v>Outlet</v>
      </c>
      <c r="S925" s="4">
        <f t="shared" si="14"/>
        <v>638.07000000000005</v>
      </c>
    </row>
    <row r="926" spans="1:19">
      <c r="A926" t="s">
        <v>1673</v>
      </c>
      <c r="B926" s="3">
        <v>45471</v>
      </c>
      <c r="C926" t="s">
        <v>1029</v>
      </c>
      <c r="D926" t="s">
        <v>630</v>
      </c>
      <c r="E926" t="s">
        <v>66</v>
      </c>
      <c r="F926">
        <v>1</v>
      </c>
      <c r="G926" t="s">
        <v>50</v>
      </c>
      <c r="H926">
        <v>60</v>
      </c>
      <c r="I926" s="12" t="s">
        <v>24</v>
      </c>
      <c r="J926" s="12" t="s">
        <v>161</v>
      </c>
      <c r="K926" s="12" t="s">
        <v>73</v>
      </c>
      <c r="L926" s="12" t="s">
        <v>631</v>
      </c>
      <c r="M926" s="12" t="s">
        <v>28</v>
      </c>
      <c r="N926" s="14">
        <v>0.3</v>
      </c>
      <c r="O926" s="23">
        <v>26.37</v>
      </c>
      <c r="P926">
        <v>285.54000000000002</v>
      </c>
      <c r="Q926" s="12" t="str" cm="1">
        <f t="array" ref="Q926:R926">VLOOKUP(E926,store[],{3,5},FALSE)</f>
        <v>South</v>
      </c>
      <c r="R926" t="str">
        <v>Online</v>
      </c>
      <c r="S926" s="4">
        <f t="shared" si="14"/>
        <v>26.07</v>
      </c>
    </row>
    <row r="927" spans="1:19">
      <c r="A927" t="s">
        <v>1674</v>
      </c>
      <c r="B927" s="3">
        <v>45770</v>
      </c>
      <c r="C927" t="s">
        <v>819</v>
      </c>
      <c r="D927" t="s">
        <v>116</v>
      </c>
      <c r="E927" t="s">
        <v>160</v>
      </c>
      <c r="F927">
        <v>4</v>
      </c>
      <c r="G927" t="s">
        <v>23</v>
      </c>
      <c r="H927">
        <v>18</v>
      </c>
      <c r="I927" s="12" t="s">
        <v>24</v>
      </c>
      <c r="J927" s="12" t="s">
        <v>510</v>
      </c>
      <c r="K927" s="12" t="s">
        <v>60</v>
      </c>
      <c r="L927" s="12" t="s">
        <v>119</v>
      </c>
      <c r="M927" s="12" t="s">
        <v>37</v>
      </c>
      <c r="N927" s="14">
        <v>0.16</v>
      </c>
      <c r="O927" s="23">
        <v>953.98</v>
      </c>
      <c r="P927">
        <v>419.28</v>
      </c>
      <c r="Q927" s="12" t="str" cm="1">
        <f t="array" ref="Q927:R927">VLOOKUP(E927,store[],{3,5},FALSE)</f>
        <v>East</v>
      </c>
      <c r="R927" t="str">
        <v>Flagship</v>
      </c>
      <c r="S927" s="4">
        <f t="shared" si="14"/>
        <v>3815.28</v>
      </c>
    </row>
    <row r="928" spans="1:19">
      <c r="A928" t="s">
        <v>1675</v>
      </c>
      <c r="B928" s="3">
        <v>45369</v>
      </c>
      <c r="C928" t="s">
        <v>1071</v>
      </c>
      <c r="D928" t="s">
        <v>178</v>
      </c>
      <c r="E928" t="s">
        <v>135</v>
      </c>
      <c r="F928">
        <v>3</v>
      </c>
      <c r="G928" t="s">
        <v>23</v>
      </c>
      <c r="H928">
        <v>50</v>
      </c>
      <c r="I928" s="12" t="s">
        <v>34</v>
      </c>
      <c r="J928" s="12" t="s">
        <v>609</v>
      </c>
      <c r="K928" s="12" t="s">
        <v>26</v>
      </c>
      <c r="L928" s="12" t="s">
        <v>180</v>
      </c>
      <c r="M928" s="12" t="s">
        <v>37</v>
      </c>
      <c r="N928" s="14">
        <v>0.15</v>
      </c>
      <c r="O928" s="23">
        <v>968.88</v>
      </c>
      <c r="P928">
        <v>349.17</v>
      </c>
      <c r="Q928" s="12" t="str" cm="1">
        <f t="array" ref="Q928:R928">VLOOKUP(E928,store[],{3,5},FALSE)</f>
        <v>East</v>
      </c>
      <c r="R928" t="str">
        <v>Online</v>
      </c>
      <c r="S928" s="4">
        <f t="shared" si="14"/>
        <v>2906.19</v>
      </c>
    </row>
    <row r="929" spans="1:19">
      <c r="A929" t="s">
        <v>1676</v>
      </c>
      <c r="B929" s="3">
        <v>45910</v>
      </c>
      <c r="C929" t="s">
        <v>84</v>
      </c>
      <c r="D929" t="s">
        <v>49</v>
      </c>
      <c r="E929" t="s">
        <v>160</v>
      </c>
      <c r="F929">
        <v>1</v>
      </c>
      <c r="G929" t="s">
        <v>33</v>
      </c>
      <c r="H929">
        <v>60</v>
      </c>
      <c r="I929" s="12" t="s">
        <v>34</v>
      </c>
      <c r="J929" s="12" t="s">
        <v>59</v>
      </c>
      <c r="K929" s="12" t="s">
        <v>52</v>
      </c>
      <c r="L929" s="12" t="s">
        <v>53</v>
      </c>
      <c r="M929" s="12" t="s">
        <v>37</v>
      </c>
      <c r="N929" s="14">
        <v>0.11</v>
      </c>
      <c r="O929" s="23">
        <v>533.04999999999995</v>
      </c>
      <c r="P929">
        <v>392.89</v>
      </c>
      <c r="Q929" s="12" t="str" cm="1">
        <f t="array" ref="Q929:R929">VLOOKUP(E929,store[],{3,5},FALSE)</f>
        <v>East</v>
      </c>
      <c r="R929" t="str">
        <v>Flagship</v>
      </c>
      <c r="S929" s="4">
        <f t="shared" si="14"/>
        <v>532.94000000000005</v>
      </c>
    </row>
    <row r="930" spans="1:19">
      <c r="A930" t="s">
        <v>1677</v>
      </c>
      <c r="B930" s="3">
        <v>45637</v>
      </c>
      <c r="C930" t="s">
        <v>182</v>
      </c>
      <c r="D930" t="s">
        <v>630</v>
      </c>
      <c r="E930" t="s">
        <v>105</v>
      </c>
      <c r="F930">
        <v>3</v>
      </c>
      <c r="G930" t="s">
        <v>33</v>
      </c>
      <c r="H930">
        <v>50</v>
      </c>
      <c r="I930" s="12" t="s">
        <v>24</v>
      </c>
      <c r="J930" s="12" t="s">
        <v>59</v>
      </c>
      <c r="K930" s="12" t="s">
        <v>60</v>
      </c>
      <c r="L930" s="12" t="s">
        <v>631</v>
      </c>
      <c r="M930" s="12" t="s">
        <v>28</v>
      </c>
      <c r="N930" s="14">
        <v>0.11</v>
      </c>
      <c r="O930" s="23">
        <v>138.86000000000001</v>
      </c>
      <c r="P930">
        <v>285.54000000000002</v>
      </c>
      <c r="Q930" s="12" t="str" cm="1">
        <f t="array" ref="Q930:R930">VLOOKUP(E930,store[],{3,5},FALSE)</f>
        <v>North</v>
      </c>
      <c r="R930" t="str">
        <v>Flagship</v>
      </c>
      <c r="S930" s="4">
        <f t="shared" si="14"/>
        <v>416.25</v>
      </c>
    </row>
    <row r="931" spans="1:19">
      <c r="A931" t="s">
        <v>1678</v>
      </c>
      <c r="B931" s="3">
        <v>45706</v>
      </c>
      <c r="C931" t="s">
        <v>1045</v>
      </c>
      <c r="D931" t="s">
        <v>443</v>
      </c>
      <c r="E931" t="s">
        <v>90</v>
      </c>
      <c r="F931">
        <v>1</v>
      </c>
      <c r="G931" t="s">
        <v>50</v>
      </c>
      <c r="H931">
        <v>46</v>
      </c>
      <c r="I931" s="12" t="s">
        <v>34</v>
      </c>
      <c r="J931" s="12" t="s">
        <v>204</v>
      </c>
      <c r="K931" s="12" t="s">
        <v>26</v>
      </c>
      <c r="L931" s="12" t="s">
        <v>445</v>
      </c>
      <c r="M931" s="12" t="s">
        <v>28</v>
      </c>
      <c r="N931" s="14">
        <v>0.03</v>
      </c>
      <c r="O931" s="23">
        <v>588.92999999999995</v>
      </c>
      <c r="P931">
        <v>484.62</v>
      </c>
      <c r="Q931" s="12" t="str" cm="1">
        <f t="array" ref="Q931:R931">VLOOKUP(E931,store[],{3,5},FALSE)</f>
        <v>East</v>
      </c>
      <c r="R931" t="str">
        <v>Flagship</v>
      </c>
      <c r="S931" s="4">
        <f t="shared" si="14"/>
        <v>588.9</v>
      </c>
    </row>
    <row r="932" spans="1:19">
      <c r="A932" t="s">
        <v>1679</v>
      </c>
      <c r="B932" s="3">
        <v>45557</v>
      </c>
      <c r="C932" t="s">
        <v>376</v>
      </c>
      <c r="D932" t="s">
        <v>282</v>
      </c>
      <c r="E932" t="s">
        <v>58</v>
      </c>
      <c r="F932">
        <v>2</v>
      </c>
      <c r="G932" t="s">
        <v>33</v>
      </c>
      <c r="H932">
        <v>34</v>
      </c>
      <c r="I932" s="12" t="s">
        <v>24</v>
      </c>
      <c r="J932" s="12" t="s">
        <v>378</v>
      </c>
      <c r="K932" s="12" t="s">
        <v>73</v>
      </c>
      <c r="L932" s="12" t="s">
        <v>283</v>
      </c>
      <c r="M932" s="12" t="s">
        <v>28</v>
      </c>
      <c r="N932" s="14">
        <v>0.19</v>
      </c>
      <c r="O932" s="23">
        <v>576.83000000000004</v>
      </c>
      <c r="P932">
        <v>212.26</v>
      </c>
      <c r="Q932" s="12" t="str" cm="1">
        <f t="array" ref="Q932:R932">VLOOKUP(E932,store[],{3,5},FALSE)</f>
        <v>North</v>
      </c>
      <c r="R932" t="str">
        <v>Outlet</v>
      </c>
      <c r="S932" s="4">
        <f t="shared" si="14"/>
        <v>1153.28</v>
      </c>
    </row>
    <row r="933" spans="1:19">
      <c r="A933" t="s">
        <v>1680</v>
      </c>
      <c r="B933" s="3">
        <v>45338</v>
      </c>
      <c r="C933" t="s">
        <v>648</v>
      </c>
      <c r="D933" t="s">
        <v>134</v>
      </c>
      <c r="E933" t="s">
        <v>208</v>
      </c>
      <c r="F933">
        <v>1</v>
      </c>
      <c r="G933" t="s">
        <v>23</v>
      </c>
      <c r="H933">
        <v>64</v>
      </c>
      <c r="I933" s="12" t="s">
        <v>34</v>
      </c>
      <c r="J933" s="12" t="s">
        <v>256</v>
      </c>
      <c r="K933" s="12" t="s">
        <v>52</v>
      </c>
      <c r="L933" s="12" t="s">
        <v>136</v>
      </c>
      <c r="M933" s="12" t="s">
        <v>28</v>
      </c>
      <c r="N933" s="14">
        <v>0.05</v>
      </c>
      <c r="O933" s="23">
        <v>681.3</v>
      </c>
      <c r="P933">
        <v>240.63</v>
      </c>
      <c r="Q933" s="12" t="str" cm="1">
        <f t="array" ref="Q933:R933">VLOOKUP(E933,store[],{3,5},FALSE)</f>
        <v>North</v>
      </c>
      <c r="R933" t="str">
        <v>Online</v>
      </c>
      <c r="S933" s="4">
        <f t="shared" si="14"/>
        <v>681.25</v>
      </c>
    </row>
    <row r="934" spans="1:19">
      <c r="A934" t="s">
        <v>1681</v>
      </c>
      <c r="B934" s="3">
        <v>45441</v>
      </c>
      <c r="C934" t="s">
        <v>1582</v>
      </c>
      <c r="D934" t="s">
        <v>425</v>
      </c>
      <c r="E934" t="s">
        <v>122</v>
      </c>
      <c r="F934">
        <v>3</v>
      </c>
      <c r="G934" t="s">
        <v>23</v>
      </c>
      <c r="H934">
        <v>59</v>
      </c>
      <c r="I934" s="12" t="s">
        <v>24</v>
      </c>
      <c r="J934" s="12" t="s">
        <v>239</v>
      </c>
      <c r="K934" s="12" t="s">
        <v>52</v>
      </c>
      <c r="L934" s="12" t="s">
        <v>426</v>
      </c>
      <c r="M934" s="12" t="s">
        <v>130</v>
      </c>
      <c r="N934" s="14">
        <v>0.3</v>
      </c>
      <c r="O934" s="23">
        <v>504.97</v>
      </c>
      <c r="P934">
        <v>174.02</v>
      </c>
      <c r="Q934" s="12" t="str" cm="1">
        <f t="array" ref="Q934:R934">VLOOKUP(E934,store[],{3,5},FALSE)</f>
        <v>North</v>
      </c>
      <c r="R934" t="str">
        <v>Flagship</v>
      </c>
      <c r="S934" s="4">
        <f t="shared" si="14"/>
        <v>1514.01</v>
      </c>
    </row>
    <row r="935" spans="1:19">
      <c r="A935" t="s">
        <v>1682</v>
      </c>
      <c r="B935" s="3">
        <v>45396</v>
      </c>
      <c r="C935" t="s">
        <v>1683</v>
      </c>
      <c r="D935" t="s">
        <v>340</v>
      </c>
      <c r="E935" t="s">
        <v>272</v>
      </c>
      <c r="F935">
        <v>3</v>
      </c>
      <c r="G935" t="s">
        <v>33</v>
      </c>
      <c r="H935">
        <v>22</v>
      </c>
      <c r="I935" s="12" t="s">
        <v>34</v>
      </c>
      <c r="J935" s="12" t="s">
        <v>444</v>
      </c>
      <c r="K935" s="12" t="s">
        <v>60</v>
      </c>
      <c r="L935" s="12" t="s">
        <v>341</v>
      </c>
      <c r="M935" s="12" t="s">
        <v>28</v>
      </c>
      <c r="N935" s="14">
        <v>0.1</v>
      </c>
      <c r="O935" s="23">
        <v>649.78</v>
      </c>
      <c r="P935">
        <v>135.61000000000001</v>
      </c>
      <c r="Q935" s="12" t="str" cm="1">
        <f t="array" ref="Q935:R935">VLOOKUP(E935,store[],{3,5},FALSE)</f>
        <v>South</v>
      </c>
      <c r="R935" t="str">
        <v>Online</v>
      </c>
      <c r="S935" s="4">
        <f t="shared" si="14"/>
        <v>1949.04</v>
      </c>
    </row>
    <row r="936" spans="1:19">
      <c r="A936" t="s">
        <v>1684</v>
      </c>
      <c r="B936" s="3">
        <v>45317</v>
      </c>
      <c r="C936" t="s">
        <v>1685</v>
      </c>
      <c r="D936" t="s">
        <v>104</v>
      </c>
      <c r="E936" t="s">
        <v>127</v>
      </c>
      <c r="F936">
        <v>2</v>
      </c>
      <c r="G936" t="s">
        <v>33</v>
      </c>
      <c r="H936">
        <v>57</v>
      </c>
      <c r="I936" s="12" t="s">
        <v>34</v>
      </c>
      <c r="J936" s="12" t="s">
        <v>209</v>
      </c>
      <c r="K936" s="12" t="s">
        <v>52</v>
      </c>
      <c r="L936" s="12" t="s">
        <v>107</v>
      </c>
      <c r="M936" s="12" t="s">
        <v>37</v>
      </c>
      <c r="N936" s="14">
        <v>0.05</v>
      </c>
      <c r="O936" s="23">
        <v>986.73</v>
      </c>
      <c r="P936">
        <v>326.06</v>
      </c>
      <c r="Q936" s="12" t="str" cm="1">
        <f t="array" ref="Q936:R936">VLOOKUP(E936,store[],{3,5},FALSE)</f>
        <v>South</v>
      </c>
      <c r="R936" t="str">
        <v>Flagship</v>
      </c>
      <c r="S936" s="4">
        <f t="shared" si="14"/>
        <v>1973.36</v>
      </c>
    </row>
    <row r="937" spans="1:19">
      <c r="A937" t="s">
        <v>1686</v>
      </c>
      <c r="B937" s="3">
        <v>45235</v>
      </c>
      <c r="C937" t="s">
        <v>452</v>
      </c>
      <c r="D937" t="s">
        <v>197</v>
      </c>
      <c r="E937" t="s">
        <v>122</v>
      </c>
      <c r="F937">
        <v>2</v>
      </c>
      <c r="G937" t="s">
        <v>33</v>
      </c>
      <c r="H937">
        <v>40</v>
      </c>
      <c r="I937" s="12" t="s">
        <v>24</v>
      </c>
      <c r="J937" s="12" t="s">
        <v>51</v>
      </c>
      <c r="K937" s="12" t="s">
        <v>73</v>
      </c>
      <c r="L937" s="12" t="s">
        <v>200</v>
      </c>
      <c r="M937" s="12" t="s">
        <v>37</v>
      </c>
      <c r="N937" s="14">
        <v>0.05</v>
      </c>
      <c r="O937" s="23">
        <v>65.44</v>
      </c>
      <c r="P937">
        <v>242.23</v>
      </c>
      <c r="Q937" s="12" t="str" cm="1">
        <f t="array" ref="Q937:R937">VLOOKUP(E937,store[],{3,5},FALSE)</f>
        <v>North</v>
      </c>
      <c r="R937" t="str">
        <v>Flagship</v>
      </c>
      <c r="S937" s="4">
        <f t="shared" si="14"/>
        <v>130.78</v>
      </c>
    </row>
    <row r="938" spans="1:19">
      <c r="A938" t="s">
        <v>1687</v>
      </c>
      <c r="B938" s="3">
        <v>45824</v>
      </c>
      <c r="C938" t="s">
        <v>1017</v>
      </c>
      <c r="D938" t="s">
        <v>625</v>
      </c>
      <c r="E938" t="s">
        <v>149</v>
      </c>
      <c r="F938">
        <v>3</v>
      </c>
      <c r="G938" t="s">
        <v>23</v>
      </c>
      <c r="H938">
        <v>27</v>
      </c>
      <c r="I938" s="12" t="s">
        <v>34</v>
      </c>
      <c r="J938" s="12" t="s">
        <v>457</v>
      </c>
      <c r="K938" s="12" t="s">
        <v>60</v>
      </c>
      <c r="L938" s="12" t="s">
        <v>626</v>
      </c>
      <c r="M938" s="12" t="s">
        <v>46</v>
      </c>
      <c r="N938" s="14">
        <v>0.04</v>
      </c>
      <c r="O938" s="23">
        <v>953.74</v>
      </c>
      <c r="P938">
        <v>266.86</v>
      </c>
      <c r="Q938" s="12" t="str" cm="1">
        <f t="array" ref="Q938:R938">VLOOKUP(E938,store[],{3,5},FALSE)</f>
        <v>East</v>
      </c>
      <c r="R938" t="str">
        <v>Flagship</v>
      </c>
      <c r="S938" s="4">
        <f t="shared" si="14"/>
        <v>2861.1</v>
      </c>
    </row>
    <row r="939" spans="1:19">
      <c r="A939" t="s">
        <v>1688</v>
      </c>
      <c r="B939" s="3">
        <v>45543</v>
      </c>
      <c r="C939" t="s">
        <v>468</v>
      </c>
      <c r="D939" t="s">
        <v>49</v>
      </c>
      <c r="E939" t="s">
        <v>168</v>
      </c>
      <c r="F939">
        <v>3</v>
      </c>
      <c r="G939" t="s">
        <v>33</v>
      </c>
      <c r="H939">
        <v>58</v>
      </c>
      <c r="I939" s="12" t="s">
        <v>24</v>
      </c>
      <c r="J939" s="12" t="s">
        <v>235</v>
      </c>
      <c r="K939" s="12" t="s">
        <v>60</v>
      </c>
      <c r="L939" s="12" t="s">
        <v>53</v>
      </c>
      <c r="M939" s="12" t="s">
        <v>37</v>
      </c>
      <c r="N939" s="14">
        <v>0.21</v>
      </c>
      <c r="O939" s="23">
        <v>904.48</v>
      </c>
      <c r="P939">
        <v>392.89</v>
      </c>
      <c r="Q939" s="12" t="str" cm="1">
        <f t="array" ref="Q939:R939">VLOOKUP(E939,store[],{3,5},FALSE)</f>
        <v>East</v>
      </c>
      <c r="R939" t="str">
        <v>Online</v>
      </c>
      <c r="S939" s="4">
        <f t="shared" si="14"/>
        <v>2712.81</v>
      </c>
    </row>
    <row r="940" spans="1:19">
      <c r="A940" t="s">
        <v>1689</v>
      </c>
      <c r="B940" s="3">
        <v>45595</v>
      </c>
      <c r="C940" t="s">
        <v>233</v>
      </c>
      <c r="D940" t="s">
        <v>661</v>
      </c>
      <c r="E940" t="s">
        <v>122</v>
      </c>
      <c r="F940">
        <v>3</v>
      </c>
      <c r="G940" t="s">
        <v>33</v>
      </c>
      <c r="H940">
        <v>59</v>
      </c>
      <c r="I940" s="12" t="s">
        <v>34</v>
      </c>
      <c r="J940" s="12" t="s">
        <v>235</v>
      </c>
      <c r="K940" s="12" t="s">
        <v>52</v>
      </c>
      <c r="L940" s="12" t="s">
        <v>662</v>
      </c>
      <c r="M940" s="12" t="s">
        <v>37</v>
      </c>
      <c r="N940" s="14">
        <v>0.1</v>
      </c>
      <c r="O940" s="23">
        <v>920.82</v>
      </c>
      <c r="P940">
        <v>86.42</v>
      </c>
      <c r="Q940" s="12" t="str" cm="1">
        <f t="array" ref="Q940:R940">VLOOKUP(E940,store[],{3,5},FALSE)</f>
        <v>North</v>
      </c>
      <c r="R940" t="str">
        <v>Flagship</v>
      </c>
      <c r="S940" s="4">
        <f t="shared" si="14"/>
        <v>2762.16</v>
      </c>
    </row>
    <row r="941" spans="1:19">
      <c r="A941" t="s">
        <v>1690</v>
      </c>
      <c r="B941" s="3">
        <v>45803</v>
      </c>
      <c r="C941" t="s">
        <v>1691</v>
      </c>
      <c r="D941" t="s">
        <v>567</v>
      </c>
      <c r="E941" t="s">
        <v>105</v>
      </c>
      <c r="F941">
        <v>1</v>
      </c>
      <c r="G941" t="s">
        <v>50</v>
      </c>
      <c r="H941">
        <v>64</v>
      </c>
      <c r="I941" s="12" t="s">
        <v>24</v>
      </c>
      <c r="J941" s="12" t="s">
        <v>91</v>
      </c>
      <c r="K941" s="12" t="s">
        <v>52</v>
      </c>
      <c r="L941" s="12" t="s">
        <v>568</v>
      </c>
      <c r="M941" s="12" t="s">
        <v>28</v>
      </c>
      <c r="N941" s="14">
        <v>0.15</v>
      </c>
      <c r="O941" s="23">
        <v>182.28</v>
      </c>
      <c r="P941">
        <v>38.76</v>
      </c>
      <c r="Q941" s="12" t="str" cm="1">
        <f t="array" ref="Q941:R941">VLOOKUP(E941,store[],{3,5},FALSE)</f>
        <v>North</v>
      </c>
      <c r="R941" t="str">
        <v>Flagship</v>
      </c>
      <c r="S941" s="4">
        <f t="shared" si="14"/>
        <v>182.13</v>
      </c>
    </row>
    <row r="942" spans="1:19">
      <c r="A942" t="s">
        <v>1692</v>
      </c>
      <c r="B942" s="3">
        <v>45880</v>
      </c>
      <c r="C942" t="s">
        <v>1134</v>
      </c>
      <c r="D942" t="s">
        <v>311</v>
      </c>
      <c r="E942" t="s">
        <v>117</v>
      </c>
      <c r="F942">
        <v>3</v>
      </c>
      <c r="G942" t="s">
        <v>23</v>
      </c>
      <c r="H942">
        <v>41</v>
      </c>
      <c r="I942" s="12" t="s">
        <v>34</v>
      </c>
      <c r="J942" s="12" t="s">
        <v>498</v>
      </c>
      <c r="K942" s="12" t="s">
        <v>52</v>
      </c>
      <c r="L942" s="12" t="s">
        <v>312</v>
      </c>
      <c r="M942" s="12" t="s">
        <v>28</v>
      </c>
      <c r="N942" s="14">
        <v>0.14000000000000001</v>
      </c>
      <c r="O942" s="23">
        <v>938.68</v>
      </c>
      <c r="P942">
        <v>204.39</v>
      </c>
      <c r="Q942" s="12" t="str" cm="1">
        <f t="array" ref="Q942:R942">VLOOKUP(E942,store[],{3,5},FALSE)</f>
        <v>West</v>
      </c>
      <c r="R942" t="str">
        <v>Flagship</v>
      </c>
      <c r="S942" s="4">
        <f t="shared" si="14"/>
        <v>2815.62</v>
      </c>
    </row>
    <row r="943" spans="1:19">
      <c r="A943" t="s">
        <v>1693</v>
      </c>
      <c r="B943" s="3">
        <v>45690</v>
      </c>
      <c r="C943" t="s">
        <v>613</v>
      </c>
      <c r="D943" t="s">
        <v>372</v>
      </c>
      <c r="E943" t="s">
        <v>58</v>
      </c>
      <c r="F943">
        <v>3</v>
      </c>
      <c r="G943" t="s">
        <v>33</v>
      </c>
      <c r="H943">
        <v>34</v>
      </c>
      <c r="I943" s="12" t="s">
        <v>34</v>
      </c>
      <c r="J943" s="12" t="s">
        <v>251</v>
      </c>
      <c r="K943" s="12" t="s">
        <v>52</v>
      </c>
      <c r="L943" s="12" t="s">
        <v>374</v>
      </c>
      <c r="M943" s="12" t="s">
        <v>130</v>
      </c>
      <c r="N943" s="14">
        <v>0.18</v>
      </c>
      <c r="O943" s="23">
        <v>219.96</v>
      </c>
      <c r="P943">
        <v>438.25</v>
      </c>
      <c r="Q943" s="12" t="str" cm="1">
        <f t="array" ref="Q943:R943">VLOOKUP(E943,store[],{3,5},FALSE)</f>
        <v>North</v>
      </c>
      <c r="R943" t="str">
        <v>Outlet</v>
      </c>
      <c r="S943" s="4">
        <f t="shared" si="14"/>
        <v>659.34</v>
      </c>
    </row>
    <row r="944" spans="1:19">
      <c r="A944" t="s">
        <v>1694</v>
      </c>
      <c r="B944" s="3">
        <v>45841</v>
      </c>
      <c r="C944" t="s">
        <v>521</v>
      </c>
      <c r="D944" t="s">
        <v>368</v>
      </c>
      <c r="E944" t="s">
        <v>160</v>
      </c>
      <c r="F944">
        <v>3</v>
      </c>
      <c r="G944" t="s">
        <v>23</v>
      </c>
      <c r="H944">
        <v>53</v>
      </c>
      <c r="I944" s="12" t="s">
        <v>24</v>
      </c>
      <c r="J944" s="12" t="s">
        <v>199</v>
      </c>
      <c r="K944" s="12" t="s">
        <v>73</v>
      </c>
      <c r="L944" s="12" t="s">
        <v>369</v>
      </c>
      <c r="M944" s="12" t="s">
        <v>46</v>
      </c>
      <c r="N944" s="14">
        <v>0.27</v>
      </c>
      <c r="O944" s="23">
        <v>385.74</v>
      </c>
      <c r="P944">
        <v>214.32</v>
      </c>
      <c r="Q944" s="12" t="str" cm="1">
        <f t="array" ref="Q944:R944">VLOOKUP(E944,store[],{3,5},FALSE)</f>
        <v>East</v>
      </c>
      <c r="R944" t="str">
        <v>Flagship</v>
      </c>
      <c r="S944" s="4">
        <f t="shared" si="14"/>
        <v>1156.4100000000001</v>
      </c>
    </row>
    <row r="945" spans="1:19">
      <c r="A945" t="s">
        <v>1695</v>
      </c>
      <c r="B945" s="3">
        <v>45380</v>
      </c>
      <c r="C945" t="s">
        <v>217</v>
      </c>
      <c r="D945" t="s">
        <v>630</v>
      </c>
      <c r="E945" t="s">
        <v>160</v>
      </c>
      <c r="F945">
        <v>2</v>
      </c>
      <c r="G945" t="s">
        <v>33</v>
      </c>
      <c r="H945">
        <v>62</v>
      </c>
      <c r="I945" s="12" t="s">
        <v>34</v>
      </c>
      <c r="J945" s="12" t="s">
        <v>218</v>
      </c>
      <c r="K945" s="12" t="s">
        <v>52</v>
      </c>
      <c r="L945" s="12" t="s">
        <v>631</v>
      </c>
      <c r="M945" s="12" t="s">
        <v>28</v>
      </c>
      <c r="N945" s="14">
        <v>0.28000000000000003</v>
      </c>
      <c r="O945" s="23">
        <v>830.94</v>
      </c>
      <c r="P945">
        <v>285.54000000000002</v>
      </c>
      <c r="Q945" s="12" t="str" cm="1">
        <f t="array" ref="Q945:R945">VLOOKUP(E945,store[],{3,5},FALSE)</f>
        <v>East</v>
      </c>
      <c r="R945" t="str">
        <v>Flagship</v>
      </c>
      <c r="S945" s="4">
        <f t="shared" si="14"/>
        <v>1661.32</v>
      </c>
    </row>
    <row r="946" spans="1:19">
      <c r="A946" t="s">
        <v>1696</v>
      </c>
      <c r="B946" s="3">
        <v>45503</v>
      </c>
      <c r="C946" t="s">
        <v>1017</v>
      </c>
      <c r="D946" t="s">
        <v>414</v>
      </c>
      <c r="E946" t="s">
        <v>127</v>
      </c>
      <c r="F946">
        <v>3</v>
      </c>
      <c r="G946" t="s">
        <v>33</v>
      </c>
      <c r="H946">
        <v>27</v>
      </c>
      <c r="I946" s="12" t="s">
        <v>34</v>
      </c>
      <c r="J946" s="12" t="s">
        <v>457</v>
      </c>
      <c r="K946" s="12" t="s">
        <v>60</v>
      </c>
      <c r="L946" s="12" t="s">
        <v>415</v>
      </c>
      <c r="M946" s="12" t="s">
        <v>130</v>
      </c>
      <c r="N946" s="14">
        <v>0.22</v>
      </c>
      <c r="O946" s="23">
        <v>462.75</v>
      </c>
      <c r="P946">
        <v>364.67</v>
      </c>
      <c r="Q946" s="12" t="str" cm="1">
        <f t="array" ref="Q946:R946">VLOOKUP(E946,store[],{3,5},FALSE)</f>
        <v>South</v>
      </c>
      <c r="R946" t="str">
        <v>Flagship</v>
      </c>
      <c r="S946" s="4">
        <f t="shared" si="14"/>
        <v>1387.59</v>
      </c>
    </row>
    <row r="947" spans="1:19">
      <c r="A947" t="s">
        <v>1697</v>
      </c>
      <c r="B947" s="3">
        <v>45567</v>
      </c>
      <c r="C947" t="s">
        <v>468</v>
      </c>
      <c r="D947" t="s">
        <v>480</v>
      </c>
      <c r="E947" t="s">
        <v>122</v>
      </c>
      <c r="F947">
        <v>4</v>
      </c>
      <c r="G947" t="s">
        <v>50</v>
      </c>
      <c r="H947">
        <v>58</v>
      </c>
      <c r="I947" s="12" t="s">
        <v>24</v>
      </c>
      <c r="J947" s="12" t="s">
        <v>235</v>
      </c>
      <c r="K947" s="12" t="s">
        <v>60</v>
      </c>
      <c r="L947" s="12" t="s">
        <v>481</v>
      </c>
      <c r="M947" s="12" t="s">
        <v>75</v>
      </c>
      <c r="N947" s="14">
        <v>0.02</v>
      </c>
      <c r="O947" s="23">
        <v>973.9</v>
      </c>
      <c r="P947">
        <v>48.01</v>
      </c>
      <c r="Q947" s="12" t="str" cm="1">
        <f t="array" ref="Q947:R947">VLOOKUP(E947,store[],{3,5},FALSE)</f>
        <v>North</v>
      </c>
      <c r="R947" t="str">
        <v>Flagship</v>
      </c>
      <c r="S947" s="4">
        <f t="shared" si="14"/>
        <v>3895.52</v>
      </c>
    </row>
    <row r="948" spans="1:19">
      <c r="A948" t="s">
        <v>1698</v>
      </c>
      <c r="B948" s="3">
        <v>45600</v>
      </c>
      <c r="C948" t="s">
        <v>1699</v>
      </c>
      <c r="D948" t="s">
        <v>487</v>
      </c>
      <c r="E948" t="s">
        <v>105</v>
      </c>
      <c r="F948">
        <v>2</v>
      </c>
      <c r="G948" t="s">
        <v>23</v>
      </c>
      <c r="H948">
        <v>63</v>
      </c>
      <c r="I948" s="12" t="s">
        <v>34</v>
      </c>
      <c r="J948" s="12" t="s">
        <v>44</v>
      </c>
      <c r="K948" s="12" t="s">
        <v>26</v>
      </c>
      <c r="L948" s="12" t="s">
        <v>488</v>
      </c>
      <c r="M948" s="12" t="s">
        <v>75</v>
      </c>
      <c r="N948" s="14">
        <v>0.15</v>
      </c>
      <c r="O948" s="23">
        <v>157.18</v>
      </c>
      <c r="P948">
        <v>382.22</v>
      </c>
      <c r="Q948" s="12" t="str" cm="1">
        <f t="array" ref="Q948:R948">VLOOKUP(E948,store[],{3,5},FALSE)</f>
        <v>North</v>
      </c>
      <c r="R948" t="str">
        <v>Flagship</v>
      </c>
      <c r="S948" s="4">
        <f t="shared" si="14"/>
        <v>314.06</v>
      </c>
    </row>
    <row r="949" spans="1:19">
      <c r="A949" t="s">
        <v>1700</v>
      </c>
      <c r="B949" s="3">
        <v>45415</v>
      </c>
      <c r="C949" t="s">
        <v>758</v>
      </c>
      <c r="D949" t="s">
        <v>575</v>
      </c>
      <c r="E949" t="s">
        <v>149</v>
      </c>
      <c r="F949">
        <v>3</v>
      </c>
      <c r="G949" t="s">
        <v>23</v>
      </c>
      <c r="H949">
        <v>32</v>
      </c>
      <c r="I949" s="12" t="s">
        <v>34</v>
      </c>
      <c r="J949" s="12" t="s">
        <v>111</v>
      </c>
      <c r="K949" s="12" t="s">
        <v>60</v>
      </c>
      <c r="L949" s="12" t="s">
        <v>576</v>
      </c>
      <c r="M949" s="12" t="s">
        <v>28</v>
      </c>
      <c r="N949" s="14">
        <v>0.16</v>
      </c>
      <c r="O949" s="23">
        <v>239.57</v>
      </c>
      <c r="P949">
        <v>107.06</v>
      </c>
      <c r="Q949" s="12" t="str" cm="1">
        <f t="array" ref="Q949:R949">VLOOKUP(E949,store[],{3,5},FALSE)</f>
        <v>East</v>
      </c>
      <c r="R949" t="str">
        <v>Flagship</v>
      </c>
      <c r="S949" s="4">
        <f t="shared" si="14"/>
        <v>718.23</v>
      </c>
    </row>
    <row r="950" spans="1:19">
      <c r="A950" t="s">
        <v>1701</v>
      </c>
      <c r="B950" s="3">
        <v>45343</v>
      </c>
      <c r="C950" t="s">
        <v>388</v>
      </c>
      <c r="D950" t="s">
        <v>810</v>
      </c>
      <c r="E950" t="s">
        <v>117</v>
      </c>
      <c r="F950">
        <v>4</v>
      </c>
      <c r="G950" t="s">
        <v>23</v>
      </c>
      <c r="H950">
        <v>62</v>
      </c>
      <c r="I950" s="12" t="s">
        <v>34</v>
      </c>
      <c r="J950" s="12" t="s">
        <v>161</v>
      </c>
      <c r="K950" s="12" t="s">
        <v>73</v>
      </c>
      <c r="L950" s="12" t="s">
        <v>811</v>
      </c>
      <c r="M950" s="12" t="s">
        <v>28</v>
      </c>
      <c r="N950" s="14">
        <v>0.2</v>
      </c>
      <c r="O950" s="23">
        <v>583.21</v>
      </c>
      <c r="P950">
        <v>495.72</v>
      </c>
      <c r="Q950" s="12" t="str" cm="1">
        <f t="array" ref="Q950:R950">VLOOKUP(E950,store[],{3,5},FALSE)</f>
        <v>West</v>
      </c>
      <c r="R950" t="str">
        <v>Flagship</v>
      </c>
      <c r="S950" s="4">
        <f t="shared" si="14"/>
        <v>2332.04</v>
      </c>
    </row>
    <row r="951" spans="1:19">
      <c r="A951" t="s">
        <v>1702</v>
      </c>
      <c r="B951" s="3">
        <v>45399</v>
      </c>
      <c r="C951" t="s">
        <v>1002</v>
      </c>
      <c r="D951" t="s">
        <v>630</v>
      </c>
      <c r="E951" t="s">
        <v>43</v>
      </c>
      <c r="F951">
        <v>3</v>
      </c>
      <c r="G951" t="s">
        <v>33</v>
      </c>
      <c r="H951">
        <v>59</v>
      </c>
      <c r="I951" s="12" t="s">
        <v>34</v>
      </c>
      <c r="J951" s="12" t="s">
        <v>128</v>
      </c>
      <c r="K951" s="12" t="s">
        <v>73</v>
      </c>
      <c r="L951" s="12" t="s">
        <v>631</v>
      </c>
      <c r="M951" s="12" t="s">
        <v>28</v>
      </c>
      <c r="N951" s="14">
        <v>0.27</v>
      </c>
      <c r="O951" s="23">
        <v>758.75</v>
      </c>
      <c r="P951">
        <v>285.54000000000002</v>
      </c>
      <c r="Q951" s="12" t="str" cm="1">
        <f t="array" ref="Q951:R951">VLOOKUP(E951,store[],{3,5},FALSE)</f>
        <v>West</v>
      </c>
      <c r="R951" t="str">
        <v>Online</v>
      </c>
      <c r="S951" s="4">
        <f t="shared" si="14"/>
        <v>2275.44</v>
      </c>
    </row>
    <row r="952" spans="1:19">
      <c r="A952" t="s">
        <v>1703</v>
      </c>
      <c r="B952" s="3">
        <v>45689</v>
      </c>
      <c r="C952" t="s">
        <v>1704</v>
      </c>
      <c r="D952" t="s">
        <v>698</v>
      </c>
      <c r="E952" t="s">
        <v>58</v>
      </c>
      <c r="F952">
        <v>4</v>
      </c>
      <c r="G952" t="s">
        <v>23</v>
      </c>
      <c r="H952">
        <v>41</v>
      </c>
      <c r="I952" s="12" t="s">
        <v>34</v>
      </c>
      <c r="J952" s="12" t="s">
        <v>227</v>
      </c>
      <c r="K952" s="12" t="s">
        <v>73</v>
      </c>
      <c r="L952" s="12" t="s">
        <v>699</v>
      </c>
      <c r="M952" s="12" t="s">
        <v>28</v>
      </c>
      <c r="N952" s="14">
        <v>0.19</v>
      </c>
      <c r="O952" s="23">
        <v>372.42</v>
      </c>
      <c r="P952">
        <v>103.45</v>
      </c>
      <c r="Q952" s="12" t="str" cm="1">
        <f t="array" ref="Q952:R952">VLOOKUP(E952,store[],{3,5},FALSE)</f>
        <v>North</v>
      </c>
      <c r="R952" t="str">
        <v>Outlet</v>
      </c>
      <c r="S952" s="4">
        <f t="shared" si="14"/>
        <v>1488.92</v>
      </c>
    </row>
    <row r="953" spans="1:19">
      <c r="A953" t="s">
        <v>1705</v>
      </c>
      <c r="B953" s="3">
        <v>45699</v>
      </c>
      <c r="C953" t="s">
        <v>1706</v>
      </c>
      <c r="D953" t="s">
        <v>625</v>
      </c>
      <c r="E953" t="s">
        <v>135</v>
      </c>
      <c r="F953">
        <v>4</v>
      </c>
      <c r="G953" t="s">
        <v>33</v>
      </c>
      <c r="H953">
        <v>35</v>
      </c>
      <c r="I953" s="12" t="s">
        <v>34</v>
      </c>
      <c r="J953" s="12" t="s">
        <v>35</v>
      </c>
      <c r="K953" s="12" t="s">
        <v>26</v>
      </c>
      <c r="L953" s="12" t="s">
        <v>626</v>
      </c>
      <c r="M953" s="12" t="s">
        <v>46</v>
      </c>
      <c r="N953" s="14">
        <v>0.28000000000000003</v>
      </c>
      <c r="O953" s="23">
        <v>286.27999999999997</v>
      </c>
      <c r="P953">
        <v>266.86</v>
      </c>
      <c r="Q953" s="12" t="str" cm="1">
        <f t="array" ref="Q953:R953">VLOOKUP(E953,store[],{3,5},FALSE)</f>
        <v>East</v>
      </c>
      <c r="R953" t="str">
        <v>Online</v>
      </c>
      <c r="S953" s="4">
        <f t="shared" si="14"/>
        <v>1144</v>
      </c>
    </row>
    <row r="954" spans="1:19">
      <c r="A954" t="s">
        <v>1707</v>
      </c>
      <c r="B954" s="3">
        <v>45663</v>
      </c>
      <c r="C954" t="s">
        <v>1612</v>
      </c>
      <c r="D954" t="s">
        <v>575</v>
      </c>
      <c r="E954" t="s">
        <v>272</v>
      </c>
      <c r="F954">
        <v>3</v>
      </c>
      <c r="G954" t="s">
        <v>50</v>
      </c>
      <c r="H954">
        <v>21</v>
      </c>
      <c r="I954" s="12" t="s">
        <v>34</v>
      </c>
      <c r="J954" s="12" t="s">
        <v>308</v>
      </c>
      <c r="K954" s="12" t="s">
        <v>73</v>
      </c>
      <c r="L954" s="12" t="s">
        <v>576</v>
      </c>
      <c r="M954" s="12" t="s">
        <v>28</v>
      </c>
      <c r="N954" s="14">
        <v>0.27</v>
      </c>
      <c r="O954" s="23">
        <v>488.37</v>
      </c>
      <c r="P954">
        <v>107.06</v>
      </c>
      <c r="Q954" s="12" t="str" cm="1">
        <f t="array" ref="Q954:R954">VLOOKUP(E954,store[],{3,5},FALSE)</f>
        <v>South</v>
      </c>
      <c r="R954" t="str">
        <v>Online</v>
      </c>
      <c r="S954" s="4">
        <f t="shared" si="14"/>
        <v>1464.3</v>
      </c>
    </row>
    <row r="955" spans="1:19">
      <c r="A955" t="s">
        <v>1708</v>
      </c>
      <c r="B955" s="3">
        <v>45377</v>
      </c>
      <c r="C955" t="s">
        <v>956</v>
      </c>
      <c r="D955" t="s">
        <v>514</v>
      </c>
      <c r="E955" t="s">
        <v>43</v>
      </c>
      <c r="F955">
        <v>3</v>
      </c>
      <c r="G955" t="s">
        <v>50</v>
      </c>
      <c r="H955">
        <v>19</v>
      </c>
      <c r="I955" s="12" t="s">
        <v>24</v>
      </c>
      <c r="J955" s="12" t="s">
        <v>410</v>
      </c>
      <c r="K955" s="12" t="s">
        <v>26</v>
      </c>
      <c r="L955" s="12" t="s">
        <v>515</v>
      </c>
      <c r="M955" s="12" t="s">
        <v>75</v>
      </c>
      <c r="N955" s="14">
        <v>0.01</v>
      </c>
      <c r="O955" s="23">
        <v>662.82</v>
      </c>
      <c r="P955">
        <v>371.38</v>
      </c>
      <c r="Q955" s="12" t="str" cm="1">
        <f t="array" ref="Q955:R955">VLOOKUP(E955,store[],{3,5},FALSE)</f>
        <v>West</v>
      </c>
      <c r="R955" t="str">
        <v>Online</v>
      </c>
      <c r="S955" s="4">
        <f t="shared" si="14"/>
        <v>1988.43</v>
      </c>
    </row>
    <row r="956" spans="1:19">
      <c r="A956" t="s">
        <v>1709</v>
      </c>
      <c r="B956" s="3">
        <v>45412</v>
      </c>
      <c r="C956" t="s">
        <v>1430</v>
      </c>
      <c r="D956" t="s">
        <v>887</v>
      </c>
      <c r="E956" t="s">
        <v>117</v>
      </c>
      <c r="F956">
        <v>2</v>
      </c>
      <c r="G956" t="s">
        <v>50</v>
      </c>
      <c r="H956">
        <v>47</v>
      </c>
      <c r="I956" s="12" t="s">
        <v>34</v>
      </c>
      <c r="J956" s="12" t="s">
        <v>161</v>
      </c>
      <c r="K956" s="12" t="s">
        <v>26</v>
      </c>
      <c r="L956" s="12" t="s">
        <v>888</v>
      </c>
      <c r="M956" s="12" t="s">
        <v>46</v>
      </c>
      <c r="N956" s="14">
        <v>0.1</v>
      </c>
      <c r="O956" s="23">
        <v>824.34</v>
      </c>
      <c r="P956">
        <v>312.8</v>
      </c>
      <c r="Q956" s="12" t="str" cm="1">
        <f t="array" ref="Q956:R956">VLOOKUP(E956,store[],{3,5},FALSE)</f>
        <v>West</v>
      </c>
      <c r="R956" t="str">
        <v>Flagship</v>
      </c>
      <c r="S956" s="4">
        <f t="shared" si="14"/>
        <v>1648.48</v>
      </c>
    </row>
    <row r="957" spans="1:19">
      <c r="A957" t="s">
        <v>1710</v>
      </c>
      <c r="B957" s="3">
        <v>45349</v>
      </c>
      <c r="C957" t="s">
        <v>529</v>
      </c>
      <c r="D957" t="s">
        <v>57</v>
      </c>
      <c r="E957" t="s">
        <v>43</v>
      </c>
      <c r="F957">
        <v>1</v>
      </c>
      <c r="G957" t="s">
        <v>23</v>
      </c>
      <c r="H957">
        <v>51</v>
      </c>
      <c r="I957" s="12" t="s">
        <v>24</v>
      </c>
      <c r="J957" s="12" t="s">
        <v>222</v>
      </c>
      <c r="K957" s="12" t="s">
        <v>26</v>
      </c>
      <c r="L957" s="12" t="s">
        <v>61</v>
      </c>
      <c r="M957" s="12" t="s">
        <v>46</v>
      </c>
      <c r="N957" s="14">
        <v>0.21</v>
      </c>
      <c r="O957" s="23">
        <v>437.12</v>
      </c>
      <c r="P957">
        <v>17.309999999999999</v>
      </c>
      <c r="Q957" s="12" t="str" cm="1">
        <f t="array" ref="Q957:R957">VLOOKUP(E957,store[],{3,5},FALSE)</f>
        <v>West</v>
      </c>
      <c r="R957" t="str">
        <v>Online</v>
      </c>
      <c r="S957" s="4">
        <f t="shared" si="14"/>
        <v>436.91</v>
      </c>
    </row>
    <row r="958" spans="1:19">
      <c r="A958" t="s">
        <v>1711</v>
      </c>
      <c r="B958" s="3">
        <v>45486</v>
      </c>
      <c r="C958" t="s">
        <v>1381</v>
      </c>
      <c r="D958" t="s">
        <v>110</v>
      </c>
      <c r="E958" t="s">
        <v>179</v>
      </c>
      <c r="F958">
        <v>3</v>
      </c>
      <c r="G958" t="s">
        <v>33</v>
      </c>
      <c r="H958">
        <v>41</v>
      </c>
      <c r="I958" s="12" t="s">
        <v>24</v>
      </c>
      <c r="J958" s="12" t="s">
        <v>51</v>
      </c>
      <c r="K958" s="12" t="s">
        <v>26</v>
      </c>
      <c r="L958" s="12" t="s">
        <v>112</v>
      </c>
      <c r="M958" s="12" t="s">
        <v>28</v>
      </c>
      <c r="N958" s="14">
        <v>0.15</v>
      </c>
      <c r="O958" s="23">
        <v>23.37</v>
      </c>
      <c r="P958">
        <v>131.24</v>
      </c>
      <c r="Q958" s="12" t="str" cm="1">
        <f t="array" ref="Q958:R958">VLOOKUP(E958,store[],{3,5},FALSE)</f>
        <v>East</v>
      </c>
      <c r="R958" t="str">
        <v>Online</v>
      </c>
      <c r="S958" s="4">
        <f t="shared" si="14"/>
        <v>69.66</v>
      </c>
    </row>
    <row r="959" spans="1:19">
      <c r="A959" t="s">
        <v>1712</v>
      </c>
      <c r="B959" s="3">
        <v>45761</v>
      </c>
      <c r="C959" t="s">
        <v>84</v>
      </c>
      <c r="D959" t="s">
        <v>126</v>
      </c>
      <c r="E959" t="s">
        <v>43</v>
      </c>
      <c r="F959">
        <v>1</v>
      </c>
      <c r="G959" t="s">
        <v>23</v>
      </c>
      <c r="H959">
        <v>60</v>
      </c>
      <c r="I959" s="12" t="s">
        <v>34</v>
      </c>
      <c r="J959" s="12" t="s">
        <v>59</v>
      </c>
      <c r="K959" s="12" t="s">
        <v>52</v>
      </c>
      <c r="L959" s="12" t="s">
        <v>129</v>
      </c>
      <c r="M959" s="12" t="s">
        <v>130</v>
      </c>
      <c r="N959" s="14">
        <v>0.02</v>
      </c>
      <c r="O959" s="23">
        <v>579.69000000000005</v>
      </c>
      <c r="P959">
        <v>223.43</v>
      </c>
      <c r="Q959" s="12" t="str" cm="1">
        <f t="array" ref="Q959:R959">VLOOKUP(E959,store[],{3,5},FALSE)</f>
        <v>West</v>
      </c>
      <c r="R959" t="str">
        <v>Online</v>
      </c>
      <c r="S959" s="4">
        <f t="shared" si="14"/>
        <v>579.66999999999996</v>
      </c>
    </row>
    <row r="960" spans="1:19">
      <c r="A960" t="s">
        <v>1713</v>
      </c>
      <c r="B960" s="3">
        <v>45639</v>
      </c>
      <c r="C960" t="s">
        <v>1282</v>
      </c>
      <c r="D960" t="s">
        <v>267</v>
      </c>
      <c r="E960" t="s">
        <v>98</v>
      </c>
      <c r="F960">
        <v>3</v>
      </c>
      <c r="G960" t="s">
        <v>23</v>
      </c>
      <c r="H960">
        <v>36</v>
      </c>
      <c r="I960" s="12" t="s">
        <v>34</v>
      </c>
      <c r="J960" s="12" t="s">
        <v>204</v>
      </c>
      <c r="K960" s="12" t="s">
        <v>26</v>
      </c>
      <c r="L960" s="12" t="s">
        <v>268</v>
      </c>
      <c r="M960" s="12" t="s">
        <v>75</v>
      </c>
      <c r="N960" s="14">
        <v>7.0000000000000007E-2</v>
      </c>
      <c r="O960" s="23">
        <v>240.51</v>
      </c>
      <c r="P960">
        <v>325.26</v>
      </c>
      <c r="Q960" s="12" t="str" cm="1">
        <f t="array" ref="Q960:R960">VLOOKUP(E960,store[],{3,5},FALSE)</f>
        <v>South</v>
      </c>
      <c r="R960" t="str">
        <v>Outlet</v>
      </c>
      <c r="S960" s="4">
        <f t="shared" si="14"/>
        <v>721.32</v>
      </c>
    </row>
    <row r="961" spans="1:19">
      <c r="A961" t="s">
        <v>1714</v>
      </c>
      <c r="B961" s="3">
        <v>45893</v>
      </c>
      <c r="C961" t="s">
        <v>633</v>
      </c>
      <c r="D961" t="s">
        <v>425</v>
      </c>
      <c r="E961" t="s">
        <v>98</v>
      </c>
      <c r="F961">
        <v>2</v>
      </c>
      <c r="G961" t="s">
        <v>50</v>
      </c>
      <c r="H961">
        <v>20</v>
      </c>
      <c r="I961" s="12" t="s">
        <v>34</v>
      </c>
      <c r="J961" s="12" t="s">
        <v>227</v>
      </c>
      <c r="K961" s="12" t="s">
        <v>26</v>
      </c>
      <c r="L961" s="12" t="s">
        <v>426</v>
      </c>
      <c r="M961" s="12" t="s">
        <v>130</v>
      </c>
      <c r="N961" s="14">
        <v>0.08</v>
      </c>
      <c r="O961" s="23">
        <v>855.4</v>
      </c>
      <c r="P961">
        <v>174.02</v>
      </c>
      <c r="Q961" s="12" t="str" cm="1">
        <f t="array" ref="Q961:R961">VLOOKUP(E961,store[],{3,5},FALSE)</f>
        <v>South</v>
      </c>
      <c r="R961" t="str">
        <v>Outlet</v>
      </c>
      <c r="S961" s="4">
        <f t="shared" si="14"/>
        <v>1710.64</v>
      </c>
    </row>
    <row r="962" spans="1:19">
      <c r="A962" t="s">
        <v>1715</v>
      </c>
      <c r="B962" s="3">
        <v>45227</v>
      </c>
      <c r="C962" t="s">
        <v>355</v>
      </c>
      <c r="D962" t="s">
        <v>453</v>
      </c>
      <c r="E962" t="s">
        <v>66</v>
      </c>
      <c r="F962">
        <v>1</v>
      </c>
      <c r="G962" t="s">
        <v>23</v>
      </c>
      <c r="H962">
        <v>29</v>
      </c>
      <c r="I962" s="12" t="s">
        <v>34</v>
      </c>
      <c r="J962" s="12" t="s">
        <v>356</v>
      </c>
      <c r="K962" s="12" t="s">
        <v>73</v>
      </c>
      <c r="L962" s="12" t="s">
        <v>454</v>
      </c>
      <c r="M962" s="12" t="s">
        <v>37</v>
      </c>
      <c r="N962" s="14">
        <v>0.09</v>
      </c>
      <c r="O962" s="23">
        <v>537.26</v>
      </c>
      <c r="P962">
        <v>340.14</v>
      </c>
      <c r="Q962" s="12" t="str" cm="1">
        <f t="array" ref="Q962:R962">VLOOKUP(E962,store[],{3,5},FALSE)</f>
        <v>South</v>
      </c>
      <c r="R962" t="str">
        <v>Online</v>
      </c>
      <c r="S962" s="4">
        <f t="shared" ref="S962:S1025" si="15">(O962-N962)*F962</f>
        <v>537.16999999999996</v>
      </c>
    </row>
    <row r="963" spans="1:19">
      <c r="A963" t="s">
        <v>1716</v>
      </c>
      <c r="B963" s="3">
        <v>45637</v>
      </c>
      <c r="C963" t="s">
        <v>1097</v>
      </c>
      <c r="D963" t="s">
        <v>501</v>
      </c>
      <c r="E963" t="s">
        <v>168</v>
      </c>
      <c r="F963">
        <v>3</v>
      </c>
      <c r="G963" t="s">
        <v>50</v>
      </c>
      <c r="H963">
        <v>52</v>
      </c>
      <c r="I963" s="12" t="s">
        <v>34</v>
      </c>
      <c r="J963" s="12" t="s">
        <v>106</v>
      </c>
      <c r="K963" s="12" t="s">
        <v>73</v>
      </c>
      <c r="L963" s="12" t="s">
        <v>502</v>
      </c>
      <c r="M963" s="12" t="s">
        <v>37</v>
      </c>
      <c r="N963" s="14">
        <v>0.17</v>
      </c>
      <c r="O963" s="23">
        <v>918.26</v>
      </c>
      <c r="P963">
        <v>88.49</v>
      </c>
      <c r="Q963" s="12" t="str" cm="1">
        <f t="array" ref="Q963:R963">VLOOKUP(E963,store[],{3,5},FALSE)</f>
        <v>East</v>
      </c>
      <c r="R963" t="str">
        <v>Online</v>
      </c>
      <c r="S963" s="4">
        <f t="shared" si="15"/>
        <v>2754.27</v>
      </c>
    </row>
    <row r="964" spans="1:19">
      <c r="A964" t="s">
        <v>1717</v>
      </c>
      <c r="B964" s="3">
        <v>45472</v>
      </c>
      <c r="C964" t="s">
        <v>294</v>
      </c>
      <c r="D964" t="s">
        <v>887</v>
      </c>
      <c r="E964" t="s">
        <v>127</v>
      </c>
      <c r="F964">
        <v>4</v>
      </c>
      <c r="G964" t="s">
        <v>33</v>
      </c>
      <c r="H964">
        <v>62</v>
      </c>
      <c r="I964" s="12" t="s">
        <v>34</v>
      </c>
      <c r="J964" s="12" t="s">
        <v>161</v>
      </c>
      <c r="K964" s="12" t="s">
        <v>52</v>
      </c>
      <c r="L964" s="12" t="s">
        <v>888</v>
      </c>
      <c r="M964" s="12" t="s">
        <v>46</v>
      </c>
      <c r="N964" s="14">
        <v>0.18</v>
      </c>
      <c r="O964" s="23">
        <v>579.70000000000005</v>
      </c>
      <c r="P964">
        <v>312.8</v>
      </c>
      <c r="Q964" s="12" t="str" cm="1">
        <f t="array" ref="Q964:R964">VLOOKUP(E964,store[],{3,5},FALSE)</f>
        <v>South</v>
      </c>
      <c r="R964" t="str">
        <v>Flagship</v>
      </c>
      <c r="S964" s="4">
        <f t="shared" si="15"/>
        <v>2318.08</v>
      </c>
    </row>
    <row r="965" spans="1:19">
      <c r="A965" t="s">
        <v>1718</v>
      </c>
      <c r="B965" s="3">
        <v>45710</v>
      </c>
      <c r="C965" t="s">
        <v>1024</v>
      </c>
      <c r="D965" t="s">
        <v>159</v>
      </c>
      <c r="E965" t="s">
        <v>179</v>
      </c>
      <c r="F965">
        <v>1</v>
      </c>
      <c r="G965" t="s">
        <v>23</v>
      </c>
      <c r="H965">
        <v>46</v>
      </c>
      <c r="I965" s="12" t="s">
        <v>24</v>
      </c>
      <c r="J965" s="12" t="s">
        <v>260</v>
      </c>
      <c r="K965" s="12" t="s">
        <v>52</v>
      </c>
      <c r="L965" s="12" t="s">
        <v>162</v>
      </c>
      <c r="M965" s="12" t="s">
        <v>37</v>
      </c>
      <c r="N965" s="14">
        <v>0.18</v>
      </c>
      <c r="O965" s="23">
        <v>824.32</v>
      </c>
      <c r="P965">
        <v>253.33</v>
      </c>
      <c r="Q965" s="12" t="str" cm="1">
        <f t="array" ref="Q965:R965">VLOOKUP(E965,store[],{3,5},FALSE)</f>
        <v>East</v>
      </c>
      <c r="R965" t="str">
        <v>Online</v>
      </c>
      <c r="S965" s="4">
        <f t="shared" si="15"/>
        <v>824.14</v>
      </c>
    </row>
    <row r="966" spans="1:19">
      <c r="A966" t="s">
        <v>1719</v>
      </c>
      <c r="B966" s="3">
        <v>45682</v>
      </c>
      <c r="C966" t="s">
        <v>1653</v>
      </c>
      <c r="D966" t="s">
        <v>381</v>
      </c>
      <c r="E966" t="s">
        <v>122</v>
      </c>
      <c r="F966">
        <v>4</v>
      </c>
      <c r="G966" t="s">
        <v>33</v>
      </c>
      <c r="H966">
        <v>27</v>
      </c>
      <c r="I966" s="12" t="s">
        <v>24</v>
      </c>
      <c r="J966" s="12" t="s">
        <v>356</v>
      </c>
      <c r="K966" s="12" t="s">
        <v>60</v>
      </c>
      <c r="L966" s="12" t="s">
        <v>382</v>
      </c>
      <c r="M966" s="12" t="s">
        <v>130</v>
      </c>
      <c r="N966" s="14">
        <v>0.16</v>
      </c>
      <c r="O966" s="23">
        <v>614.99</v>
      </c>
      <c r="P966">
        <v>167.34</v>
      </c>
      <c r="Q966" s="12" t="str" cm="1">
        <f t="array" ref="Q966:R966">VLOOKUP(E966,store[],{3,5},FALSE)</f>
        <v>North</v>
      </c>
      <c r="R966" t="str">
        <v>Flagship</v>
      </c>
      <c r="S966" s="4">
        <f t="shared" si="15"/>
        <v>2459.3200000000002</v>
      </c>
    </row>
    <row r="967" spans="1:19">
      <c r="A967" t="s">
        <v>1720</v>
      </c>
      <c r="B967" s="3">
        <v>45730</v>
      </c>
      <c r="C967" t="s">
        <v>606</v>
      </c>
      <c r="D967" t="s">
        <v>661</v>
      </c>
      <c r="E967" t="s">
        <v>90</v>
      </c>
      <c r="F967">
        <v>4</v>
      </c>
      <c r="G967" t="s">
        <v>50</v>
      </c>
      <c r="H967">
        <v>45</v>
      </c>
      <c r="I967" s="12" t="s">
        <v>24</v>
      </c>
      <c r="J967" s="12" t="s">
        <v>140</v>
      </c>
      <c r="K967" s="12" t="s">
        <v>60</v>
      </c>
      <c r="L967" s="12" t="s">
        <v>662</v>
      </c>
      <c r="M967" s="12" t="s">
        <v>37</v>
      </c>
      <c r="N967" s="14">
        <v>0.06</v>
      </c>
      <c r="O967" s="23">
        <v>189.21</v>
      </c>
      <c r="P967">
        <v>86.42</v>
      </c>
      <c r="Q967" s="12" t="str" cm="1">
        <f t="array" ref="Q967:R967">VLOOKUP(E967,store[],{3,5},FALSE)</f>
        <v>East</v>
      </c>
      <c r="R967" t="str">
        <v>Flagship</v>
      </c>
      <c r="S967" s="4">
        <f t="shared" si="15"/>
        <v>756.6</v>
      </c>
    </row>
    <row r="968" spans="1:19">
      <c r="A968" t="s">
        <v>1721</v>
      </c>
      <c r="B968" s="3">
        <v>45629</v>
      </c>
      <c r="C968" t="s">
        <v>1706</v>
      </c>
      <c r="D968" t="s">
        <v>661</v>
      </c>
      <c r="E968" t="s">
        <v>98</v>
      </c>
      <c r="F968">
        <v>2</v>
      </c>
      <c r="G968" t="s">
        <v>23</v>
      </c>
      <c r="H968">
        <v>35</v>
      </c>
      <c r="I968" s="12" t="s">
        <v>34</v>
      </c>
      <c r="J968" s="12" t="s">
        <v>35</v>
      </c>
      <c r="K968" s="12" t="s">
        <v>26</v>
      </c>
      <c r="L968" s="12" t="s">
        <v>662</v>
      </c>
      <c r="M968" s="12" t="s">
        <v>37</v>
      </c>
      <c r="N968" s="14">
        <v>0.05</v>
      </c>
      <c r="O968" s="23">
        <v>233.33</v>
      </c>
      <c r="P968">
        <v>86.42</v>
      </c>
      <c r="Q968" s="12" t="str" cm="1">
        <f t="array" ref="Q968:R968">VLOOKUP(E968,store[],{3,5},FALSE)</f>
        <v>South</v>
      </c>
      <c r="R968" t="str">
        <v>Outlet</v>
      </c>
      <c r="S968" s="4">
        <f t="shared" si="15"/>
        <v>466.56</v>
      </c>
    </row>
    <row r="969" spans="1:19">
      <c r="A969" t="s">
        <v>1722</v>
      </c>
      <c r="B969" s="3">
        <v>45783</v>
      </c>
      <c r="C969" t="s">
        <v>763</v>
      </c>
      <c r="D969" t="s">
        <v>104</v>
      </c>
      <c r="E969" t="s">
        <v>160</v>
      </c>
      <c r="F969">
        <v>3</v>
      </c>
      <c r="G969" t="s">
        <v>23</v>
      </c>
      <c r="H969">
        <v>19</v>
      </c>
      <c r="I969" s="12" t="s">
        <v>24</v>
      </c>
      <c r="J969" s="12" t="s">
        <v>99</v>
      </c>
      <c r="K969" s="12" t="s">
        <v>26</v>
      </c>
      <c r="L969" s="12" t="s">
        <v>107</v>
      </c>
      <c r="M969" s="12" t="s">
        <v>37</v>
      </c>
      <c r="N969" s="14">
        <v>0.21</v>
      </c>
      <c r="O969" s="23">
        <v>529.89</v>
      </c>
      <c r="P969">
        <v>326.06</v>
      </c>
      <c r="Q969" s="12" t="str" cm="1">
        <f t="array" ref="Q969:R969">VLOOKUP(E969,store[],{3,5},FALSE)</f>
        <v>East</v>
      </c>
      <c r="R969" t="str">
        <v>Flagship</v>
      </c>
      <c r="S969" s="4">
        <f t="shared" si="15"/>
        <v>1589.04</v>
      </c>
    </row>
    <row r="970" spans="1:19">
      <c r="A970" t="s">
        <v>1723</v>
      </c>
      <c r="B970" s="3">
        <v>45518</v>
      </c>
      <c r="C970" t="s">
        <v>622</v>
      </c>
      <c r="D970" t="s">
        <v>603</v>
      </c>
      <c r="E970" t="s">
        <v>105</v>
      </c>
      <c r="F970">
        <v>2</v>
      </c>
      <c r="G970" t="s">
        <v>33</v>
      </c>
      <c r="H970">
        <v>42</v>
      </c>
      <c r="I970" s="12" t="s">
        <v>34</v>
      </c>
      <c r="J970" s="12" t="s">
        <v>260</v>
      </c>
      <c r="K970" s="12" t="s">
        <v>60</v>
      </c>
      <c r="L970" s="12" t="s">
        <v>604</v>
      </c>
      <c r="M970" s="12" t="s">
        <v>75</v>
      </c>
      <c r="N970" s="14">
        <v>0.17</v>
      </c>
      <c r="O970" s="23">
        <v>954.1</v>
      </c>
      <c r="P970">
        <v>447.43</v>
      </c>
      <c r="Q970" s="12" t="str" cm="1">
        <f t="array" ref="Q970:R970">VLOOKUP(E970,store[],{3,5},FALSE)</f>
        <v>North</v>
      </c>
      <c r="R970" t="str">
        <v>Flagship</v>
      </c>
      <c r="S970" s="4">
        <f t="shared" si="15"/>
        <v>1907.86</v>
      </c>
    </row>
    <row r="971" spans="1:19">
      <c r="A971" t="s">
        <v>1724</v>
      </c>
      <c r="B971" s="3">
        <v>45274</v>
      </c>
      <c r="C971" t="s">
        <v>648</v>
      </c>
      <c r="D971" t="s">
        <v>134</v>
      </c>
      <c r="E971" t="s">
        <v>66</v>
      </c>
      <c r="F971">
        <v>1</v>
      </c>
      <c r="G971" t="s">
        <v>50</v>
      </c>
      <c r="H971">
        <v>64</v>
      </c>
      <c r="I971" s="12" t="s">
        <v>34</v>
      </c>
      <c r="J971" s="12" t="s">
        <v>256</v>
      </c>
      <c r="K971" s="12" t="s">
        <v>52</v>
      </c>
      <c r="L971" s="12" t="s">
        <v>136</v>
      </c>
      <c r="M971" s="12" t="s">
        <v>28</v>
      </c>
      <c r="N971" s="14">
        <v>0.04</v>
      </c>
      <c r="O971" s="23">
        <v>370.04</v>
      </c>
      <c r="P971">
        <v>240.63</v>
      </c>
      <c r="Q971" s="12" t="str" cm="1">
        <f t="array" ref="Q971:R971">VLOOKUP(E971,store[],{3,5},FALSE)</f>
        <v>South</v>
      </c>
      <c r="R971" t="str">
        <v>Online</v>
      </c>
      <c r="S971" s="4">
        <f t="shared" si="15"/>
        <v>370</v>
      </c>
    </row>
    <row r="972" spans="1:19">
      <c r="A972" t="s">
        <v>1725</v>
      </c>
      <c r="B972" s="3">
        <v>45297</v>
      </c>
      <c r="C972" t="s">
        <v>915</v>
      </c>
      <c r="D972" t="s">
        <v>1259</v>
      </c>
      <c r="E972" t="s">
        <v>135</v>
      </c>
      <c r="F972">
        <v>4</v>
      </c>
      <c r="G972" t="s">
        <v>23</v>
      </c>
      <c r="H972">
        <v>23</v>
      </c>
      <c r="I972" s="12" t="s">
        <v>24</v>
      </c>
      <c r="J972" s="12" t="s">
        <v>80</v>
      </c>
      <c r="K972" s="12" t="s">
        <v>60</v>
      </c>
      <c r="L972" s="12" t="s">
        <v>1260</v>
      </c>
      <c r="M972" s="12" t="s">
        <v>130</v>
      </c>
      <c r="N972" s="14">
        <v>0.08</v>
      </c>
      <c r="O972" s="23">
        <v>492.71</v>
      </c>
      <c r="P972">
        <v>358.47</v>
      </c>
      <c r="Q972" s="12" t="str" cm="1">
        <f t="array" ref="Q972:R972">VLOOKUP(E972,store[],{3,5},FALSE)</f>
        <v>East</v>
      </c>
      <c r="R972" t="str">
        <v>Online</v>
      </c>
      <c r="S972" s="4">
        <f t="shared" si="15"/>
        <v>1970.52</v>
      </c>
    </row>
    <row r="973" spans="1:19">
      <c r="A973" t="s">
        <v>1726</v>
      </c>
      <c r="B973" s="3">
        <v>45530</v>
      </c>
      <c r="C973" t="s">
        <v>1727</v>
      </c>
      <c r="D973" t="s">
        <v>372</v>
      </c>
      <c r="E973" t="s">
        <v>149</v>
      </c>
      <c r="F973">
        <v>4</v>
      </c>
      <c r="G973" t="s">
        <v>50</v>
      </c>
      <c r="H973">
        <v>48</v>
      </c>
      <c r="I973" s="12" t="s">
        <v>24</v>
      </c>
      <c r="J973" s="12" t="s">
        <v>218</v>
      </c>
      <c r="K973" s="12" t="s">
        <v>73</v>
      </c>
      <c r="L973" s="12" t="s">
        <v>374</v>
      </c>
      <c r="M973" s="12" t="s">
        <v>130</v>
      </c>
      <c r="N973" s="14">
        <v>0.24</v>
      </c>
      <c r="O973" s="23">
        <v>853.26</v>
      </c>
      <c r="P973">
        <v>438.25</v>
      </c>
      <c r="Q973" s="12" t="str" cm="1">
        <f t="array" ref="Q973:R973">VLOOKUP(E973,store[],{3,5},FALSE)</f>
        <v>East</v>
      </c>
      <c r="R973" t="str">
        <v>Flagship</v>
      </c>
      <c r="S973" s="4">
        <f t="shared" si="15"/>
        <v>3412.08</v>
      </c>
    </row>
    <row r="974" spans="1:19">
      <c r="A974" t="s">
        <v>1728</v>
      </c>
      <c r="B974" s="3">
        <v>45740</v>
      </c>
      <c r="C974" t="s">
        <v>398</v>
      </c>
      <c r="D974" t="s">
        <v>414</v>
      </c>
      <c r="E974" t="s">
        <v>117</v>
      </c>
      <c r="F974">
        <v>1</v>
      </c>
      <c r="G974" t="s">
        <v>33</v>
      </c>
      <c r="H974">
        <v>23</v>
      </c>
      <c r="I974" s="12" t="s">
        <v>34</v>
      </c>
      <c r="J974" s="12" t="s">
        <v>199</v>
      </c>
      <c r="K974" s="12" t="s">
        <v>26</v>
      </c>
      <c r="L974" s="12" t="s">
        <v>415</v>
      </c>
      <c r="M974" s="12" t="s">
        <v>130</v>
      </c>
      <c r="N974" s="14">
        <v>0.19</v>
      </c>
      <c r="O974" s="23">
        <v>402.47</v>
      </c>
      <c r="P974">
        <v>364.67</v>
      </c>
      <c r="Q974" s="12" t="str" cm="1">
        <f t="array" ref="Q974:R974">VLOOKUP(E974,store[],{3,5},FALSE)</f>
        <v>West</v>
      </c>
      <c r="R974" t="str">
        <v>Flagship</v>
      </c>
      <c r="S974" s="4">
        <f t="shared" si="15"/>
        <v>402.28</v>
      </c>
    </row>
    <row r="975" spans="1:19">
      <c r="A975" t="s">
        <v>1729</v>
      </c>
      <c r="B975" s="3">
        <v>45311</v>
      </c>
      <c r="C975" t="s">
        <v>1336</v>
      </c>
      <c r="D975" t="s">
        <v>420</v>
      </c>
      <c r="E975" t="s">
        <v>160</v>
      </c>
      <c r="F975">
        <v>2</v>
      </c>
      <c r="G975" t="s">
        <v>23</v>
      </c>
      <c r="H975">
        <v>31</v>
      </c>
      <c r="I975" s="12" t="s">
        <v>24</v>
      </c>
      <c r="J975" s="12" t="s">
        <v>231</v>
      </c>
      <c r="K975" s="12" t="s">
        <v>73</v>
      </c>
      <c r="L975" s="12" t="s">
        <v>421</v>
      </c>
      <c r="M975" s="12" t="s">
        <v>28</v>
      </c>
      <c r="N975" s="14">
        <v>0.24</v>
      </c>
      <c r="O975" s="23">
        <v>528.29999999999995</v>
      </c>
      <c r="P975">
        <v>434.84</v>
      </c>
      <c r="Q975" s="12" t="str" cm="1">
        <f t="array" ref="Q975:R975">VLOOKUP(E975,store[],{3,5},FALSE)</f>
        <v>East</v>
      </c>
      <c r="R975" t="str">
        <v>Flagship</v>
      </c>
      <c r="S975" s="4">
        <f t="shared" si="15"/>
        <v>1056.1199999999999</v>
      </c>
    </row>
    <row r="976" spans="1:19">
      <c r="A976" t="s">
        <v>1730</v>
      </c>
      <c r="B976" s="3">
        <v>45667</v>
      </c>
      <c r="C976" t="s">
        <v>1731</v>
      </c>
      <c r="D976" t="s">
        <v>234</v>
      </c>
      <c r="E976" t="s">
        <v>179</v>
      </c>
      <c r="F976">
        <v>4</v>
      </c>
      <c r="G976" t="s">
        <v>23</v>
      </c>
      <c r="H976">
        <v>19</v>
      </c>
      <c r="I976" s="12" t="s">
        <v>24</v>
      </c>
      <c r="J976" s="12" t="s">
        <v>25</v>
      </c>
      <c r="K976" s="12" t="s">
        <v>26</v>
      </c>
      <c r="L976" s="12" t="s">
        <v>236</v>
      </c>
      <c r="M976" s="12" t="s">
        <v>75</v>
      </c>
      <c r="N976" s="14">
        <v>0.25</v>
      </c>
      <c r="O976" s="23">
        <v>599.85</v>
      </c>
      <c r="P976">
        <v>298.86</v>
      </c>
      <c r="Q976" s="12" t="str" cm="1">
        <f t="array" ref="Q976:R976">VLOOKUP(E976,store[],{3,5},FALSE)</f>
        <v>East</v>
      </c>
      <c r="R976" t="str">
        <v>Online</v>
      </c>
      <c r="S976" s="4">
        <f t="shared" si="15"/>
        <v>2398.4</v>
      </c>
    </row>
    <row r="977" spans="1:19">
      <c r="A977" t="s">
        <v>1732</v>
      </c>
      <c r="B977" s="3">
        <v>45281</v>
      </c>
      <c r="C977" t="s">
        <v>386</v>
      </c>
      <c r="D977" t="s">
        <v>226</v>
      </c>
      <c r="E977" t="s">
        <v>127</v>
      </c>
      <c r="F977">
        <v>2</v>
      </c>
      <c r="G977" t="s">
        <v>33</v>
      </c>
      <c r="H977">
        <v>23</v>
      </c>
      <c r="I977" s="12" t="s">
        <v>34</v>
      </c>
      <c r="J977" s="12" t="s">
        <v>373</v>
      </c>
      <c r="K977" s="12" t="s">
        <v>52</v>
      </c>
      <c r="L977" s="12" t="s">
        <v>228</v>
      </c>
      <c r="M977" s="12" t="s">
        <v>46</v>
      </c>
      <c r="N977" s="14">
        <v>0.08</v>
      </c>
      <c r="O977" s="23">
        <v>61.42</v>
      </c>
      <c r="P977">
        <v>337.42</v>
      </c>
      <c r="Q977" s="12" t="str" cm="1">
        <f t="array" ref="Q977:R977">VLOOKUP(E977,store[],{3,5},FALSE)</f>
        <v>South</v>
      </c>
      <c r="R977" t="str">
        <v>Flagship</v>
      </c>
      <c r="S977" s="4">
        <f t="shared" si="15"/>
        <v>122.68</v>
      </c>
    </row>
    <row r="978" spans="1:19">
      <c r="A978" t="s">
        <v>1733</v>
      </c>
      <c r="B978" s="3">
        <v>45693</v>
      </c>
      <c r="C978" t="s">
        <v>1734</v>
      </c>
      <c r="D978" t="s">
        <v>314</v>
      </c>
      <c r="E978" t="s">
        <v>168</v>
      </c>
      <c r="F978">
        <v>2</v>
      </c>
      <c r="G978" t="s">
        <v>33</v>
      </c>
      <c r="H978">
        <v>41</v>
      </c>
      <c r="I978" s="12" t="s">
        <v>34</v>
      </c>
      <c r="J978" s="12" t="s">
        <v>161</v>
      </c>
      <c r="K978" s="12" t="s">
        <v>26</v>
      </c>
      <c r="L978" s="12" t="s">
        <v>315</v>
      </c>
      <c r="M978" s="12" t="s">
        <v>28</v>
      </c>
      <c r="N978" s="14">
        <v>0.12</v>
      </c>
      <c r="O978" s="23">
        <v>466.42</v>
      </c>
      <c r="P978">
        <v>21.34</v>
      </c>
      <c r="Q978" s="12" t="str" cm="1">
        <f t="array" ref="Q978:R978">VLOOKUP(E978,store[],{3,5},FALSE)</f>
        <v>East</v>
      </c>
      <c r="R978" t="str">
        <v>Online</v>
      </c>
      <c r="S978" s="4">
        <f t="shared" si="15"/>
        <v>932.6</v>
      </c>
    </row>
    <row r="979" spans="1:19">
      <c r="A979" t="s">
        <v>1735</v>
      </c>
      <c r="B979" s="3">
        <v>45857</v>
      </c>
      <c r="C979" t="s">
        <v>694</v>
      </c>
      <c r="D979" t="s">
        <v>311</v>
      </c>
      <c r="E979" t="s">
        <v>58</v>
      </c>
      <c r="F979">
        <v>4</v>
      </c>
      <c r="G979" t="s">
        <v>50</v>
      </c>
      <c r="H979">
        <v>35</v>
      </c>
      <c r="I979" s="12" t="s">
        <v>24</v>
      </c>
      <c r="J979" s="12" t="s">
        <v>51</v>
      </c>
      <c r="K979" s="12" t="s">
        <v>60</v>
      </c>
      <c r="L979" s="12" t="s">
        <v>312</v>
      </c>
      <c r="M979" s="12" t="s">
        <v>28</v>
      </c>
      <c r="N979" s="14">
        <v>0.09</v>
      </c>
      <c r="O979" s="23">
        <v>540.69000000000005</v>
      </c>
      <c r="P979">
        <v>204.39</v>
      </c>
      <c r="Q979" s="12" t="str" cm="1">
        <f t="array" ref="Q979:R979">VLOOKUP(E979,store[],{3,5},FALSE)</f>
        <v>North</v>
      </c>
      <c r="R979" t="str">
        <v>Outlet</v>
      </c>
      <c r="S979" s="4">
        <f t="shared" si="15"/>
        <v>2162.4</v>
      </c>
    </row>
    <row r="980" spans="1:19">
      <c r="A980" t="s">
        <v>1736</v>
      </c>
      <c r="B980" s="3">
        <v>45737</v>
      </c>
      <c r="C980" t="s">
        <v>404</v>
      </c>
      <c r="D980" t="s">
        <v>314</v>
      </c>
      <c r="E980" t="s">
        <v>149</v>
      </c>
      <c r="F980">
        <v>3</v>
      </c>
      <c r="G980" t="s">
        <v>23</v>
      </c>
      <c r="H980">
        <v>64</v>
      </c>
      <c r="I980" s="12" t="s">
        <v>24</v>
      </c>
      <c r="J980" s="12" t="s">
        <v>193</v>
      </c>
      <c r="K980" s="12" t="s">
        <v>52</v>
      </c>
      <c r="L980" s="12" t="s">
        <v>315</v>
      </c>
      <c r="M980" s="12" t="s">
        <v>28</v>
      </c>
      <c r="N980" s="14">
        <v>0.05</v>
      </c>
      <c r="O980" s="23">
        <v>677.46</v>
      </c>
      <c r="P980">
        <v>21.34</v>
      </c>
      <c r="Q980" s="12" t="str" cm="1">
        <f t="array" ref="Q980:R980">VLOOKUP(E980,store[],{3,5},FALSE)</f>
        <v>East</v>
      </c>
      <c r="R980" t="str">
        <v>Flagship</v>
      </c>
      <c r="S980" s="4">
        <f t="shared" si="15"/>
        <v>2032.23</v>
      </c>
    </row>
    <row r="981" spans="1:19">
      <c r="A981" t="s">
        <v>1737</v>
      </c>
      <c r="B981" s="3">
        <v>45771</v>
      </c>
      <c r="C981" t="s">
        <v>1232</v>
      </c>
      <c r="D981" t="s">
        <v>279</v>
      </c>
      <c r="E981" t="s">
        <v>105</v>
      </c>
      <c r="F981">
        <v>3</v>
      </c>
      <c r="G981" t="s">
        <v>33</v>
      </c>
      <c r="H981">
        <v>46</v>
      </c>
      <c r="I981" s="12" t="s">
        <v>24</v>
      </c>
      <c r="J981" s="12" t="s">
        <v>510</v>
      </c>
      <c r="K981" s="12" t="s">
        <v>52</v>
      </c>
      <c r="L981" s="12" t="s">
        <v>280</v>
      </c>
      <c r="M981" s="12" t="s">
        <v>75</v>
      </c>
      <c r="N981" s="14">
        <v>0.06</v>
      </c>
      <c r="O981" s="23">
        <v>614.63</v>
      </c>
      <c r="P981">
        <v>123.46</v>
      </c>
      <c r="Q981" s="12" t="str" cm="1">
        <f t="array" ref="Q981:R981">VLOOKUP(E981,store[],{3,5},FALSE)</f>
        <v>North</v>
      </c>
      <c r="R981" t="str">
        <v>Flagship</v>
      </c>
      <c r="S981" s="4">
        <f t="shared" si="15"/>
        <v>1843.71</v>
      </c>
    </row>
    <row r="982" spans="1:19">
      <c r="A982" t="s">
        <v>1738</v>
      </c>
      <c r="B982" s="3">
        <v>45272</v>
      </c>
      <c r="C982" t="s">
        <v>1125</v>
      </c>
      <c r="D982" t="s">
        <v>532</v>
      </c>
      <c r="E982" t="s">
        <v>43</v>
      </c>
      <c r="F982">
        <v>4</v>
      </c>
      <c r="G982" t="s">
        <v>23</v>
      </c>
      <c r="H982">
        <v>27</v>
      </c>
      <c r="I982" s="12" t="s">
        <v>34</v>
      </c>
      <c r="J982" s="12" t="s">
        <v>204</v>
      </c>
      <c r="K982" s="12" t="s">
        <v>52</v>
      </c>
      <c r="L982" s="12" t="s">
        <v>533</v>
      </c>
      <c r="M982" s="12" t="s">
        <v>46</v>
      </c>
      <c r="N982" s="14">
        <v>0.11</v>
      </c>
      <c r="O982" s="23">
        <v>649.52</v>
      </c>
      <c r="P982">
        <v>340.39</v>
      </c>
      <c r="Q982" s="12" t="str" cm="1">
        <f t="array" ref="Q982:R982">VLOOKUP(E982,store[],{3,5},FALSE)</f>
        <v>West</v>
      </c>
      <c r="R982" t="str">
        <v>Online</v>
      </c>
      <c r="S982" s="4">
        <f t="shared" si="15"/>
        <v>2597.64</v>
      </c>
    </row>
    <row r="983" spans="1:19">
      <c r="A983" t="s">
        <v>1739</v>
      </c>
      <c r="B983" s="3">
        <v>45481</v>
      </c>
      <c r="C983" t="s">
        <v>1134</v>
      </c>
      <c r="D983" t="s">
        <v>462</v>
      </c>
      <c r="E983" t="s">
        <v>43</v>
      </c>
      <c r="F983">
        <v>2</v>
      </c>
      <c r="G983" t="s">
        <v>33</v>
      </c>
      <c r="H983">
        <v>41</v>
      </c>
      <c r="I983" s="12" t="s">
        <v>34</v>
      </c>
      <c r="J983" s="12" t="s">
        <v>498</v>
      </c>
      <c r="K983" s="12" t="s">
        <v>52</v>
      </c>
      <c r="L983" s="12" t="s">
        <v>464</v>
      </c>
      <c r="M983" s="12" t="s">
        <v>130</v>
      </c>
      <c r="N983" s="14">
        <v>0.22</v>
      </c>
      <c r="O983" s="23">
        <v>943.93</v>
      </c>
      <c r="P983">
        <v>119.57</v>
      </c>
      <c r="Q983" s="12" t="str" cm="1">
        <f t="array" ref="Q983:R983">VLOOKUP(E983,store[],{3,5},FALSE)</f>
        <v>West</v>
      </c>
      <c r="R983" t="str">
        <v>Online</v>
      </c>
      <c r="S983" s="4">
        <f t="shared" si="15"/>
        <v>1887.42</v>
      </c>
    </row>
    <row r="984" spans="1:19">
      <c r="A984" t="s">
        <v>1740</v>
      </c>
      <c r="B984" s="3">
        <v>45228</v>
      </c>
      <c r="C984" t="s">
        <v>931</v>
      </c>
      <c r="D984" t="s">
        <v>311</v>
      </c>
      <c r="E984" t="s">
        <v>43</v>
      </c>
      <c r="F984">
        <v>4</v>
      </c>
      <c r="G984" t="s">
        <v>23</v>
      </c>
      <c r="H984">
        <v>47</v>
      </c>
      <c r="I984" s="12" t="s">
        <v>34</v>
      </c>
      <c r="J984" s="12" t="s">
        <v>932</v>
      </c>
      <c r="K984" s="12" t="s">
        <v>52</v>
      </c>
      <c r="L984" s="12" t="s">
        <v>312</v>
      </c>
      <c r="M984" s="12" t="s">
        <v>28</v>
      </c>
      <c r="N984" s="14">
        <v>0.03</v>
      </c>
      <c r="O984" s="23">
        <v>538.73</v>
      </c>
      <c r="P984">
        <v>204.39</v>
      </c>
      <c r="Q984" s="12" t="str" cm="1">
        <f t="array" ref="Q984:R984">VLOOKUP(E984,store[],{3,5},FALSE)</f>
        <v>West</v>
      </c>
      <c r="R984" t="str">
        <v>Online</v>
      </c>
      <c r="S984" s="4">
        <f t="shared" si="15"/>
        <v>2154.8000000000002</v>
      </c>
    </row>
    <row r="985" spans="1:19">
      <c r="A985" t="s">
        <v>1741</v>
      </c>
      <c r="B985" s="3">
        <v>45432</v>
      </c>
      <c r="C985" t="s">
        <v>867</v>
      </c>
      <c r="D985" t="s">
        <v>532</v>
      </c>
      <c r="E985" t="s">
        <v>43</v>
      </c>
      <c r="F985">
        <v>2</v>
      </c>
      <c r="G985" t="s">
        <v>33</v>
      </c>
      <c r="H985">
        <v>58</v>
      </c>
      <c r="I985" s="12" t="s">
        <v>24</v>
      </c>
      <c r="J985" s="12" t="s">
        <v>140</v>
      </c>
      <c r="K985" s="12" t="s">
        <v>60</v>
      </c>
      <c r="L985" s="12" t="s">
        <v>533</v>
      </c>
      <c r="M985" s="12" t="s">
        <v>46</v>
      </c>
      <c r="N985" s="14">
        <v>0.01</v>
      </c>
      <c r="O985" s="23">
        <v>853.93</v>
      </c>
      <c r="P985">
        <v>340.39</v>
      </c>
      <c r="Q985" s="12" t="str" cm="1">
        <f t="array" ref="Q985:R985">VLOOKUP(E985,store[],{3,5},FALSE)</f>
        <v>West</v>
      </c>
      <c r="R985" t="str">
        <v>Online</v>
      </c>
      <c r="S985" s="4">
        <f t="shared" si="15"/>
        <v>1707.84</v>
      </c>
    </row>
    <row r="986" spans="1:19">
      <c r="A986" t="s">
        <v>1742</v>
      </c>
      <c r="B986" s="3">
        <v>45914</v>
      </c>
      <c r="C986" t="s">
        <v>1292</v>
      </c>
      <c r="D986" t="s">
        <v>255</v>
      </c>
      <c r="E986" t="s">
        <v>72</v>
      </c>
      <c r="F986">
        <v>4</v>
      </c>
      <c r="G986" t="s">
        <v>50</v>
      </c>
      <c r="H986">
        <v>52</v>
      </c>
      <c r="I986" s="12" t="s">
        <v>34</v>
      </c>
      <c r="J986" s="12" t="s">
        <v>345</v>
      </c>
      <c r="K986" s="12" t="s">
        <v>26</v>
      </c>
      <c r="L986" s="12" t="s">
        <v>257</v>
      </c>
      <c r="M986" s="12" t="s">
        <v>75</v>
      </c>
      <c r="N986" s="14">
        <v>0.26</v>
      </c>
      <c r="O986" s="23">
        <v>465.42</v>
      </c>
      <c r="P986">
        <v>218.48</v>
      </c>
      <c r="Q986" s="12" t="str" cm="1">
        <f t="array" ref="Q986:R986">VLOOKUP(E986,store[],{3,5},FALSE)</f>
        <v>South</v>
      </c>
      <c r="R986" t="str">
        <v>Online</v>
      </c>
      <c r="S986" s="4">
        <f t="shared" si="15"/>
        <v>1860.64</v>
      </c>
    </row>
    <row r="987" spans="1:19">
      <c r="A987" t="s">
        <v>1743</v>
      </c>
      <c r="B987" s="3">
        <v>45758</v>
      </c>
      <c r="C987" t="s">
        <v>1348</v>
      </c>
      <c r="D987" t="s">
        <v>389</v>
      </c>
      <c r="E987" t="s">
        <v>272</v>
      </c>
      <c r="F987">
        <v>4</v>
      </c>
      <c r="G987" t="s">
        <v>50</v>
      </c>
      <c r="H987">
        <v>56</v>
      </c>
      <c r="I987" s="12" t="s">
        <v>34</v>
      </c>
      <c r="J987" s="12" t="s">
        <v>510</v>
      </c>
      <c r="K987" s="12" t="s">
        <v>73</v>
      </c>
      <c r="L987" s="12" t="s">
        <v>390</v>
      </c>
      <c r="M987" s="12" t="s">
        <v>130</v>
      </c>
      <c r="N987" s="14">
        <v>0.11</v>
      </c>
      <c r="O987" s="23">
        <v>880.26</v>
      </c>
      <c r="P987">
        <v>342.56</v>
      </c>
      <c r="Q987" s="12" t="str" cm="1">
        <f t="array" ref="Q987:R987">VLOOKUP(E987,store[],{3,5},FALSE)</f>
        <v>South</v>
      </c>
      <c r="R987" t="str">
        <v>Online</v>
      </c>
      <c r="S987" s="4">
        <f t="shared" si="15"/>
        <v>3520.6</v>
      </c>
    </row>
    <row r="988" spans="1:19">
      <c r="A988" t="s">
        <v>1744</v>
      </c>
      <c r="B988" s="3">
        <v>45429</v>
      </c>
      <c r="C988" t="s">
        <v>328</v>
      </c>
      <c r="D988" t="s">
        <v>501</v>
      </c>
      <c r="E988" t="s">
        <v>272</v>
      </c>
      <c r="F988">
        <v>3</v>
      </c>
      <c r="G988" t="s">
        <v>33</v>
      </c>
      <c r="H988">
        <v>48</v>
      </c>
      <c r="I988" s="12" t="s">
        <v>24</v>
      </c>
      <c r="J988" s="12" t="s">
        <v>99</v>
      </c>
      <c r="K988" s="12" t="s">
        <v>26</v>
      </c>
      <c r="L988" s="12" t="s">
        <v>502</v>
      </c>
      <c r="M988" s="12" t="s">
        <v>37</v>
      </c>
      <c r="N988" s="14">
        <v>0.28999999999999998</v>
      </c>
      <c r="O988" s="23">
        <v>461.02</v>
      </c>
      <c r="P988">
        <v>88.49</v>
      </c>
      <c r="Q988" s="12" t="str" cm="1">
        <f t="array" ref="Q988:R988">VLOOKUP(E988,store[],{3,5},FALSE)</f>
        <v>South</v>
      </c>
      <c r="R988" t="str">
        <v>Online</v>
      </c>
      <c r="S988" s="4">
        <f t="shared" si="15"/>
        <v>1382.19</v>
      </c>
    </row>
    <row r="989" spans="1:19">
      <c r="A989" t="s">
        <v>1745</v>
      </c>
      <c r="B989" s="3">
        <v>45578</v>
      </c>
      <c r="C989" t="s">
        <v>1223</v>
      </c>
      <c r="D989" t="s">
        <v>425</v>
      </c>
      <c r="E989" t="s">
        <v>149</v>
      </c>
      <c r="F989">
        <v>1</v>
      </c>
      <c r="G989" t="s">
        <v>33</v>
      </c>
      <c r="H989">
        <v>18</v>
      </c>
      <c r="I989" s="12" t="s">
        <v>34</v>
      </c>
      <c r="J989" s="12" t="s">
        <v>80</v>
      </c>
      <c r="K989" s="12" t="s">
        <v>26</v>
      </c>
      <c r="L989" s="12" t="s">
        <v>426</v>
      </c>
      <c r="M989" s="12" t="s">
        <v>130</v>
      </c>
      <c r="N989" s="14">
        <v>0.17</v>
      </c>
      <c r="O989" s="23">
        <v>531.99</v>
      </c>
      <c r="P989">
        <v>174.02</v>
      </c>
      <c r="Q989" s="12" t="str" cm="1">
        <f t="array" ref="Q989:R989">VLOOKUP(E989,store[],{3,5},FALSE)</f>
        <v>East</v>
      </c>
      <c r="R989" t="str">
        <v>Flagship</v>
      </c>
      <c r="S989" s="4">
        <f t="shared" si="15"/>
        <v>531.82000000000005</v>
      </c>
    </row>
    <row r="990" spans="1:19">
      <c r="A990" t="s">
        <v>1746</v>
      </c>
      <c r="B990" s="3">
        <v>45486</v>
      </c>
      <c r="C990" t="s">
        <v>1747</v>
      </c>
      <c r="D990" t="s">
        <v>302</v>
      </c>
      <c r="E990" t="s">
        <v>32</v>
      </c>
      <c r="F990">
        <v>2</v>
      </c>
      <c r="G990" t="s">
        <v>33</v>
      </c>
      <c r="H990">
        <v>64</v>
      </c>
      <c r="I990" s="12" t="s">
        <v>34</v>
      </c>
      <c r="J990" s="12" t="s">
        <v>227</v>
      </c>
      <c r="K990" s="12" t="s">
        <v>60</v>
      </c>
      <c r="L990" s="12" t="s">
        <v>303</v>
      </c>
      <c r="M990" s="12" t="s">
        <v>46</v>
      </c>
      <c r="N990" s="14">
        <v>0.13</v>
      </c>
      <c r="O990" s="23">
        <v>274.08999999999997</v>
      </c>
      <c r="P990">
        <v>255.04901960784301</v>
      </c>
      <c r="Q990" s="12" t="str" cm="1">
        <f t="array" ref="Q990:R990">VLOOKUP(E990,store[],{3,5},FALSE)</f>
        <v>North</v>
      </c>
      <c r="R990" t="str">
        <v>Flagship</v>
      </c>
      <c r="S990" s="4">
        <f t="shared" si="15"/>
        <v>547.91999999999996</v>
      </c>
    </row>
    <row r="991" spans="1:19">
      <c r="A991" t="s">
        <v>1748</v>
      </c>
      <c r="B991" s="3">
        <v>45694</v>
      </c>
      <c r="C991" t="s">
        <v>115</v>
      </c>
      <c r="D991" t="s">
        <v>110</v>
      </c>
      <c r="E991" t="s">
        <v>168</v>
      </c>
      <c r="F991">
        <v>1</v>
      </c>
      <c r="G991" t="s">
        <v>50</v>
      </c>
      <c r="H991">
        <v>51</v>
      </c>
      <c r="I991" s="12" t="s">
        <v>24</v>
      </c>
      <c r="J991" s="12" t="s">
        <v>118</v>
      </c>
      <c r="K991" s="12" t="s">
        <v>60</v>
      </c>
      <c r="L991" s="12" t="s">
        <v>112</v>
      </c>
      <c r="M991" s="12" t="s">
        <v>28</v>
      </c>
      <c r="N991" s="14">
        <v>0.14000000000000001</v>
      </c>
      <c r="O991" s="23">
        <v>66.14</v>
      </c>
      <c r="P991">
        <v>131.24</v>
      </c>
      <c r="Q991" s="12" t="str" cm="1">
        <f t="array" ref="Q991:R991">VLOOKUP(E991,store[],{3,5},FALSE)</f>
        <v>East</v>
      </c>
      <c r="R991" t="str">
        <v>Online</v>
      </c>
      <c r="S991" s="4">
        <f t="shared" si="15"/>
        <v>66</v>
      </c>
    </row>
    <row r="992" spans="1:19">
      <c r="A992" t="s">
        <v>1749</v>
      </c>
      <c r="B992" s="3">
        <v>45875</v>
      </c>
      <c r="C992" t="s">
        <v>944</v>
      </c>
      <c r="D992" t="s">
        <v>291</v>
      </c>
      <c r="E992" t="s">
        <v>127</v>
      </c>
      <c r="F992">
        <v>3</v>
      </c>
      <c r="G992" t="s">
        <v>50</v>
      </c>
      <c r="H992">
        <v>29</v>
      </c>
      <c r="I992" s="12" t="s">
        <v>24</v>
      </c>
      <c r="J992" s="12" t="s">
        <v>35</v>
      </c>
      <c r="K992" s="12" t="s">
        <v>26</v>
      </c>
      <c r="L992" s="12" t="s">
        <v>292</v>
      </c>
      <c r="M992" s="12" t="s">
        <v>28</v>
      </c>
      <c r="N992" s="14">
        <v>0.16</v>
      </c>
      <c r="O992" s="23">
        <v>955.82</v>
      </c>
      <c r="P992">
        <v>131.51</v>
      </c>
      <c r="Q992" s="12" t="str" cm="1">
        <f t="array" ref="Q992:R992">VLOOKUP(E992,store[],{3,5},FALSE)</f>
        <v>South</v>
      </c>
      <c r="R992" t="str">
        <v>Flagship</v>
      </c>
      <c r="S992" s="4">
        <f t="shared" si="15"/>
        <v>2866.98</v>
      </c>
    </row>
    <row r="993" spans="1:19">
      <c r="A993" t="s">
        <v>1750</v>
      </c>
      <c r="B993" s="3">
        <v>45432</v>
      </c>
      <c r="C993" t="s">
        <v>562</v>
      </c>
      <c r="D993" t="s">
        <v>443</v>
      </c>
      <c r="E993" t="s">
        <v>208</v>
      </c>
      <c r="F993">
        <v>1</v>
      </c>
      <c r="G993" t="s">
        <v>23</v>
      </c>
      <c r="H993">
        <v>54</v>
      </c>
      <c r="I993" s="12" t="s">
        <v>24</v>
      </c>
      <c r="J993" s="12" t="s">
        <v>231</v>
      </c>
      <c r="K993" s="12" t="s">
        <v>52</v>
      </c>
      <c r="L993" s="12" t="s">
        <v>445</v>
      </c>
      <c r="M993" s="12" t="s">
        <v>28</v>
      </c>
      <c r="N993" s="14">
        <v>0.13</v>
      </c>
      <c r="O993" s="23">
        <v>904.92</v>
      </c>
      <c r="P993">
        <v>484.62</v>
      </c>
      <c r="Q993" s="12" t="str" cm="1">
        <f t="array" ref="Q993:R993">VLOOKUP(E993,store[],{3,5},FALSE)</f>
        <v>North</v>
      </c>
      <c r="R993" t="str">
        <v>Online</v>
      </c>
      <c r="S993" s="4">
        <f t="shared" si="15"/>
        <v>904.79</v>
      </c>
    </row>
    <row r="994" spans="1:19">
      <c r="A994" t="s">
        <v>1751</v>
      </c>
      <c r="B994" s="3">
        <v>45575</v>
      </c>
      <c r="C994" t="s">
        <v>975</v>
      </c>
      <c r="D994" t="s">
        <v>295</v>
      </c>
      <c r="E994" t="s">
        <v>66</v>
      </c>
      <c r="F994">
        <v>3</v>
      </c>
      <c r="G994" t="s">
        <v>23</v>
      </c>
      <c r="H994">
        <v>55</v>
      </c>
      <c r="I994" s="12" t="s">
        <v>24</v>
      </c>
      <c r="J994" s="12" t="s">
        <v>256</v>
      </c>
      <c r="K994" s="12" t="s">
        <v>346</v>
      </c>
      <c r="L994" s="12" t="s">
        <v>296</v>
      </c>
      <c r="M994" s="12" t="s">
        <v>37</v>
      </c>
      <c r="N994" s="14">
        <v>0.26</v>
      </c>
      <c r="O994" s="23">
        <v>490.02</v>
      </c>
      <c r="P994">
        <v>38.520000000000003</v>
      </c>
      <c r="Q994" s="12" t="str" cm="1">
        <f t="array" ref="Q994:R994">VLOOKUP(E994,store[],{3,5},FALSE)</f>
        <v>South</v>
      </c>
      <c r="R994" t="str">
        <v>Online</v>
      </c>
      <c r="S994" s="4">
        <f t="shared" si="15"/>
        <v>1469.28</v>
      </c>
    </row>
    <row r="995" spans="1:19">
      <c r="A995" t="s">
        <v>1752</v>
      </c>
      <c r="B995" s="3">
        <v>45340</v>
      </c>
      <c r="C995" t="s">
        <v>1503</v>
      </c>
      <c r="D995" t="s">
        <v>314</v>
      </c>
      <c r="E995" t="s">
        <v>179</v>
      </c>
      <c r="F995">
        <v>2</v>
      </c>
      <c r="G995" t="s">
        <v>50</v>
      </c>
      <c r="H995">
        <v>23</v>
      </c>
      <c r="I995" s="12" t="s">
        <v>24</v>
      </c>
      <c r="J995" s="12" t="s">
        <v>308</v>
      </c>
      <c r="K995" s="12" t="s">
        <v>73</v>
      </c>
      <c r="L995" s="12" t="s">
        <v>315</v>
      </c>
      <c r="M995" s="12" t="s">
        <v>28</v>
      </c>
      <c r="N995" s="14">
        <v>0.1</v>
      </c>
      <c r="O995" s="23">
        <v>957.54</v>
      </c>
      <c r="P995">
        <v>21.34</v>
      </c>
      <c r="Q995" s="12" t="str" cm="1">
        <f t="array" ref="Q995:R995">VLOOKUP(E995,store[],{3,5},FALSE)</f>
        <v>East</v>
      </c>
      <c r="R995" t="str">
        <v>Online</v>
      </c>
      <c r="S995" s="4">
        <f t="shared" si="15"/>
        <v>1914.88</v>
      </c>
    </row>
    <row r="996" spans="1:19">
      <c r="A996" t="s">
        <v>1753</v>
      </c>
      <c r="B996" s="3">
        <v>45926</v>
      </c>
      <c r="C996" t="s">
        <v>508</v>
      </c>
      <c r="D996" t="s">
        <v>85</v>
      </c>
      <c r="E996" t="s">
        <v>149</v>
      </c>
      <c r="F996">
        <v>2</v>
      </c>
      <c r="G996" t="s">
        <v>33</v>
      </c>
      <c r="H996">
        <v>62</v>
      </c>
      <c r="I996" s="12" t="s">
        <v>34</v>
      </c>
      <c r="J996" s="12" t="s">
        <v>510</v>
      </c>
      <c r="K996" s="12" t="s">
        <v>73</v>
      </c>
      <c r="L996" s="12" t="s">
        <v>86</v>
      </c>
      <c r="M996" s="12" t="s">
        <v>75</v>
      </c>
      <c r="N996" s="14">
        <v>7.0000000000000007E-2</v>
      </c>
      <c r="O996" s="23">
        <v>314.39999999999998</v>
      </c>
      <c r="P996">
        <v>201.41</v>
      </c>
      <c r="Q996" s="12" t="str" cm="1">
        <f t="array" ref="Q996:R996">VLOOKUP(E996,store[],{3,5},FALSE)</f>
        <v>East</v>
      </c>
      <c r="R996" t="str">
        <v>Flagship</v>
      </c>
      <c r="S996" s="4">
        <f t="shared" si="15"/>
        <v>628.66</v>
      </c>
    </row>
    <row r="997" spans="1:19">
      <c r="A997" t="s">
        <v>1754</v>
      </c>
      <c r="B997" s="3">
        <v>45373</v>
      </c>
      <c r="C997" t="s">
        <v>570</v>
      </c>
      <c r="D997" t="s">
        <v>97</v>
      </c>
      <c r="E997" t="s">
        <v>179</v>
      </c>
      <c r="F997">
        <v>3</v>
      </c>
      <c r="G997" t="s">
        <v>33</v>
      </c>
      <c r="H997">
        <v>43</v>
      </c>
      <c r="I997" s="12" t="s">
        <v>34</v>
      </c>
      <c r="J997" s="12" t="s">
        <v>440</v>
      </c>
      <c r="K997" s="12" t="s">
        <v>73</v>
      </c>
      <c r="L997" s="12" t="s">
        <v>100</v>
      </c>
      <c r="M997" s="12" t="s">
        <v>28</v>
      </c>
      <c r="N997" s="14">
        <v>0.11</v>
      </c>
      <c r="O997" s="23">
        <v>480.11</v>
      </c>
      <c r="P997">
        <v>166.06</v>
      </c>
      <c r="Q997" s="12" t="str" cm="1">
        <f t="array" ref="Q997:R997">VLOOKUP(E997,store[],{3,5},FALSE)</f>
        <v>East</v>
      </c>
      <c r="R997" t="str">
        <v>Online</v>
      </c>
      <c r="S997" s="4">
        <f t="shared" si="15"/>
        <v>1440</v>
      </c>
    </row>
    <row r="998" spans="1:19">
      <c r="A998" t="s">
        <v>1755</v>
      </c>
      <c r="B998" s="3">
        <v>45579</v>
      </c>
      <c r="C998" t="s">
        <v>1187</v>
      </c>
      <c r="D998" t="s">
        <v>505</v>
      </c>
      <c r="E998" t="s">
        <v>179</v>
      </c>
      <c r="F998">
        <v>4</v>
      </c>
      <c r="G998" t="s">
        <v>23</v>
      </c>
      <c r="H998">
        <v>53</v>
      </c>
      <c r="I998" s="12" t="s">
        <v>24</v>
      </c>
      <c r="J998" s="12" t="s">
        <v>80</v>
      </c>
      <c r="K998" s="12" t="s">
        <v>52</v>
      </c>
      <c r="L998" s="12" t="s">
        <v>506</v>
      </c>
      <c r="M998" s="12" t="s">
        <v>37</v>
      </c>
      <c r="N998" s="14">
        <v>0.28000000000000003</v>
      </c>
      <c r="O998" s="23">
        <v>826.55</v>
      </c>
      <c r="P998">
        <v>177.98</v>
      </c>
      <c r="Q998" s="12" t="str" cm="1">
        <f t="array" ref="Q998:R998">VLOOKUP(E998,store[],{3,5},FALSE)</f>
        <v>East</v>
      </c>
      <c r="R998" t="str">
        <v>Online</v>
      </c>
      <c r="S998" s="4">
        <f t="shared" si="15"/>
        <v>3305.08</v>
      </c>
    </row>
    <row r="999" spans="1:19">
      <c r="A999" t="s">
        <v>1756</v>
      </c>
      <c r="B999" s="3">
        <v>45805</v>
      </c>
      <c r="C999" t="s">
        <v>1551</v>
      </c>
      <c r="D999" t="s">
        <v>139</v>
      </c>
      <c r="E999" t="s">
        <v>22</v>
      </c>
      <c r="F999">
        <v>3</v>
      </c>
      <c r="G999" t="s">
        <v>33</v>
      </c>
      <c r="H999">
        <v>21</v>
      </c>
      <c r="I999" s="12" t="s">
        <v>24</v>
      </c>
      <c r="J999" s="12" t="s">
        <v>161</v>
      </c>
      <c r="K999" s="12" t="s">
        <v>73</v>
      </c>
      <c r="L999" s="12" t="s">
        <v>141</v>
      </c>
      <c r="M999" s="12" t="s">
        <v>75</v>
      </c>
      <c r="N999" s="14">
        <v>0.18</v>
      </c>
      <c r="O999" s="23">
        <v>530.16999999999996</v>
      </c>
      <c r="P999">
        <v>250.02157142857101</v>
      </c>
      <c r="Q999" s="12" t="str" cm="1">
        <f t="array" ref="Q999:R999">VLOOKUP(E999,store[],{3,5},FALSE)</f>
        <v>North</v>
      </c>
      <c r="R999" t="str">
        <v>Outlet</v>
      </c>
      <c r="S999" s="4">
        <f t="shared" si="15"/>
        <v>1589.97</v>
      </c>
    </row>
    <row r="1000" spans="1:19">
      <c r="A1000" t="s">
        <v>1757</v>
      </c>
      <c r="B1000" s="3">
        <v>45522</v>
      </c>
      <c r="C1000" t="s">
        <v>1593</v>
      </c>
      <c r="D1000" t="s">
        <v>116</v>
      </c>
      <c r="E1000" t="s">
        <v>32</v>
      </c>
      <c r="F1000">
        <v>3</v>
      </c>
      <c r="G1000" t="s">
        <v>50</v>
      </c>
      <c r="H1000">
        <v>33</v>
      </c>
      <c r="I1000" s="12" t="s">
        <v>24</v>
      </c>
      <c r="J1000" s="12" t="s">
        <v>336</v>
      </c>
      <c r="K1000" s="12" t="s">
        <v>26</v>
      </c>
      <c r="L1000" s="12" t="s">
        <v>119</v>
      </c>
      <c r="M1000" s="12" t="s">
        <v>37</v>
      </c>
      <c r="N1000" s="14">
        <v>0.04</v>
      </c>
      <c r="O1000" s="23">
        <v>336.17</v>
      </c>
      <c r="P1000">
        <v>419.28</v>
      </c>
      <c r="Q1000" s="12" t="str" cm="1">
        <f t="array" ref="Q1000:R1000">VLOOKUP(E1000,store[],{3,5},FALSE)</f>
        <v>North</v>
      </c>
      <c r="R1000" t="str">
        <v>Flagship</v>
      </c>
      <c r="S1000" s="4">
        <f t="shared" si="15"/>
        <v>1008.39</v>
      </c>
    </row>
    <row r="1001" spans="1:19">
      <c r="A1001" t="s">
        <v>1758</v>
      </c>
      <c r="B1001" s="3">
        <v>45304</v>
      </c>
      <c r="C1001" t="s">
        <v>1759</v>
      </c>
      <c r="D1001" t="s">
        <v>630</v>
      </c>
      <c r="E1001" t="s">
        <v>43</v>
      </c>
      <c r="F1001">
        <v>4</v>
      </c>
      <c r="G1001" t="s">
        <v>33</v>
      </c>
      <c r="H1001">
        <v>45</v>
      </c>
      <c r="I1001" s="12" t="s">
        <v>34</v>
      </c>
      <c r="J1001" s="12" t="s">
        <v>91</v>
      </c>
      <c r="K1001" s="12" t="s">
        <v>52</v>
      </c>
      <c r="L1001" s="12" t="s">
        <v>631</v>
      </c>
      <c r="M1001" s="12" t="s">
        <v>28</v>
      </c>
      <c r="N1001" s="14">
        <v>0.27</v>
      </c>
      <c r="O1001" s="23">
        <v>22.51</v>
      </c>
      <c r="P1001">
        <v>285.54000000000002</v>
      </c>
      <c r="Q1001" s="12" t="str" cm="1">
        <f t="array" ref="Q1001:R1001">VLOOKUP(E1001,store[],{3,5},FALSE)</f>
        <v>West</v>
      </c>
      <c r="R1001" t="str">
        <v>Online</v>
      </c>
      <c r="S1001" s="4">
        <f t="shared" si="15"/>
        <v>88.96</v>
      </c>
    </row>
    <row r="1002" spans="1:19">
      <c r="A1002" t="s">
        <v>1760</v>
      </c>
      <c r="B1002" s="3">
        <v>45456</v>
      </c>
      <c r="C1002" t="s">
        <v>1551</v>
      </c>
      <c r="D1002" t="s">
        <v>57</v>
      </c>
      <c r="E1002" t="s">
        <v>198</v>
      </c>
      <c r="F1002">
        <v>2</v>
      </c>
      <c r="G1002" t="s">
        <v>23</v>
      </c>
      <c r="H1002">
        <v>21</v>
      </c>
      <c r="I1002" s="12" t="s">
        <v>24</v>
      </c>
      <c r="J1002" s="12" t="s">
        <v>161</v>
      </c>
      <c r="K1002" s="12" t="s">
        <v>73</v>
      </c>
      <c r="L1002" s="12" t="s">
        <v>61</v>
      </c>
      <c r="M1002" s="12" t="s">
        <v>46</v>
      </c>
      <c r="N1002" s="14">
        <v>0.27</v>
      </c>
      <c r="O1002" s="23">
        <v>909.51</v>
      </c>
      <c r="P1002">
        <v>17.309999999999999</v>
      </c>
      <c r="Q1002" s="12" t="str" cm="1">
        <f t="array" ref="Q1002:R1002">VLOOKUP(E1002,store[],{3,5},FALSE)</f>
        <v>South</v>
      </c>
      <c r="R1002" t="str">
        <v>Outlet</v>
      </c>
      <c r="S1002" s="4">
        <f t="shared" si="15"/>
        <v>1818.48</v>
      </c>
    </row>
    <row r="1003" spans="1:19">
      <c r="A1003" t="s">
        <v>1761</v>
      </c>
      <c r="B1003" s="3">
        <v>45776</v>
      </c>
      <c r="C1003" t="s">
        <v>1526</v>
      </c>
      <c r="D1003" t="s">
        <v>167</v>
      </c>
      <c r="E1003" t="s">
        <v>98</v>
      </c>
      <c r="F1003">
        <v>4</v>
      </c>
      <c r="G1003" t="s">
        <v>33</v>
      </c>
      <c r="H1003">
        <v>55</v>
      </c>
      <c r="I1003" s="12" t="s">
        <v>24</v>
      </c>
      <c r="J1003" s="12" t="s">
        <v>510</v>
      </c>
      <c r="K1003" s="12" t="s">
        <v>73</v>
      </c>
      <c r="L1003" s="12" t="s">
        <v>170</v>
      </c>
      <c r="M1003" s="12" t="s">
        <v>130</v>
      </c>
      <c r="N1003" s="14">
        <v>0.24</v>
      </c>
      <c r="O1003" s="23">
        <v>593.84</v>
      </c>
      <c r="P1003">
        <v>218.22</v>
      </c>
      <c r="Q1003" s="12" t="str" cm="1">
        <f t="array" ref="Q1003:R1003">VLOOKUP(E1003,store[],{3,5},FALSE)</f>
        <v>South</v>
      </c>
      <c r="R1003" t="str">
        <v>Outlet</v>
      </c>
      <c r="S1003" s="4">
        <f t="shared" si="15"/>
        <v>2374.4</v>
      </c>
    </row>
    <row r="1004" spans="1:19">
      <c r="A1004" t="s">
        <v>1762</v>
      </c>
      <c r="B1004" s="3">
        <v>45566</v>
      </c>
      <c r="C1004" t="s">
        <v>1653</v>
      </c>
      <c r="D1004" t="s">
        <v>575</v>
      </c>
      <c r="E1004" t="s">
        <v>168</v>
      </c>
      <c r="F1004">
        <v>3</v>
      </c>
      <c r="G1004" t="s">
        <v>50</v>
      </c>
      <c r="H1004">
        <v>27</v>
      </c>
      <c r="I1004" s="12" t="s">
        <v>24</v>
      </c>
      <c r="J1004" s="12" t="s">
        <v>356</v>
      </c>
      <c r="K1004" s="12" t="s">
        <v>60</v>
      </c>
      <c r="L1004" s="12" t="s">
        <v>576</v>
      </c>
      <c r="M1004" s="12" t="s">
        <v>28</v>
      </c>
      <c r="N1004" s="14">
        <v>0.23</v>
      </c>
      <c r="O1004" s="23">
        <v>909.11</v>
      </c>
      <c r="P1004">
        <v>107.06</v>
      </c>
      <c r="Q1004" s="12" t="str" cm="1">
        <f t="array" ref="Q1004:R1004">VLOOKUP(E1004,store[],{3,5},FALSE)</f>
        <v>East</v>
      </c>
      <c r="R1004" t="str">
        <v>Online</v>
      </c>
      <c r="S1004" s="4">
        <f t="shared" si="15"/>
        <v>2726.64</v>
      </c>
    </row>
    <row r="1005" spans="1:19">
      <c r="A1005" t="s">
        <v>1763</v>
      </c>
      <c r="B1005" s="3">
        <v>45542</v>
      </c>
      <c r="C1005" t="s">
        <v>531</v>
      </c>
      <c r="D1005" t="s">
        <v>97</v>
      </c>
      <c r="E1005" t="s">
        <v>105</v>
      </c>
      <c r="F1005">
        <v>4</v>
      </c>
      <c r="G1005" t="s">
        <v>33</v>
      </c>
      <c r="H1005">
        <v>27</v>
      </c>
      <c r="I1005" s="12" t="s">
        <v>24</v>
      </c>
      <c r="J1005" s="12" t="s">
        <v>193</v>
      </c>
      <c r="K1005" s="12" t="s">
        <v>73</v>
      </c>
      <c r="L1005" s="12" t="s">
        <v>100</v>
      </c>
      <c r="M1005" s="12" t="s">
        <v>28</v>
      </c>
      <c r="N1005" s="14">
        <v>0.24</v>
      </c>
      <c r="O1005" s="23">
        <v>996.85</v>
      </c>
      <c r="P1005">
        <v>166.06</v>
      </c>
      <c r="Q1005" s="12" t="str" cm="1">
        <f t="array" ref="Q1005:R1005">VLOOKUP(E1005,store[],{3,5},FALSE)</f>
        <v>North</v>
      </c>
      <c r="R1005" t="str">
        <v>Flagship</v>
      </c>
      <c r="S1005" s="4">
        <f t="shared" si="15"/>
        <v>3986.44</v>
      </c>
    </row>
    <row r="1006" spans="1:19">
      <c r="A1006" t="s">
        <v>1764</v>
      </c>
      <c r="B1006" s="3">
        <v>45834</v>
      </c>
      <c r="C1006" t="s">
        <v>1085</v>
      </c>
      <c r="D1006" t="s">
        <v>768</v>
      </c>
      <c r="E1006" t="s">
        <v>32</v>
      </c>
      <c r="F1006">
        <v>1</v>
      </c>
      <c r="G1006" t="s">
        <v>50</v>
      </c>
      <c r="H1006">
        <v>29</v>
      </c>
      <c r="I1006" s="12" t="s">
        <v>24</v>
      </c>
      <c r="J1006" s="12" t="s">
        <v>609</v>
      </c>
      <c r="K1006" s="12" t="s">
        <v>60</v>
      </c>
      <c r="L1006" s="12" t="s">
        <v>769</v>
      </c>
      <c r="M1006" s="12" t="s">
        <v>37</v>
      </c>
      <c r="N1006" s="14">
        <v>0.06</v>
      </c>
      <c r="O1006" s="23">
        <v>522.69000000000005</v>
      </c>
      <c r="P1006">
        <v>112.42</v>
      </c>
      <c r="Q1006" s="12" t="str" cm="1">
        <f t="array" ref="Q1006:R1006">VLOOKUP(E1006,store[],{3,5},FALSE)</f>
        <v>North</v>
      </c>
      <c r="R1006" t="str">
        <v>Flagship</v>
      </c>
      <c r="S1006" s="4">
        <f t="shared" si="15"/>
        <v>522.63</v>
      </c>
    </row>
    <row r="1007" spans="1:19">
      <c r="A1007" t="s">
        <v>1765</v>
      </c>
      <c r="B1007" s="3">
        <v>45405</v>
      </c>
      <c r="C1007" t="s">
        <v>1766</v>
      </c>
      <c r="D1007" t="s">
        <v>420</v>
      </c>
      <c r="E1007" t="s">
        <v>22</v>
      </c>
      <c r="F1007">
        <v>3</v>
      </c>
      <c r="G1007" t="s">
        <v>33</v>
      </c>
      <c r="H1007">
        <v>46</v>
      </c>
      <c r="I1007" s="12" t="s">
        <v>24</v>
      </c>
      <c r="J1007" s="12" t="s">
        <v>44</v>
      </c>
      <c r="K1007" s="12" t="s">
        <v>26</v>
      </c>
      <c r="L1007" s="12" t="s">
        <v>421</v>
      </c>
      <c r="M1007" s="12" t="s">
        <v>28</v>
      </c>
      <c r="N1007" s="14">
        <v>0.12</v>
      </c>
      <c r="O1007" s="23">
        <v>261.05</v>
      </c>
      <c r="P1007">
        <v>434.84</v>
      </c>
      <c r="Q1007" s="12" t="str" cm="1">
        <f t="array" ref="Q1007:R1007">VLOOKUP(E1007,store[],{3,5},FALSE)</f>
        <v>North</v>
      </c>
      <c r="R1007" t="str">
        <v>Outlet</v>
      </c>
      <c r="S1007" s="4">
        <f t="shared" si="15"/>
        <v>782.79</v>
      </c>
    </row>
    <row r="1008" spans="1:19">
      <c r="A1008" t="s">
        <v>1767</v>
      </c>
      <c r="B1008" s="3">
        <v>45918</v>
      </c>
      <c r="C1008" t="s">
        <v>456</v>
      </c>
      <c r="D1008" t="s">
        <v>250</v>
      </c>
      <c r="E1008" t="s">
        <v>32</v>
      </c>
      <c r="F1008">
        <v>3</v>
      </c>
      <c r="G1008" t="s">
        <v>50</v>
      </c>
      <c r="H1008">
        <v>58</v>
      </c>
      <c r="I1008" s="12" t="s">
        <v>34</v>
      </c>
      <c r="J1008" s="12" t="s">
        <v>457</v>
      </c>
      <c r="K1008" s="12" t="s">
        <v>73</v>
      </c>
      <c r="L1008" s="12" t="s">
        <v>252</v>
      </c>
      <c r="M1008" s="12" t="s">
        <v>130</v>
      </c>
      <c r="N1008" s="14">
        <v>0.01</v>
      </c>
      <c r="O1008" s="23">
        <v>644.73</v>
      </c>
      <c r="P1008">
        <v>248.82191780821901</v>
      </c>
      <c r="Q1008" s="12" t="str" cm="1">
        <f t="array" ref="Q1008:R1008">VLOOKUP(E1008,store[],{3,5},FALSE)</f>
        <v>North</v>
      </c>
      <c r="R1008" t="str">
        <v>Flagship</v>
      </c>
      <c r="S1008" s="4">
        <f t="shared" si="15"/>
        <v>1934.16</v>
      </c>
    </row>
    <row r="1009" spans="1:19">
      <c r="A1009" t="s">
        <v>1768</v>
      </c>
      <c r="B1009" s="3">
        <v>45217</v>
      </c>
      <c r="C1009" t="s">
        <v>840</v>
      </c>
      <c r="D1009" t="s">
        <v>213</v>
      </c>
      <c r="E1009" t="s">
        <v>198</v>
      </c>
      <c r="F1009">
        <v>2</v>
      </c>
      <c r="G1009" t="s">
        <v>33</v>
      </c>
      <c r="H1009">
        <v>54</v>
      </c>
      <c r="I1009" s="12" t="s">
        <v>24</v>
      </c>
      <c r="J1009" s="12" t="s">
        <v>35</v>
      </c>
      <c r="K1009" s="12" t="s">
        <v>73</v>
      </c>
      <c r="L1009" s="12" t="s">
        <v>215</v>
      </c>
      <c r="M1009" s="12" t="s">
        <v>130</v>
      </c>
      <c r="N1009" s="14">
        <v>0.26</v>
      </c>
      <c r="O1009" s="23">
        <v>541.52</v>
      </c>
      <c r="P1009">
        <v>158.13999999999999</v>
      </c>
      <c r="Q1009" s="12" t="str" cm="1">
        <f t="array" ref="Q1009:R1009">VLOOKUP(E1009,store[],{3,5},FALSE)</f>
        <v>South</v>
      </c>
      <c r="R1009" t="str">
        <v>Outlet</v>
      </c>
      <c r="S1009" s="4">
        <f t="shared" si="15"/>
        <v>1082.52</v>
      </c>
    </row>
    <row r="1010" spans="1:19">
      <c r="A1010" t="s">
        <v>1769</v>
      </c>
      <c r="B1010" s="3">
        <v>45259</v>
      </c>
      <c r="C1010" t="s">
        <v>1770</v>
      </c>
      <c r="D1010" t="s">
        <v>625</v>
      </c>
      <c r="E1010" t="s">
        <v>168</v>
      </c>
      <c r="F1010">
        <v>1</v>
      </c>
      <c r="G1010" t="s">
        <v>33</v>
      </c>
      <c r="H1010">
        <v>28</v>
      </c>
      <c r="I1010" s="12" t="s">
        <v>24</v>
      </c>
      <c r="J1010" s="12" t="s">
        <v>256</v>
      </c>
      <c r="K1010" s="12" t="s">
        <v>52</v>
      </c>
      <c r="L1010" s="12" t="s">
        <v>626</v>
      </c>
      <c r="M1010" s="12" t="s">
        <v>46</v>
      </c>
      <c r="N1010" s="14">
        <v>0.09</v>
      </c>
      <c r="O1010" s="23">
        <v>395.18</v>
      </c>
      <c r="P1010">
        <v>266.86</v>
      </c>
      <c r="Q1010" s="12" t="str" cm="1">
        <f t="array" ref="Q1010:R1010">VLOOKUP(E1010,store[],{3,5},FALSE)</f>
        <v>East</v>
      </c>
      <c r="R1010" t="str">
        <v>Online</v>
      </c>
      <c r="S1010" s="4">
        <f t="shared" si="15"/>
        <v>395.09</v>
      </c>
    </row>
    <row r="1011" spans="1:19">
      <c r="A1011" t="s">
        <v>1771</v>
      </c>
      <c r="B1011" s="3">
        <v>45740</v>
      </c>
      <c r="C1011" t="s">
        <v>1169</v>
      </c>
      <c r="D1011" t="s">
        <v>484</v>
      </c>
      <c r="E1011" t="s">
        <v>43</v>
      </c>
      <c r="F1011">
        <v>4</v>
      </c>
      <c r="G1011" t="s">
        <v>23</v>
      </c>
      <c r="H1011">
        <v>53</v>
      </c>
      <c r="I1011" s="12" t="s">
        <v>34</v>
      </c>
      <c r="J1011" s="12" t="s">
        <v>118</v>
      </c>
      <c r="K1011" s="12" t="s">
        <v>52</v>
      </c>
      <c r="L1011" s="12" t="s">
        <v>485</v>
      </c>
      <c r="M1011" s="12" t="s">
        <v>37</v>
      </c>
      <c r="N1011" s="14">
        <v>0.17</v>
      </c>
      <c r="O1011" s="23">
        <v>56.37</v>
      </c>
      <c r="P1011">
        <v>439.07</v>
      </c>
      <c r="Q1011" s="12" t="str" cm="1">
        <f t="array" ref="Q1011:R1011">VLOOKUP(E1011,store[],{3,5},FALSE)</f>
        <v>West</v>
      </c>
      <c r="R1011" t="str">
        <v>Online</v>
      </c>
      <c r="S1011" s="4">
        <f t="shared" si="15"/>
        <v>224.8</v>
      </c>
    </row>
    <row r="1012" spans="1:19">
      <c r="A1012" t="s">
        <v>1772</v>
      </c>
      <c r="B1012" s="3">
        <v>45908</v>
      </c>
      <c r="C1012" t="s">
        <v>771</v>
      </c>
      <c r="D1012" t="s">
        <v>221</v>
      </c>
      <c r="E1012" t="s">
        <v>127</v>
      </c>
      <c r="F1012">
        <v>4</v>
      </c>
      <c r="G1012" t="s">
        <v>50</v>
      </c>
      <c r="H1012">
        <v>50</v>
      </c>
      <c r="I1012" s="12" t="s">
        <v>34</v>
      </c>
      <c r="J1012" s="12" t="s">
        <v>193</v>
      </c>
      <c r="K1012" s="12" t="s">
        <v>52</v>
      </c>
      <c r="L1012" s="12" t="s">
        <v>223</v>
      </c>
      <c r="M1012" s="12" t="s">
        <v>75</v>
      </c>
      <c r="N1012" s="14">
        <v>0.06</v>
      </c>
      <c r="O1012" s="23">
        <v>202.59</v>
      </c>
      <c r="P1012">
        <v>228.53</v>
      </c>
      <c r="Q1012" s="12" t="str" cm="1">
        <f t="array" ref="Q1012:R1012">VLOOKUP(E1012,store[],{3,5},FALSE)</f>
        <v>South</v>
      </c>
      <c r="R1012" t="str">
        <v>Flagship</v>
      </c>
      <c r="S1012" s="4">
        <f t="shared" si="15"/>
        <v>810.12</v>
      </c>
    </row>
    <row r="1013" spans="1:19">
      <c r="A1013" t="s">
        <v>1773</v>
      </c>
      <c r="B1013" s="3">
        <v>45601</v>
      </c>
      <c r="C1013" t="s">
        <v>1747</v>
      </c>
      <c r="D1013" t="s">
        <v>630</v>
      </c>
      <c r="E1013" t="s">
        <v>58</v>
      </c>
      <c r="F1013">
        <v>2</v>
      </c>
      <c r="G1013" t="s">
        <v>33</v>
      </c>
      <c r="H1013">
        <v>64</v>
      </c>
      <c r="I1013" s="12" t="s">
        <v>34</v>
      </c>
      <c r="J1013" s="12" t="s">
        <v>227</v>
      </c>
      <c r="K1013" s="12" t="s">
        <v>60</v>
      </c>
      <c r="L1013" s="12" t="s">
        <v>631</v>
      </c>
      <c r="M1013" s="12" t="s">
        <v>28</v>
      </c>
      <c r="N1013" s="14">
        <v>0.05</v>
      </c>
      <c r="O1013" s="23">
        <v>358.36</v>
      </c>
      <c r="P1013">
        <v>285.54000000000002</v>
      </c>
      <c r="Q1013" s="12" t="str" cm="1">
        <f t="array" ref="Q1013:R1013">VLOOKUP(E1013,store[],{3,5},FALSE)</f>
        <v>North</v>
      </c>
      <c r="R1013" t="str">
        <v>Outlet</v>
      </c>
      <c r="S1013" s="4">
        <f t="shared" si="15"/>
        <v>716.62</v>
      </c>
    </row>
    <row r="1014" spans="1:19">
      <c r="A1014" t="s">
        <v>1774</v>
      </c>
      <c r="B1014" s="3">
        <v>45535</v>
      </c>
      <c r="C1014" t="s">
        <v>245</v>
      </c>
      <c r="D1014" t="s">
        <v>786</v>
      </c>
      <c r="E1014" t="s">
        <v>160</v>
      </c>
      <c r="F1014">
        <v>4</v>
      </c>
      <c r="G1014" t="s">
        <v>50</v>
      </c>
      <c r="H1014">
        <v>39</v>
      </c>
      <c r="I1014" s="12" t="s">
        <v>34</v>
      </c>
      <c r="J1014" s="12" t="s">
        <v>106</v>
      </c>
      <c r="K1014" s="12" t="s">
        <v>26</v>
      </c>
      <c r="L1014" s="12" t="s">
        <v>787</v>
      </c>
      <c r="M1014" s="12" t="s">
        <v>130</v>
      </c>
      <c r="N1014" s="14">
        <v>0.28000000000000003</v>
      </c>
      <c r="O1014" s="23">
        <v>85.62</v>
      </c>
      <c r="P1014">
        <v>353.47</v>
      </c>
      <c r="Q1014" s="12" t="str" cm="1">
        <f t="array" ref="Q1014:R1014">VLOOKUP(E1014,store[],{3,5},FALSE)</f>
        <v>East</v>
      </c>
      <c r="R1014" t="str">
        <v>Flagship</v>
      </c>
      <c r="S1014" s="4">
        <f t="shared" si="15"/>
        <v>341.36</v>
      </c>
    </row>
    <row r="1015" spans="1:19">
      <c r="A1015" t="s">
        <v>1775</v>
      </c>
      <c r="B1015" s="3">
        <v>45459</v>
      </c>
      <c r="C1015" t="s">
        <v>670</v>
      </c>
      <c r="D1015" t="s">
        <v>645</v>
      </c>
      <c r="E1015" t="s">
        <v>32</v>
      </c>
      <c r="F1015">
        <v>4</v>
      </c>
      <c r="G1015" t="s">
        <v>33</v>
      </c>
      <c r="H1015">
        <v>54</v>
      </c>
      <c r="I1015" s="12" t="s">
        <v>34</v>
      </c>
      <c r="J1015" s="12" t="s">
        <v>204</v>
      </c>
      <c r="K1015" s="12" t="s">
        <v>52</v>
      </c>
      <c r="L1015" s="12" t="s">
        <v>646</v>
      </c>
      <c r="M1015" s="12" t="s">
        <v>75</v>
      </c>
      <c r="N1015" s="14">
        <v>0.23</v>
      </c>
      <c r="O1015" s="23">
        <v>929.26</v>
      </c>
      <c r="P1015">
        <v>218.86</v>
      </c>
      <c r="Q1015" s="12" t="str" cm="1">
        <f t="array" ref="Q1015:R1015">VLOOKUP(E1015,store[],{3,5},FALSE)</f>
        <v>North</v>
      </c>
      <c r="R1015" t="str">
        <v>Flagship</v>
      </c>
      <c r="S1015" s="4">
        <f t="shared" si="15"/>
        <v>3716.12</v>
      </c>
    </row>
    <row r="1016" spans="1:19">
      <c r="A1016" t="s">
        <v>1776</v>
      </c>
      <c r="B1016" s="3">
        <v>45681</v>
      </c>
      <c r="C1016" t="s">
        <v>1704</v>
      </c>
      <c r="D1016" t="s">
        <v>148</v>
      </c>
      <c r="E1016" t="s">
        <v>149</v>
      </c>
      <c r="F1016">
        <v>2</v>
      </c>
      <c r="G1016" t="s">
        <v>50</v>
      </c>
      <c r="H1016">
        <v>41</v>
      </c>
      <c r="I1016" s="12" t="s">
        <v>34</v>
      </c>
      <c r="J1016" s="12" t="s">
        <v>227</v>
      </c>
      <c r="K1016" s="12" t="s">
        <v>73</v>
      </c>
      <c r="L1016" s="12" t="s">
        <v>150</v>
      </c>
      <c r="M1016" s="12" t="s">
        <v>46</v>
      </c>
      <c r="N1016" s="14">
        <v>0.14000000000000001</v>
      </c>
      <c r="O1016" s="23">
        <v>92.64</v>
      </c>
      <c r="P1016">
        <v>482.75</v>
      </c>
      <c r="Q1016" s="12" t="str" cm="1">
        <f t="array" ref="Q1016:R1016">VLOOKUP(E1016,store[],{3,5},FALSE)</f>
        <v>East</v>
      </c>
      <c r="R1016" t="str">
        <v>Flagship</v>
      </c>
      <c r="S1016" s="4">
        <f t="shared" si="15"/>
        <v>185</v>
      </c>
    </row>
    <row r="1017" spans="1:19">
      <c r="A1017" t="s">
        <v>1777</v>
      </c>
      <c r="B1017" s="3">
        <v>45725</v>
      </c>
      <c r="C1017" t="s">
        <v>763</v>
      </c>
      <c r="D1017" t="s">
        <v>661</v>
      </c>
      <c r="E1017" t="s">
        <v>72</v>
      </c>
      <c r="F1017">
        <v>4</v>
      </c>
      <c r="G1017" t="s">
        <v>50</v>
      </c>
      <c r="H1017">
        <v>19</v>
      </c>
      <c r="I1017" s="12" t="s">
        <v>24</v>
      </c>
      <c r="J1017" s="12" t="s">
        <v>99</v>
      </c>
      <c r="K1017" s="12" t="s">
        <v>26</v>
      </c>
      <c r="L1017" s="12" t="s">
        <v>662</v>
      </c>
      <c r="M1017" s="12" t="s">
        <v>37</v>
      </c>
      <c r="N1017" s="14">
        <v>0.28999999999999998</v>
      </c>
      <c r="O1017" s="23">
        <v>139.05000000000001</v>
      </c>
      <c r="P1017">
        <v>86.42</v>
      </c>
      <c r="Q1017" s="12" t="str" cm="1">
        <f t="array" ref="Q1017:R1017">VLOOKUP(E1017,store[],{3,5},FALSE)</f>
        <v>South</v>
      </c>
      <c r="R1017" t="str">
        <v>Online</v>
      </c>
      <c r="S1017" s="4">
        <f t="shared" si="15"/>
        <v>555.04</v>
      </c>
    </row>
    <row r="1018" spans="1:19">
      <c r="A1018" t="s">
        <v>1778</v>
      </c>
      <c r="B1018" s="3">
        <v>45461</v>
      </c>
      <c r="C1018" t="s">
        <v>1699</v>
      </c>
      <c r="D1018" t="s">
        <v>207</v>
      </c>
      <c r="E1018" t="s">
        <v>72</v>
      </c>
      <c r="F1018">
        <v>3</v>
      </c>
      <c r="G1018" t="s">
        <v>50</v>
      </c>
      <c r="H1018">
        <v>63</v>
      </c>
      <c r="I1018" s="12" t="s">
        <v>34</v>
      </c>
      <c r="J1018" s="12" t="s">
        <v>44</v>
      </c>
      <c r="K1018" s="12" t="s">
        <v>26</v>
      </c>
      <c r="L1018" s="12" t="s">
        <v>210</v>
      </c>
      <c r="M1018" s="12" t="s">
        <v>130</v>
      </c>
      <c r="N1018" s="14">
        <v>0.03</v>
      </c>
      <c r="O1018" s="23">
        <v>155.87</v>
      </c>
      <c r="P1018">
        <v>386.56</v>
      </c>
      <c r="Q1018" s="12" t="str" cm="1">
        <f t="array" ref="Q1018:R1018">VLOOKUP(E1018,store[],{3,5},FALSE)</f>
        <v>South</v>
      </c>
      <c r="R1018" t="str">
        <v>Online</v>
      </c>
      <c r="S1018" s="4">
        <f t="shared" si="15"/>
        <v>467.52</v>
      </c>
    </row>
    <row r="1019" spans="1:19">
      <c r="A1019" t="s">
        <v>1779</v>
      </c>
      <c r="B1019" s="3">
        <v>45837</v>
      </c>
      <c r="C1019" t="s">
        <v>679</v>
      </c>
      <c r="D1019" t="s">
        <v>116</v>
      </c>
      <c r="E1019" t="s">
        <v>117</v>
      </c>
      <c r="F1019">
        <v>4</v>
      </c>
      <c r="G1019" t="s">
        <v>50</v>
      </c>
      <c r="H1019">
        <v>42</v>
      </c>
      <c r="I1019" s="12" t="s">
        <v>34</v>
      </c>
      <c r="J1019" s="12" t="s">
        <v>609</v>
      </c>
      <c r="K1019" s="12" t="s">
        <v>73</v>
      </c>
      <c r="L1019" s="12" t="s">
        <v>119</v>
      </c>
      <c r="M1019" s="12" t="s">
        <v>37</v>
      </c>
      <c r="N1019" s="14">
        <v>0.03</v>
      </c>
      <c r="O1019" s="23">
        <v>115.42</v>
      </c>
      <c r="P1019">
        <v>419.28</v>
      </c>
      <c r="Q1019" s="12" t="str" cm="1">
        <f t="array" ref="Q1019:R1019">VLOOKUP(E1019,store[],{3,5},FALSE)</f>
        <v>West</v>
      </c>
      <c r="R1019" t="str">
        <v>Flagship</v>
      </c>
      <c r="S1019" s="4">
        <f t="shared" si="15"/>
        <v>461.56</v>
      </c>
    </row>
    <row r="1020" spans="1:19">
      <c r="A1020" t="s">
        <v>1780</v>
      </c>
      <c r="B1020" s="3">
        <v>45823</v>
      </c>
      <c r="C1020" t="s">
        <v>1468</v>
      </c>
      <c r="D1020" t="s">
        <v>282</v>
      </c>
      <c r="E1020" t="s">
        <v>179</v>
      </c>
      <c r="F1020">
        <v>3</v>
      </c>
      <c r="G1020" t="s">
        <v>23</v>
      </c>
      <c r="H1020">
        <v>50</v>
      </c>
      <c r="I1020" s="12" t="s">
        <v>24</v>
      </c>
      <c r="J1020" s="12" t="s">
        <v>256</v>
      </c>
      <c r="K1020" s="12" t="s">
        <v>52</v>
      </c>
      <c r="L1020" s="12" t="s">
        <v>283</v>
      </c>
      <c r="M1020" s="12" t="s">
        <v>28</v>
      </c>
      <c r="N1020" s="14">
        <v>0.08</v>
      </c>
      <c r="O1020" s="23">
        <v>593.62</v>
      </c>
      <c r="P1020">
        <v>212.26</v>
      </c>
      <c r="Q1020" s="12" t="str" cm="1">
        <f t="array" ref="Q1020:R1020">VLOOKUP(E1020,store[],{3,5},FALSE)</f>
        <v>East</v>
      </c>
      <c r="R1020" t="str">
        <v>Online</v>
      </c>
      <c r="S1020" s="4">
        <f t="shared" si="15"/>
        <v>1780.62</v>
      </c>
    </row>
    <row r="1021" spans="1:19">
      <c r="A1021" t="s">
        <v>1781</v>
      </c>
      <c r="B1021" s="3">
        <v>45733</v>
      </c>
      <c r="C1021" t="s">
        <v>1301</v>
      </c>
      <c r="D1021" t="s">
        <v>344</v>
      </c>
      <c r="E1021" t="s">
        <v>72</v>
      </c>
      <c r="F1021">
        <v>2</v>
      </c>
      <c r="G1021" t="s">
        <v>23</v>
      </c>
      <c r="H1021">
        <v>56</v>
      </c>
      <c r="I1021" s="12" t="s">
        <v>34</v>
      </c>
      <c r="J1021" s="12" t="s">
        <v>609</v>
      </c>
      <c r="K1021" s="12" t="s">
        <v>52</v>
      </c>
      <c r="L1021" s="12" t="s">
        <v>347</v>
      </c>
      <c r="M1021" s="12" t="s">
        <v>28</v>
      </c>
      <c r="N1021" s="14">
        <v>0.2</v>
      </c>
      <c r="O1021" s="23">
        <v>825.04</v>
      </c>
      <c r="P1021">
        <v>318.91000000000003</v>
      </c>
      <c r="Q1021" s="12" t="str" cm="1">
        <f t="array" ref="Q1021:R1021">VLOOKUP(E1021,store[],{3,5},FALSE)</f>
        <v>South</v>
      </c>
      <c r="R1021" t="str">
        <v>Online</v>
      </c>
      <c r="S1021" s="4">
        <f t="shared" si="15"/>
        <v>1649.68</v>
      </c>
    </row>
    <row r="1022" spans="1:19">
      <c r="A1022" t="s">
        <v>1782</v>
      </c>
      <c r="B1022" s="3">
        <v>45322</v>
      </c>
      <c r="C1022" t="s">
        <v>88</v>
      </c>
      <c r="D1022" t="s">
        <v>425</v>
      </c>
      <c r="E1022" t="s">
        <v>149</v>
      </c>
      <c r="F1022">
        <v>1</v>
      </c>
      <c r="G1022" t="s">
        <v>33</v>
      </c>
      <c r="H1022">
        <v>45</v>
      </c>
      <c r="I1022" s="12" t="s">
        <v>34</v>
      </c>
      <c r="J1022" s="12" t="s">
        <v>91</v>
      </c>
      <c r="K1022" s="12" t="s">
        <v>52</v>
      </c>
      <c r="L1022" s="12" t="s">
        <v>426</v>
      </c>
      <c r="M1022" s="12" t="s">
        <v>130</v>
      </c>
      <c r="N1022" s="14">
        <v>0.14000000000000001</v>
      </c>
      <c r="O1022" s="23">
        <v>963.76</v>
      </c>
      <c r="P1022">
        <v>174.02</v>
      </c>
      <c r="Q1022" s="12" t="str" cm="1">
        <f t="array" ref="Q1022:R1022">VLOOKUP(E1022,store[],{3,5},FALSE)</f>
        <v>East</v>
      </c>
      <c r="R1022" t="str">
        <v>Flagship</v>
      </c>
      <c r="S1022" s="4">
        <f t="shared" si="15"/>
        <v>963.62</v>
      </c>
    </row>
    <row r="1023" spans="1:19">
      <c r="A1023" t="s">
        <v>1783</v>
      </c>
      <c r="B1023" s="3">
        <v>45415</v>
      </c>
      <c r="C1023" t="s">
        <v>1514</v>
      </c>
      <c r="D1023" t="s">
        <v>564</v>
      </c>
      <c r="E1023" t="s">
        <v>179</v>
      </c>
      <c r="F1023">
        <v>1</v>
      </c>
      <c r="G1023" t="s">
        <v>33</v>
      </c>
      <c r="H1023">
        <v>30</v>
      </c>
      <c r="I1023" s="12" t="s">
        <v>24</v>
      </c>
      <c r="J1023" s="12" t="s">
        <v>510</v>
      </c>
      <c r="K1023" s="12" t="s">
        <v>60</v>
      </c>
      <c r="L1023" s="12" t="s">
        <v>565</v>
      </c>
      <c r="M1023" s="12" t="s">
        <v>75</v>
      </c>
      <c r="N1023" s="14">
        <v>0.12</v>
      </c>
      <c r="O1023" s="23">
        <v>238.24</v>
      </c>
      <c r="P1023">
        <v>81.75</v>
      </c>
      <c r="Q1023" s="12" t="str" cm="1">
        <f t="array" ref="Q1023:R1023">VLOOKUP(E1023,store[],{3,5},FALSE)</f>
        <v>East</v>
      </c>
      <c r="R1023" t="str">
        <v>Online</v>
      </c>
      <c r="S1023" s="4">
        <f t="shared" si="15"/>
        <v>238.12</v>
      </c>
    </row>
    <row r="1024" spans="1:19">
      <c r="A1024" t="s">
        <v>1784</v>
      </c>
      <c r="B1024" s="3">
        <v>45644</v>
      </c>
      <c r="C1024" t="s">
        <v>1582</v>
      </c>
      <c r="D1024" t="s">
        <v>542</v>
      </c>
      <c r="E1024" t="s">
        <v>117</v>
      </c>
      <c r="F1024">
        <v>1</v>
      </c>
      <c r="G1024" t="s">
        <v>33</v>
      </c>
      <c r="H1024">
        <v>59</v>
      </c>
      <c r="I1024" s="12" t="s">
        <v>24</v>
      </c>
      <c r="J1024" s="12" t="s">
        <v>239</v>
      </c>
      <c r="K1024" s="12" t="s">
        <v>52</v>
      </c>
      <c r="L1024" s="12" t="s">
        <v>543</v>
      </c>
      <c r="M1024" s="12" t="s">
        <v>28</v>
      </c>
      <c r="N1024" s="14">
        <v>0.04</v>
      </c>
      <c r="O1024" s="23">
        <v>756.63</v>
      </c>
      <c r="P1024">
        <v>152.91999999999999</v>
      </c>
      <c r="Q1024" s="12" t="str" cm="1">
        <f t="array" ref="Q1024:R1024">VLOOKUP(E1024,store[],{3,5},FALSE)</f>
        <v>West</v>
      </c>
      <c r="R1024" t="str">
        <v>Flagship</v>
      </c>
      <c r="S1024" s="4">
        <f t="shared" si="15"/>
        <v>756.59</v>
      </c>
    </row>
    <row r="1025" spans="1:19">
      <c r="A1025" t="s">
        <v>1785</v>
      </c>
      <c r="B1025" s="3">
        <v>45845</v>
      </c>
      <c r="C1025" t="s">
        <v>353</v>
      </c>
      <c r="D1025" t="s">
        <v>317</v>
      </c>
      <c r="E1025" t="s">
        <v>66</v>
      </c>
      <c r="F1025">
        <v>3</v>
      </c>
      <c r="G1025" t="s">
        <v>23</v>
      </c>
      <c r="H1025">
        <v>46</v>
      </c>
      <c r="I1025" s="12" t="s">
        <v>34</v>
      </c>
      <c r="J1025" s="12" t="s">
        <v>204</v>
      </c>
      <c r="K1025" s="12" t="s">
        <v>52</v>
      </c>
      <c r="L1025" s="12" t="s">
        <v>318</v>
      </c>
      <c r="M1025" s="12" t="s">
        <v>37</v>
      </c>
      <c r="N1025" s="14">
        <v>0.22</v>
      </c>
      <c r="O1025" s="23">
        <v>159.76</v>
      </c>
      <c r="P1025">
        <v>377.52</v>
      </c>
      <c r="Q1025" s="12" t="str" cm="1">
        <f t="array" ref="Q1025:R1025">VLOOKUP(E1025,store[],{3,5},FALSE)</f>
        <v>South</v>
      </c>
      <c r="R1025" t="str">
        <v>Online</v>
      </c>
      <c r="S1025" s="4">
        <f t="shared" si="15"/>
        <v>478.62</v>
      </c>
    </row>
    <row r="1026" spans="1:19">
      <c r="A1026" t="s">
        <v>1786</v>
      </c>
      <c r="B1026" s="3">
        <v>45354</v>
      </c>
      <c r="C1026" t="s">
        <v>172</v>
      </c>
      <c r="D1026" t="s">
        <v>1126</v>
      </c>
      <c r="E1026" t="s">
        <v>43</v>
      </c>
      <c r="F1026">
        <v>1</v>
      </c>
      <c r="G1026" t="s">
        <v>50</v>
      </c>
      <c r="H1026">
        <v>34</v>
      </c>
      <c r="I1026" s="12" t="s">
        <v>34</v>
      </c>
      <c r="J1026" s="12" t="s">
        <v>161</v>
      </c>
      <c r="K1026" s="12" t="s">
        <v>52</v>
      </c>
      <c r="L1026" s="12" t="s">
        <v>1127</v>
      </c>
      <c r="M1026" s="12" t="s">
        <v>28</v>
      </c>
      <c r="N1026" s="14">
        <v>0.14000000000000001</v>
      </c>
      <c r="O1026" s="23">
        <v>329.94</v>
      </c>
      <c r="P1026">
        <v>60.65</v>
      </c>
      <c r="Q1026" s="12" t="str" cm="1">
        <f t="array" ref="Q1026:R1026">VLOOKUP(E1026,store[],{3,5},FALSE)</f>
        <v>West</v>
      </c>
      <c r="R1026" t="str">
        <v>Online</v>
      </c>
      <c r="S1026" s="4">
        <f t="shared" ref="S1026:S1089" si="16">(O1026-N1026)*F1026</f>
        <v>329.8</v>
      </c>
    </row>
    <row r="1027" spans="1:19">
      <c r="A1027" t="s">
        <v>1787</v>
      </c>
      <c r="B1027" s="3">
        <v>45720</v>
      </c>
      <c r="C1027" t="s">
        <v>1683</v>
      </c>
      <c r="D1027" t="s">
        <v>377</v>
      </c>
      <c r="E1027" t="s">
        <v>43</v>
      </c>
      <c r="F1027">
        <v>1</v>
      </c>
      <c r="G1027" t="s">
        <v>33</v>
      </c>
      <c r="H1027">
        <v>22</v>
      </c>
      <c r="I1027" s="12" t="s">
        <v>34</v>
      </c>
      <c r="J1027" s="12" t="s">
        <v>444</v>
      </c>
      <c r="K1027" s="12" t="s">
        <v>60</v>
      </c>
      <c r="L1027" s="12" t="s">
        <v>379</v>
      </c>
      <c r="M1027" s="12" t="s">
        <v>28</v>
      </c>
      <c r="N1027" s="14">
        <v>0.11</v>
      </c>
      <c r="O1027" s="23">
        <v>234.06</v>
      </c>
      <c r="P1027">
        <v>144.53</v>
      </c>
      <c r="Q1027" s="12" t="str" cm="1">
        <f t="array" ref="Q1027:R1027">VLOOKUP(E1027,store[],{3,5},FALSE)</f>
        <v>West</v>
      </c>
      <c r="R1027" t="str">
        <v>Online</v>
      </c>
      <c r="S1027" s="4">
        <f t="shared" si="16"/>
        <v>233.95</v>
      </c>
    </row>
    <row r="1028" spans="1:19">
      <c r="A1028" t="s">
        <v>1788</v>
      </c>
      <c r="B1028" s="3">
        <v>45278</v>
      </c>
      <c r="C1028" t="s">
        <v>1284</v>
      </c>
      <c r="D1028" t="s">
        <v>630</v>
      </c>
      <c r="E1028" t="s">
        <v>90</v>
      </c>
      <c r="F1028">
        <v>2</v>
      </c>
      <c r="G1028" t="s">
        <v>33</v>
      </c>
      <c r="H1028">
        <v>64</v>
      </c>
      <c r="I1028" s="12" t="s">
        <v>34</v>
      </c>
      <c r="J1028" s="12" t="s">
        <v>214</v>
      </c>
      <c r="K1028" s="12" t="s">
        <v>26</v>
      </c>
      <c r="L1028" s="12" t="s">
        <v>631</v>
      </c>
      <c r="M1028" s="12" t="s">
        <v>28</v>
      </c>
      <c r="N1028" s="14">
        <v>0.16</v>
      </c>
      <c r="O1028" s="23">
        <v>773.75</v>
      </c>
      <c r="P1028">
        <v>285.54000000000002</v>
      </c>
      <c r="Q1028" s="12" t="str" cm="1">
        <f t="array" ref="Q1028:R1028">VLOOKUP(E1028,store[],{3,5},FALSE)</f>
        <v>East</v>
      </c>
      <c r="R1028" t="str">
        <v>Flagship</v>
      </c>
      <c r="S1028" s="4">
        <f t="shared" si="16"/>
        <v>1547.18</v>
      </c>
    </row>
    <row r="1029" spans="1:19">
      <c r="A1029" t="s">
        <v>1789</v>
      </c>
      <c r="B1029" s="3">
        <v>45422</v>
      </c>
      <c r="C1029" t="s">
        <v>1790</v>
      </c>
      <c r="D1029" t="s">
        <v>282</v>
      </c>
      <c r="E1029" t="s">
        <v>160</v>
      </c>
      <c r="F1029">
        <v>1</v>
      </c>
      <c r="G1029" t="s">
        <v>23</v>
      </c>
      <c r="H1029">
        <v>61</v>
      </c>
      <c r="I1029" s="12" t="s">
        <v>24</v>
      </c>
      <c r="J1029" s="12" t="s">
        <v>345</v>
      </c>
      <c r="K1029" s="12" t="s">
        <v>26</v>
      </c>
      <c r="L1029" s="12" t="s">
        <v>283</v>
      </c>
      <c r="M1029" s="12" t="s">
        <v>28</v>
      </c>
      <c r="N1029" s="14">
        <v>0.04</v>
      </c>
      <c r="O1029" s="23">
        <v>73.88</v>
      </c>
      <c r="P1029">
        <v>212.26</v>
      </c>
      <c r="Q1029" s="12" t="str" cm="1">
        <f t="array" ref="Q1029:R1029">VLOOKUP(E1029,store[],{3,5},FALSE)</f>
        <v>East</v>
      </c>
      <c r="R1029" t="str">
        <v>Flagship</v>
      </c>
      <c r="S1029" s="4">
        <f t="shared" si="16"/>
        <v>73.84</v>
      </c>
    </row>
    <row r="1030" spans="1:19">
      <c r="A1030" t="s">
        <v>1791</v>
      </c>
      <c r="B1030" s="3">
        <v>45337</v>
      </c>
      <c r="C1030" t="s">
        <v>1483</v>
      </c>
      <c r="D1030" t="s">
        <v>400</v>
      </c>
      <c r="E1030" t="s">
        <v>160</v>
      </c>
      <c r="F1030">
        <v>1</v>
      </c>
      <c r="G1030" t="s">
        <v>33</v>
      </c>
      <c r="H1030">
        <v>24</v>
      </c>
      <c r="I1030" s="12" t="s">
        <v>24</v>
      </c>
      <c r="J1030" s="12" t="s">
        <v>609</v>
      </c>
      <c r="K1030" s="12" t="s">
        <v>73</v>
      </c>
      <c r="L1030" s="12" t="s">
        <v>401</v>
      </c>
      <c r="M1030" s="12" t="s">
        <v>75</v>
      </c>
      <c r="N1030" s="14">
        <v>0.16</v>
      </c>
      <c r="O1030" s="23">
        <v>859.3</v>
      </c>
      <c r="P1030">
        <v>176.07</v>
      </c>
      <c r="Q1030" s="12" t="str" cm="1">
        <f t="array" ref="Q1030:R1030">VLOOKUP(E1030,store[],{3,5},FALSE)</f>
        <v>East</v>
      </c>
      <c r="R1030" t="str">
        <v>Flagship</v>
      </c>
      <c r="S1030" s="4">
        <f t="shared" si="16"/>
        <v>859.14</v>
      </c>
    </row>
    <row r="1031" spans="1:19">
      <c r="A1031" t="s">
        <v>1792</v>
      </c>
      <c r="B1031" s="3">
        <v>45564</v>
      </c>
      <c r="C1031" t="s">
        <v>1079</v>
      </c>
      <c r="D1031" t="s">
        <v>630</v>
      </c>
      <c r="E1031" t="s">
        <v>179</v>
      </c>
      <c r="F1031">
        <v>4</v>
      </c>
      <c r="G1031" t="s">
        <v>23</v>
      </c>
      <c r="H1031">
        <v>43</v>
      </c>
      <c r="I1031" s="12" t="s">
        <v>34</v>
      </c>
      <c r="J1031" s="12" t="s">
        <v>345</v>
      </c>
      <c r="K1031" s="12" t="s">
        <v>60</v>
      </c>
      <c r="L1031" s="12" t="s">
        <v>631</v>
      </c>
      <c r="M1031" s="12" t="s">
        <v>28</v>
      </c>
      <c r="N1031" s="14">
        <v>0.05</v>
      </c>
      <c r="O1031" s="23">
        <v>762.43</v>
      </c>
      <c r="P1031">
        <v>285.54000000000002</v>
      </c>
      <c r="Q1031" s="12" t="str" cm="1">
        <f t="array" ref="Q1031:R1031">VLOOKUP(E1031,store[],{3,5},FALSE)</f>
        <v>East</v>
      </c>
      <c r="R1031" t="str">
        <v>Online</v>
      </c>
      <c r="S1031" s="4">
        <f t="shared" si="16"/>
        <v>3049.52</v>
      </c>
    </row>
    <row r="1032" spans="1:19">
      <c r="A1032" t="s">
        <v>1793</v>
      </c>
      <c r="B1032" s="3">
        <v>45424</v>
      </c>
      <c r="C1032" t="s">
        <v>1392</v>
      </c>
      <c r="D1032" t="s">
        <v>575</v>
      </c>
      <c r="E1032" t="s">
        <v>90</v>
      </c>
      <c r="F1032">
        <v>1</v>
      </c>
      <c r="G1032" t="s">
        <v>50</v>
      </c>
      <c r="H1032">
        <v>26</v>
      </c>
      <c r="I1032" s="12" t="s">
        <v>24</v>
      </c>
      <c r="J1032" s="12" t="s">
        <v>932</v>
      </c>
      <c r="K1032" s="12" t="s">
        <v>73</v>
      </c>
      <c r="L1032" s="12" t="s">
        <v>576</v>
      </c>
      <c r="M1032" s="12" t="s">
        <v>28</v>
      </c>
      <c r="N1032" s="14">
        <v>0.2</v>
      </c>
      <c r="O1032" s="23">
        <v>328.51</v>
      </c>
      <c r="P1032">
        <v>107.06</v>
      </c>
      <c r="Q1032" s="12" t="str" cm="1">
        <f t="array" ref="Q1032:R1032">VLOOKUP(E1032,store[],{3,5},FALSE)</f>
        <v>East</v>
      </c>
      <c r="R1032" t="str">
        <v>Flagship</v>
      </c>
      <c r="S1032" s="4">
        <f t="shared" si="16"/>
        <v>328.31</v>
      </c>
    </row>
    <row r="1033" spans="1:19">
      <c r="A1033" t="s">
        <v>1794</v>
      </c>
      <c r="B1033" s="3">
        <v>45719</v>
      </c>
      <c r="C1033" t="s">
        <v>1426</v>
      </c>
      <c r="D1033" t="s">
        <v>275</v>
      </c>
      <c r="E1033" t="s">
        <v>72</v>
      </c>
      <c r="F1033">
        <v>1</v>
      </c>
      <c r="G1033" t="s">
        <v>50</v>
      </c>
      <c r="H1033">
        <v>38</v>
      </c>
      <c r="I1033" s="12" t="s">
        <v>24</v>
      </c>
      <c r="J1033" s="12" t="s">
        <v>35</v>
      </c>
      <c r="K1033" s="12" t="s">
        <v>60</v>
      </c>
      <c r="L1033" s="12" t="s">
        <v>276</v>
      </c>
      <c r="M1033" s="12" t="s">
        <v>28</v>
      </c>
      <c r="N1033" s="14">
        <v>0.04</v>
      </c>
      <c r="O1033" s="23">
        <v>34.51</v>
      </c>
      <c r="P1033">
        <v>167.12</v>
      </c>
      <c r="Q1033" s="12" t="str" cm="1">
        <f t="array" ref="Q1033:R1033">VLOOKUP(E1033,store[],{3,5},FALSE)</f>
        <v>South</v>
      </c>
      <c r="R1033" t="str">
        <v>Online</v>
      </c>
      <c r="S1033" s="4">
        <f t="shared" si="16"/>
        <v>34.47</v>
      </c>
    </row>
    <row r="1034" spans="1:19">
      <c r="A1034" t="s">
        <v>1795</v>
      </c>
      <c r="B1034" s="3">
        <v>45250</v>
      </c>
      <c r="C1034" t="s">
        <v>470</v>
      </c>
      <c r="D1034" t="s">
        <v>314</v>
      </c>
      <c r="E1034" t="s">
        <v>272</v>
      </c>
      <c r="F1034">
        <v>3</v>
      </c>
      <c r="G1034" t="s">
        <v>50</v>
      </c>
      <c r="H1034">
        <v>50</v>
      </c>
      <c r="I1034" s="12" t="s">
        <v>34</v>
      </c>
      <c r="J1034" s="12" t="s">
        <v>235</v>
      </c>
      <c r="K1034" s="12" t="s">
        <v>26</v>
      </c>
      <c r="L1034" s="12" t="s">
        <v>315</v>
      </c>
      <c r="M1034" s="12" t="s">
        <v>28</v>
      </c>
      <c r="N1034" s="14">
        <v>0.06</v>
      </c>
      <c r="O1034" s="23">
        <v>663.73</v>
      </c>
      <c r="P1034">
        <v>21.34</v>
      </c>
      <c r="Q1034" s="12" t="str" cm="1">
        <f t="array" ref="Q1034:R1034">VLOOKUP(E1034,store[],{3,5},FALSE)</f>
        <v>South</v>
      </c>
      <c r="R1034" t="str">
        <v>Online</v>
      </c>
      <c r="S1034" s="4">
        <f t="shared" si="16"/>
        <v>1991.01</v>
      </c>
    </row>
    <row r="1035" spans="1:19">
      <c r="A1035" t="s">
        <v>1796</v>
      </c>
      <c r="B1035" s="3">
        <v>45479</v>
      </c>
      <c r="C1035" t="s">
        <v>689</v>
      </c>
      <c r="D1035" t="s">
        <v>89</v>
      </c>
      <c r="E1035" t="s">
        <v>127</v>
      </c>
      <c r="F1035">
        <v>1</v>
      </c>
      <c r="G1035" t="s">
        <v>33</v>
      </c>
      <c r="H1035">
        <v>58</v>
      </c>
      <c r="I1035" s="12" t="s">
        <v>24</v>
      </c>
      <c r="J1035" s="12" t="s">
        <v>140</v>
      </c>
      <c r="K1035" s="12" t="s">
        <v>73</v>
      </c>
      <c r="L1035" s="12" t="s">
        <v>92</v>
      </c>
      <c r="M1035" s="12" t="s">
        <v>75</v>
      </c>
      <c r="N1035" s="14">
        <v>0.13</v>
      </c>
      <c r="O1035" s="23">
        <v>409.41</v>
      </c>
      <c r="P1035">
        <v>179.77</v>
      </c>
      <c r="Q1035" s="12" t="str" cm="1">
        <f t="array" ref="Q1035:R1035">VLOOKUP(E1035,store[],{3,5},FALSE)</f>
        <v>South</v>
      </c>
      <c r="R1035" t="str">
        <v>Flagship</v>
      </c>
      <c r="S1035" s="4">
        <f t="shared" si="16"/>
        <v>409.28</v>
      </c>
    </row>
    <row r="1036" spans="1:19">
      <c r="A1036" t="s">
        <v>1797</v>
      </c>
      <c r="B1036" s="3">
        <v>45727</v>
      </c>
      <c r="C1036" t="s">
        <v>1175</v>
      </c>
      <c r="D1036" t="s">
        <v>267</v>
      </c>
      <c r="E1036" t="s">
        <v>22</v>
      </c>
      <c r="F1036">
        <v>3</v>
      </c>
      <c r="G1036" t="s">
        <v>33</v>
      </c>
      <c r="H1036">
        <v>44</v>
      </c>
      <c r="I1036" s="12" t="s">
        <v>34</v>
      </c>
      <c r="J1036" s="12" t="s">
        <v>51</v>
      </c>
      <c r="K1036" s="12" t="s">
        <v>52</v>
      </c>
      <c r="L1036" s="12" t="s">
        <v>268</v>
      </c>
      <c r="M1036" s="12" t="s">
        <v>75</v>
      </c>
      <c r="N1036" s="14">
        <v>0.11</v>
      </c>
      <c r="O1036" s="23">
        <v>461.03</v>
      </c>
      <c r="P1036">
        <v>325.26</v>
      </c>
      <c r="Q1036" s="12" t="str" cm="1">
        <f t="array" ref="Q1036:R1036">VLOOKUP(E1036,store[],{3,5},FALSE)</f>
        <v>North</v>
      </c>
      <c r="R1036" t="str">
        <v>Outlet</v>
      </c>
      <c r="S1036" s="4">
        <f t="shared" si="16"/>
        <v>1382.76</v>
      </c>
    </row>
    <row r="1037" spans="1:19">
      <c r="A1037" t="s">
        <v>1798</v>
      </c>
      <c r="B1037" s="3">
        <v>45394</v>
      </c>
      <c r="C1037" t="s">
        <v>172</v>
      </c>
      <c r="D1037" t="s">
        <v>314</v>
      </c>
      <c r="E1037" t="s">
        <v>98</v>
      </c>
      <c r="F1037">
        <v>2</v>
      </c>
      <c r="G1037" t="s">
        <v>50</v>
      </c>
      <c r="H1037">
        <v>34</v>
      </c>
      <c r="I1037" s="12" t="s">
        <v>34</v>
      </c>
      <c r="J1037" s="12" t="s">
        <v>161</v>
      </c>
      <c r="K1037" s="12" t="s">
        <v>52</v>
      </c>
      <c r="L1037" s="12" t="s">
        <v>315</v>
      </c>
      <c r="M1037" s="12" t="s">
        <v>28</v>
      </c>
      <c r="N1037" s="14">
        <v>0.02</v>
      </c>
      <c r="O1037" s="23">
        <v>760.14</v>
      </c>
      <c r="P1037">
        <v>21.34</v>
      </c>
      <c r="Q1037" s="12" t="str" cm="1">
        <f t="array" ref="Q1037:R1037">VLOOKUP(E1037,store[],{3,5},FALSE)</f>
        <v>South</v>
      </c>
      <c r="R1037" t="str">
        <v>Outlet</v>
      </c>
      <c r="S1037" s="4">
        <f t="shared" si="16"/>
        <v>1520.24</v>
      </c>
    </row>
    <row r="1038" spans="1:19">
      <c r="A1038" t="s">
        <v>1799</v>
      </c>
      <c r="B1038" s="3">
        <v>45773</v>
      </c>
      <c r="C1038" t="s">
        <v>1212</v>
      </c>
      <c r="D1038" t="s">
        <v>250</v>
      </c>
      <c r="E1038" t="s">
        <v>105</v>
      </c>
      <c r="F1038">
        <v>3</v>
      </c>
      <c r="G1038" t="s">
        <v>33</v>
      </c>
      <c r="H1038">
        <v>42</v>
      </c>
      <c r="I1038" s="12" t="s">
        <v>34</v>
      </c>
      <c r="J1038" s="12" t="s">
        <v>67</v>
      </c>
      <c r="K1038" s="12" t="s">
        <v>52</v>
      </c>
      <c r="L1038" s="12" t="s">
        <v>252</v>
      </c>
      <c r="M1038" s="12" t="s">
        <v>130</v>
      </c>
      <c r="N1038" s="14">
        <v>0.12</v>
      </c>
      <c r="O1038" s="23">
        <v>688.76</v>
      </c>
      <c r="P1038">
        <v>248.82191780821901</v>
      </c>
      <c r="Q1038" s="12" t="str" cm="1">
        <f t="array" ref="Q1038:R1038">VLOOKUP(E1038,store[],{3,5},FALSE)</f>
        <v>North</v>
      </c>
      <c r="R1038" t="str">
        <v>Flagship</v>
      </c>
      <c r="S1038" s="4">
        <f t="shared" si="16"/>
        <v>2065.92</v>
      </c>
    </row>
    <row r="1039" spans="1:19">
      <c r="A1039" t="s">
        <v>1800</v>
      </c>
      <c r="B1039" s="3">
        <v>45779</v>
      </c>
      <c r="C1039" t="s">
        <v>1045</v>
      </c>
      <c r="D1039" t="s">
        <v>159</v>
      </c>
      <c r="E1039" t="s">
        <v>127</v>
      </c>
      <c r="F1039">
        <v>2</v>
      </c>
      <c r="G1039" t="s">
        <v>23</v>
      </c>
      <c r="H1039">
        <v>46</v>
      </c>
      <c r="I1039" s="12" t="s">
        <v>34</v>
      </c>
      <c r="J1039" s="12" t="s">
        <v>204</v>
      </c>
      <c r="K1039" s="12" t="s">
        <v>26</v>
      </c>
      <c r="L1039" s="12" t="s">
        <v>162</v>
      </c>
      <c r="M1039" s="12" t="s">
        <v>37</v>
      </c>
      <c r="N1039" s="14">
        <v>0.05</v>
      </c>
      <c r="O1039" s="23">
        <v>257.77999999999997</v>
      </c>
      <c r="P1039">
        <v>253.33</v>
      </c>
      <c r="Q1039" s="12" t="str" cm="1">
        <f t="array" ref="Q1039:R1039">VLOOKUP(E1039,store[],{3,5},FALSE)</f>
        <v>South</v>
      </c>
      <c r="R1039" t="str">
        <v>Flagship</v>
      </c>
      <c r="S1039" s="4">
        <f t="shared" si="16"/>
        <v>515.46</v>
      </c>
    </row>
    <row r="1040" spans="1:19">
      <c r="A1040" t="s">
        <v>1801</v>
      </c>
      <c r="B1040" s="3">
        <v>45400</v>
      </c>
      <c r="C1040" t="s">
        <v>1526</v>
      </c>
      <c r="D1040" t="s">
        <v>207</v>
      </c>
      <c r="E1040" t="s">
        <v>66</v>
      </c>
      <c r="F1040">
        <v>2</v>
      </c>
      <c r="G1040" t="s">
        <v>50</v>
      </c>
      <c r="H1040">
        <v>55</v>
      </c>
      <c r="I1040" s="12" t="s">
        <v>24</v>
      </c>
      <c r="J1040" s="12" t="s">
        <v>510</v>
      </c>
      <c r="K1040" s="12" t="s">
        <v>73</v>
      </c>
      <c r="L1040" s="12" t="s">
        <v>210</v>
      </c>
      <c r="M1040" s="12" t="s">
        <v>130</v>
      </c>
      <c r="N1040" s="14">
        <v>0.19</v>
      </c>
      <c r="O1040" s="23">
        <v>314.29000000000002</v>
      </c>
      <c r="P1040">
        <v>386.56</v>
      </c>
      <c r="Q1040" s="12" t="str" cm="1">
        <f t="array" ref="Q1040:R1040">VLOOKUP(E1040,store[],{3,5},FALSE)</f>
        <v>South</v>
      </c>
      <c r="R1040" t="str">
        <v>Online</v>
      </c>
      <c r="S1040" s="4">
        <f t="shared" si="16"/>
        <v>628.20000000000005</v>
      </c>
    </row>
    <row r="1041" spans="1:19">
      <c r="A1041" t="s">
        <v>1802</v>
      </c>
      <c r="B1041" s="3">
        <v>45520</v>
      </c>
      <c r="C1041" t="s">
        <v>1803</v>
      </c>
      <c r="D1041" t="s">
        <v>155</v>
      </c>
      <c r="E1041" t="s">
        <v>98</v>
      </c>
      <c r="F1041">
        <v>3</v>
      </c>
      <c r="G1041" t="s">
        <v>33</v>
      </c>
      <c r="H1041">
        <v>60</v>
      </c>
      <c r="I1041" s="12" t="s">
        <v>34</v>
      </c>
      <c r="J1041" s="12" t="s">
        <v>106</v>
      </c>
      <c r="K1041" s="12" t="s">
        <v>26</v>
      </c>
      <c r="L1041" s="12" t="s">
        <v>156</v>
      </c>
      <c r="M1041" s="12" t="s">
        <v>28</v>
      </c>
      <c r="N1041" s="14">
        <v>0.01</v>
      </c>
      <c r="O1041" s="23">
        <v>336.09</v>
      </c>
      <c r="P1041">
        <v>477.61</v>
      </c>
      <c r="Q1041" s="12" t="str" cm="1">
        <f t="array" ref="Q1041:R1041">VLOOKUP(E1041,store[],{3,5},FALSE)</f>
        <v>South</v>
      </c>
      <c r="R1041" t="str">
        <v>Outlet</v>
      </c>
      <c r="S1041" s="4">
        <f t="shared" si="16"/>
        <v>1008.24</v>
      </c>
    </row>
    <row r="1042" spans="1:19">
      <c r="A1042" t="s">
        <v>1804</v>
      </c>
      <c r="B1042" s="3">
        <v>45861</v>
      </c>
      <c r="C1042" t="s">
        <v>436</v>
      </c>
      <c r="D1042" t="s">
        <v>213</v>
      </c>
      <c r="E1042" t="s">
        <v>32</v>
      </c>
      <c r="F1042">
        <v>3</v>
      </c>
      <c r="G1042" t="s">
        <v>33</v>
      </c>
      <c r="H1042">
        <v>29</v>
      </c>
      <c r="I1042" s="12" t="s">
        <v>34</v>
      </c>
      <c r="J1042" s="12" t="s">
        <v>59</v>
      </c>
      <c r="K1042" s="12" t="s">
        <v>52</v>
      </c>
      <c r="L1042" s="12" t="s">
        <v>215</v>
      </c>
      <c r="M1042" s="12" t="s">
        <v>130</v>
      </c>
      <c r="N1042" s="14">
        <v>0.23</v>
      </c>
      <c r="O1042" s="23">
        <v>202.07</v>
      </c>
      <c r="P1042">
        <v>158.13999999999999</v>
      </c>
      <c r="Q1042" s="12" t="str" cm="1">
        <f t="array" ref="Q1042:R1042">VLOOKUP(E1042,store[],{3,5},FALSE)</f>
        <v>North</v>
      </c>
      <c r="R1042" t="str">
        <v>Flagship</v>
      </c>
      <c r="S1042" s="4">
        <f t="shared" si="16"/>
        <v>605.52</v>
      </c>
    </row>
    <row r="1043" spans="1:19">
      <c r="A1043" t="s">
        <v>1805</v>
      </c>
      <c r="B1043" s="3">
        <v>45781</v>
      </c>
      <c r="C1043" t="s">
        <v>1806</v>
      </c>
      <c r="D1043" t="s">
        <v>377</v>
      </c>
      <c r="E1043" t="s">
        <v>43</v>
      </c>
      <c r="F1043">
        <v>2</v>
      </c>
      <c r="G1043" t="s">
        <v>23</v>
      </c>
      <c r="H1043">
        <v>20</v>
      </c>
      <c r="I1043" s="12" t="s">
        <v>24</v>
      </c>
      <c r="J1043" s="12" t="s">
        <v>35</v>
      </c>
      <c r="K1043" s="12" t="s">
        <v>60</v>
      </c>
      <c r="L1043" s="12" t="s">
        <v>379</v>
      </c>
      <c r="M1043" s="12" t="s">
        <v>28</v>
      </c>
      <c r="N1043" s="14">
        <v>0.28000000000000003</v>
      </c>
      <c r="O1043" s="23">
        <v>485.25</v>
      </c>
      <c r="P1043">
        <v>144.53</v>
      </c>
      <c r="Q1043" s="12" t="str" cm="1">
        <f t="array" ref="Q1043:R1043">VLOOKUP(E1043,store[],{3,5},FALSE)</f>
        <v>West</v>
      </c>
      <c r="R1043" t="str">
        <v>Online</v>
      </c>
      <c r="S1043" s="4">
        <f t="shared" si="16"/>
        <v>969.94</v>
      </c>
    </row>
    <row r="1044" spans="1:19">
      <c r="A1044" t="s">
        <v>1807</v>
      </c>
      <c r="B1044" s="3">
        <v>45906</v>
      </c>
      <c r="C1044" t="s">
        <v>527</v>
      </c>
      <c r="D1044" t="s">
        <v>213</v>
      </c>
      <c r="E1044" t="s">
        <v>168</v>
      </c>
      <c r="F1044">
        <v>4</v>
      </c>
      <c r="G1044" t="s">
        <v>33</v>
      </c>
      <c r="H1044">
        <v>44</v>
      </c>
      <c r="I1044" s="12" t="s">
        <v>34</v>
      </c>
      <c r="J1044" s="12" t="s">
        <v>260</v>
      </c>
      <c r="K1044" s="12" t="s">
        <v>52</v>
      </c>
      <c r="L1044" s="12" t="s">
        <v>215</v>
      </c>
      <c r="M1044" s="12" t="s">
        <v>130</v>
      </c>
      <c r="N1044" s="14">
        <v>0.1</v>
      </c>
      <c r="O1044" s="23">
        <v>552.38</v>
      </c>
      <c r="P1044">
        <v>158.13999999999999</v>
      </c>
      <c r="Q1044" s="12" t="str" cm="1">
        <f t="array" ref="Q1044:R1044">VLOOKUP(E1044,store[],{3,5},FALSE)</f>
        <v>East</v>
      </c>
      <c r="R1044" t="str">
        <v>Online</v>
      </c>
      <c r="S1044" s="4">
        <f t="shared" si="16"/>
        <v>2209.12</v>
      </c>
    </row>
    <row r="1045" spans="1:19">
      <c r="A1045" t="s">
        <v>1808</v>
      </c>
      <c r="B1045" s="3">
        <v>45251</v>
      </c>
      <c r="C1045" t="s">
        <v>707</v>
      </c>
      <c r="D1045" t="s">
        <v>714</v>
      </c>
      <c r="E1045" t="s">
        <v>32</v>
      </c>
      <c r="F1045">
        <v>4</v>
      </c>
      <c r="G1045" t="s">
        <v>50</v>
      </c>
      <c r="H1045">
        <v>62</v>
      </c>
      <c r="I1045" s="12" t="s">
        <v>34</v>
      </c>
      <c r="J1045" s="12" t="s">
        <v>188</v>
      </c>
      <c r="K1045" s="12" t="s">
        <v>52</v>
      </c>
      <c r="L1045" s="12" t="s">
        <v>715</v>
      </c>
      <c r="M1045" s="12" t="s">
        <v>130</v>
      </c>
      <c r="N1045" s="14">
        <v>0.22</v>
      </c>
      <c r="O1045" s="23">
        <v>377.26</v>
      </c>
      <c r="P1045">
        <v>113.83</v>
      </c>
      <c r="Q1045" s="12" t="str" cm="1">
        <f t="array" ref="Q1045:R1045">VLOOKUP(E1045,store[],{3,5},FALSE)</f>
        <v>North</v>
      </c>
      <c r="R1045" t="str">
        <v>Flagship</v>
      </c>
      <c r="S1045" s="4">
        <f t="shared" si="16"/>
        <v>1508.16</v>
      </c>
    </row>
    <row r="1046" spans="1:19">
      <c r="A1046" t="s">
        <v>1809</v>
      </c>
      <c r="B1046" s="3">
        <v>45257</v>
      </c>
      <c r="C1046" t="s">
        <v>1042</v>
      </c>
      <c r="D1046" t="s">
        <v>302</v>
      </c>
      <c r="E1046" t="s">
        <v>135</v>
      </c>
      <c r="F1046">
        <v>4</v>
      </c>
      <c r="G1046" t="s">
        <v>50</v>
      </c>
      <c r="H1046">
        <v>37</v>
      </c>
      <c r="I1046" s="12" t="s">
        <v>34</v>
      </c>
      <c r="J1046" s="12" t="s">
        <v>209</v>
      </c>
      <c r="K1046" s="12" t="s">
        <v>26</v>
      </c>
      <c r="L1046" s="12" t="s">
        <v>303</v>
      </c>
      <c r="M1046" s="12" t="s">
        <v>46</v>
      </c>
      <c r="N1046" s="14">
        <v>0.1</v>
      </c>
      <c r="O1046" s="23">
        <v>189.07</v>
      </c>
      <c r="P1046">
        <v>255.04901960784301</v>
      </c>
      <c r="Q1046" s="12" t="str" cm="1">
        <f t="array" ref="Q1046:R1046">VLOOKUP(E1046,store[],{3,5},FALSE)</f>
        <v>East</v>
      </c>
      <c r="R1046" t="str">
        <v>Online</v>
      </c>
      <c r="S1046" s="4">
        <f t="shared" si="16"/>
        <v>755.88</v>
      </c>
    </row>
    <row r="1047" spans="1:19">
      <c r="A1047" t="s">
        <v>1810</v>
      </c>
      <c r="B1047" s="3">
        <v>45818</v>
      </c>
      <c r="C1047" t="s">
        <v>608</v>
      </c>
      <c r="D1047" t="s">
        <v>271</v>
      </c>
      <c r="E1047" t="s">
        <v>72</v>
      </c>
      <c r="F1047">
        <v>3</v>
      </c>
      <c r="G1047" t="s">
        <v>23</v>
      </c>
      <c r="H1047">
        <v>27</v>
      </c>
      <c r="I1047" s="12" t="s">
        <v>34</v>
      </c>
      <c r="J1047" s="12" t="s">
        <v>609</v>
      </c>
      <c r="K1047" s="12" t="s">
        <v>52</v>
      </c>
      <c r="L1047" s="12" t="s">
        <v>273</v>
      </c>
      <c r="M1047" s="12" t="s">
        <v>75</v>
      </c>
      <c r="N1047" s="14">
        <v>0.01</v>
      </c>
      <c r="O1047" s="23">
        <v>272.27</v>
      </c>
      <c r="P1047">
        <v>19.52</v>
      </c>
      <c r="Q1047" s="12" t="str" cm="1">
        <f t="array" ref="Q1047:R1047">VLOOKUP(E1047,store[],{3,5},FALSE)</f>
        <v>South</v>
      </c>
      <c r="R1047" t="str">
        <v>Online</v>
      </c>
      <c r="S1047" s="4">
        <f t="shared" si="16"/>
        <v>816.78</v>
      </c>
    </row>
    <row r="1048" spans="1:19">
      <c r="A1048" t="s">
        <v>1811</v>
      </c>
      <c r="B1048" s="3">
        <v>45806</v>
      </c>
      <c r="C1048" t="s">
        <v>476</v>
      </c>
      <c r="D1048" t="s">
        <v>603</v>
      </c>
      <c r="E1048" t="s">
        <v>272</v>
      </c>
      <c r="F1048">
        <v>1</v>
      </c>
      <c r="G1048" t="s">
        <v>33</v>
      </c>
      <c r="H1048">
        <v>25</v>
      </c>
      <c r="I1048" s="12" t="s">
        <v>24</v>
      </c>
      <c r="J1048" s="12" t="s">
        <v>25</v>
      </c>
      <c r="K1048" s="12" t="s">
        <v>26</v>
      </c>
      <c r="L1048" s="12" t="s">
        <v>604</v>
      </c>
      <c r="M1048" s="12" t="s">
        <v>75</v>
      </c>
      <c r="N1048" s="14">
        <v>0.28000000000000003</v>
      </c>
      <c r="O1048" s="23">
        <v>209.39</v>
      </c>
      <c r="P1048">
        <v>447.43</v>
      </c>
      <c r="Q1048" s="12" t="str" cm="1">
        <f t="array" ref="Q1048:R1048">VLOOKUP(E1048,store[],{3,5},FALSE)</f>
        <v>South</v>
      </c>
      <c r="R1048" t="str">
        <v>Online</v>
      </c>
      <c r="S1048" s="4">
        <f t="shared" si="16"/>
        <v>209.11</v>
      </c>
    </row>
    <row r="1049" spans="1:19">
      <c r="A1049" t="s">
        <v>1812</v>
      </c>
      <c r="B1049" s="3">
        <v>45288</v>
      </c>
      <c r="C1049" t="s">
        <v>1042</v>
      </c>
      <c r="D1049" t="s">
        <v>429</v>
      </c>
      <c r="E1049" t="s">
        <v>127</v>
      </c>
      <c r="F1049">
        <v>1</v>
      </c>
      <c r="G1049" t="s">
        <v>23</v>
      </c>
      <c r="H1049">
        <v>37</v>
      </c>
      <c r="I1049" s="12" t="s">
        <v>34</v>
      </c>
      <c r="J1049" s="12" t="s">
        <v>209</v>
      </c>
      <c r="K1049" s="12" t="s">
        <v>26</v>
      </c>
      <c r="L1049" s="12" t="s">
        <v>430</v>
      </c>
      <c r="M1049" s="12" t="s">
        <v>75</v>
      </c>
      <c r="N1049" s="14">
        <v>0.23</v>
      </c>
      <c r="O1049" s="23">
        <v>813.87</v>
      </c>
      <c r="P1049">
        <v>143.43</v>
      </c>
      <c r="Q1049" s="12" t="str" cm="1">
        <f t="array" ref="Q1049:R1049">VLOOKUP(E1049,store[],{3,5},FALSE)</f>
        <v>South</v>
      </c>
      <c r="R1049" t="str">
        <v>Flagship</v>
      </c>
      <c r="S1049" s="4">
        <f t="shared" si="16"/>
        <v>813.64</v>
      </c>
    </row>
    <row r="1050" spans="1:19">
      <c r="A1050" t="s">
        <v>1813</v>
      </c>
      <c r="B1050" s="3">
        <v>45783</v>
      </c>
      <c r="C1050" t="s">
        <v>461</v>
      </c>
      <c r="D1050" t="s">
        <v>567</v>
      </c>
      <c r="E1050" t="s">
        <v>90</v>
      </c>
      <c r="F1050">
        <v>1</v>
      </c>
      <c r="G1050" t="s">
        <v>33</v>
      </c>
      <c r="H1050">
        <v>42</v>
      </c>
      <c r="I1050" s="12" t="s">
        <v>24</v>
      </c>
      <c r="J1050" s="12" t="s">
        <v>463</v>
      </c>
      <c r="K1050" s="12" t="s">
        <v>60</v>
      </c>
      <c r="L1050" s="12" t="s">
        <v>568</v>
      </c>
      <c r="M1050" s="12" t="s">
        <v>28</v>
      </c>
      <c r="N1050" s="14">
        <v>0.19</v>
      </c>
      <c r="O1050" s="23">
        <v>143.69999999999999</v>
      </c>
      <c r="P1050">
        <v>38.76</v>
      </c>
      <c r="Q1050" s="12" t="str" cm="1">
        <f t="array" ref="Q1050:R1050">VLOOKUP(E1050,store[],{3,5},FALSE)</f>
        <v>East</v>
      </c>
      <c r="R1050" t="str">
        <v>Flagship</v>
      </c>
      <c r="S1050" s="4">
        <f t="shared" si="16"/>
        <v>143.51</v>
      </c>
    </row>
    <row r="1051" spans="1:19">
      <c r="A1051" t="s">
        <v>1814</v>
      </c>
      <c r="B1051" s="3">
        <v>45385</v>
      </c>
      <c r="C1051" t="s">
        <v>264</v>
      </c>
      <c r="D1051" t="s">
        <v>381</v>
      </c>
      <c r="E1051" t="s">
        <v>105</v>
      </c>
      <c r="F1051">
        <v>4</v>
      </c>
      <c r="G1051" t="s">
        <v>33</v>
      </c>
      <c r="H1051">
        <v>21</v>
      </c>
      <c r="I1051" s="12" t="s">
        <v>34</v>
      </c>
      <c r="J1051" s="12" t="s">
        <v>214</v>
      </c>
      <c r="K1051" s="12" t="s">
        <v>26</v>
      </c>
      <c r="L1051" s="12" t="s">
        <v>382</v>
      </c>
      <c r="M1051" s="12" t="s">
        <v>130</v>
      </c>
      <c r="N1051" s="14">
        <v>0.05</v>
      </c>
      <c r="O1051" s="23">
        <v>837.34</v>
      </c>
      <c r="P1051">
        <v>167.34</v>
      </c>
      <c r="Q1051" s="12" t="str" cm="1">
        <f t="array" ref="Q1051:R1051">VLOOKUP(E1051,store[],{3,5},FALSE)</f>
        <v>North</v>
      </c>
      <c r="R1051" t="str">
        <v>Flagship</v>
      </c>
      <c r="S1051" s="4">
        <f t="shared" si="16"/>
        <v>3349.16</v>
      </c>
    </row>
    <row r="1052" spans="1:19">
      <c r="A1052" t="s">
        <v>1815</v>
      </c>
      <c r="B1052" s="3">
        <v>45878</v>
      </c>
      <c r="C1052" t="s">
        <v>959</v>
      </c>
      <c r="D1052" t="s">
        <v>65</v>
      </c>
      <c r="E1052" t="s">
        <v>135</v>
      </c>
      <c r="F1052">
        <v>1</v>
      </c>
      <c r="G1052" t="s">
        <v>50</v>
      </c>
      <c r="H1052">
        <v>44</v>
      </c>
      <c r="I1052" s="12" t="s">
        <v>34</v>
      </c>
      <c r="J1052" s="12" t="s">
        <v>44</v>
      </c>
      <c r="K1052" s="12" t="s">
        <v>52</v>
      </c>
      <c r="L1052" s="12" t="s">
        <v>68</v>
      </c>
      <c r="M1052" s="12" t="s">
        <v>37</v>
      </c>
      <c r="N1052" s="14">
        <v>0.16</v>
      </c>
      <c r="O1052" s="23">
        <v>151.66</v>
      </c>
      <c r="P1052">
        <v>465.34</v>
      </c>
      <c r="Q1052" s="12" t="str" cm="1">
        <f t="array" ref="Q1052:R1052">VLOOKUP(E1052,store[],{3,5},FALSE)</f>
        <v>East</v>
      </c>
      <c r="R1052" t="str">
        <v>Online</v>
      </c>
      <c r="S1052" s="4">
        <f t="shared" si="16"/>
        <v>151.5</v>
      </c>
    </row>
    <row r="1053" spans="1:19">
      <c r="A1053" t="s">
        <v>1816</v>
      </c>
      <c r="B1053" s="3">
        <v>45720</v>
      </c>
      <c r="C1053" t="s">
        <v>608</v>
      </c>
      <c r="D1053" t="s">
        <v>275</v>
      </c>
      <c r="E1053" t="s">
        <v>43</v>
      </c>
      <c r="F1053">
        <v>3</v>
      </c>
      <c r="G1053" t="s">
        <v>33</v>
      </c>
      <c r="H1053">
        <v>27</v>
      </c>
      <c r="I1053" s="12" t="s">
        <v>34</v>
      </c>
      <c r="J1053" s="12" t="s">
        <v>609</v>
      </c>
      <c r="K1053" s="12" t="s">
        <v>52</v>
      </c>
      <c r="L1053" s="12" t="s">
        <v>276</v>
      </c>
      <c r="M1053" s="12" t="s">
        <v>28</v>
      </c>
      <c r="N1053" s="14">
        <v>0.02</v>
      </c>
      <c r="O1053" s="23">
        <v>961.4</v>
      </c>
      <c r="P1053">
        <v>167.12</v>
      </c>
      <c r="Q1053" s="12" t="str" cm="1">
        <f t="array" ref="Q1053:R1053">VLOOKUP(E1053,store[],{3,5},FALSE)</f>
        <v>West</v>
      </c>
      <c r="R1053" t="str">
        <v>Online</v>
      </c>
      <c r="S1053" s="4">
        <f t="shared" si="16"/>
        <v>2884.14</v>
      </c>
    </row>
    <row r="1054" spans="1:19">
      <c r="A1054" t="s">
        <v>1817</v>
      </c>
      <c r="B1054" s="3">
        <v>45503</v>
      </c>
      <c r="C1054" t="s">
        <v>946</v>
      </c>
      <c r="D1054" t="s">
        <v>31</v>
      </c>
      <c r="E1054" t="s">
        <v>160</v>
      </c>
      <c r="F1054">
        <v>4</v>
      </c>
      <c r="G1054" t="s">
        <v>33</v>
      </c>
      <c r="H1054">
        <v>45</v>
      </c>
      <c r="I1054" s="12" t="s">
        <v>24</v>
      </c>
      <c r="J1054" s="12" t="s">
        <v>260</v>
      </c>
      <c r="K1054" s="12" t="s">
        <v>60</v>
      </c>
      <c r="L1054" s="12" t="s">
        <v>36</v>
      </c>
      <c r="M1054" s="12" t="s">
        <v>37</v>
      </c>
      <c r="N1054" s="14">
        <v>0.19</v>
      </c>
      <c r="O1054" s="23">
        <v>475.98</v>
      </c>
      <c r="P1054">
        <v>403.71</v>
      </c>
      <c r="Q1054" s="12" t="str" cm="1">
        <f t="array" ref="Q1054:R1054">VLOOKUP(E1054,store[],{3,5},FALSE)</f>
        <v>East</v>
      </c>
      <c r="R1054" t="str">
        <v>Flagship</v>
      </c>
      <c r="S1054" s="4">
        <f t="shared" si="16"/>
        <v>1903.16</v>
      </c>
    </row>
    <row r="1055" spans="1:19">
      <c r="A1055" t="s">
        <v>1818</v>
      </c>
      <c r="B1055" s="3">
        <v>45551</v>
      </c>
      <c r="C1055" t="s">
        <v>1424</v>
      </c>
      <c r="D1055" t="s">
        <v>340</v>
      </c>
      <c r="E1055" t="s">
        <v>122</v>
      </c>
      <c r="F1055">
        <v>4</v>
      </c>
      <c r="G1055" t="s">
        <v>23</v>
      </c>
      <c r="H1055">
        <v>23</v>
      </c>
      <c r="I1055" s="12" t="s">
        <v>24</v>
      </c>
      <c r="J1055" s="12" t="s">
        <v>67</v>
      </c>
      <c r="K1055" s="12" t="s">
        <v>26</v>
      </c>
      <c r="L1055" s="12" t="s">
        <v>341</v>
      </c>
      <c r="M1055" s="12" t="s">
        <v>28</v>
      </c>
      <c r="N1055" s="14">
        <v>0.12</v>
      </c>
      <c r="O1055" s="23">
        <v>132.88999999999999</v>
      </c>
      <c r="P1055">
        <v>135.61000000000001</v>
      </c>
      <c r="Q1055" s="12" t="str" cm="1">
        <f t="array" ref="Q1055:R1055">VLOOKUP(E1055,store[],{3,5},FALSE)</f>
        <v>North</v>
      </c>
      <c r="R1055" t="str">
        <v>Flagship</v>
      </c>
      <c r="S1055" s="4">
        <f t="shared" si="16"/>
        <v>531.08000000000004</v>
      </c>
    </row>
    <row r="1056" spans="1:19">
      <c r="A1056" t="s">
        <v>1819</v>
      </c>
      <c r="B1056" s="3">
        <v>45850</v>
      </c>
      <c r="C1056" t="s">
        <v>667</v>
      </c>
      <c r="D1056" t="s">
        <v>487</v>
      </c>
      <c r="E1056" t="s">
        <v>208</v>
      </c>
      <c r="F1056">
        <v>3</v>
      </c>
      <c r="G1056" t="s">
        <v>33</v>
      </c>
      <c r="H1056">
        <v>47</v>
      </c>
      <c r="I1056" s="12" t="s">
        <v>34</v>
      </c>
      <c r="J1056" s="12" t="s">
        <v>214</v>
      </c>
      <c r="K1056" s="12" t="s">
        <v>52</v>
      </c>
      <c r="L1056" s="12" t="s">
        <v>488</v>
      </c>
      <c r="M1056" s="12" t="s">
        <v>75</v>
      </c>
      <c r="N1056" s="14">
        <v>0</v>
      </c>
      <c r="O1056" s="23">
        <v>471.31</v>
      </c>
      <c r="P1056">
        <v>382.22</v>
      </c>
      <c r="Q1056" s="12" t="str" cm="1">
        <f t="array" ref="Q1056:R1056">VLOOKUP(E1056,store[],{3,5},FALSE)</f>
        <v>North</v>
      </c>
      <c r="R1056" t="str">
        <v>Online</v>
      </c>
      <c r="S1056" s="4">
        <f t="shared" si="16"/>
        <v>1413.93</v>
      </c>
    </row>
    <row r="1057" spans="1:19">
      <c r="A1057" t="s">
        <v>1820</v>
      </c>
      <c r="B1057" s="3">
        <v>45441</v>
      </c>
      <c r="C1057" t="s">
        <v>88</v>
      </c>
      <c r="D1057" t="s">
        <v>49</v>
      </c>
      <c r="E1057" t="s">
        <v>98</v>
      </c>
      <c r="F1057">
        <v>2</v>
      </c>
      <c r="G1057" t="s">
        <v>23</v>
      </c>
      <c r="H1057">
        <v>45</v>
      </c>
      <c r="I1057" s="12" t="s">
        <v>34</v>
      </c>
      <c r="J1057" s="12" t="s">
        <v>91</v>
      </c>
      <c r="K1057" s="12" t="s">
        <v>52</v>
      </c>
      <c r="L1057" s="12" t="s">
        <v>53</v>
      </c>
      <c r="M1057" s="12" t="s">
        <v>37</v>
      </c>
      <c r="N1057" s="14">
        <v>0.26</v>
      </c>
      <c r="O1057" s="23">
        <v>720.32</v>
      </c>
      <c r="P1057">
        <v>392.89</v>
      </c>
      <c r="Q1057" s="12" t="str" cm="1">
        <f t="array" ref="Q1057:R1057">VLOOKUP(E1057,store[],{3,5},FALSE)</f>
        <v>South</v>
      </c>
      <c r="R1057" t="str">
        <v>Outlet</v>
      </c>
      <c r="S1057" s="4">
        <f t="shared" si="16"/>
        <v>1440.12</v>
      </c>
    </row>
    <row r="1058" spans="1:19">
      <c r="A1058" t="s">
        <v>1821</v>
      </c>
      <c r="B1058" s="3">
        <v>45431</v>
      </c>
      <c r="C1058" t="s">
        <v>692</v>
      </c>
      <c r="D1058" t="s">
        <v>532</v>
      </c>
      <c r="E1058" t="s">
        <v>160</v>
      </c>
      <c r="F1058">
        <v>4</v>
      </c>
      <c r="G1058" t="s">
        <v>50</v>
      </c>
      <c r="H1058">
        <v>61</v>
      </c>
      <c r="I1058" s="12" t="s">
        <v>34</v>
      </c>
      <c r="J1058" s="12" t="s">
        <v>227</v>
      </c>
      <c r="K1058" s="12" t="s">
        <v>26</v>
      </c>
      <c r="L1058" s="12" t="s">
        <v>533</v>
      </c>
      <c r="M1058" s="12" t="s">
        <v>46</v>
      </c>
      <c r="N1058" s="14">
        <v>0.11</v>
      </c>
      <c r="O1058" s="23">
        <v>99.92</v>
      </c>
      <c r="P1058">
        <v>340.39</v>
      </c>
      <c r="Q1058" s="12" t="str" cm="1">
        <f t="array" ref="Q1058:R1058">VLOOKUP(E1058,store[],{3,5},FALSE)</f>
        <v>East</v>
      </c>
      <c r="R1058" t="str">
        <v>Flagship</v>
      </c>
      <c r="S1058" s="4">
        <f t="shared" si="16"/>
        <v>399.24</v>
      </c>
    </row>
    <row r="1059" spans="1:19">
      <c r="A1059" t="s">
        <v>1822</v>
      </c>
      <c r="B1059" s="3">
        <v>45873</v>
      </c>
      <c r="C1059" t="s">
        <v>468</v>
      </c>
      <c r="D1059" t="s">
        <v>234</v>
      </c>
      <c r="E1059" t="s">
        <v>22</v>
      </c>
      <c r="F1059">
        <v>3</v>
      </c>
      <c r="G1059" t="s">
        <v>50</v>
      </c>
      <c r="H1059">
        <v>58</v>
      </c>
      <c r="I1059" s="12" t="s">
        <v>24</v>
      </c>
      <c r="J1059" s="12" t="s">
        <v>235</v>
      </c>
      <c r="K1059" s="12" t="s">
        <v>60</v>
      </c>
      <c r="L1059" s="12" t="s">
        <v>236</v>
      </c>
      <c r="M1059" s="12" t="s">
        <v>75</v>
      </c>
      <c r="N1059" s="14">
        <v>0.11</v>
      </c>
      <c r="O1059" s="23">
        <v>900.63</v>
      </c>
      <c r="P1059">
        <v>298.86</v>
      </c>
      <c r="Q1059" s="12" t="str" cm="1">
        <f t="array" ref="Q1059:R1059">VLOOKUP(E1059,store[],{3,5},FALSE)</f>
        <v>North</v>
      </c>
      <c r="R1059" t="str">
        <v>Outlet</v>
      </c>
      <c r="S1059" s="4">
        <f t="shared" si="16"/>
        <v>2701.56</v>
      </c>
    </row>
    <row r="1060" spans="1:19">
      <c r="A1060" t="s">
        <v>1823</v>
      </c>
      <c r="B1060" s="3">
        <v>45629</v>
      </c>
      <c r="C1060" t="s">
        <v>679</v>
      </c>
      <c r="D1060" t="s">
        <v>381</v>
      </c>
      <c r="E1060" t="s">
        <v>43</v>
      </c>
      <c r="F1060">
        <v>1</v>
      </c>
      <c r="G1060" t="s">
        <v>33</v>
      </c>
      <c r="H1060">
        <v>42</v>
      </c>
      <c r="I1060" s="12" t="s">
        <v>34</v>
      </c>
      <c r="J1060" s="12" t="s">
        <v>609</v>
      </c>
      <c r="K1060" s="12" t="s">
        <v>73</v>
      </c>
      <c r="L1060" s="12" t="s">
        <v>382</v>
      </c>
      <c r="M1060" s="12" t="s">
        <v>130</v>
      </c>
      <c r="N1060" s="14">
        <v>0.11</v>
      </c>
      <c r="O1060" s="23">
        <v>681.72</v>
      </c>
      <c r="P1060">
        <v>167.34</v>
      </c>
      <c r="Q1060" s="12" t="str" cm="1">
        <f t="array" ref="Q1060:R1060">VLOOKUP(E1060,store[],{3,5},FALSE)</f>
        <v>West</v>
      </c>
      <c r="R1060" t="str">
        <v>Online</v>
      </c>
      <c r="S1060" s="4">
        <f t="shared" si="16"/>
        <v>681.61</v>
      </c>
    </row>
    <row r="1061" spans="1:19">
      <c r="A1061" t="s">
        <v>1824</v>
      </c>
      <c r="B1061" s="3">
        <v>45222</v>
      </c>
      <c r="C1061" t="s">
        <v>1825</v>
      </c>
      <c r="D1061" t="s">
        <v>267</v>
      </c>
      <c r="E1061" t="s">
        <v>149</v>
      </c>
      <c r="F1061">
        <v>2</v>
      </c>
      <c r="G1061" t="s">
        <v>23</v>
      </c>
      <c r="H1061">
        <v>64</v>
      </c>
      <c r="I1061" s="12" t="s">
        <v>24</v>
      </c>
      <c r="J1061" s="12" t="s">
        <v>44</v>
      </c>
      <c r="K1061" s="12" t="s">
        <v>52</v>
      </c>
      <c r="L1061" s="12" t="s">
        <v>268</v>
      </c>
      <c r="M1061" s="12" t="s">
        <v>75</v>
      </c>
      <c r="N1061" s="14">
        <v>0.3</v>
      </c>
      <c r="O1061" s="23">
        <v>838.22</v>
      </c>
      <c r="P1061">
        <v>325.26</v>
      </c>
      <c r="Q1061" s="12" t="str" cm="1">
        <f t="array" ref="Q1061:R1061">VLOOKUP(E1061,store[],{3,5},FALSE)</f>
        <v>East</v>
      </c>
      <c r="R1061" t="str">
        <v>Flagship</v>
      </c>
      <c r="S1061" s="4">
        <f t="shared" si="16"/>
        <v>1675.84</v>
      </c>
    </row>
    <row r="1062" spans="1:19">
      <c r="A1062" t="s">
        <v>1826</v>
      </c>
      <c r="B1062" s="3">
        <v>45797</v>
      </c>
      <c r="C1062" t="s">
        <v>1766</v>
      </c>
      <c r="D1062" t="s">
        <v>514</v>
      </c>
      <c r="E1062" t="s">
        <v>208</v>
      </c>
      <c r="F1062">
        <v>2</v>
      </c>
      <c r="G1062" t="s">
        <v>23</v>
      </c>
      <c r="H1062">
        <v>46</v>
      </c>
      <c r="I1062" s="12" t="s">
        <v>24</v>
      </c>
      <c r="J1062" s="12" t="s">
        <v>44</v>
      </c>
      <c r="K1062" s="12" t="s">
        <v>26</v>
      </c>
      <c r="L1062" s="12" t="s">
        <v>515</v>
      </c>
      <c r="M1062" s="12" t="s">
        <v>75</v>
      </c>
      <c r="N1062" s="14">
        <v>0.27</v>
      </c>
      <c r="O1062" s="23">
        <v>816.22</v>
      </c>
      <c r="P1062">
        <v>371.38</v>
      </c>
      <c r="Q1062" s="12" t="str" cm="1">
        <f t="array" ref="Q1062:R1062">VLOOKUP(E1062,store[],{3,5},FALSE)</f>
        <v>North</v>
      </c>
      <c r="R1062" t="str">
        <v>Online</v>
      </c>
      <c r="S1062" s="4">
        <f t="shared" si="16"/>
        <v>1631.9</v>
      </c>
    </row>
    <row r="1063" spans="1:19">
      <c r="A1063" t="s">
        <v>1827</v>
      </c>
      <c r="B1063" s="3">
        <v>45554</v>
      </c>
      <c r="C1063" t="s">
        <v>1424</v>
      </c>
      <c r="D1063" t="s">
        <v>698</v>
      </c>
      <c r="E1063" t="s">
        <v>66</v>
      </c>
      <c r="F1063">
        <v>2</v>
      </c>
      <c r="G1063" t="s">
        <v>33</v>
      </c>
      <c r="H1063">
        <v>23</v>
      </c>
      <c r="I1063" s="12" t="s">
        <v>24</v>
      </c>
      <c r="J1063" s="12" t="s">
        <v>67</v>
      </c>
      <c r="K1063" s="12" t="s">
        <v>26</v>
      </c>
      <c r="L1063" s="12" t="s">
        <v>699</v>
      </c>
      <c r="M1063" s="12" t="s">
        <v>28</v>
      </c>
      <c r="N1063" s="14">
        <v>0.27</v>
      </c>
      <c r="O1063" s="23">
        <v>654.12</v>
      </c>
      <c r="P1063">
        <v>103.45</v>
      </c>
      <c r="Q1063" s="12" t="str" cm="1">
        <f t="array" ref="Q1063:R1063">VLOOKUP(E1063,store[],{3,5},FALSE)</f>
        <v>South</v>
      </c>
      <c r="R1063" t="str">
        <v>Online</v>
      </c>
      <c r="S1063" s="4">
        <f t="shared" si="16"/>
        <v>1307.7</v>
      </c>
    </row>
    <row r="1064" spans="1:19">
      <c r="A1064" t="s">
        <v>1828</v>
      </c>
      <c r="B1064" s="3">
        <v>45385</v>
      </c>
      <c r="C1064" t="s">
        <v>470</v>
      </c>
      <c r="D1064" t="s">
        <v>575</v>
      </c>
      <c r="E1064" t="s">
        <v>149</v>
      </c>
      <c r="F1064">
        <v>4</v>
      </c>
      <c r="G1064" t="s">
        <v>33</v>
      </c>
      <c r="H1064">
        <v>50</v>
      </c>
      <c r="I1064" s="12" t="s">
        <v>34</v>
      </c>
      <c r="J1064" s="12" t="s">
        <v>235</v>
      </c>
      <c r="K1064" s="12" t="s">
        <v>26</v>
      </c>
      <c r="L1064" s="12" t="s">
        <v>576</v>
      </c>
      <c r="M1064" s="12" t="s">
        <v>28</v>
      </c>
      <c r="N1064" s="14">
        <v>0.2</v>
      </c>
      <c r="O1064" s="23">
        <v>528.22</v>
      </c>
      <c r="P1064">
        <v>107.06</v>
      </c>
      <c r="Q1064" s="12" t="str" cm="1">
        <f t="array" ref="Q1064:R1064">VLOOKUP(E1064,store[],{3,5},FALSE)</f>
        <v>East</v>
      </c>
      <c r="R1064" t="str">
        <v>Flagship</v>
      </c>
      <c r="S1064" s="4">
        <f t="shared" si="16"/>
        <v>2112.08</v>
      </c>
    </row>
    <row r="1065" spans="1:19">
      <c r="A1065" t="s">
        <v>1829</v>
      </c>
      <c r="B1065" s="3">
        <v>45704</v>
      </c>
      <c r="C1065" t="s">
        <v>358</v>
      </c>
      <c r="D1065" t="s">
        <v>116</v>
      </c>
      <c r="E1065" t="s">
        <v>66</v>
      </c>
      <c r="F1065">
        <v>4</v>
      </c>
      <c r="G1065" t="s">
        <v>50</v>
      </c>
      <c r="H1065">
        <v>38</v>
      </c>
      <c r="I1065" s="12" t="s">
        <v>24</v>
      </c>
      <c r="J1065" s="12" t="s">
        <v>360</v>
      </c>
      <c r="K1065" s="12" t="s">
        <v>52</v>
      </c>
      <c r="L1065" s="12" t="s">
        <v>119</v>
      </c>
      <c r="M1065" s="12" t="s">
        <v>37</v>
      </c>
      <c r="N1065" s="14">
        <v>7.0000000000000007E-2</v>
      </c>
      <c r="O1065" s="23">
        <v>36.72</v>
      </c>
      <c r="P1065">
        <v>419.28</v>
      </c>
      <c r="Q1065" s="12" t="str" cm="1">
        <f t="array" ref="Q1065:R1065">VLOOKUP(E1065,store[],{3,5},FALSE)</f>
        <v>South</v>
      </c>
      <c r="R1065" t="str">
        <v>Online</v>
      </c>
      <c r="S1065" s="4">
        <f t="shared" si="16"/>
        <v>146.6</v>
      </c>
    </row>
    <row r="1066" spans="1:19">
      <c r="A1066" t="s">
        <v>1830</v>
      </c>
      <c r="B1066" s="3">
        <v>45545</v>
      </c>
      <c r="C1066" t="s">
        <v>946</v>
      </c>
      <c r="D1066" t="s">
        <v>267</v>
      </c>
      <c r="E1066" t="s">
        <v>135</v>
      </c>
      <c r="F1066">
        <v>2</v>
      </c>
      <c r="G1066" t="s">
        <v>33</v>
      </c>
      <c r="H1066">
        <v>45</v>
      </c>
      <c r="I1066" s="12" t="s">
        <v>24</v>
      </c>
      <c r="J1066" s="12" t="s">
        <v>260</v>
      </c>
      <c r="K1066" s="12" t="s">
        <v>60</v>
      </c>
      <c r="L1066" s="12" t="s">
        <v>268</v>
      </c>
      <c r="M1066" s="12" t="s">
        <v>75</v>
      </c>
      <c r="N1066" s="14">
        <v>0.1</v>
      </c>
      <c r="O1066" s="23">
        <v>705.97</v>
      </c>
      <c r="P1066">
        <v>325.26</v>
      </c>
      <c r="Q1066" s="12" t="str" cm="1">
        <f t="array" ref="Q1066:R1066">VLOOKUP(E1066,store[],{3,5},FALSE)</f>
        <v>East</v>
      </c>
      <c r="R1066" t="str">
        <v>Online</v>
      </c>
      <c r="S1066" s="4">
        <f t="shared" si="16"/>
        <v>1411.74</v>
      </c>
    </row>
    <row r="1067" spans="1:19">
      <c r="A1067" t="s">
        <v>1831</v>
      </c>
      <c r="B1067" s="3">
        <v>45736</v>
      </c>
      <c r="C1067" t="s">
        <v>740</v>
      </c>
      <c r="D1067" t="s">
        <v>295</v>
      </c>
      <c r="E1067" t="s">
        <v>105</v>
      </c>
      <c r="F1067">
        <v>2</v>
      </c>
      <c r="G1067" t="s">
        <v>33</v>
      </c>
      <c r="H1067">
        <v>52</v>
      </c>
      <c r="I1067" s="12" t="s">
        <v>34</v>
      </c>
      <c r="J1067" s="12" t="s">
        <v>609</v>
      </c>
      <c r="K1067" s="12" t="s">
        <v>60</v>
      </c>
      <c r="L1067" s="12" t="s">
        <v>296</v>
      </c>
      <c r="M1067" s="12" t="s">
        <v>37</v>
      </c>
      <c r="N1067" s="14">
        <v>0.01</v>
      </c>
      <c r="O1067" s="23">
        <v>994.29</v>
      </c>
      <c r="P1067">
        <v>38.520000000000003</v>
      </c>
      <c r="Q1067" s="12" t="str" cm="1">
        <f t="array" ref="Q1067:R1067">VLOOKUP(E1067,store[],{3,5},FALSE)</f>
        <v>North</v>
      </c>
      <c r="R1067" t="str">
        <v>Flagship</v>
      </c>
      <c r="S1067" s="4">
        <f t="shared" si="16"/>
        <v>1988.56</v>
      </c>
    </row>
    <row r="1068" spans="1:19">
      <c r="A1068" t="s">
        <v>1832</v>
      </c>
      <c r="B1068" s="3">
        <v>45608</v>
      </c>
      <c r="C1068" t="s">
        <v>1759</v>
      </c>
      <c r="D1068" t="s">
        <v>603</v>
      </c>
      <c r="E1068" t="s">
        <v>160</v>
      </c>
      <c r="F1068">
        <v>1</v>
      </c>
      <c r="G1068" t="s">
        <v>23</v>
      </c>
      <c r="H1068">
        <v>45</v>
      </c>
      <c r="I1068" s="12" t="s">
        <v>34</v>
      </c>
      <c r="J1068" s="12" t="s">
        <v>91</v>
      </c>
      <c r="K1068" s="12" t="s">
        <v>52</v>
      </c>
      <c r="L1068" s="12" t="s">
        <v>604</v>
      </c>
      <c r="M1068" s="12" t="s">
        <v>75</v>
      </c>
      <c r="N1068" s="14">
        <v>0.11</v>
      </c>
      <c r="O1068" s="23">
        <v>909.04</v>
      </c>
      <c r="P1068">
        <v>447.43</v>
      </c>
      <c r="Q1068" s="12" t="str" cm="1">
        <f t="array" ref="Q1068:R1068">VLOOKUP(E1068,store[],{3,5},FALSE)</f>
        <v>East</v>
      </c>
      <c r="R1068" t="str">
        <v>Flagship</v>
      </c>
      <c r="S1068" s="4">
        <f t="shared" si="16"/>
        <v>908.93</v>
      </c>
    </row>
    <row r="1069" spans="1:19">
      <c r="A1069" t="s">
        <v>1833</v>
      </c>
      <c r="B1069" s="3">
        <v>45334</v>
      </c>
      <c r="C1069" t="s">
        <v>519</v>
      </c>
      <c r="D1069" t="s">
        <v>116</v>
      </c>
      <c r="E1069" t="s">
        <v>272</v>
      </c>
      <c r="F1069">
        <v>1</v>
      </c>
      <c r="G1069" t="s">
        <v>33</v>
      </c>
      <c r="H1069">
        <v>31</v>
      </c>
      <c r="I1069" s="12" t="s">
        <v>24</v>
      </c>
      <c r="J1069" s="12" t="s">
        <v>444</v>
      </c>
      <c r="K1069" s="12" t="s">
        <v>73</v>
      </c>
      <c r="L1069" s="12" t="s">
        <v>119</v>
      </c>
      <c r="M1069" s="12" t="s">
        <v>37</v>
      </c>
      <c r="N1069" s="14">
        <v>0.12</v>
      </c>
      <c r="O1069" s="23">
        <v>164.73</v>
      </c>
      <c r="P1069">
        <v>419.28</v>
      </c>
      <c r="Q1069" s="12" t="str" cm="1">
        <f t="array" ref="Q1069:R1069">VLOOKUP(E1069,store[],{3,5},FALSE)</f>
        <v>South</v>
      </c>
      <c r="R1069" t="str">
        <v>Online</v>
      </c>
      <c r="S1069" s="4">
        <f t="shared" si="16"/>
        <v>164.61</v>
      </c>
    </row>
    <row r="1070" spans="1:19">
      <c r="A1070" t="s">
        <v>1834</v>
      </c>
      <c r="B1070" s="3">
        <v>45690</v>
      </c>
      <c r="C1070" t="s">
        <v>1215</v>
      </c>
      <c r="D1070" t="s">
        <v>786</v>
      </c>
      <c r="E1070" t="s">
        <v>66</v>
      </c>
      <c r="F1070">
        <v>2</v>
      </c>
      <c r="G1070" t="s">
        <v>50</v>
      </c>
      <c r="H1070">
        <v>50</v>
      </c>
      <c r="I1070" s="12" t="s">
        <v>24</v>
      </c>
      <c r="J1070" s="12" t="s">
        <v>222</v>
      </c>
      <c r="K1070" s="12" t="s">
        <v>73</v>
      </c>
      <c r="L1070" s="12" t="s">
        <v>787</v>
      </c>
      <c r="M1070" s="12" t="s">
        <v>130</v>
      </c>
      <c r="N1070" s="14">
        <v>0.16</v>
      </c>
      <c r="O1070" s="23">
        <v>606.35</v>
      </c>
      <c r="P1070">
        <v>353.47</v>
      </c>
      <c r="Q1070" s="12" t="str" cm="1">
        <f t="array" ref="Q1070:R1070">VLOOKUP(E1070,store[],{3,5},FALSE)</f>
        <v>South</v>
      </c>
      <c r="R1070" t="str">
        <v>Online</v>
      </c>
      <c r="S1070" s="4">
        <f t="shared" si="16"/>
        <v>1212.3800000000001</v>
      </c>
    </row>
    <row r="1071" spans="1:19">
      <c r="A1071" t="s">
        <v>1835</v>
      </c>
      <c r="B1071" s="3">
        <v>45481</v>
      </c>
      <c r="C1071" t="s">
        <v>1083</v>
      </c>
      <c r="D1071" t="s">
        <v>187</v>
      </c>
      <c r="E1071" t="s">
        <v>72</v>
      </c>
      <c r="F1071">
        <v>3</v>
      </c>
      <c r="G1071" t="s">
        <v>23</v>
      </c>
      <c r="H1071">
        <v>21</v>
      </c>
      <c r="I1071" s="12" t="s">
        <v>24</v>
      </c>
      <c r="J1071" s="12" t="s">
        <v>932</v>
      </c>
      <c r="K1071" s="12" t="s">
        <v>73</v>
      </c>
      <c r="L1071" s="12" t="s">
        <v>189</v>
      </c>
      <c r="M1071" s="12" t="s">
        <v>37</v>
      </c>
      <c r="N1071" s="14">
        <v>0.09</v>
      </c>
      <c r="O1071" s="23">
        <v>904.19</v>
      </c>
      <c r="P1071">
        <v>431.67</v>
      </c>
      <c r="Q1071" s="12" t="str" cm="1">
        <f t="array" ref="Q1071:R1071">VLOOKUP(E1071,store[],{3,5},FALSE)</f>
        <v>South</v>
      </c>
      <c r="R1071" t="str">
        <v>Online</v>
      </c>
      <c r="S1071" s="4">
        <f t="shared" si="16"/>
        <v>2712.3</v>
      </c>
    </row>
    <row r="1072" spans="1:19">
      <c r="A1072" t="s">
        <v>1836</v>
      </c>
      <c r="B1072" s="3">
        <v>45576</v>
      </c>
      <c r="C1072" t="s">
        <v>1412</v>
      </c>
      <c r="D1072" t="s">
        <v>409</v>
      </c>
      <c r="E1072" t="s">
        <v>198</v>
      </c>
      <c r="F1072">
        <v>4</v>
      </c>
      <c r="G1072" t="s">
        <v>50</v>
      </c>
      <c r="H1072">
        <v>25</v>
      </c>
      <c r="I1072" s="12" t="s">
        <v>34</v>
      </c>
      <c r="J1072" s="12" t="s">
        <v>609</v>
      </c>
      <c r="K1072" s="12" t="s">
        <v>26</v>
      </c>
      <c r="L1072" s="12" t="s">
        <v>411</v>
      </c>
      <c r="M1072" s="12" t="s">
        <v>28</v>
      </c>
      <c r="N1072" s="14">
        <v>0.18</v>
      </c>
      <c r="O1072" s="23">
        <v>694.61</v>
      </c>
      <c r="P1072">
        <v>190.29</v>
      </c>
      <c r="Q1072" s="12" t="str" cm="1">
        <f t="array" ref="Q1072:R1072">VLOOKUP(E1072,store[],{3,5},FALSE)</f>
        <v>South</v>
      </c>
      <c r="R1072" t="str">
        <v>Outlet</v>
      </c>
      <c r="S1072" s="4">
        <f t="shared" si="16"/>
        <v>2777.72</v>
      </c>
    </row>
    <row r="1073" spans="1:19">
      <c r="A1073" t="s">
        <v>1837</v>
      </c>
      <c r="B1073" s="3">
        <v>45215</v>
      </c>
      <c r="C1073" t="s">
        <v>817</v>
      </c>
      <c r="D1073" t="s">
        <v>287</v>
      </c>
      <c r="E1073" t="s">
        <v>198</v>
      </c>
      <c r="F1073">
        <v>4</v>
      </c>
      <c r="G1073" t="s">
        <v>23</v>
      </c>
      <c r="H1073">
        <v>46</v>
      </c>
      <c r="I1073" s="12" t="s">
        <v>34</v>
      </c>
      <c r="J1073" s="12" t="s">
        <v>410</v>
      </c>
      <c r="K1073" s="12" t="s">
        <v>52</v>
      </c>
      <c r="L1073" s="12" t="s">
        <v>288</v>
      </c>
      <c r="M1073" s="12" t="s">
        <v>46</v>
      </c>
      <c r="N1073" s="14">
        <v>0.24</v>
      </c>
      <c r="O1073" s="23">
        <v>753.83</v>
      </c>
      <c r="P1073">
        <v>183.04</v>
      </c>
      <c r="Q1073" s="12" t="str" cm="1">
        <f t="array" ref="Q1073:R1073">VLOOKUP(E1073,store[],{3,5},FALSE)</f>
        <v>South</v>
      </c>
      <c r="R1073" t="str">
        <v>Outlet</v>
      </c>
      <c r="S1073" s="4">
        <f t="shared" si="16"/>
        <v>3014.36</v>
      </c>
    </row>
    <row r="1074" spans="1:19">
      <c r="A1074" t="s">
        <v>1838</v>
      </c>
      <c r="B1074" s="3">
        <v>45653</v>
      </c>
      <c r="C1074" t="s">
        <v>1095</v>
      </c>
      <c r="D1074" t="s">
        <v>279</v>
      </c>
      <c r="E1074" t="s">
        <v>43</v>
      </c>
      <c r="F1074">
        <v>1</v>
      </c>
      <c r="G1074" t="s">
        <v>23</v>
      </c>
      <c r="H1074">
        <v>45</v>
      </c>
      <c r="I1074" s="12" t="s">
        <v>34</v>
      </c>
      <c r="J1074" s="12" t="s">
        <v>510</v>
      </c>
      <c r="K1074" s="12" t="s">
        <v>52</v>
      </c>
      <c r="L1074" s="12" t="s">
        <v>280</v>
      </c>
      <c r="M1074" s="12" t="s">
        <v>75</v>
      </c>
      <c r="N1074" s="14">
        <v>0.02</v>
      </c>
      <c r="O1074" s="23">
        <v>66.22</v>
      </c>
      <c r="P1074">
        <v>123.46</v>
      </c>
      <c r="Q1074" s="12" t="str" cm="1">
        <f t="array" ref="Q1074:R1074">VLOOKUP(E1074,store[],{3,5},FALSE)</f>
        <v>West</v>
      </c>
      <c r="R1074" t="str">
        <v>Online</v>
      </c>
      <c r="S1074" s="4">
        <f t="shared" si="16"/>
        <v>66.2</v>
      </c>
    </row>
    <row r="1075" spans="1:19">
      <c r="A1075" t="s">
        <v>1839</v>
      </c>
      <c r="B1075" s="3">
        <v>45241</v>
      </c>
      <c r="C1075" t="s">
        <v>525</v>
      </c>
      <c r="D1075" t="s">
        <v>779</v>
      </c>
      <c r="E1075" t="s">
        <v>98</v>
      </c>
      <c r="F1075">
        <v>2</v>
      </c>
      <c r="G1075" t="s">
        <v>50</v>
      </c>
      <c r="H1075">
        <v>40</v>
      </c>
      <c r="I1075" s="12" t="s">
        <v>34</v>
      </c>
      <c r="J1075" s="12" t="s">
        <v>256</v>
      </c>
      <c r="K1075" s="12" t="s">
        <v>73</v>
      </c>
      <c r="L1075" s="12" t="s">
        <v>780</v>
      </c>
      <c r="M1075" s="12" t="s">
        <v>46</v>
      </c>
      <c r="N1075" s="14">
        <v>0.28999999999999998</v>
      </c>
      <c r="O1075" s="23">
        <v>891.8</v>
      </c>
      <c r="P1075">
        <v>299.11</v>
      </c>
      <c r="Q1075" s="12" t="str" cm="1">
        <f t="array" ref="Q1075:R1075">VLOOKUP(E1075,store[],{3,5},FALSE)</f>
        <v>South</v>
      </c>
      <c r="R1075" t="str">
        <v>Outlet</v>
      </c>
      <c r="S1075" s="4">
        <f t="shared" si="16"/>
        <v>1783.02</v>
      </c>
    </row>
    <row r="1076" spans="1:19">
      <c r="A1076" t="s">
        <v>1840</v>
      </c>
      <c r="B1076" s="3">
        <v>45428</v>
      </c>
      <c r="C1076" t="s">
        <v>1503</v>
      </c>
      <c r="D1076" t="s">
        <v>213</v>
      </c>
      <c r="E1076" t="s">
        <v>127</v>
      </c>
      <c r="F1076">
        <v>4</v>
      </c>
      <c r="G1076" t="s">
        <v>50</v>
      </c>
      <c r="H1076">
        <v>23</v>
      </c>
      <c r="I1076" s="12" t="s">
        <v>24</v>
      </c>
      <c r="J1076" s="12" t="s">
        <v>308</v>
      </c>
      <c r="K1076" s="12" t="s">
        <v>73</v>
      </c>
      <c r="L1076" s="12" t="s">
        <v>215</v>
      </c>
      <c r="M1076" s="12" t="s">
        <v>130</v>
      </c>
      <c r="N1076" s="14">
        <v>0.03</v>
      </c>
      <c r="O1076" s="23">
        <v>255.48</v>
      </c>
      <c r="P1076">
        <v>158.13999999999999</v>
      </c>
      <c r="Q1076" s="12" t="str" cm="1">
        <f t="array" ref="Q1076:R1076">VLOOKUP(E1076,store[],{3,5},FALSE)</f>
        <v>South</v>
      </c>
      <c r="R1076" t="str">
        <v>Flagship</v>
      </c>
      <c r="S1076" s="4">
        <f t="shared" si="16"/>
        <v>1021.8</v>
      </c>
    </row>
    <row r="1077" spans="1:19">
      <c r="A1077" t="s">
        <v>1841</v>
      </c>
      <c r="B1077" s="3">
        <v>45593</v>
      </c>
      <c r="C1077" t="s">
        <v>1842</v>
      </c>
      <c r="D1077" t="s">
        <v>814</v>
      </c>
      <c r="E1077" t="s">
        <v>32</v>
      </c>
      <c r="F1077">
        <v>4</v>
      </c>
      <c r="G1077" t="s">
        <v>33</v>
      </c>
      <c r="H1077">
        <v>50</v>
      </c>
      <c r="I1077" s="12" t="s">
        <v>24</v>
      </c>
      <c r="J1077" s="12" t="s">
        <v>498</v>
      </c>
      <c r="K1077" s="12" t="s">
        <v>26</v>
      </c>
      <c r="L1077" s="12" t="s">
        <v>815</v>
      </c>
      <c r="M1077" s="12" t="s">
        <v>75</v>
      </c>
      <c r="N1077" s="14">
        <v>0.28000000000000003</v>
      </c>
      <c r="O1077" s="23">
        <v>604.87</v>
      </c>
      <c r="P1077">
        <v>388.46</v>
      </c>
      <c r="Q1077" s="12" t="str" cm="1">
        <f t="array" ref="Q1077:R1077">VLOOKUP(E1077,store[],{3,5},FALSE)</f>
        <v>North</v>
      </c>
      <c r="R1077" t="str">
        <v>Flagship</v>
      </c>
      <c r="S1077" s="4">
        <f t="shared" si="16"/>
        <v>2418.36</v>
      </c>
    </row>
    <row r="1078" spans="1:19">
      <c r="A1078" t="s">
        <v>1843</v>
      </c>
      <c r="B1078" s="3">
        <v>45370</v>
      </c>
      <c r="C1078" t="s">
        <v>1844</v>
      </c>
      <c r="D1078" t="s">
        <v>89</v>
      </c>
      <c r="E1078" t="s">
        <v>32</v>
      </c>
      <c r="F1078">
        <v>3</v>
      </c>
      <c r="G1078" t="s">
        <v>50</v>
      </c>
      <c r="H1078">
        <v>54</v>
      </c>
      <c r="I1078" s="12" t="s">
        <v>24</v>
      </c>
      <c r="J1078" s="12" t="s">
        <v>251</v>
      </c>
      <c r="K1078" s="12" t="s">
        <v>26</v>
      </c>
      <c r="L1078" s="12" t="s">
        <v>92</v>
      </c>
      <c r="M1078" s="12" t="s">
        <v>75</v>
      </c>
      <c r="N1078" s="14">
        <v>0.13</v>
      </c>
      <c r="O1078" s="23">
        <v>623.82000000000005</v>
      </c>
      <c r="P1078">
        <v>179.77</v>
      </c>
      <c r="Q1078" s="12" t="str" cm="1">
        <f t="array" ref="Q1078:R1078">VLOOKUP(E1078,store[],{3,5},FALSE)</f>
        <v>North</v>
      </c>
      <c r="R1078" t="str">
        <v>Flagship</v>
      </c>
      <c r="S1078" s="4">
        <f t="shared" si="16"/>
        <v>1871.07</v>
      </c>
    </row>
    <row r="1079" spans="1:19">
      <c r="A1079" t="s">
        <v>1845</v>
      </c>
      <c r="B1079" s="3">
        <v>45882</v>
      </c>
      <c r="C1079" t="s">
        <v>641</v>
      </c>
      <c r="D1079" t="s">
        <v>368</v>
      </c>
      <c r="E1079" t="s">
        <v>117</v>
      </c>
      <c r="F1079">
        <v>3</v>
      </c>
      <c r="G1079" t="s">
        <v>50</v>
      </c>
      <c r="H1079">
        <v>43</v>
      </c>
      <c r="I1079" s="12" t="s">
        <v>24</v>
      </c>
      <c r="J1079" s="12" t="s">
        <v>498</v>
      </c>
      <c r="K1079" s="12" t="s">
        <v>26</v>
      </c>
      <c r="L1079" s="12" t="s">
        <v>369</v>
      </c>
      <c r="M1079" s="12" t="s">
        <v>46</v>
      </c>
      <c r="N1079" s="14">
        <v>0.12</v>
      </c>
      <c r="O1079" s="23">
        <v>575.24</v>
      </c>
      <c r="P1079">
        <v>214.32</v>
      </c>
      <c r="Q1079" s="12" t="str" cm="1">
        <f t="array" ref="Q1079:R1079">VLOOKUP(E1079,store[],{3,5},FALSE)</f>
        <v>West</v>
      </c>
      <c r="R1079" t="str">
        <v>Flagship</v>
      </c>
      <c r="S1079" s="4">
        <f t="shared" si="16"/>
        <v>1725.36</v>
      </c>
    </row>
    <row r="1080" spans="1:19">
      <c r="A1080" t="s">
        <v>1846</v>
      </c>
      <c r="B1080" s="3">
        <v>45878</v>
      </c>
      <c r="C1080" t="s">
        <v>1847</v>
      </c>
      <c r="D1080" t="s">
        <v>634</v>
      </c>
      <c r="E1080" t="s">
        <v>272</v>
      </c>
      <c r="F1080">
        <v>1</v>
      </c>
      <c r="G1080" t="s">
        <v>23</v>
      </c>
      <c r="H1080">
        <v>35</v>
      </c>
      <c r="I1080" s="12" t="s">
        <v>34</v>
      </c>
      <c r="J1080" s="12" t="s">
        <v>80</v>
      </c>
      <c r="K1080" s="12" t="s">
        <v>26</v>
      </c>
      <c r="L1080" s="12" t="s">
        <v>635</v>
      </c>
      <c r="M1080" s="12" t="s">
        <v>130</v>
      </c>
      <c r="N1080" s="14">
        <v>0.16</v>
      </c>
      <c r="O1080" s="23">
        <v>769.4</v>
      </c>
      <c r="P1080">
        <v>306.45999999999998</v>
      </c>
      <c r="Q1080" s="12" t="str" cm="1">
        <f t="array" ref="Q1080:R1080">VLOOKUP(E1080,store[],{3,5},FALSE)</f>
        <v>South</v>
      </c>
      <c r="R1080" t="str">
        <v>Online</v>
      </c>
      <c r="S1080" s="4">
        <f t="shared" si="16"/>
        <v>769.24</v>
      </c>
    </row>
    <row r="1081" spans="1:19">
      <c r="A1081" t="s">
        <v>1848</v>
      </c>
      <c r="B1081" s="3">
        <v>45420</v>
      </c>
      <c r="C1081" t="s">
        <v>508</v>
      </c>
      <c r="D1081" t="s">
        <v>634</v>
      </c>
      <c r="E1081" t="s">
        <v>32</v>
      </c>
      <c r="F1081">
        <v>1</v>
      </c>
      <c r="G1081" t="s">
        <v>50</v>
      </c>
      <c r="H1081">
        <v>62</v>
      </c>
      <c r="I1081" s="12" t="s">
        <v>34</v>
      </c>
      <c r="J1081" s="12" t="s">
        <v>510</v>
      </c>
      <c r="K1081" s="12" t="s">
        <v>73</v>
      </c>
      <c r="L1081" s="12" t="s">
        <v>635</v>
      </c>
      <c r="M1081" s="12" t="s">
        <v>130</v>
      </c>
      <c r="N1081" s="14">
        <v>0.13</v>
      </c>
      <c r="O1081" s="23">
        <v>227.28</v>
      </c>
      <c r="P1081">
        <v>306.45999999999998</v>
      </c>
      <c r="Q1081" s="12" t="str" cm="1">
        <f t="array" ref="Q1081:R1081">VLOOKUP(E1081,store[],{3,5},FALSE)</f>
        <v>North</v>
      </c>
      <c r="R1081" t="str">
        <v>Flagship</v>
      </c>
      <c r="S1081" s="4">
        <f t="shared" si="16"/>
        <v>227.15</v>
      </c>
    </row>
    <row r="1082" spans="1:19">
      <c r="A1082" t="s">
        <v>1849</v>
      </c>
      <c r="B1082" s="3">
        <v>45361</v>
      </c>
      <c r="C1082" t="s">
        <v>1361</v>
      </c>
      <c r="D1082" t="s">
        <v>868</v>
      </c>
      <c r="E1082" t="s">
        <v>32</v>
      </c>
      <c r="F1082">
        <v>4</v>
      </c>
      <c r="G1082" t="s">
        <v>23</v>
      </c>
      <c r="H1082">
        <v>23</v>
      </c>
      <c r="I1082" s="12" t="s">
        <v>34</v>
      </c>
      <c r="J1082" s="12" t="s">
        <v>356</v>
      </c>
      <c r="K1082" s="12" t="s">
        <v>26</v>
      </c>
      <c r="L1082" s="12" t="s">
        <v>869</v>
      </c>
      <c r="M1082" s="12" t="s">
        <v>130</v>
      </c>
      <c r="N1082" s="14">
        <v>0.15</v>
      </c>
      <c r="O1082" s="23">
        <v>127.58</v>
      </c>
      <c r="P1082">
        <v>254.62086956521699</v>
      </c>
      <c r="Q1082" s="12" t="str" cm="1">
        <f t="array" ref="Q1082:R1082">VLOOKUP(E1082,store[],{3,5},FALSE)</f>
        <v>North</v>
      </c>
      <c r="R1082" t="str">
        <v>Flagship</v>
      </c>
      <c r="S1082" s="4">
        <f t="shared" si="16"/>
        <v>509.72</v>
      </c>
    </row>
    <row r="1083" spans="1:19">
      <c r="A1083" t="s">
        <v>1850</v>
      </c>
      <c r="B1083" s="3">
        <v>45702</v>
      </c>
      <c r="C1083" t="s">
        <v>1116</v>
      </c>
      <c r="D1083" t="s">
        <v>275</v>
      </c>
      <c r="E1083" t="s">
        <v>22</v>
      </c>
      <c r="F1083">
        <v>1</v>
      </c>
      <c r="G1083" t="s">
        <v>23</v>
      </c>
      <c r="H1083">
        <v>60</v>
      </c>
      <c r="I1083" s="12" t="s">
        <v>34</v>
      </c>
      <c r="J1083" s="12" t="s">
        <v>214</v>
      </c>
      <c r="K1083" s="12" t="s">
        <v>60</v>
      </c>
      <c r="L1083" s="12" t="s">
        <v>276</v>
      </c>
      <c r="M1083" s="12" t="s">
        <v>28</v>
      </c>
      <c r="N1083" s="14">
        <v>0.09</v>
      </c>
      <c r="O1083" s="23">
        <v>793.21</v>
      </c>
      <c r="P1083">
        <v>167.12</v>
      </c>
      <c r="Q1083" s="12" t="str" cm="1">
        <f t="array" ref="Q1083:R1083">VLOOKUP(E1083,store[],{3,5},FALSE)</f>
        <v>North</v>
      </c>
      <c r="R1083" t="str">
        <v>Outlet</v>
      </c>
      <c r="S1083" s="4">
        <f t="shared" si="16"/>
        <v>793.12</v>
      </c>
    </row>
    <row r="1084" spans="1:19">
      <c r="A1084" t="s">
        <v>1851</v>
      </c>
      <c r="B1084" s="3">
        <v>45871</v>
      </c>
      <c r="C1084" t="s">
        <v>1842</v>
      </c>
      <c r="D1084" t="s">
        <v>359</v>
      </c>
      <c r="E1084" t="s">
        <v>208</v>
      </c>
      <c r="F1084">
        <v>3</v>
      </c>
      <c r="G1084" t="s">
        <v>33</v>
      </c>
      <c r="H1084">
        <v>50</v>
      </c>
      <c r="I1084" s="12" t="s">
        <v>24</v>
      </c>
      <c r="J1084" s="12" t="s">
        <v>498</v>
      </c>
      <c r="K1084" s="12" t="s">
        <v>26</v>
      </c>
      <c r="L1084" s="12" t="s">
        <v>361</v>
      </c>
      <c r="M1084" s="12" t="s">
        <v>46</v>
      </c>
      <c r="N1084" s="14">
        <v>0.03</v>
      </c>
      <c r="O1084" s="23">
        <v>435.61</v>
      </c>
      <c r="P1084">
        <v>289.359375</v>
      </c>
      <c r="Q1084" s="12" t="str" cm="1">
        <f t="array" ref="Q1084:R1084">VLOOKUP(E1084,store[],{3,5},FALSE)</f>
        <v>North</v>
      </c>
      <c r="R1084" t="str">
        <v>Online</v>
      </c>
      <c r="S1084" s="4">
        <f t="shared" si="16"/>
        <v>1306.74</v>
      </c>
    </row>
    <row r="1085" spans="1:19">
      <c r="A1085" t="s">
        <v>1852</v>
      </c>
      <c r="B1085" s="3">
        <v>45531</v>
      </c>
      <c r="C1085" t="s">
        <v>1446</v>
      </c>
      <c r="D1085" t="s">
        <v>255</v>
      </c>
      <c r="E1085" t="s">
        <v>117</v>
      </c>
      <c r="F1085">
        <v>1</v>
      </c>
      <c r="G1085" t="s">
        <v>33</v>
      </c>
      <c r="H1085">
        <v>60</v>
      </c>
      <c r="I1085" s="12" t="s">
        <v>24</v>
      </c>
      <c r="J1085" s="12" t="s">
        <v>457</v>
      </c>
      <c r="K1085" s="12" t="s">
        <v>26</v>
      </c>
      <c r="L1085" s="12" t="s">
        <v>257</v>
      </c>
      <c r="M1085" s="12" t="s">
        <v>75</v>
      </c>
      <c r="N1085" s="14">
        <v>0.28999999999999998</v>
      </c>
      <c r="O1085" s="23">
        <v>850.06</v>
      </c>
      <c r="P1085">
        <v>218.48</v>
      </c>
      <c r="Q1085" s="12" t="str" cm="1">
        <f t="array" ref="Q1085:R1085">VLOOKUP(E1085,store[],{3,5},FALSE)</f>
        <v>West</v>
      </c>
      <c r="R1085" t="str">
        <v>Flagship</v>
      </c>
      <c r="S1085" s="4">
        <f t="shared" si="16"/>
        <v>849.77</v>
      </c>
    </row>
    <row r="1086" spans="1:19">
      <c r="A1086" t="s">
        <v>1853</v>
      </c>
      <c r="B1086" s="3">
        <v>45330</v>
      </c>
      <c r="C1086" t="s">
        <v>977</v>
      </c>
      <c r="D1086" t="s">
        <v>226</v>
      </c>
      <c r="E1086" t="s">
        <v>117</v>
      </c>
      <c r="F1086">
        <v>2</v>
      </c>
      <c r="G1086" t="s">
        <v>33</v>
      </c>
      <c r="H1086">
        <v>39</v>
      </c>
      <c r="I1086" s="12" t="s">
        <v>34</v>
      </c>
      <c r="J1086" s="12" t="s">
        <v>440</v>
      </c>
      <c r="K1086" s="12" t="s">
        <v>26</v>
      </c>
      <c r="L1086" s="12" t="s">
        <v>228</v>
      </c>
      <c r="M1086" s="12" t="s">
        <v>46</v>
      </c>
      <c r="N1086" s="14">
        <v>0.17</v>
      </c>
      <c r="O1086" s="23">
        <v>753.92</v>
      </c>
      <c r="P1086">
        <v>337.42</v>
      </c>
      <c r="Q1086" s="12" t="str" cm="1">
        <f t="array" ref="Q1086:R1086">VLOOKUP(E1086,store[],{3,5},FALSE)</f>
        <v>West</v>
      </c>
      <c r="R1086" t="str">
        <v>Flagship</v>
      </c>
      <c r="S1086" s="4">
        <f t="shared" si="16"/>
        <v>1507.5</v>
      </c>
    </row>
    <row r="1087" spans="1:19">
      <c r="A1087" t="s">
        <v>1854</v>
      </c>
      <c r="B1087" s="3">
        <v>45311</v>
      </c>
      <c r="C1087" t="s">
        <v>1053</v>
      </c>
      <c r="D1087" t="s">
        <v>634</v>
      </c>
      <c r="E1087" t="s">
        <v>149</v>
      </c>
      <c r="F1087">
        <v>3</v>
      </c>
      <c r="G1087" t="s">
        <v>33</v>
      </c>
      <c r="H1087">
        <v>23</v>
      </c>
      <c r="I1087" s="12" t="s">
        <v>34</v>
      </c>
      <c r="J1087" s="12" t="s">
        <v>227</v>
      </c>
      <c r="K1087" s="12" t="s">
        <v>52</v>
      </c>
      <c r="L1087" s="12" t="s">
        <v>635</v>
      </c>
      <c r="M1087" s="12" t="s">
        <v>130</v>
      </c>
      <c r="N1087" s="14">
        <v>0.27</v>
      </c>
      <c r="O1087" s="23">
        <v>408.99</v>
      </c>
      <c r="P1087">
        <v>306.45999999999998</v>
      </c>
      <c r="Q1087" s="12" t="str" cm="1">
        <f t="array" ref="Q1087:R1087">VLOOKUP(E1087,store[],{3,5},FALSE)</f>
        <v>East</v>
      </c>
      <c r="R1087" t="str">
        <v>Flagship</v>
      </c>
      <c r="S1087" s="4">
        <f t="shared" si="16"/>
        <v>1226.1600000000001</v>
      </c>
    </row>
    <row r="1088" spans="1:19">
      <c r="A1088" t="s">
        <v>1855</v>
      </c>
      <c r="B1088" s="3">
        <v>45567</v>
      </c>
      <c r="C1088" t="s">
        <v>1404</v>
      </c>
      <c r="D1088" t="s">
        <v>509</v>
      </c>
      <c r="E1088" t="s">
        <v>58</v>
      </c>
      <c r="F1088">
        <v>3</v>
      </c>
      <c r="G1088" t="s">
        <v>33</v>
      </c>
      <c r="H1088">
        <v>46</v>
      </c>
      <c r="I1088" s="12" t="s">
        <v>34</v>
      </c>
      <c r="J1088" s="12" t="s">
        <v>463</v>
      </c>
      <c r="K1088" s="12" t="s">
        <v>60</v>
      </c>
      <c r="L1088" s="12" t="s">
        <v>511</v>
      </c>
      <c r="M1088" s="12" t="s">
        <v>28</v>
      </c>
      <c r="N1088" s="14">
        <v>0.22</v>
      </c>
      <c r="O1088" s="23">
        <v>404.5</v>
      </c>
      <c r="P1088">
        <v>30.62</v>
      </c>
      <c r="Q1088" s="12" t="str" cm="1">
        <f t="array" ref="Q1088:R1088">VLOOKUP(E1088,store[],{3,5},FALSE)</f>
        <v>North</v>
      </c>
      <c r="R1088" t="str">
        <v>Outlet</v>
      </c>
      <c r="S1088" s="4">
        <f t="shared" si="16"/>
        <v>1212.8399999999999</v>
      </c>
    </row>
    <row r="1089" spans="1:19">
      <c r="A1089" t="s">
        <v>1856</v>
      </c>
      <c r="B1089" s="3">
        <v>45239</v>
      </c>
      <c r="C1089" t="s">
        <v>1424</v>
      </c>
      <c r="D1089" t="s">
        <v>104</v>
      </c>
      <c r="E1089" t="s">
        <v>22</v>
      </c>
      <c r="F1089">
        <v>3</v>
      </c>
      <c r="G1089" t="s">
        <v>50</v>
      </c>
      <c r="H1089">
        <v>23</v>
      </c>
      <c r="I1089" s="12" t="s">
        <v>24</v>
      </c>
      <c r="J1089" s="12" t="s">
        <v>67</v>
      </c>
      <c r="K1089" s="12" t="s">
        <v>26</v>
      </c>
      <c r="L1089" s="12" t="s">
        <v>107</v>
      </c>
      <c r="M1089" s="12" t="s">
        <v>37</v>
      </c>
      <c r="N1089" s="14">
        <v>0.17</v>
      </c>
      <c r="O1089" s="23">
        <v>717.81</v>
      </c>
      <c r="P1089">
        <v>326.06</v>
      </c>
      <c r="Q1089" s="12" t="str" cm="1">
        <f t="array" ref="Q1089:R1089">VLOOKUP(E1089,store[],{3,5},FALSE)</f>
        <v>North</v>
      </c>
      <c r="R1089" t="str">
        <v>Outlet</v>
      </c>
      <c r="S1089" s="4">
        <f t="shared" si="16"/>
        <v>2152.92</v>
      </c>
    </row>
    <row r="1090" spans="1:19">
      <c r="A1090" t="s">
        <v>1857</v>
      </c>
      <c r="B1090" s="3">
        <v>45284</v>
      </c>
      <c r="C1090" t="s">
        <v>890</v>
      </c>
      <c r="D1090" t="s">
        <v>814</v>
      </c>
      <c r="E1090" t="s">
        <v>105</v>
      </c>
      <c r="F1090">
        <v>3</v>
      </c>
      <c r="G1090" t="s">
        <v>23</v>
      </c>
      <c r="H1090">
        <v>64</v>
      </c>
      <c r="I1090" s="12" t="s">
        <v>24</v>
      </c>
      <c r="J1090" s="12" t="s">
        <v>59</v>
      </c>
      <c r="K1090" s="12" t="s">
        <v>60</v>
      </c>
      <c r="L1090" s="12" t="s">
        <v>815</v>
      </c>
      <c r="M1090" s="12" t="s">
        <v>75</v>
      </c>
      <c r="N1090" s="14">
        <v>0.14000000000000001</v>
      </c>
      <c r="O1090" s="23">
        <v>204.77</v>
      </c>
      <c r="P1090">
        <v>388.46</v>
      </c>
      <c r="Q1090" s="12" t="str" cm="1">
        <f t="array" ref="Q1090:R1090">VLOOKUP(E1090,store[],{3,5},FALSE)</f>
        <v>North</v>
      </c>
      <c r="R1090" t="str">
        <v>Flagship</v>
      </c>
      <c r="S1090" s="4">
        <f t="shared" ref="S1090:S1153" si="17">(O1090-N1090)*F1090</f>
        <v>613.89</v>
      </c>
    </row>
    <row r="1091" spans="1:19">
      <c r="A1091" t="s">
        <v>1858</v>
      </c>
      <c r="B1091" s="3">
        <v>45686</v>
      </c>
      <c r="C1091" t="s">
        <v>1004</v>
      </c>
      <c r="D1091" t="s">
        <v>505</v>
      </c>
      <c r="E1091" t="s">
        <v>160</v>
      </c>
      <c r="F1091">
        <v>4</v>
      </c>
      <c r="G1091" t="s">
        <v>50</v>
      </c>
      <c r="H1091">
        <v>55</v>
      </c>
      <c r="I1091" s="12" t="s">
        <v>34</v>
      </c>
      <c r="J1091" s="12" t="s">
        <v>209</v>
      </c>
      <c r="K1091" s="12" t="s">
        <v>26</v>
      </c>
      <c r="L1091" s="12" t="s">
        <v>506</v>
      </c>
      <c r="M1091" s="12" t="s">
        <v>37</v>
      </c>
      <c r="N1091" s="14">
        <v>0.28000000000000003</v>
      </c>
      <c r="O1091" s="23">
        <v>106.23</v>
      </c>
      <c r="P1091">
        <v>177.98</v>
      </c>
      <c r="Q1091" s="12" t="str" cm="1">
        <f t="array" ref="Q1091:R1091">VLOOKUP(E1091,store[],{3,5},FALSE)</f>
        <v>East</v>
      </c>
      <c r="R1091" t="str">
        <v>Flagship</v>
      </c>
      <c r="S1091" s="4">
        <f t="shared" si="17"/>
        <v>423.8</v>
      </c>
    </row>
    <row r="1092" spans="1:19">
      <c r="A1092" t="s">
        <v>1859</v>
      </c>
      <c r="B1092" s="3">
        <v>45824</v>
      </c>
      <c r="C1092" t="s">
        <v>419</v>
      </c>
      <c r="D1092" t="s">
        <v>532</v>
      </c>
      <c r="E1092" t="s">
        <v>58</v>
      </c>
      <c r="F1092">
        <v>2</v>
      </c>
      <c r="G1092" t="s">
        <v>33</v>
      </c>
      <c r="H1092">
        <v>60</v>
      </c>
      <c r="I1092" s="12" t="s">
        <v>24</v>
      </c>
      <c r="J1092" s="12" t="s">
        <v>199</v>
      </c>
      <c r="K1092" s="12" t="s">
        <v>73</v>
      </c>
      <c r="L1092" s="12" t="s">
        <v>533</v>
      </c>
      <c r="M1092" s="12" t="s">
        <v>46</v>
      </c>
      <c r="N1092" s="14">
        <v>0.11</v>
      </c>
      <c r="O1092" s="23">
        <v>769.48</v>
      </c>
      <c r="P1092">
        <v>340.39</v>
      </c>
      <c r="Q1092" s="12" t="str" cm="1">
        <f t="array" ref="Q1092:R1092">VLOOKUP(E1092,store[],{3,5},FALSE)</f>
        <v>North</v>
      </c>
      <c r="R1092" t="str">
        <v>Outlet</v>
      </c>
      <c r="S1092" s="4">
        <f t="shared" si="17"/>
        <v>1538.74</v>
      </c>
    </row>
    <row r="1093" spans="1:19">
      <c r="A1093" t="s">
        <v>1860</v>
      </c>
      <c r="B1093" s="3">
        <v>45867</v>
      </c>
      <c r="C1093" t="s">
        <v>322</v>
      </c>
      <c r="D1093" t="s">
        <v>509</v>
      </c>
      <c r="E1093" t="s">
        <v>149</v>
      </c>
      <c r="F1093">
        <v>2</v>
      </c>
      <c r="G1093" t="s">
        <v>23</v>
      </c>
      <c r="H1093">
        <v>21</v>
      </c>
      <c r="I1093" s="12" t="s">
        <v>24</v>
      </c>
      <c r="J1093" s="12" t="s">
        <v>308</v>
      </c>
      <c r="K1093" s="12" t="s">
        <v>26</v>
      </c>
      <c r="L1093" s="12" t="s">
        <v>511</v>
      </c>
      <c r="M1093" s="12" t="s">
        <v>28</v>
      </c>
      <c r="N1093" s="14">
        <v>0.14000000000000001</v>
      </c>
      <c r="O1093" s="23">
        <v>714.21</v>
      </c>
      <c r="P1093">
        <v>30.62</v>
      </c>
      <c r="Q1093" s="12" t="str" cm="1">
        <f t="array" ref="Q1093:R1093">VLOOKUP(E1093,store[],{3,5},FALSE)</f>
        <v>East</v>
      </c>
      <c r="R1093" t="str">
        <v>Flagship</v>
      </c>
      <c r="S1093" s="4">
        <f t="shared" si="17"/>
        <v>1428.14</v>
      </c>
    </row>
    <row r="1094" spans="1:19">
      <c r="A1094" t="s">
        <v>1861</v>
      </c>
      <c r="B1094" s="3">
        <v>45578</v>
      </c>
      <c r="C1094" t="s">
        <v>1481</v>
      </c>
      <c r="D1094" t="s">
        <v>555</v>
      </c>
      <c r="E1094" t="s">
        <v>122</v>
      </c>
      <c r="F1094">
        <v>4</v>
      </c>
      <c r="G1094" t="s">
        <v>33</v>
      </c>
      <c r="H1094">
        <v>64</v>
      </c>
      <c r="I1094" s="12" t="s">
        <v>24</v>
      </c>
      <c r="J1094" s="12" t="s">
        <v>761</v>
      </c>
      <c r="K1094" s="12" t="s">
        <v>52</v>
      </c>
      <c r="L1094" s="12" t="s">
        <v>556</v>
      </c>
      <c r="M1094" s="12" t="s">
        <v>37</v>
      </c>
      <c r="N1094" s="14">
        <v>0.25</v>
      </c>
      <c r="O1094" s="23">
        <v>632.24</v>
      </c>
      <c r="P1094">
        <v>449.4</v>
      </c>
      <c r="Q1094" s="12" t="str" cm="1">
        <f t="array" ref="Q1094:R1094">VLOOKUP(E1094,store[],{3,5},FALSE)</f>
        <v>North</v>
      </c>
      <c r="R1094" t="str">
        <v>Flagship</v>
      </c>
      <c r="S1094" s="4">
        <f t="shared" si="17"/>
        <v>2527.96</v>
      </c>
    </row>
    <row r="1095" spans="1:19">
      <c r="A1095" t="s">
        <v>1862</v>
      </c>
      <c r="B1095" s="3">
        <v>45575</v>
      </c>
      <c r="C1095" t="s">
        <v>954</v>
      </c>
      <c r="D1095" t="s">
        <v>267</v>
      </c>
      <c r="E1095" t="s">
        <v>22</v>
      </c>
      <c r="F1095">
        <v>2</v>
      </c>
      <c r="G1095" t="s">
        <v>33</v>
      </c>
      <c r="H1095">
        <v>18</v>
      </c>
      <c r="I1095" s="12" t="s">
        <v>34</v>
      </c>
      <c r="J1095" s="12" t="s">
        <v>251</v>
      </c>
      <c r="K1095" s="12" t="s">
        <v>60</v>
      </c>
      <c r="L1095" s="12" t="s">
        <v>268</v>
      </c>
      <c r="M1095" s="12" t="s">
        <v>75</v>
      </c>
      <c r="N1095" s="14">
        <v>0.18</v>
      </c>
      <c r="O1095" s="23">
        <v>845.27</v>
      </c>
      <c r="P1095">
        <v>325.26</v>
      </c>
      <c r="Q1095" s="12" t="str" cm="1">
        <f t="array" ref="Q1095:R1095">VLOOKUP(E1095,store[],{3,5},FALSE)</f>
        <v>North</v>
      </c>
      <c r="R1095" t="str">
        <v>Outlet</v>
      </c>
      <c r="S1095" s="4">
        <f t="shared" si="17"/>
        <v>1690.18</v>
      </c>
    </row>
    <row r="1096" spans="1:19">
      <c r="A1096" t="s">
        <v>1863</v>
      </c>
      <c r="B1096" s="3">
        <v>45816</v>
      </c>
      <c r="C1096" t="s">
        <v>1430</v>
      </c>
      <c r="D1096" t="s">
        <v>514</v>
      </c>
      <c r="E1096" t="s">
        <v>149</v>
      </c>
      <c r="F1096">
        <v>1</v>
      </c>
      <c r="G1096" t="s">
        <v>23</v>
      </c>
      <c r="H1096">
        <v>47</v>
      </c>
      <c r="I1096" s="12" t="s">
        <v>34</v>
      </c>
      <c r="J1096" s="12" t="s">
        <v>161</v>
      </c>
      <c r="K1096" s="12" t="s">
        <v>26</v>
      </c>
      <c r="L1096" s="12" t="s">
        <v>515</v>
      </c>
      <c r="M1096" s="12" t="s">
        <v>75</v>
      </c>
      <c r="N1096" s="14">
        <v>0.17</v>
      </c>
      <c r="O1096" s="23">
        <v>575.94000000000005</v>
      </c>
      <c r="P1096">
        <v>371.38</v>
      </c>
      <c r="Q1096" s="12" t="str" cm="1">
        <f t="array" ref="Q1096:R1096">VLOOKUP(E1096,store[],{3,5},FALSE)</f>
        <v>East</v>
      </c>
      <c r="R1096" t="str">
        <v>Flagship</v>
      </c>
      <c r="S1096" s="4">
        <f t="shared" si="17"/>
        <v>575.77</v>
      </c>
    </row>
    <row r="1097" spans="1:19">
      <c r="A1097" t="s">
        <v>1864</v>
      </c>
      <c r="B1097" s="3">
        <v>45620</v>
      </c>
      <c r="C1097" t="s">
        <v>890</v>
      </c>
      <c r="D1097" t="s">
        <v>814</v>
      </c>
      <c r="E1097" t="s">
        <v>122</v>
      </c>
      <c r="F1097">
        <v>1</v>
      </c>
      <c r="G1097" t="s">
        <v>50</v>
      </c>
      <c r="H1097">
        <v>64</v>
      </c>
      <c r="I1097" s="12" t="s">
        <v>24</v>
      </c>
      <c r="J1097" s="12" t="s">
        <v>59</v>
      </c>
      <c r="K1097" s="12" t="s">
        <v>60</v>
      </c>
      <c r="L1097" s="12" t="s">
        <v>815</v>
      </c>
      <c r="M1097" s="12" t="s">
        <v>75</v>
      </c>
      <c r="N1097" s="14">
        <v>0.26</v>
      </c>
      <c r="O1097" s="23">
        <v>907.97</v>
      </c>
      <c r="P1097">
        <v>388.46</v>
      </c>
      <c r="Q1097" s="12" t="str" cm="1">
        <f t="array" ref="Q1097:R1097">VLOOKUP(E1097,store[],{3,5},FALSE)</f>
        <v>North</v>
      </c>
      <c r="R1097" t="str">
        <v>Flagship</v>
      </c>
      <c r="S1097" s="4">
        <f t="shared" si="17"/>
        <v>907.71</v>
      </c>
    </row>
    <row r="1098" spans="1:19">
      <c r="A1098" t="s">
        <v>1865</v>
      </c>
      <c r="B1098" s="3">
        <v>45695</v>
      </c>
      <c r="C1098" t="s">
        <v>687</v>
      </c>
      <c r="D1098" t="s">
        <v>291</v>
      </c>
      <c r="E1098" t="s">
        <v>208</v>
      </c>
      <c r="F1098">
        <v>1</v>
      </c>
      <c r="G1098" t="s">
        <v>50</v>
      </c>
      <c r="H1098">
        <v>32</v>
      </c>
      <c r="I1098" s="12" t="s">
        <v>34</v>
      </c>
      <c r="J1098" s="12" t="s">
        <v>239</v>
      </c>
      <c r="K1098" s="12" t="s">
        <v>73</v>
      </c>
      <c r="L1098" s="12" t="s">
        <v>292</v>
      </c>
      <c r="M1098" s="12" t="s">
        <v>28</v>
      </c>
      <c r="N1098" s="14">
        <v>0.08</v>
      </c>
      <c r="O1098" s="23">
        <v>99.35</v>
      </c>
      <c r="P1098">
        <v>131.51</v>
      </c>
      <c r="Q1098" s="12" t="str" cm="1">
        <f t="array" ref="Q1098:R1098">VLOOKUP(E1098,store[],{3,5},FALSE)</f>
        <v>North</v>
      </c>
      <c r="R1098" t="str">
        <v>Online</v>
      </c>
      <c r="S1098" s="4">
        <f t="shared" si="17"/>
        <v>99.27</v>
      </c>
    </row>
    <row r="1099" spans="1:19">
      <c r="A1099" t="s">
        <v>1866</v>
      </c>
      <c r="B1099" s="3">
        <v>45596</v>
      </c>
      <c r="C1099" t="s">
        <v>1060</v>
      </c>
      <c r="D1099" t="s">
        <v>768</v>
      </c>
      <c r="E1099" t="s">
        <v>22</v>
      </c>
      <c r="F1099">
        <v>2</v>
      </c>
      <c r="G1099" t="s">
        <v>50</v>
      </c>
      <c r="H1099">
        <v>61</v>
      </c>
      <c r="I1099" s="12" t="s">
        <v>34</v>
      </c>
      <c r="J1099" s="12" t="s">
        <v>222</v>
      </c>
      <c r="K1099" s="12" t="s">
        <v>26</v>
      </c>
      <c r="L1099" s="12" t="s">
        <v>769</v>
      </c>
      <c r="M1099" s="12" t="s">
        <v>37</v>
      </c>
      <c r="N1099" s="14">
        <v>0.21</v>
      </c>
      <c r="O1099" s="23">
        <v>374.42</v>
      </c>
      <c r="P1099">
        <v>112.42</v>
      </c>
      <c r="Q1099" s="12" t="str" cm="1">
        <f t="array" ref="Q1099:R1099">VLOOKUP(E1099,store[],{3,5},FALSE)</f>
        <v>North</v>
      </c>
      <c r="R1099" t="str">
        <v>Outlet</v>
      </c>
      <c r="S1099" s="4">
        <f t="shared" si="17"/>
        <v>748.42</v>
      </c>
    </row>
    <row r="1100" spans="1:19">
      <c r="A1100" t="s">
        <v>1867</v>
      </c>
      <c r="B1100" s="3">
        <v>45869</v>
      </c>
      <c r="C1100" t="s">
        <v>849</v>
      </c>
      <c r="D1100" t="s">
        <v>65</v>
      </c>
      <c r="E1100" t="s">
        <v>122</v>
      </c>
      <c r="F1100">
        <v>3</v>
      </c>
      <c r="G1100" t="s">
        <v>50</v>
      </c>
      <c r="H1100">
        <v>21</v>
      </c>
      <c r="I1100" s="12" t="s">
        <v>24</v>
      </c>
      <c r="J1100" s="12" t="s">
        <v>360</v>
      </c>
      <c r="K1100" s="12" t="s">
        <v>26</v>
      </c>
      <c r="L1100" s="12" t="s">
        <v>68</v>
      </c>
      <c r="M1100" s="12" t="s">
        <v>37</v>
      </c>
      <c r="N1100" s="14">
        <v>0.24</v>
      </c>
      <c r="O1100" s="23">
        <v>248.43</v>
      </c>
      <c r="P1100">
        <v>465.34</v>
      </c>
      <c r="Q1100" s="12" t="str" cm="1">
        <f t="array" ref="Q1100:R1100">VLOOKUP(E1100,store[],{3,5},FALSE)</f>
        <v>North</v>
      </c>
      <c r="R1100" t="str">
        <v>Flagship</v>
      </c>
      <c r="S1100" s="4">
        <f t="shared" si="17"/>
        <v>744.57</v>
      </c>
    </row>
    <row r="1101" spans="1:19">
      <c r="A1101" t="s">
        <v>1868</v>
      </c>
      <c r="B1101" s="3">
        <v>45631</v>
      </c>
      <c r="C1101" t="s">
        <v>843</v>
      </c>
      <c r="D1101" t="s">
        <v>462</v>
      </c>
      <c r="E1101" t="s">
        <v>105</v>
      </c>
      <c r="F1101">
        <v>1</v>
      </c>
      <c r="G1101" t="s">
        <v>50</v>
      </c>
      <c r="H1101">
        <v>45</v>
      </c>
      <c r="I1101" s="12" t="s">
        <v>24</v>
      </c>
      <c r="J1101" s="12" t="s">
        <v>35</v>
      </c>
      <c r="K1101" s="12" t="s">
        <v>73</v>
      </c>
      <c r="L1101" s="12" t="s">
        <v>464</v>
      </c>
      <c r="M1101" s="12" t="s">
        <v>130</v>
      </c>
      <c r="N1101" s="14">
        <v>0.14000000000000001</v>
      </c>
      <c r="O1101" s="23">
        <v>784.46</v>
      </c>
      <c r="P1101">
        <v>119.57</v>
      </c>
      <c r="Q1101" s="12" t="str" cm="1">
        <f t="array" ref="Q1101:R1101">VLOOKUP(E1101,store[],{3,5},FALSE)</f>
        <v>North</v>
      </c>
      <c r="R1101" t="str">
        <v>Flagship</v>
      </c>
      <c r="S1101" s="4">
        <f t="shared" si="17"/>
        <v>784.32</v>
      </c>
    </row>
    <row r="1102" spans="1:19">
      <c r="A1102" t="s">
        <v>1869</v>
      </c>
      <c r="B1102" s="3">
        <v>45379</v>
      </c>
      <c r="C1102" t="s">
        <v>1591</v>
      </c>
      <c r="D1102" t="s">
        <v>282</v>
      </c>
      <c r="E1102" t="s">
        <v>168</v>
      </c>
      <c r="F1102">
        <v>3</v>
      </c>
      <c r="G1102" t="s">
        <v>50</v>
      </c>
      <c r="H1102">
        <v>32</v>
      </c>
      <c r="I1102" s="12" t="s">
        <v>34</v>
      </c>
      <c r="J1102" s="12" t="s">
        <v>169</v>
      </c>
      <c r="K1102" s="12" t="s">
        <v>60</v>
      </c>
      <c r="L1102" s="12" t="s">
        <v>283</v>
      </c>
      <c r="M1102" s="12" t="s">
        <v>28</v>
      </c>
      <c r="N1102" s="14">
        <v>0.27</v>
      </c>
      <c r="O1102" s="23">
        <v>70.88</v>
      </c>
      <c r="P1102">
        <v>212.26</v>
      </c>
      <c r="Q1102" s="12" t="str" cm="1">
        <f t="array" ref="Q1102:R1102">VLOOKUP(E1102,store[],{3,5},FALSE)</f>
        <v>East</v>
      </c>
      <c r="R1102" t="str">
        <v>Online</v>
      </c>
      <c r="S1102" s="4">
        <f t="shared" si="17"/>
        <v>211.83</v>
      </c>
    </row>
    <row r="1103" spans="1:19">
      <c r="A1103" t="s">
        <v>1870</v>
      </c>
      <c r="B1103" s="3">
        <v>45641</v>
      </c>
      <c r="C1103" t="s">
        <v>1528</v>
      </c>
      <c r="D1103" t="s">
        <v>484</v>
      </c>
      <c r="E1103" t="s">
        <v>105</v>
      </c>
      <c r="F1103">
        <v>3</v>
      </c>
      <c r="G1103" t="s">
        <v>50</v>
      </c>
      <c r="H1103">
        <v>40</v>
      </c>
      <c r="I1103" s="12" t="s">
        <v>34</v>
      </c>
      <c r="J1103" s="12" t="s">
        <v>336</v>
      </c>
      <c r="K1103" s="12" t="s">
        <v>26</v>
      </c>
      <c r="L1103" s="12" t="s">
        <v>485</v>
      </c>
      <c r="M1103" s="12" t="s">
        <v>37</v>
      </c>
      <c r="N1103" s="14">
        <v>0.16</v>
      </c>
      <c r="O1103" s="23">
        <v>324.29000000000002</v>
      </c>
      <c r="P1103">
        <v>439.07</v>
      </c>
      <c r="Q1103" s="12" t="str" cm="1">
        <f t="array" ref="Q1103:R1103">VLOOKUP(E1103,store[],{3,5},FALSE)</f>
        <v>North</v>
      </c>
      <c r="R1103" t="str">
        <v>Flagship</v>
      </c>
      <c r="S1103" s="4">
        <f t="shared" si="17"/>
        <v>972.39</v>
      </c>
    </row>
    <row r="1104" spans="1:19">
      <c r="A1104" t="s">
        <v>1871</v>
      </c>
      <c r="B1104" s="3">
        <v>45842</v>
      </c>
      <c r="C1104" t="s">
        <v>776</v>
      </c>
      <c r="D1104" t="s">
        <v>65</v>
      </c>
      <c r="E1104" t="s">
        <v>22</v>
      </c>
      <c r="F1104">
        <v>4</v>
      </c>
      <c r="G1104" t="s">
        <v>33</v>
      </c>
      <c r="H1104">
        <v>30</v>
      </c>
      <c r="I1104" s="12" t="s">
        <v>24</v>
      </c>
      <c r="J1104" s="12" t="s">
        <v>227</v>
      </c>
      <c r="K1104" s="12" t="s">
        <v>73</v>
      </c>
      <c r="L1104" s="12" t="s">
        <v>68</v>
      </c>
      <c r="M1104" s="12" t="s">
        <v>37</v>
      </c>
      <c r="N1104" s="14">
        <v>0.02</v>
      </c>
      <c r="O1104" s="23">
        <v>243.92</v>
      </c>
      <c r="P1104">
        <v>465.34</v>
      </c>
      <c r="Q1104" s="12" t="str" cm="1">
        <f t="array" ref="Q1104:R1104">VLOOKUP(E1104,store[],{3,5},FALSE)</f>
        <v>North</v>
      </c>
      <c r="R1104" t="str">
        <v>Outlet</v>
      </c>
      <c r="S1104" s="4">
        <f t="shared" si="17"/>
        <v>975.6</v>
      </c>
    </row>
    <row r="1105" spans="1:19">
      <c r="A1105" t="s">
        <v>1872</v>
      </c>
      <c r="B1105" s="3">
        <v>45257</v>
      </c>
      <c r="C1105" t="s">
        <v>1873</v>
      </c>
      <c r="D1105" t="s">
        <v>567</v>
      </c>
      <c r="E1105" t="s">
        <v>149</v>
      </c>
      <c r="F1105">
        <v>1</v>
      </c>
      <c r="G1105" t="s">
        <v>23</v>
      </c>
      <c r="H1105">
        <v>26</v>
      </c>
      <c r="I1105" s="12" t="s">
        <v>24</v>
      </c>
      <c r="J1105" s="12" t="s">
        <v>510</v>
      </c>
      <c r="K1105" s="12" t="s">
        <v>52</v>
      </c>
      <c r="L1105" s="12" t="s">
        <v>568</v>
      </c>
      <c r="M1105" s="12" t="s">
        <v>28</v>
      </c>
      <c r="N1105" s="14">
        <v>0</v>
      </c>
      <c r="O1105" s="23">
        <v>664.35</v>
      </c>
      <c r="P1105">
        <v>38.76</v>
      </c>
      <c r="Q1105" s="12" t="str" cm="1">
        <f t="array" ref="Q1105:R1105">VLOOKUP(E1105,store[],{3,5},FALSE)</f>
        <v>East</v>
      </c>
      <c r="R1105" t="str">
        <v>Flagship</v>
      </c>
      <c r="S1105" s="4">
        <f t="shared" si="17"/>
        <v>664.35</v>
      </c>
    </row>
    <row r="1106" spans="1:19">
      <c r="A1106" t="s">
        <v>1874</v>
      </c>
      <c r="B1106" s="3">
        <v>45468</v>
      </c>
      <c r="C1106" t="s">
        <v>1097</v>
      </c>
      <c r="D1106" t="s">
        <v>279</v>
      </c>
      <c r="E1106" t="s">
        <v>168</v>
      </c>
      <c r="F1106">
        <v>2</v>
      </c>
      <c r="G1106" t="s">
        <v>33</v>
      </c>
      <c r="H1106">
        <v>52</v>
      </c>
      <c r="I1106" s="12" t="s">
        <v>34</v>
      </c>
      <c r="J1106" s="12" t="s">
        <v>106</v>
      </c>
      <c r="K1106" s="12" t="s">
        <v>73</v>
      </c>
      <c r="L1106" s="12" t="s">
        <v>280</v>
      </c>
      <c r="M1106" s="12" t="s">
        <v>75</v>
      </c>
      <c r="N1106" s="14">
        <v>0.19</v>
      </c>
      <c r="O1106" s="23">
        <v>218.07</v>
      </c>
      <c r="P1106">
        <v>123.46</v>
      </c>
      <c r="Q1106" s="12" t="str" cm="1">
        <f t="array" ref="Q1106:R1106">VLOOKUP(E1106,store[],{3,5},FALSE)</f>
        <v>East</v>
      </c>
      <c r="R1106" t="str">
        <v>Online</v>
      </c>
      <c r="S1106" s="4">
        <f t="shared" si="17"/>
        <v>435.76</v>
      </c>
    </row>
    <row r="1107" spans="1:19">
      <c r="A1107" t="s">
        <v>1875</v>
      </c>
      <c r="B1107" s="3">
        <v>45228</v>
      </c>
      <c r="C1107" t="s">
        <v>1017</v>
      </c>
      <c r="D1107" t="s">
        <v>65</v>
      </c>
      <c r="E1107" t="s">
        <v>22</v>
      </c>
      <c r="F1107">
        <v>4</v>
      </c>
      <c r="G1107" t="s">
        <v>23</v>
      </c>
      <c r="H1107">
        <v>27</v>
      </c>
      <c r="I1107" s="12" t="s">
        <v>34</v>
      </c>
      <c r="J1107" s="12" t="s">
        <v>457</v>
      </c>
      <c r="K1107" s="12" t="s">
        <v>60</v>
      </c>
      <c r="L1107" s="12" t="s">
        <v>68</v>
      </c>
      <c r="M1107" s="12" t="s">
        <v>37</v>
      </c>
      <c r="N1107" s="14">
        <v>0.27</v>
      </c>
      <c r="O1107" s="23">
        <v>921.83</v>
      </c>
      <c r="P1107">
        <v>465.34</v>
      </c>
      <c r="Q1107" s="12" t="str" cm="1">
        <f t="array" ref="Q1107:R1107">VLOOKUP(E1107,store[],{3,5},FALSE)</f>
        <v>North</v>
      </c>
      <c r="R1107" t="str">
        <v>Outlet</v>
      </c>
      <c r="S1107" s="4">
        <f t="shared" si="17"/>
        <v>3686.24</v>
      </c>
    </row>
    <row r="1108" spans="1:19">
      <c r="A1108" t="s">
        <v>1876</v>
      </c>
      <c r="B1108" s="3">
        <v>45661</v>
      </c>
      <c r="C1108" t="s">
        <v>338</v>
      </c>
      <c r="D1108" t="s">
        <v>409</v>
      </c>
      <c r="E1108" t="s">
        <v>105</v>
      </c>
      <c r="F1108">
        <v>3</v>
      </c>
      <c r="G1108" t="s">
        <v>50</v>
      </c>
      <c r="H1108">
        <v>36</v>
      </c>
      <c r="I1108" s="12" t="s">
        <v>34</v>
      </c>
      <c r="J1108" s="12" t="s">
        <v>235</v>
      </c>
      <c r="K1108" s="12" t="s">
        <v>52</v>
      </c>
      <c r="L1108" s="12" t="s">
        <v>411</v>
      </c>
      <c r="M1108" s="12" t="s">
        <v>28</v>
      </c>
      <c r="N1108" s="14">
        <v>0.22</v>
      </c>
      <c r="O1108" s="23">
        <v>326.2</v>
      </c>
      <c r="P1108">
        <v>190.29</v>
      </c>
      <c r="Q1108" s="12" t="str" cm="1">
        <f t="array" ref="Q1108:R1108">VLOOKUP(E1108,store[],{3,5},FALSE)</f>
        <v>North</v>
      </c>
      <c r="R1108" t="str">
        <v>Flagship</v>
      </c>
      <c r="S1108" s="4">
        <f t="shared" si="17"/>
        <v>977.94</v>
      </c>
    </row>
    <row r="1109" spans="1:19">
      <c r="A1109" t="s">
        <v>1877</v>
      </c>
      <c r="B1109" s="3">
        <v>45701</v>
      </c>
      <c r="C1109" t="s">
        <v>898</v>
      </c>
      <c r="D1109" t="s">
        <v>377</v>
      </c>
      <c r="E1109" t="s">
        <v>135</v>
      </c>
      <c r="F1109">
        <v>1</v>
      </c>
      <c r="G1109" t="s">
        <v>33</v>
      </c>
      <c r="H1109">
        <v>62</v>
      </c>
      <c r="I1109" s="12" t="s">
        <v>34</v>
      </c>
      <c r="J1109" s="12" t="s">
        <v>44</v>
      </c>
      <c r="K1109" s="12" t="s">
        <v>60</v>
      </c>
      <c r="L1109" s="12" t="s">
        <v>379</v>
      </c>
      <c r="M1109" s="12" t="s">
        <v>28</v>
      </c>
      <c r="N1109" s="14">
        <v>0.09</v>
      </c>
      <c r="O1109" s="23">
        <v>244.25</v>
      </c>
      <c r="P1109">
        <v>144.53</v>
      </c>
      <c r="Q1109" s="12" t="str" cm="1">
        <f t="array" ref="Q1109:R1109">VLOOKUP(E1109,store[],{3,5},FALSE)</f>
        <v>East</v>
      </c>
      <c r="R1109" t="str">
        <v>Online</v>
      </c>
      <c r="S1109" s="4">
        <f t="shared" si="17"/>
        <v>244.16</v>
      </c>
    </row>
    <row r="1110" spans="1:19">
      <c r="A1110" t="s">
        <v>1878</v>
      </c>
      <c r="B1110" s="3">
        <v>45448</v>
      </c>
      <c r="C1110" t="s">
        <v>423</v>
      </c>
      <c r="D1110" t="s">
        <v>698</v>
      </c>
      <c r="E1110" t="s">
        <v>168</v>
      </c>
      <c r="F1110">
        <v>3</v>
      </c>
      <c r="G1110" t="s">
        <v>50</v>
      </c>
      <c r="H1110">
        <v>20</v>
      </c>
      <c r="I1110" s="12" t="s">
        <v>34</v>
      </c>
      <c r="J1110" s="12" t="s">
        <v>35</v>
      </c>
      <c r="K1110" s="12" t="s">
        <v>52</v>
      </c>
      <c r="L1110" s="12" t="s">
        <v>699</v>
      </c>
      <c r="M1110" s="12" t="s">
        <v>28</v>
      </c>
      <c r="N1110" s="14">
        <v>0.12</v>
      </c>
      <c r="O1110" s="23">
        <v>808.87</v>
      </c>
      <c r="P1110">
        <v>103.45</v>
      </c>
      <c r="Q1110" s="12" t="str" cm="1">
        <f t="array" ref="Q1110:R1110">VLOOKUP(E1110,store[],{3,5},FALSE)</f>
        <v>East</v>
      </c>
      <c r="R1110" t="str">
        <v>Online</v>
      </c>
      <c r="S1110" s="4">
        <f t="shared" si="17"/>
        <v>2426.25</v>
      </c>
    </row>
    <row r="1111" spans="1:19">
      <c r="A1111" t="s">
        <v>1879</v>
      </c>
      <c r="B1111" s="3">
        <v>45387</v>
      </c>
      <c r="C1111" t="s">
        <v>439</v>
      </c>
      <c r="D1111" t="s">
        <v>311</v>
      </c>
      <c r="E1111" t="s">
        <v>198</v>
      </c>
      <c r="F1111">
        <v>3</v>
      </c>
      <c r="G1111" t="s">
        <v>33</v>
      </c>
      <c r="H1111">
        <v>46</v>
      </c>
      <c r="I1111" s="12" t="s">
        <v>34</v>
      </c>
      <c r="J1111" s="12" t="s">
        <v>440</v>
      </c>
      <c r="K1111" s="12" t="s">
        <v>60</v>
      </c>
      <c r="L1111" s="12" t="s">
        <v>312</v>
      </c>
      <c r="M1111" s="12" t="s">
        <v>28</v>
      </c>
      <c r="N1111" s="14">
        <v>0</v>
      </c>
      <c r="O1111" s="23">
        <v>826.15</v>
      </c>
      <c r="P1111">
        <v>204.39</v>
      </c>
      <c r="Q1111" s="12" t="str" cm="1">
        <f t="array" ref="Q1111:R1111">VLOOKUP(E1111,store[],{3,5},FALSE)</f>
        <v>South</v>
      </c>
      <c r="R1111" t="str">
        <v>Outlet</v>
      </c>
      <c r="S1111" s="4">
        <f t="shared" si="17"/>
        <v>2478.4499999999998</v>
      </c>
    </row>
    <row r="1112" spans="1:19">
      <c r="A1112" t="s">
        <v>1880</v>
      </c>
      <c r="B1112" s="3">
        <v>45652</v>
      </c>
      <c r="C1112" t="s">
        <v>84</v>
      </c>
      <c r="D1112" t="s">
        <v>97</v>
      </c>
      <c r="E1112" t="s">
        <v>135</v>
      </c>
      <c r="F1112">
        <v>3</v>
      </c>
      <c r="G1112" t="s">
        <v>23</v>
      </c>
      <c r="H1112">
        <v>60</v>
      </c>
      <c r="I1112" s="12" t="s">
        <v>34</v>
      </c>
      <c r="J1112" s="12" t="s">
        <v>59</v>
      </c>
      <c r="K1112" s="12" t="s">
        <v>52</v>
      </c>
      <c r="L1112" s="12" t="s">
        <v>100</v>
      </c>
      <c r="M1112" s="12" t="s">
        <v>28</v>
      </c>
      <c r="N1112" s="14">
        <v>0.24</v>
      </c>
      <c r="O1112" s="23">
        <v>631.20000000000005</v>
      </c>
      <c r="P1112">
        <v>166.06</v>
      </c>
      <c r="Q1112" s="12" t="str" cm="1">
        <f t="array" ref="Q1112:R1112">VLOOKUP(E1112,store[],{3,5},FALSE)</f>
        <v>East</v>
      </c>
      <c r="R1112" t="str">
        <v>Online</v>
      </c>
      <c r="S1112" s="4">
        <f t="shared" si="17"/>
        <v>1892.88</v>
      </c>
    </row>
    <row r="1113" spans="1:19">
      <c r="A1113" t="s">
        <v>1881</v>
      </c>
      <c r="B1113" s="3">
        <v>45316</v>
      </c>
      <c r="C1113" t="s">
        <v>1426</v>
      </c>
      <c r="D1113" t="s">
        <v>714</v>
      </c>
      <c r="E1113" t="s">
        <v>168</v>
      </c>
      <c r="F1113">
        <v>1</v>
      </c>
      <c r="G1113" t="s">
        <v>23</v>
      </c>
      <c r="H1113">
        <v>38</v>
      </c>
      <c r="I1113" s="12" t="s">
        <v>24</v>
      </c>
      <c r="J1113" s="12" t="s">
        <v>35</v>
      </c>
      <c r="K1113" s="12" t="s">
        <v>60</v>
      </c>
      <c r="L1113" s="12" t="s">
        <v>715</v>
      </c>
      <c r="M1113" s="12" t="s">
        <v>130</v>
      </c>
      <c r="N1113" s="14">
        <v>7.0000000000000007E-2</v>
      </c>
      <c r="O1113" s="23">
        <v>937.01</v>
      </c>
      <c r="P1113">
        <v>113.83</v>
      </c>
      <c r="Q1113" s="12" t="str" cm="1">
        <f t="array" ref="Q1113:R1113">VLOOKUP(E1113,store[],{3,5},FALSE)</f>
        <v>East</v>
      </c>
      <c r="R1113" t="str">
        <v>Online</v>
      </c>
      <c r="S1113" s="4">
        <f t="shared" si="17"/>
        <v>936.94</v>
      </c>
    </row>
    <row r="1114" spans="1:19">
      <c r="A1114" t="s">
        <v>1882</v>
      </c>
      <c r="B1114" s="3">
        <v>45316</v>
      </c>
      <c r="C1114" t="s">
        <v>1412</v>
      </c>
      <c r="D1114" t="s">
        <v>575</v>
      </c>
      <c r="E1114" t="s">
        <v>58</v>
      </c>
      <c r="F1114">
        <v>2</v>
      </c>
      <c r="G1114" t="s">
        <v>33</v>
      </c>
      <c r="H1114">
        <v>25</v>
      </c>
      <c r="I1114" s="12" t="s">
        <v>34</v>
      </c>
      <c r="J1114" s="12" t="s">
        <v>609</v>
      </c>
      <c r="K1114" s="12" t="s">
        <v>26</v>
      </c>
      <c r="L1114" s="12" t="s">
        <v>576</v>
      </c>
      <c r="M1114" s="12" t="s">
        <v>28</v>
      </c>
      <c r="N1114" s="14">
        <v>0.04</v>
      </c>
      <c r="O1114" s="23">
        <v>644</v>
      </c>
      <c r="P1114">
        <v>107.06</v>
      </c>
      <c r="Q1114" s="12" t="str" cm="1">
        <f t="array" ref="Q1114:R1114">VLOOKUP(E1114,store[],{3,5},FALSE)</f>
        <v>North</v>
      </c>
      <c r="R1114" t="str">
        <v>Outlet</v>
      </c>
      <c r="S1114" s="4">
        <f t="shared" si="17"/>
        <v>1287.92</v>
      </c>
    </row>
    <row r="1115" spans="1:19">
      <c r="A1115" t="s">
        <v>1883</v>
      </c>
      <c r="B1115" s="3">
        <v>45888</v>
      </c>
      <c r="C1115" t="s">
        <v>145</v>
      </c>
      <c r="D1115" t="s">
        <v>372</v>
      </c>
      <c r="E1115" t="s">
        <v>58</v>
      </c>
      <c r="F1115">
        <v>3</v>
      </c>
      <c r="G1115" t="s">
        <v>23</v>
      </c>
      <c r="H1115">
        <v>43</v>
      </c>
      <c r="I1115" s="12" t="s">
        <v>34</v>
      </c>
      <c r="J1115" s="12" t="s">
        <v>99</v>
      </c>
      <c r="K1115" s="12" t="s">
        <v>26</v>
      </c>
      <c r="L1115" s="12" t="s">
        <v>374</v>
      </c>
      <c r="M1115" s="12" t="s">
        <v>130</v>
      </c>
      <c r="N1115" s="14">
        <v>0.05</v>
      </c>
      <c r="O1115" s="23">
        <v>629.58000000000004</v>
      </c>
      <c r="P1115">
        <v>438.25</v>
      </c>
      <c r="Q1115" s="12" t="str" cm="1">
        <f t="array" ref="Q1115:R1115">VLOOKUP(E1115,store[],{3,5},FALSE)</f>
        <v>North</v>
      </c>
      <c r="R1115" t="str">
        <v>Outlet</v>
      </c>
      <c r="S1115" s="4">
        <f t="shared" si="17"/>
        <v>1888.59</v>
      </c>
    </row>
    <row r="1116" spans="1:19">
      <c r="A1116" t="s">
        <v>1884</v>
      </c>
      <c r="B1116" s="3">
        <v>45791</v>
      </c>
      <c r="C1116" t="s">
        <v>819</v>
      </c>
      <c r="D1116" t="s">
        <v>514</v>
      </c>
      <c r="E1116" t="s">
        <v>198</v>
      </c>
      <c r="F1116">
        <v>2</v>
      </c>
      <c r="G1116" t="s">
        <v>50</v>
      </c>
      <c r="H1116">
        <v>18</v>
      </c>
      <c r="I1116" s="12" t="s">
        <v>24</v>
      </c>
      <c r="J1116" s="12" t="s">
        <v>510</v>
      </c>
      <c r="K1116" s="12" t="s">
        <v>60</v>
      </c>
      <c r="L1116" s="12" t="s">
        <v>515</v>
      </c>
      <c r="M1116" s="12" t="s">
        <v>75</v>
      </c>
      <c r="N1116" s="14">
        <v>0.18</v>
      </c>
      <c r="O1116" s="23">
        <v>121.52</v>
      </c>
      <c r="P1116">
        <v>371.38</v>
      </c>
      <c r="Q1116" s="12" t="str" cm="1">
        <f t="array" ref="Q1116:R1116">VLOOKUP(E1116,store[],{3,5},FALSE)</f>
        <v>South</v>
      </c>
      <c r="R1116" t="str">
        <v>Outlet</v>
      </c>
      <c r="S1116" s="4">
        <f t="shared" si="17"/>
        <v>242.68</v>
      </c>
    </row>
    <row r="1117" spans="1:19">
      <c r="A1117" t="s">
        <v>1885</v>
      </c>
      <c r="B1117" s="3">
        <v>45420</v>
      </c>
      <c r="C1117" t="s">
        <v>535</v>
      </c>
      <c r="D1117" t="s">
        <v>134</v>
      </c>
      <c r="E1117" t="s">
        <v>135</v>
      </c>
      <c r="F1117">
        <v>2</v>
      </c>
      <c r="G1117" t="s">
        <v>33</v>
      </c>
      <c r="H1117">
        <v>51</v>
      </c>
      <c r="I1117" s="12" t="s">
        <v>34</v>
      </c>
      <c r="J1117" s="12" t="s">
        <v>99</v>
      </c>
      <c r="K1117" s="12" t="s">
        <v>52</v>
      </c>
      <c r="L1117" s="12" t="s">
        <v>136</v>
      </c>
      <c r="M1117" s="12" t="s">
        <v>28</v>
      </c>
      <c r="N1117" s="14">
        <v>7.0000000000000007E-2</v>
      </c>
      <c r="O1117" s="23">
        <v>549.83000000000004</v>
      </c>
      <c r="P1117">
        <v>240.63</v>
      </c>
      <c r="Q1117" s="12" t="str" cm="1">
        <f t="array" ref="Q1117:R1117">VLOOKUP(E1117,store[],{3,5},FALSE)</f>
        <v>East</v>
      </c>
      <c r="R1117" t="str">
        <v>Online</v>
      </c>
      <c r="S1117" s="4">
        <f t="shared" si="17"/>
        <v>1099.52</v>
      </c>
    </row>
    <row r="1118" spans="1:19">
      <c r="A1118" t="s">
        <v>1886</v>
      </c>
      <c r="B1118" s="3">
        <v>45219</v>
      </c>
      <c r="C1118" t="s">
        <v>1699</v>
      </c>
      <c r="D1118" t="s">
        <v>197</v>
      </c>
      <c r="E1118" t="s">
        <v>43</v>
      </c>
      <c r="F1118">
        <v>3</v>
      </c>
      <c r="G1118" t="s">
        <v>23</v>
      </c>
      <c r="H1118">
        <v>63</v>
      </c>
      <c r="I1118" s="12" t="s">
        <v>34</v>
      </c>
      <c r="J1118" s="12" t="s">
        <v>44</v>
      </c>
      <c r="K1118" s="12" t="s">
        <v>26</v>
      </c>
      <c r="L1118" s="12" t="s">
        <v>200</v>
      </c>
      <c r="M1118" s="12" t="s">
        <v>37</v>
      </c>
      <c r="N1118" s="14">
        <v>0.03</v>
      </c>
      <c r="O1118" s="23">
        <v>278.38</v>
      </c>
      <c r="P1118">
        <v>242.23</v>
      </c>
      <c r="Q1118" s="12" t="str" cm="1">
        <f t="array" ref="Q1118:R1118">VLOOKUP(E1118,store[],{3,5},FALSE)</f>
        <v>West</v>
      </c>
      <c r="R1118" t="str">
        <v>Online</v>
      </c>
      <c r="S1118" s="4">
        <f t="shared" si="17"/>
        <v>835.05</v>
      </c>
    </row>
    <row r="1119" spans="1:19">
      <c r="A1119" t="s">
        <v>1887</v>
      </c>
      <c r="B1119" s="3">
        <v>45510</v>
      </c>
      <c r="C1119" t="s">
        <v>667</v>
      </c>
      <c r="D1119" t="s">
        <v>1259</v>
      </c>
      <c r="E1119" t="s">
        <v>22</v>
      </c>
      <c r="F1119">
        <v>4</v>
      </c>
      <c r="G1119" t="s">
        <v>33</v>
      </c>
      <c r="H1119">
        <v>47</v>
      </c>
      <c r="I1119" s="12" t="s">
        <v>34</v>
      </c>
      <c r="J1119" s="12" t="s">
        <v>214</v>
      </c>
      <c r="K1119" s="12" t="s">
        <v>52</v>
      </c>
      <c r="L1119" s="12" t="s">
        <v>1260</v>
      </c>
      <c r="M1119" s="12" t="s">
        <v>130</v>
      </c>
      <c r="N1119" s="14">
        <v>0.03</v>
      </c>
      <c r="O1119" s="23">
        <v>723.66</v>
      </c>
      <c r="P1119">
        <v>358.47</v>
      </c>
      <c r="Q1119" s="12" t="str" cm="1">
        <f t="array" ref="Q1119:R1119">VLOOKUP(E1119,store[],{3,5},FALSE)</f>
        <v>North</v>
      </c>
      <c r="R1119" t="str">
        <v>Outlet</v>
      </c>
      <c r="S1119" s="4">
        <f t="shared" si="17"/>
        <v>2894.52</v>
      </c>
    </row>
    <row r="1120" spans="1:19">
      <c r="A1120" t="s">
        <v>1888</v>
      </c>
      <c r="B1120" s="3">
        <v>45687</v>
      </c>
      <c r="C1120" t="s">
        <v>1075</v>
      </c>
      <c r="D1120" t="s">
        <v>155</v>
      </c>
      <c r="E1120" t="s">
        <v>127</v>
      </c>
      <c r="F1120">
        <v>1</v>
      </c>
      <c r="G1120" t="s">
        <v>33</v>
      </c>
      <c r="H1120">
        <v>44</v>
      </c>
      <c r="I1120" s="12" t="s">
        <v>34</v>
      </c>
      <c r="J1120" s="12" t="s">
        <v>204</v>
      </c>
      <c r="K1120" s="12" t="s">
        <v>26</v>
      </c>
      <c r="L1120" s="12" t="s">
        <v>156</v>
      </c>
      <c r="M1120" s="12" t="s">
        <v>28</v>
      </c>
      <c r="N1120" s="14">
        <v>0.15</v>
      </c>
      <c r="O1120" s="23">
        <v>724.74</v>
      </c>
      <c r="P1120">
        <v>477.61</v>
      </c>
      <c r="Q1120" s="12" t="str" cm="1">
        <f t="array" ref="Q1120:R1120">VLOOKUP(E1120,store[],{3,5},FALSE)</f>
        <v>South</v>
      </c>
      <c r="R1120" t="str">
        <v>Flagship</v>
      </c>
      <c r="S1120" s="4">
        <f t="shared" si="17"/>
        <v>724.59</v>
      </c>
    </row>
    <row r="1121" spans="1:19">
      <c r="A1121" t="s">
        <v>1889</v>
      </c>
      <c r="B1121" s="3">
        <v>45271</v>
      </c>
      <c r="C1121" t="s">
        <v>961</v>
      </c>
      <c r="D1121" t="s">
        <v>279</v>
      </c>
      <c r="E1121" t="s">
        <v>72</v>
      </c>
      <c r="F1121">
        <v>2</v>
      </c>
      <c r="G1121" t="s">
        <v>33</v>
      </c>
      <c r="H1121">
        <v>54</v>
      </c>
      <c r="I1121" s="12" t="s">
        <v>24</v>
      </c>
      <c r="J1121" s="12" t="s">
        <v>932</v>
      </c>
      <c r="K1121" s="12" t="s">
        <v>26</v>
      </c>
      <c r="L1121" s="12" t="s">
        <v>280</v>
      </c>
      <c r="M1121" s="12" t="s">
        <v>75</v>
      </c>
      <c r="N1121" s="14">
        <v>0.25</v>
      </c>
      <c r="O1121" s="23">
        <v>961.84</v>
      </c>
      <c r="P1121">
        <v>123.46</v>
      </c>
      <c r="Q1121" s="12" t="str" cm="1">
        <f t="array" ref="Q1121:R1121">VLOOKUP(E1121,store[],{3,5},FALSE)</f>
        <v>South</v>
      </c>
      <c r="R1121" t="str">
        <v>Online</v>
      </c>
      <c r="S1121" s="4">
        <f t="shared" si="17"/>
        <v>1923.18</v>
      </c>
    </row>
    <row r="1122" spans="1:19">
      <c r="A1122" t="s">
        <v>1890</v>
      </c>
      <c r="B1122" s="3">
        <v>45446</v>
      </c>
      <c r="C1122" t="s">
        <v>572</v>
      </c>
      <c r="D1122" t="s">
        <v>786</v>
      </c>
      <c r="E1122" t="s">
        <v>117</v>
      </c>
      <c r="F1122">
        <v>4</v>
      </c>
      <c r="G1122" t="s">
        <v>50</v>
      </c>
      <c r="H1122">
        <v>59</v>
      </c>
      <c r="I1122" s="12" t="s">
        <v>24</v>
      </c>
      <c r="J1122" s="12" t="s">
        <v>373</v>
      </c>
      <c r="K1122" s="12" t="s">
        <v>60</v>
      </c>
      <c r="L1122" s="12" t="s">
        <v>787</v>
      </c>
      <c r="M1122" s="12" t="s">
        <v>130</v>
      </c>
      <c r="N1122" s="14">
        <v>0.18</v>
      </c>
      <c r="O1122" s="23">
        <v>21.12</v>
      </c>
      <c r="P1122">
        <v>353.47</v>
      </c>
      <c r="Q1122" s="12" t="str" cm="1">
        <f t="array" ref="Q1122:R1122">VLOOKUP(E1122,store[],{3,5},FALSE)</f>
        <v>West</v>
      </c>
      <c r="R1122" t="str">
        <v>Flagship</v>
      </c>
      <c r="S1122" s="4">
        <f t="shared" si="17"/>
        <v>83.76</v>
      </c>
    </row>
    <row r="1123" spans="1:19">
      <c r="A1123" t="s">
        <v>1891</v>
      </c>
      <c r="B1123" s="3">
        <v>45579</v>
      </c>
      <c r="C1123" t="s">
        <v>562</v>
      </c>
      <c r="D1123" t="s">
        <v>768</v>
      </c>
      <c r="E1123" t="s">
        <v>72</v>
      </c>
      <c r="F1123">
        <v>3</v>
      </c>
      <c r="G1123" t="s">
        <v>33</v>
      </c>
      <c r="H1123">
        <v>54</v>
      </c>
      <c r="I1123" s="12" t="s">
        <v>24</v>
      </c>
      <c r="J1123" s="12" t="s">
        <v>231</v>
      </c>
      <c r="K1123" s="12" t="s">
        <v>52</v>
      </c>
      <c r="L1123" s="12" t="s">
        <v>769</v>
      </c>
      <c r="M1123" s="12" t="s">
        <v>37</v>
      </c>
      <c r="N1123" s="14">
        <v>0.08</v>
      </c>
      <c r="O1123" s="23">
        <v>819.93</v>
      </c>
      <c r="P1123">
        <v>112.42</v>
      </c>
      <c r="Q1123" s="12" t="str" cm="1">
        <f t="array" ref="Q1123:R1123">VLOOKUP(E1123,store[],{3,5},FALSE)</f>
        <v>South</v>
      </c>
      <c r="R1123" t="str">
        <v>Online</v>
      </c>
      <c r="S1123" s="4">
        <f t="shared" si="17"/>
        <v>2459.5500000000002</v>
      </c>
    </row>
    <row r="1124" spans="1:19">
      <c r="A1124" t="s">
        <v>1892</v>
      </c>
      <c r="B1124" s="3">
        <v>45725</v>
      </c>
      <c r="C1124" t="s">
        <v>541</v>
      </c>
      <c r="D1124" t="s">
        <v>449</v>
      </c>
      <c r="E1124" t="s">
        <v>90</v>
      </c>
      <c r="F1124">
        <v>2</v>
      </c>
      <c r="G1124" t="s">
        <v>23</v>
      </c>
      <c r="H1124">
        <v>29</v>
      </c>
      <c r="I1124" s="12" t="s">
        <v>24</v>
      </c>
      <c r="J1124" s="12" t="s">
        <v>111</v>
      </c>
      <c r="K1124" s="12" t="s">
        <v>52</v>
      </c>
      <c r="L1124" s="12" t="s">
        <v>450</v>
      </c>
      <c r="M1124" s="12" t="s">
        <v>37</v>
      </c>
      <c r="N1124" s="14">
        <v>0.18</v>
      </c>
      <c r="O1124" s="23">
        <v>700.95</v>
      </c>
      <c r="P1124">
        <v>450.71</v>
      </c>
      <c r="Q1124" s="12" t="str" cm="1">
        <f t="array" ref="Q1124:R1124">VLOOKUP(E1124,store[],{3,5},FALSE)</f>
        <v>East</v>
      </c>
      <c r="R1124" t="str">
        <v>Flagship</v>
      </c>
      <c r="S1124" s="4">
        <f t="shared" si="17"/>
        <v>1401.54</v>
      </c>
    </row>
    <row r="1125" spans="1:19">
      <c r="A1125" t="s">
        <v>1893</v>
      </c>
      <c r="B1125" s="3">
        <v>45910</v>
      </c>
      <c r="C1125" t="s">
        <v>776</v>
      </c>
      <c r="D1125" t="s">
        <v>377</v>
      </c>
      <c r="E1125" t="s">
        <v>98</v>
      </c>
      <c r="F1125">
        <v>2</v>
      </c>
      <c r="G1125" t="s">
        <v>23</v>
      </c>
      <c r="H1125">
        <v>30</v>
      </c>
      <c r="I1125" s="12" t="s">
        <v>24</v>
      </c>
      <c r="J1125" s="12" t="s">
        <v>227</v>
      </c>
      <c r="K1125" s="12" t="s">
        <v>73</v>
      </c>
      <c r="L1125" s="12" t="s">
        <v>379</v>
      </c>
      <c r="M1125" s="12" t="s">
        <v>28</v>
      </c>
      <c r="N1125" s="14">
        <v>0.12</v>
      </c>
      <c r="O1125" s="23">
        <v>456.38</v>
      </c>
      <c r="P1125">
        <v>144.53</v>
      </c>
      <c r="Q1125" s="12" t="str" cm="1">
        <f t="array" ref="Q1125:R1125">VLOOKUP(E1125,store[],{3,5},FALSE)</f>
        <v>South</v>
      </c>
      <c r="R1125" t="str">
        <v>Outlet</v>
      </c>
      <c r="S1125" s="4">
        <f t="shared" si="17"/>
        <v>912.52</v>
      </c>
    </row>
    <row r="1126" spans="1:19">
      <c r="A1126" t="s">
        <v>1894</v>
      </c>
      <c r="B1126" s="3">
        <v>45447</v>
      </c>
      <c r="C1126" t="s">
        <v>1895</v>
      </c>
      <c r="D1126" t="s">
        <v>49</v>
      </c>
      <c r="E1126" t="s">
        <v>98</v>
      </c>
      <c r="F1126">
        <v>3</v>
      </c>
      <c r="G1126" t="s">
        <v>23</v>
      </c>
      <c r="H1126">
        <v>64</v>
      </c>
      <c r="I1126" s="12" t="s">
        <v>24</v>
      </c>
      <c r="J1126" s="12" t="s">
        <v>260</v>
      </c>
      <c r="K1126" s="12" t="s">
        <v>52</v>
      </c>
      <c r="L1126" s="12" t="s">
        <v>53</v>
      </c>
      <c r="M1126" s="12" t="s">
        <v>37</v>
      </c>
      <c r="N1126" s="14">
        <v>0.3</v>
      </c>
      <c r="O1126" s="23">
        <v>291.05</v>
      </c>
      <c r="P1126">
        <v>392.89</v>
      </c>
      <c r="Q1126" s="12" t="str" cm="1">
        <f t="array" ref="Q1126:R1126">VLOOKUP(E1126,store[],{3,5},FALSE)</f>
        <v>South</v>
      </c>
      <c r="R1126" t="str">
        <v>Outlet</v>
      </c>
      <c r="S1126" s="4">
        <f t="shared" si="17"/>
        <v>872.25</v>
      </c>
    </row>
    <row r="1127" spans="1:19">
      <c r="A1127" t="s">
        <v>1896</v>
      </c>
      <c r="B1127" s="3">
        <v>45307</v>
      </c>
      <c r="C1127" t="s">
        <v>1161</v>
      </c>
      <c r="D1127" t="s">
        <v>1126</v>
      </c>
      <c r="E1127" t="s">
        <v>122</v>
      </c>
      <c r="F1127">
        <v>2</v>
      </c>
      <c r="G1127" t="s">
        <v>33</v>
      </c>
      <c r="H1127">
        <v>59</v>
      </c>
      <c r="I1127" s="12" t="s">
        <v>24</v>
      </c>
      <c r="J1127" s="12" t="s">
        <v>356</v>
      </c>
      <c r="K1127" s="12" t="s">
        <v>60</v>
      </c>
      <c r="L1127" s="12" t="s">
        <v>1127</v>
      </c>
      <c r="M1127" s="12" t="s">
        <v>28</v>
      </c>
      <c r="N1127" s="14">
        <v>0.27</v>
      </c>
      <c r="O1127" s="23">
        <v>463.52</v>
      </c>
      <c r="P1127">
        <v>60.65</v>
      </c>
      <c r="Q1127" s="12" t="str" cm="1">
        <f t="array" ref="Q1127:R1127">VLOOKUP(E1127,store[],{3,5},FALSE)</f>
        <v>North</v>
      </c>
      <c r="R1127" t="str">
        <v>Flagship</v>
      </c>
      <c r="S1127" s="4">
        <f t="shared" si="17"/>
        <v>926.5</v>
      </c>
    </row>
    <row r="1128" spans="1:19">
      <c r="A1128" t="s">
        <v>1897</v>
      </c>
      <c r="B1128" s="3">
        <v>45653</v>
      </c>
      <c r="C1128" t="s">
        <v>997</v>
      </c>
      <c r="D1128" t="s">
        <v>768</v>
      </c>
      <c r="E1128" t="s">
        <v>32</v>
      </c>
      <c r="F1128">
        <v>3</v>
      </c>
      <c r="G1128" t="s">
        <v>33</v>
      </c>
      <c r="H1128">
        <v>34</v>
      </c>
      <c r="I1128" s="12" t="s">
        <v>34</v>
      </c>
      <c r="J1128" s="12" t="s">
        <v>106</v>
      </c>
      <c r="K1128" s="12" t="s">
        <v>26</v>
      </c>
      <c r="L1128" s="12" t="s">
        <v>769</v>
      </c>
      <c r="M1128" s="12" t="s">
        <v>37</v>
      </c>
      <c r="N1128" s="14">
        <v>0.28999999999999998</v>
      </c>
      <c r="O1128" s="23">
        <v>241.64</v>
      </c>
      <c r="P1128">
        <v>112.42</v>
      </c>
      <c r="Q1128" s="12" t="str" cm="1">
        <f t="array" ref="Q1128:R1128">VLOOKUP(E1128,store[],{3,5},FALSE)</f>
        <v>North</v>
      </c>
      <c r="R1128" t="str">
        <v>Flagship</v>
      </c>
      <c r="S1128" s="4">
        <f t="shared" si="17"/>
        <v>724.05</v>
      </c>
    </row>
    <row r="1129" spans="1:19">
      <c r="A1129" t="s">
        <v>1898</v>
      </c>
      <c r="B1129" s="3">
        <v>45817</v>
      </c>
      <c r="C1129" t="s">
        <v>328</v>
      </c>
      <c r="D1129" t="s">
        <v>271</v>
      </c>
      <c r="E1129" t="s">
        <v>168</v>
      </c>
      <c r="F1129">
        <v>2</v>
      </c>
      <c r="G1129" t="s">
        <v>33</v>
      </c>
      <c r="H1129">
        <v>48</v>
      </c>
      <c r="I1129" s="12" t="s">
        <v>24</v>
      </c>
      <c r="J1129" s="12" t="s">
        <v>99</v>
      </c>
      <c r="K1129" s="12" t="s">
        <v>26</v>
      </c>
      <c r="L1129" s="12" t="s">
        <v>273</v>
      </c>
      <c r="M1129" s="12" t="s">
        <v>75</v>
      </c>
      <c r="N1129" s="14">
        <v>0.03</v>
      </c>
      <c r="O1129" s="23">
        <v>47.86</v>
      </c>
      <c r="P1129">
        <v>19.52</v>
      </c>
      <c r="Q1129" s="12" t="str" cm="1">
        <f t="array" ref="Q1129:R1129">VLOOKUP(E1129,store[],{3,5},FALSE)</f>
        <v>East</v>
      </c>
      <c r="R1129" t="str">
        <v>Online</v>
      </c>
      <c r="S1129" s="4">
        <f t="shared" si="17"/>
        <v>95.66</v>
      </c>
    </row>
    <row r="1130" spans="1:19">
      <c r="A1130" t="s">
        <v>1899</v>
      </c>
      <c r="B1130" s="3">
        <v>45509</v>
      </c>
      <c r="C1130" t="s">
        <v>220</v>
      </c>
      <c r="D1130" t="s">
        <v>603</v>
      </c>
      <c r="E1130" t="s">
        <v>22</v>
      </c>
      <c r="F1130">
        <v>1</v>
      </c>
      <c r="G1130" t="s">
        <v>50</v>
      </c>
      <c r="H1130">
        <v>39</v>
      </c>
      <c r="I1130" s="12" t="s">
        <v>24</v>
      </c>
      <c r="J1130" s="12" t="s">
        <v>222</v>
      </c>
      <c r="K1130" s="12" t="s">
        <v>26</v>
      </c>
      <c r="L1130" s="12" t="s">
        <v>604</v>
      </c>
      <c r="M1130" s="12" t="s">
        <v>75</v>
      </c>
      <c r="N1130" s="14">
        <v>0.06</v>
      </c>
      <c r="O1130" s="23">
        <v>805.07</v>
      </c>
      <c r="P1130">
        <v>447.43</v>
      </c>
      <c r="Q1130" s="12" t="str" cm="1">
        <f t="array" ref="Q1130:R1130">VLOOKUP(E1130,store[],{3,5},FALSE)</f>
        <v>North</v>
      </c>
      <c r="R1130" t="str">
        <v>Outlet</v>
      </c>
      <c r="S1130" s="4">
        <f t="shared" si="17"/>
        <v>805.01</v>
      </c>
    </row>
    <row r="1131" spans="1:19">
      <c r="A1131" t="s">
        <v>1900</v>
      </c>
      <c r="B1131" s="3">
        <v>45753</v>
      </c>
      <c r="C1131" t="s">
        <v>591</v>
      </c>
      <c r="D1131" t="s">
        <v>116</v>
      </c>
      <c r="E1131" t="s">
        <v>105</v>
      </c>
      <c r="F1131">
        <v>3</v>
      </c>
      <c r="G1131" t="s">
        <v>50</v>
      </c>
      <c r="H1131">
        <v>37</v>
      </c>
      <c r="I1131" s="12" t="s">
        <v>34</v>
      </c>
      <c r="J1131" s="12" t="s">
        <v>193</v>
      </c>
      <c r="K1131" s="12" t="s">
        <v>26</v>
      </c>
      <c r="L1131" s="12" t="s">
        <v>119</v>
      </c>
      <c r="M1131" s="12" t="s">
        <v>37</v>
      </c>
      <c r="N1131" s="14">
        <v>0</v>
      </c>
      <c r="O1131" s="23">
        <v>848.48</v>
      </c>
      <c r="P1131">
        <v>419.28</v>
      </c>
      <c r="Q1131" s="12" t="str" cm="1">
        <f t="array" ref="Q1131:R1131">VLOOKUP(E1131,store[],{3,5},FALSE)</f>
        <v>North</v>
      </c>
      <c r="R1131" t="str">
        <v>Flagship</v>
      </c>
      <c r="S1131" s="4">
        <f t="shared" si="17"/>
        <v>2545.44</v>
      </c>
    </row>
    <row r="1132" spans="1:19">
      <c r="A1132" t="s">
        <v>1901</v>
      </c>
      <c r="B1132" s="3">
        <v>45512</v>
      </c>
      <c r="C1132" t="s">
        <v>408</v>
      </c>
      <c r="D1132" t="s">
        <v>207</v>
      </c>
      <c r="E1132" t="s">
        <v>43</v>
      </c>
      <c r="F1132">
        <v>2</v>
      </c>
      <c r="G1132" t="s">
        <v>23</v>
      </c>
      <c r="H1132">
        <v>19</v>
      </c>
      <c r="I1132" s="12" t="s">
        <v>24</v>
      </c>
      <c r="J1132" s="12" t="s">
        <v>410</v>
      </c>
      <c r="K1132" s="12" t="s">
        <v>73</v>
      </c>
      <c r="L1132" s="12" t="s">
        <v>210</v>
      </c>
      <c r="M1132" s="12" t="s">
        <v>130</v>
      </c>
      <c r="N1132" s="14">
        <v>0.22</v>
      </c>
      <c r="O1132" s="23">
        <v>568.95000000000005</v>
      </c>
      <c r="P1132">
        <v>386.56</v>
      </c>
      <c r="Q1132" s="12" t="str" cm="1">
        <f t="array" ref="Q1132:R1132">VLOOKUP(E1132,store[],{3,5},FALSE)</f>
        <v>West</v>
      </c>
      <c r="R1132" t="str">
        <v>Online</v>
      </c>
      <c r="S1132" s="4">
        <f t="shared" si="17"/>
        <v>1137.46</v>
      </c>
    </row>
    <row r="1133" spans="1:19">
      <c r="A1133" t="s">
        <v>1902</v>
      </c>
      <c r="B1133" s="3">
        <v>45764</v>
      </c>
      <c r="C1133" t="s">
        <v>324</v>
      </c>
      <c r="D1133" t="s">
        <v>207</v>
      </c>
      <c r="E1133" t="s">
        <v>272</v>
      </c>
      <c r="F1133">
        <v>3</v>
      </c>
      <c r="G1133" t="s">
        <v>33</v>
      </c>
      <c r="H1133">
        <v>37</v>
      </c>
      <c r="I1133" s="12" t="s">
        <v>24</v>
      </c>
      <c r="J1133" s="12" t="s">
        <v>51</v>
      </c>
      <c r="K1133" s="12" t="s">
        <v>60</v>
      </c>
      <c r="L1133" s="12" t="s">
        <v>210</v>
      </c>
      <c r="M1133" s="12" t="s">
        <v>130</v>
      </c>
      <c r="N1133" s="14">
        <v>0.05</v>
      </c>
      <c r="O1133" s="23">
        <v>269.83999999999997</v>
      </c>
      <c r="P1133">
        <v>386.56</v>
      </c>
      <c r="Q1133" s="12" t="str" cm="1">
        <f t="array" ref="Q1133:R1133">VLOOKUP(E1133,store[],{3,5},FALSE)</f>
        <v>South</v>
      </c>
      <c r="R1133" t="str">
        <v>Online</v>
      </c>
      <c r="S1133" s="4">
        <f t="shared" si="17"/>
        <v>809.37</v>
      </c>
    </row>
    <row r="1134" spans="1:19">
      <c r="A1134" t="s">
        <v>1903</v>
      </c>
      <c r="B1134" s="3">
        <v>45746</v>
      </c>
      <c r="C1134" t="s">
        <v>1704</v>
      </c>
      <c r="D1134" t="s">
        <v>661</v>
      </c>
      <c r="E1134" t="s">
        <v>149</v>
      </c>
      <c r="F1134">
        <v>4</v>
      </c>
      <c r="G1134" t="s">
        <v>33</v>
      </c>
      <c r="H1134">
        <v>41</v>
      </c>
      <c r="I1134" s="12" t="s">
        <v>34</v>
      </c>
      <c r="J1134" s="12" t="s">
        <v>227</v>
      </c>
      <c r="K1134" s="12" t="s">
        <v>73</v>
      </c>
      <c r="L1134" s="12" t="s">
        <v>662</v>
      </c>
      <c r="M1134" s="12" t="s">
        <v>37</v>
      </c>
      <c r="N1134" s="14">
        <v>0.27</v>
      </c>
      <c r="O1134" s="23">
        <v>267.36</v>
      </c>
      <c r="P1134">
        <v>86.42</v>
      </c>
      <c r="Q1134" s="12" t="str" cm="1">
        <f t="array" ref="Q1134:R1134">VLOOKUP(E1134,store[],{3,5},FALSE)</f>
        <v>East</v>
      </c>
      <c r="R1134" t="str">
        <v>Flagship</v>
      </c>
      <c r="S1134" s="4">
        <f t="shared" si="17"/>
        <v>1068.3599999999999</v>
      </c>
    </row>
    <row r="1135" spans="1:19">
      <c r="A1135" t="s">
        <v>1904</v>
      </c>
      <c r="B1135" s="3">
        <v>45647</v>
      </c>
      <c r="C1135" t="s">
        <v>1037</v>
      </c>
      <c r="D1135" t="s">
        <v>786</v>
      </c>
      <c r="E1135" t="s">
        <v>105</v>
      </c>
      <c r="F1135">
        <v>1</v>
      </c>
      <c r="G1135" t="s">
        <v>23</v>
      </c>
      <c r="H1135">
        <v>30</v>
      </c>
      <c r="I1135" s="12" t="s">
        <v>24</v>
      </c>
      <c r="J1135" s="12" t="s">
        <v>99</v>
      </c>
      <c r="K1135" s="12" t="s">
        <v>73</v>
      </c>
      <c r="L1135" s="12" t="s">
        <v>787</v>
      </c>
      <c r="M1135" s="12" t="s">
        <v>130</v>
      </c>
      <c r="N1135" s="14">
        <v>0.09</v>
      </c>
      <c r="O1135" s="23">
        <v>438.41</v>
      </c>
      <c r="P1135">
        <v>353.47</v>
      </c>
      <c r="Q1135" s="12" t="str" cm="1">
        <f t="array" ref="Q1135:R1135">VLOOKUP(E1135,store[],{3,5},FALSE)</f>
        <v>North</v>
      </c>
      <c r="R1135" t="str">
        <v>Flagship</v>
      </c>
      <c r="S1135" s="4">
        <f t="shared" si="17"/>
        <v>438.32</v>
      </c>
    </row>
    <row r="1136" spans="1:19">
      <c r="A1136" t="s">
        <v>1905</v>
      </c>
      <c r="B1136" s="3">
        <v>45443</v>
      </c>
      <c r="C1136" t="s">
        <v>504</v>
      </c>
      <c r="D1136" t="s">
        <v>501</v>
      </c>
      <c r="E1136" t="s">
        <v>160</v>
      </c>
      <c r="F1136">
        <v>2</v>
      </c>
      <c r="G1136" t="s">
        <v>50</v>
      </c>
      <c r="H1136">
        <v>39</v>
      </c>
      <c r="I1136" s="12" t="s">
        <v>34</v>
      </c>
      <c r="J1136" s="12" t="s">
        <v>360</v>
      </c>
      <c r="K1136" s="12" t="s">
        <v>60</v>
      </c>
      <c r="L1136" s="12" t="s">
        <v>502</v>
      </c>
      <c r="M1136" s="12" t="s">
        <v>37</v>
      </c>
      <c r="N1136" s="14">
        <v>0.28000000000000003</v>
      </c>
      <c r="O1136" s="23">
        <v>86.72</v>
      </c>
      <c r="P1136">
        <v>88.49</v>
      </c>
      <c r="Q1136" s="12" t="str" cm="1">
        <f t="array" ref="Q1136:R1136">VLOOKUP(E1136,store[],{3,5},FALSE)</f>
        <v>East</v>
      </c>
      <c r="R1136" t="str">
        <v>Flagship</v>
      </c>
      <c r="S1136" s="4">
        <f t="shared" si="17"/>
        <v>172.88</v>
      </c>
    </row>
    <row r="1137" spans="1:19">
      <c r="A1137" t="s">
        <v>1906</v>
      </c>
      <c r="B1137" s="3">
        <v>45722</v>
      </c>
      <c r="C1137" t="s">
        <v>1290</v>
      </c>
      <c r="D1137" t="s">
        <v>287</v>
      </c>
      <c r="E1137" t="s">
        <v>179</v>
      </c>
      <c r="F1137">
        <v>4</v>
      </c>
      <c r="G1137" t="s">
        <v>50</v>
      </c>
      <c r="H1137">
        <v>40</v>
      </c>
      <c r="I1137" s="12" t="s">
        <v>24</v>
      </c>
      <c r="J1137" s="12" t="s">
        <v>410</v>
      </c>
      <c r="K1137" s="12" t="s">
        <v>73</v>
      </c>
      <c r="L1137" s="12" t="s">
        <v>288</v>
      </c>
      <c r="M1137" s="12" t="s">
        <v>46</v>
      </c>
      <c r="N1137" s="14">
        <v>0.14000000000000001</v>
      </c>
      <c r="O1137" s="23">
        <v>630.21</v>
      </c>
      <c r="P1137">
        <v>183.04</v>
      </c>
      <c r="Q1137" s="12" t="str" cm="1">
        <f t="array" ref="Q1137:R1137">VLOOKUP(E1137,store[],{3,5},FALSE)</f>
        <v>East</v>
      </c>
      <c r="R1137" t="str">
        <v>Online</v>
      </c>
      <c r="S1137" s="4">
        <f t="shared" si="17"/>
        <v>2520.2800000000002</v>
      </c>
    </row>
    <row r="1138" spans="1:19">
      <c r="A1138" t="s">
        <v>1907</v>
      </c>
      <c r="B1138" s="3">
        <v>45575</v>
      </c>
      <c r="C1138" t="s">
        <v>1908</v>
      </c>
      <c r="D1138" t="s">
        <v>57</v>
      </c>
      <c r="E1138" t="s">
        <v>179</v>
      </c>
      <c r="F1138">
        <v>3</v>
      </c>
      <c r="G1138" t="s">
        <v>33</v>
      </c>
      <c r="H1138">
        <v>32</v>
      </c>
      <c r="I1138" s="12" t="s">
        <v>24</v>
      </c>
      <c r="J1138" s="12" t="s">
        <v>333</v>
      </c>
      <c r="K1138" s="12" t="s">
        <v>60</v>
      </c>
      <c r="L1138" s="12" t="s">
        <v>61</v>
      </c>
      <c r="M1138" s="12" t="s">
        <v>46</v>
      </c>
      <c r="N1138" s="14">
        <v>0.03</v>
      </c>
      <c r="O1138" s="23">
        <v>180.84</v>
      </c>
      <c r="P1138">
        <v>17.309999999999999</v>
      </c>
      <c r="Q1138" s="12" t="str" cm="1">
        <f t="array" ref="Q1138:R1138">VLOOKUP(E1138,store[],{3,5},FALSE)</f>
        <v>East</v>
      </c>
      <c r="R1138" t="str">
        <v>Online</v>
      </c>
      <c r="S1138" s="4">
        <f t="shared" si="17"/>
        <v>542.42999999999995</v>
      </c>
    </row>
    <row r="1139" spans="1:19">
      <c r="A1139" t="s">
        <v>1909</v>
      </c>
      <c r="B1139" s="3">
        <v>45441</v>
      </c>
      <c r="C1139" t="s">
        <v>1747</v>
      </c>
      <c r="D1139" t="s">
        <v>779</v>
      </c>
      <c r="E1139" t="s">
        <v>117</v>
      </c>
      <c r="F1139">
        <v>1</v>
      </c>
      <c r="G1139" t="s">
        <v>50</v>
      </c>
      <c r="H1139">
        <v>64</v>
      </c>
      <c r="I1139" s="12" t="s">
        <v>34</v>
      </c>
      <c r="J1139" s="12" t="s">
        <v>227</v>
      </c>
      <c r="K1139" s="12" t="s">
        <v>60</v>
      </c>
      <c r="L1139" s="12" t="s">
        <v>780</v>
      </c>
      <c r="M1139" s="12" t="s">
        <v>46</v>
      </c>
      <c r="N1139" s="14">
        <v>0.04</v>
      </c>
      <c r="O1139" s="23">
        <v>453.41</v>
      </c>
      <c r="P1139">
        <v>299.11</v>
      </c>
      <c r="Q1139" s="12" t="str" cm="1">
        <f t="array" ref="Q1139:R1139">VLOOKUP(E1139,store[],{3,5},FALSE)</f>
        <v>West</v>
      </c>
      <c r="R1139" t="str">
        <v>Flagship</v>
      </c>
      <c r="S1139" s="4">
        <f t="shared" si="17"/>
        <v>453.37</v>
      </c>
    </row>
    <row r="1140" spans="1:19">
      <c r="A1140" t="s">
        <v>1910</v>
      </c>
      <c r="B1140" s="3">
        <v>45940</v>
      </c>
      <c r="C1140" t="s">
        <v>1422</v>
      </c>
      <c r="D1140" t="s">
        <v>501</v>
      </c>
      <c r="E1140" t="s">
        <v>179</v>
      </c>
      <c r="F1140">
        <v>1</v>
      </c>
      <c r="G1140" t="s">
        <v>23</v>
      </c>
      <c r="H1140">
        <v>40</v>
      </c>
      <c r="I1140" s="12" t="s">
        <v>24</v>
      </c>
      <c r="J1140" s="12" t="s">
        <v>128</v>
      </c>
      <c r="K1140" s="12" t="s">
        <v>52</v>
      </c>
      <c r="L1140" s="12" t="s">
        <v>502</v>
      </c>
      <c r="M1140" s="12" t="s">
        <v>37</v>
      </c>
      <c r="N1140" s="14">
        <v>0.02</v>
      </c>
      <c r="O1140" s="23">
        <v>629.09</v>
      </c>
      <c r="P1140">
        <v>88.49</v>
      </c>
      <c r="Q1140" s="12" t="str" cm="1">
        <f t="array" ref="Q1140:R1140">VLOOKUP(E1140,store[],{3,5},FALSE)</f>
        <v>East</v>
      </c>
      <c r="R1140" t="str">
        <v>Online</v>
      </c>
      <c r="S1140" s="4">
        <f t="shared" si="17"/>
        <v>629.07000000000005</v>
      </c>
    </row>
    <row r="1141" spans="1:19">
      <c r="A1141" t="s">
        <v>1911</v>
      </c>
      <c r="B1141" s="3">
        <v>45518</v>
      </c>
      <c r="C1141" t="s">
        <v>550</v>
      </c>
      <c r="D1141" t="s">
        <v>192</v>
      </c>
      <c r="E1141" t="s">
        <v>198</v>
      </c>
      <c r="F1141">
        <v>2</v>
      </c>
      <c r="G1141" t="s">
        <v>50</v>
      </c>
      <c r="H1141">
        <v>33</v>
      </c>
      <c r="I1141" s="12" t="s">
        <v>34</v>
      </c>
      <c r="J1141" s="12" t="s">
        <v>218</v>
      </c>
      <c r="K1141" s="12" t="s">
        <v>60</v>
      </c>
      <c r="L1141" s="12" t="s">
        <v>194</v>
      </c>
      <c r="M1141" s="12" t="s">
        <v>37</v>
      </c>
      <c r="N1141" s="14">
        <v>0</v>
      </c>
      <c r="O1141" s="23">
        <v>257.45</v>
      </c>
      <c r="P1141">
        <v>480.9</v>
      </c>
      <c r="Q1141" s="12" t="str" cm="1">
        <f t="array" ref="Q1141:R1141">VLOOKUP(E1141,store[],{3,5},FALSE)</f>
        <v>South</v>
      </c>
      <c r="R1141" t="str">
        <v>Outlet</v>
      </c>
      <c r="S1141" s="4">
        <f t="shared" si="17"/>
        <v>514.9</v>
      </c>
    </row>
    <row r="1142" spans="1:19">
      <c r="A1142" t="s">
        <v>1912</v>
      </c>
      <c r="B1142" s="3">
        <v>45861</v>
      </c>
      <c r="C1142" t="s">
        <v>1913</v>
      </c>
      <c r="D1142" t="s">
        <v>116</v>
      </c>
      <c r="E1142" t="s">
        <v>122</v>
      </c>
      <c r="F1142">
        <v>2</v>
      </c>
      <c r="G1142" t="s">
        <v>33</v>
      </c>
      <c r="H1142">
        <v>43</v>
      </c>
      <c r="I1142" s="12" t="s">
        <v>34</v>
      </c>
      <c r="J1142" s="12" t="s">
        <v>410</v>
      </c>
      <c r="K1142" s="12" t="s">
        <v>60</v>
      </c>
      <c r="L1142" s="12" t="s">
        <v>119</v>
      </c>
      <c r="M1142" s="12" t="s">
        <v>37</v>
      </c>
      <c r="N1142" s="14">
        <v>0.17</v>
      </c>
      <c r="O1142" s="23">
        <v>696.61</v>
      </c>
      <c r="P1142">
        <v>419.28</v>
      </c>
      <c r="Q1142" s="12" t="str" cm="1">
        <f t="array" ref="Q1142:R1142">VLOOKUP(E1142,store[],{3,5},FALSE)</f>
        <v>North</v>
      </c>
      <c r="R1142" t="str">
        <v>Flagship</v>
      </c>
      <c r="S1142" s="4">
        <f t="shared" si="17"/>
        <v>1392.88</v>
      </c>
    </row>
    <row r="1143" spans="1:19">
      <c r="A1143" t="s">
        <v>1914</v>
      </c>
      <c r="B1143" s="3">
        <v>45416</v>
      </c>
      <c r="C1143" t="s">
        <v>591</v>
      </c>
      <c r="D1143" t="s">
        <v>381</v>
      </c>
      <c r="E1143" t="s">
        <v>66</v>
      </c>
      <c r="F1143">
        <v>2</v>
      </c>
      <c r="G1143" t="s">
        <v>33</v>
      </c>
      <c r="H1143">
        <v>37</v>
      </c>
      <c r="I1143" s="12" t="s">
        <v>34</v>
      </c>
      <c r="J1143" s="12" t="s">
        <v>193</v>
      </c>
      <c r="K1143" s="12" t="s">
        <v>26</v>
      </c>
      <c r="L1143" s="12" t="s">
        <v>382</v>
      </c>
      <c r="M1143" s="12" t="s">
        <v>130</v>
      </c>
      <c r="N1143" s="14">
        <v>0.1</v>
      </c>
      <c r="O1143" s="23">
        <v>143.79</v>
      </c>
      <c r="P1143">
        <v>167.34</v>
      </c>
      <c r="Q1143" s="12" t="str" cm="1">
        <f t="array" ref="Q1143:R1143">VLOOKUP(E1143,store[],{3,5},FALSE)</f>
        <v>South</v>
      </c>
      <c r="R1143" t="str">
        <v>Online</v>
      </c>
      <c r="S1143" s="4">
        <f t="shared" si="17"/>
        <v>287.38</v>
      </c>
    </row>
    <row r="1144" spans="1:19">
      <c r="A1144" t="s">
        <v>1915</v>
      </c>
      <c r="B1144" s="3">
        <v>45608</v>
      </c>
      <c r="C1144" t="s">
        <v>994</v>
      </c>
      <c r="D1144" t="s">
        <v>359</v>
      </c>
      <c r="E1144" t="s">
        <v>105</v>
      </c>
      <c r="F1144">
        <v>3</v>
      </c>
      <c r="G1144" t="s">
        <v>50</v>
      </c>
      <c r="H1144">
        <v>28</v>
      </c>
      <c r="I1144" s="12" t="s">
        <v>34</v>
      </c>
      <c r="J1144" s="12" t="s">
        <v>356</v>
      </c>
      <c r="K1144" s="12" t="s">
        <v>73</v>
      </c>
      <c r="L1144" s="12" t="s">
        <v>361</v>
      </c>
      <c r="M1144" s="12" t="s">
        <v>46</v>
      </c>
      <c r="N1144" s="14">
        <v>0.19</v>
      </c>
      <c r="O1144" s="23">
        <v>460.93</v>
      </c>
      <c r="P1144">
        <v>289.359375</v>
      </c>
      <c r="Q1144" s="12" t="str" cm="1">
        <f t="array" ref="Q1144:R1144">VLOOKUP(E1144,store[],{3,5},FALSE)</f>
        <v>North</v>
      </c>
      <c r="R1144" t="str">
        <v>Flagship</v>
      </c>
      <c r="S1144" s="4">
        <f t="shared" si="17"/>
        <v>1382.22</v>
      </c>
    </row>
    <row r="1145" spans="1:19">
      <c r="A1145" t="s">
        <v>1916</v>
      </c>
      <c r="B1145" s="3">
        <v>45301</v>
      </c>
      <c r="C1145" t="s">
        <v>608</v>
      </c>
      <c r="D1145" t="s">
        <v>567</v>
      </c>
      <c r="E1145" t="s">
        <v>127</v>
      </c>
      <c r="F1145">
        <v>2</v>
      </c>
      <c r="G1145" t="s">
        <v>23</v>
      </c>
      <c r="H1145">
        <v>27</v>
      </c>
      <c r="I1145" s="12" t="s">
        <v>34</v>
      </c>
      <c r="J1145" s="12" t="s">
        <v>609</v>
      </c>
      <c r="K1145" s="12" t="s">
        <v>52</v>
      </c>
      <c r="L1145" s="12" t="s">
        <v>568</v>
      </c>
      <c r="M1145" s="12" t="s">
        <v>28</v>
      </c>
      <c r="N1145" s="14">
        <v>0.03</v>
      </c>
      <c r="O1145" s="23">
        <v>67.55</v>
      </c>
      <c r="P1145">
        <v>38.76</v>
      </c>
      <c r="Q1145" s="12" t="str" cm="1">
        <f t="array" ref="Q1145:R1145">VLOOKUP(E1145,store[],{3,5},FALSE)</f>
        <v>South</v>
      </c>
      <c r="R1145" t="str">
        <v>Flagship</v>
      </c>
      <c r="S1145" s="4">
        <f t="shared" si="17"/>
        <v>135.04</v>
      </c>
    </row>
    <row r="1146" spans="1:19">
      <c r="A1146" t="s">
        <v>1917</v>
      </c>
      <c r="B1146" s="3">
        <v>45433</v>
      </c>
      <c r="C1146" t="s">
        <v>934</v>
      </c>
      <c r="D1146" t="s">
        <v>42</v>
      </c>
      <c r="E1146" t="s">
        <v>105</v>
      </c>
      <c r="F1146">
        <v>3</v>
      </c>
      <c r="G1146" t="s">
        <v>33</v>
      </c>
      <c r="H1146">
        <v>48</v>
      </c>
      <c r="I1146" s="12" t="s">
        <v>24</v>
      </c>
      <c r="J1146" s="12" t="s">
        <v>360</v>
      </c>
      <c r="K1146" s="12" t="s">
        <v>60</v>
      </c>
      <c r="L1146" s="12" t="s">
        <v>45</v>
      </c>
      <c r="M1146" s="12" t="s">
        <v>46</v>
      </c>
      <c r="N1146" s="14">
        <v>0.1</v>
      </c>
      <c r="O1146" s="23">
        <v>803.31</v>
      </c>
      <c r="P1146">
        <v>43.29</v>
      </c>
      <c r="Q1146" s="12" t="str" cm="1">
        <f t="array" ref="Q1146:R1146">VLOOKUP(E1146,store[],{3,5},FALSE)</f>
        <v>North</v>
      </c>
      <c r="R1146" t="str">
        <v>Flagship</v>
      </c>
      <c r="S1146" s="4">
        <f t="shared" si="17"/>
        <v>2409.63</v>
      </c>
    </row>
    <row r="1147" spans="1:19">
      <c r="A1147" t="s">
        <v>1918</v>
      </c>
      <c r="B1147" s="3">
        <v>45821</v>
      </c>
      <c r="C1147" t="s">
        <v>1919</v>
      </c>
      <c r="D1147" t="s">
        <v>226</v>
      </c>
      <c r="E1147" t="s">
        <v>149</v>
      </c>
      <c r="F1147">
        <v>4</v>
      </c>
      <c r="G1147" t="s">
        <v>50</v>
      </c>
      <c r="H1147">
        <v>37</v>
      </c>
      <c r="I1147" s="12" t="s">
        <v>24</v>
      </c>
      <c r="J1147" s="12" t="s">
        <v>204</v>
      </c>
      <c r="K1147" s="12" t="s">
        <v>73</v>
      </c>
      <c r="L1147" s="12" t="s">
        <v>228</v>
      </c>
      <c r="M1147" s="12" t="s">
        <v>46</v>
      </c>
      <c r="N1147" s="14">
        <v>0.2</v>
      </c>
      <c r="O1147" s="23">
        <v>254.71</v>
      </c>
      <c r="P1147">
        <v>337.42</v>
      </c>
      <c r="Q1147" s="12" t="str" cm="1">
        <f t="array" ref="Q1147:R1147">VLOOKUP(E1147,store[],{3,5},FALSE)</f>
        <v>East</v>
      </c>
      <c r="R1147" t="str">
        <v>Flagship</v>
      </c>
      <c r="S1147" s="4">
        <f t="shared" si="17"/>
        <v>1018.04</v>
      </c>
    </row>
    <row r="1148" spans="1:19">
      <c r="A1148" t="s">
        <v>1920</v>
      </c>
      <c r="B1148" s="3">
        <v>45508</v>
      </c>
      <c r="C1148" t="s">
        <v>1361</v>
      </c>
      <c r="D1148" t="s">
        <v>409</v>
      </c>
      <c r="E1148" t="s">
        <v>72</v>
      </c>
      <c r="F1148">
        <v>4</v>
      </c>
      <c r="G1148" t="s">
        <v>33</v>
      </c>
      <c r="H1148">
        <v>23</v>
      </c>
      <c r="I1148" s="12" t="s">
        <v>34</v>
      </c>
      <c r="J1148" s="12" t="s">
        <v>356</v>
      </c>
      <c r="K1148" s="12" t="s">
        <v>26</v>
      </c>
      <c r="L1148" s="12" t="s">
        <v>411</v>
      </c>
      <c r="M1148" s="12" t="s">
        <v>28</v>
      </c>
      <c r="N1148" s="14">
        <v>0.3</v>
      </c>
      <c r="O1148" s="23">
        <v>594.89</v>
      </c>
      <c r="P1148">
        <v>190.29</v>
      </c>
      <c r="Q1148" s="12" t="str" cm="1">
        <f t="array" ref="Q1148:R1148">VLOOKUP(E1148,store[],{3,5},FALSE)</f>
        <v>South</v>
      </c>
      <c r="R1148" t="str">
        <v>Online</v>
      </c>
      <c r="S1148" s="4">
        <f t="shared" si="17"/>
        <v>2378.36</v>
      </c>
    </row>
    <row r="1149" spans="1:19">
      <c r="A1149" t="s">
        <v>1921</v>
      </c>
      <c r="B1149" s="3">
        <v>45854</v>
      </c>
      <c r="C1149" t="s">
        <v>785</v>
      </c>
      <c r="D1149" t="s">
        <v>372</v>
      </c>
      <c r="E1149" t="s">
        <v>90</v>
      </c>
      <c r="F1149">
        <v>2</v>
      </c>
      <c r="G1149" t="s">
        <v>33</v>
      </c>
      <c r="H1149">
        <v>47</v>
      </c>
      <c r="I1149" s="12" t="s">
        <v>34</v>
      </c>
      <c r="J1149" s="12" t="s">
        <v>204</v>
      </c>
      <c r="K1149" s="12" t="s">
        <v>26</v>
      </c>
      <c r="L1149" s="12" t="s">
        <v>374</v>
      </c>
      <c r="M1149" s="12" t="s">
        <v>130</v>
      </c>
      <c r="N1149" s="14">
        <v>7.0000000000000007E-2</v>
      </c>
      <c r="O1149" s="23">
        <v>844.31</v>
      </c>
      <c r="P1149">
        <v>438.25</v>
      </c>
      <c r="Q1149" s="12" t="str" cm="1">
        <f t="array" ref="Q1149:R1149">VLOOKUP(E1149,store[],{3,5},FALSE)</f>
        <v>East</v>
      </c>
      <c r="R1149" t="str">
        <v>Flagship</v>
      </c>
      <c r="S1149" s="4">
        <f t="shared" si="17"/>
        <v>1688.48</v>
      </c>
    </row>
    <row r="1150" spans="1:19">
      <c r="A1150" t="s">
        <v>1922</v>
      </c>
      <c r="B1150" s="3">
        <v>45569</v>
      </c>
      <c r="C1150" t="s">
        <v>791</v>
      </c>
      <c r="D1150" t="s">
        <v>65</v>
      </c>
      <c r="E1150" t="s">
        <v>179</v>
      </c>
      <c r="F1150">
        <v>4</v>
      </c>
      <c r="G1150" t="s">
        <v>23</v>
      </c>
      <c r="H1150">
        <v>54</v>
      </c>
      <c r="I1150" s="12" t="s">
        <v>24</v>
      </c>
      <c r="J1150" s="12" t="s">
        <v>91</v>
      </c>
      <c r="K1150" s="12" t="s">
        <v>26</v>
      </c>
      <c r="L1150" s="12" t="s">
        <v>68</v>
      </c>
      <c r="M1150" s="12" t="s">
        <v>37</v>
      </c>
      <c r="N1150" s="14">
        <v>0</v>
      </c>
      <c r="O1150" s="23">
        <v>101.33</v>
      </c>
      <c r="P1150">
        <v>465.34</v>
      </c>
      <c r="Q1150" s="12" t="str" cm="1">
        <f t="array" ref="Q1150:R1150">VLOOKUP(E1150,store[],{3,5},FALSE)</f>
        <v>East</v>
      </c>
      <c r="R1150" t="str">
        <v>Online</v>
      </c>
      <c r="S1150" s="4">
        <f t="shared" si="17"/>
        <v>405.32</v>
      </c>
    </row>
    <row r="1151" spans="1:19">
      <c r="A1151" t="s">
        <v>1923</v>
      </c>
      <c r="B1151" s="3">
        <v>45824</v>
      </c>
      <c r="C1151" t="s">
        <v>417</v>
      </c>
      <c r="D1151" t="s">
        <v>246</v>
      </c>
      <c r="E1151" t="s">
        <v>43</v>
      </c>
      <c r="F1151">
        <v>3</v>
      </c>
      <c r="G1151" t="s">
        <v>33</v>
      </c>
      <c r="H1151">
        <v>34</v>
      </c>
      <c r="I1151" s="12" t="s">
        <v>34</v>
      </c>
      <c r="J1151" s="12" t="s">
        <v>59</v>
      </c>
      <c r="K1151" s="12" t="s">
        <v>73</v>
      </c>
      <c r="L1151" s="12" t="s">
        <v>247</v>
      </c>
      <c r="M1151" s="12" t="s">
        <v>37</v>
      </c>
      <c r="N1151" s="14">
        <v>0.18</v>
      </c>
      <c r="O1151" s="23">
        <v>922.56</v>
      </c>
      <c r="P1151">
        <v>322.41000000000003</v>
      </c>
      <c r="Q1151" s="12" t="str" cm="1">
        <f t="array" ref="Q1151:R1151">VLOOKUP(E1151,store[],{3,5},FALSE)</f>
        <v>West</v>
      </c>
      <c r="R1151" t="str">
        <v>Online</v>
      </c>
      <c r="S1151" s="4">
        <f t="shared" si="17"/>
        <v>2767.14</v>
      </c>
    </row>
    <row r="1152" spans="1:19">
      <c r="A1152" t="s">
        <v>1924</v>
      </c>
      <c r="B1152" s="3">
        <v>45352</v>
      </c>
      <c r="C1152" t="s">
        <v>1919</v>
      </c>
      <c r="D1152" t="s">
        <v>340</v>
      </c>
      <c r="E1152" t="s">
        <v>98</v>
      </c>
      <c r="F1152">
        <v>4</v>
      </c>
      <c r="G1152" t="s">
        <v>50</v>
      </c>
      <c r="H1152">
        <v>37</v>
      </c>
      <c r="I1152" s="12" t="s">
        <v>24</v>
      </c>
      <c r="J1152" s="12" t="s">
        <v>204</v>
      </c>
      <c r="K1152" s="12" t="s">
        <v>73</v>
      </c>
      <c r="L1152" s="12" t="s">
        <v>341</v>
      </c>
      <c r="M1152" s="12" t="s">
        <v>28</v>
      </c>
      <c r="N1152" s="14">
        <v>7.0000000000000007E-2</v>
      </c>
      <c r="O1152" s="23">
        <v>867.19</v>
      </c>
      <c r="P1152">
        <v>135.61000000000001</v>
      </c>
      <c r="Q1152" s="12" t="str" cm="1">
        <f t="array" ref="Q1152:R1152">VLOOKUP(E1152,store[],{3,5},FALSE)</f>
        <v>South</v>
      </c>
      <c r="R1152" t="str">
        <v>Outlet</v>
      </c>
      <c r="S1152" s="4">
        <f t="shared" si="17"/>
        <v>3468.48</v>
      </c>
    </row>
    <row r="1153" spans="1:19">
      <c r="A1153" t="s">
        <v>1925</v>
      </c>
      <c r="B1153" s="3">
        <v>45454</v>
      </c>
      <c r="C1153" t="s">
        <v>1013</v>
      </c>
      <c r="D1153" t="s">
        <v>359</v>
      </c>
      <c r="E1153" t="s">
        <v>32</v>
      </c>
      <c r="F1153">
        <v>3</v>
      </c>
      <c r="G1153" t="s">
        <v>33</v>
      </c>
      <c r="H1153">
        <v>29</v>
      </c>
      <c r="I1153" s="12" t="s">
        <v>34</v>
      </c>
      <c r="J1153" s="12" t="s">
        <v>345</v>
      </c>
      <c r="K1153" s="12" t="s">
        <v>52</v>
      </c>
      <c r="L1153" s="12" t="s">
        <v>361</v>
      </c>
      <c r="M1153" s="12" t="s">
        <v>46</v>
      </c>
      <c r="N1153" s="14">
        <v>0.14000000000000001</v>
      </c>
      <c r="O1153" s="23">
        <v>816.87</v>
      </c>
      <c r="P1153">
        <v>289.359375</v>
      </c>
      <c r="Q1153" s="12" t="str" cm="1">
        <f t="array" ref="Q1153:R1153">VLOOKUP(E1153,store[],{3,5},FALSE)</f>
        <v>North</v>
      </c>
      <c r="R1153" t="str">
        <v>Flagship</v>
      </c>
      <c r="S1153" s="4">
        <f t="shared" si="17"/>
        <v>2450.19</v>
      </c>
    </row>
    <row r="1154" spans="1:19">
      <c r="A1154" t="s">
        <v>1926</v>
      </c>
      <c r="B1154" s="3">
        <v>45924</v>
      </c>
      <c r="C1154" t="s">
        <v>1927</v>
      </c>
      <c r="D1154" t="s">
        <v>134</v>
      </c>
      <c r="E1154" t="s">
        <v>22</v>
      </c>
      <c r="F1154">
        <v>3</v>
      </c>
      <c r="G1154" t="s">
        <v>33</v>
      </c>
      <c r="H1154">
        <v>33</v>
      </c>
      <c r="I1154" s="12" t="s">
        <v>24</v>
      </c>
      <c r="J1154" s="12" t="s">
        <v>235</v>
      </c>
      <c r="K1154" s="12" t="s">
        <v>73</v>
      </c>
      <c r="L1154" s="12" t="s">
        <v>136</v>
      </c>
      <c r="M1154" s="12" t="s">
        <v>28</v>
      </c>
      <c r="N1154" s="14">
        <v>0</v>
      </c>
      <c r="O1154" s="23">
        <v>258.06</v>
      </c>
      <c r="P1154">
        <v>240.63</v>
      </c>
      <c r="Q1154" s="12" t="str" cm="1">
        <f t="array" ref="Q1154:R1154">VLOOKUP(E1154,store[],{3,5},FALSE)</f>
        <v>North</v>
      </c>
      <c r="R1154" t="str">
        <v>Outlet</v>
      </c>
      <c r="S1154" s="4">
        <f t="shared" ref="S1154:S1217" si="18">(O1154-N1154)*F1154</f>
        <v>774.18</v>
      </c>
    </row>
    <row r="1155" spans="1:19">
      <c r="A1155" t="s">
        <v>1928</v>
      </c>
      <c r="B1155" s="3">
        <v>45694</v>
      </c>
      <c r="C1155" t="s">
        <v>794</v>
      </c>
      <c r="D1155" t="s">
        <v>340</v>
      </c>
      <c r="E1155" t="s">
        <v>98</v>
      </c>
      <c r="F1155">
        <v>2</v>
      </c>
      <c r="G1155" t="s">
        <v>23</v>
      </c>
      <c r="H1155">
        <v>47</v>
      </c>
      <c r="I1155" s="12" t="s">
        <v>34</v>
      </c>
      <c r="J1155" s="12" t="s">
        <v>373</v>
      </c>
      <c r="K1155" s="12" t="s">
        <v>60</v>
      </c>
      <c r="L1155" s="12" t="s">
        <v>341</v>
      </c>
      <c r="M1155" s="12" t="s">
        <v>28</v>
      </c>
      <c r="N1155" s="14">
        <v>0.06</v>
      </c>
      <c r="O1155" s="23">
        <v>574.58000000000004</v>
      </c>
      <c r="P1155">
        <v>135.61000000000001</v>
      </c>
      <c r="Q1155" s="12" t="str" cm="1">
        <f t="array" ref="Q1155:R1155">VLOOKUP(E1155,store[],{3,5},FALSE)</f>
        <v>South</v>
      </c>
      <c r="R1155" t="str">
        <v>Outlet</v>
      </c>
      <c r="S1155" s="4">
        <f t="shared" si="18"/>
        <v>1149.04</v>
      </c>
    </row>
    <row r="1156" spans="1:19">
      <c r="A1156" t="s">
        <v>1929</v>
      </c>
      <c r="B1156" s="3">
        <v>45587</v>
      </c>
      <c r="C1156" t="s">
        <v>550</v>
      </c>
      <c r="D1156" t="s">
        <v>359</v>
      </c>
      <c r="E1156" t="s">
        <v>179</v>
      </c>
      <c r="F1156">
        <v>2</v>
      </c>
      <c r="G1156" t="s">
        <v>33</v>
      </c>
      <c r="H1156">
        <v>33</v>
      </c>
      <c r="I1156" s="12" t="s">
        <v>34</v>
      </c>
      <c r="J1156" s="12" t="s">
        <v>218</v>
      </c>
      <c r="K1156" s="12" t="s">
        <v>60</v>
      </c>
      <c r="L1156" s="12" t="s">
        <v>361</v>
      </c>
      <c r="M1156" s="12" t="s">
        <v>46</v>
      </c>
      <c r="N1156" s="14">
        <v>0.27</v>
      </c>
      <c r="O1156" s="23">
        <v>472.18</v>
      </c>
      <c r="P1156">
        <v>289.359375</v>
      </c>
      <c r="Q1156" s="12" t="str" cm="1">
        <f t="array" ref="Q1156:R1156">VLOOKUP(E1156,store[],{3,5},FALSE)</f>
        <v>East</v>
      </c>
      <c r="R1156" t="str">
        <v>Online</v>
      </c>
      <c r="S1156" s="4">
        <f t="shared" si="18"/>
        <v>943.82</v>
      </c>
    </row>
    <row r="1157" spans="1:19">
      <c r="A1157" t="s">
        <v>1930</v>
      </c>
      <c r="B1157" s="3">
        <v>45556</v>
      </c>
      <c r="C1157" t="s">
        <v>1931</v>
      </c>
      <c r="D1157" t="s">
        <v>745</v>
      </c>
      <c r="E1157" t="s">
        <v>58</v>
      </c>
      <c r="F1157">
        <v>2</v>
      </c>
      <c r="G1157" t="s">
        <v>50</v>
      </c>
      <c r="H1157">
        <v>27</v>
      </c>
      <c r="I1157" s="12" t="s">
        <v>24</v>
      </c>
      <c r="J1157" s="12" t="s">
        <v>491</v>
      </c>
      <c r="K1157" s="12" t="s">
        <v>73</v>
      </c>
      <c r="L1157" s="12" t="s">
        <v>746</v>
      </c>
      <c r="M1157" s="12" t="s">
        <v>28</v>
      </c>
      <c r="N1157" s="14">
        <v>0.12</v>
      </c>
      <c r="O1157" s="23">
        <v>20.47</v>
      </c>
      <c r="P1157">
        <v>313.26</v>
      </c>
      <c r="Q1157" s="12" t="str" cm="1">
        <f t="array" ref="Q1157:R1157">VLOOKUP(E1157,store[],{3,5},FALSE)</f>
        <v>North</v>
      </c>
      <c r="R1157" t="str">
        <v>Outlet</v>
      </c>
      <c r="S1157" s="4">
        <f t="shared" si="18"/>
        <v>40.700000000000003</v>
      </c>
    </row>
    <row r="1158" spans="1:19">
      <c r="A1158" t="s">
        <v>1932</v>
      </c>
      <c r="B1158" s="3">
        <v>45923</v>
      </c>
      <c r="C1158" t="s">
        <v>740</v>
      </c>
      <c r="D1158" t="s">
        <v>443</v>
      </c>
      <c r="E1158" t="s">
        <v>66</v>
      </c>
      <c r="F1158">
        <v>3</v>
      </c>
      <c r="G1158" t="s">
        <v>33</v>
      </c>
      <c r="H1158">
        <v>52</v>
      </c>
      <c r="I1158" s="12" t="s">
        <v>34</v>
      </c>
      <c r="J1158" s="12" t="s">
        <v>609</v>
      </c>
      <c r="K1158" s="12" t="s">
        <v>60</v>
      </c>
      <c r="L1158" s="12" t="s">
        <v>445</v>
      </c>
      <c r="M1158" s="12" t="s">
        <v>28</v>
      </c>
      <c r="N1158" s="14">
        <v>0.15</v>
      </c>
      <c r="O1158" s="23">
        <v>235.41</v>
      </c>
      <c r="P1158">
        <v>484.62</v>
      </c>
      <c r="Q1158" s="12" t="str" cm="1">
        <f t="array" ref="Q1158:R1158">VLOOKUP(E1158,store[],{3,5},FALSE)</f>
        <v>South</v>
      </c>
      <c r="R1158" t="str">
        <v>Online</v>
      </c>
      <c r="S1158" s="4">
        <f t="shared" si="18"/>
        <v>705.78</v>
      </c>
    </row>
    <row r="1159" spans="1:19">
      <c r="A1159" t="s">
        <v>1933</v>
      </c>
      <c r="B1159" s="3">
        <v>45811</v>
      </c>
      <c r="C1159" t="s">
        <v>1545</v>
      </c>
      <c r="D1159" t="s">
        <v>267</v>
      </c>
      <c r="E1159" t="s">
        <v>66</v>
      </c>
      <c r="F1159">
        <v>3</v>
      </c>
      <c r="G1159" t="s">
        <v>33</v>
      </c>
      <c r="H1159">
        <v>29</v>
      </c>
      <c r="I1159" s="12" t="s">
        <v>24</v>
      </c>
      <c r="J1159" s="12" t="s">
        <v>235</v>
      </c>
      <c r="K1159" s="12" t="s">
        <v>73</v>
      </c>
      <c r="L1159" s="12" t="s">
        <v>268</v>
      </c>
      <c r="M1159" s="12" t="s">
        <v>75</v>
      </c>
      <c r="N1159" s="14">
        <v>0.27</v>
      </c>
      <c r="O1159" s="23">
        <v>744.9</v>
      </c>
      <c r="P1159">
        <v>325.26</v>
      </c>
      <c r="Q1159" s="12" t="str" cm="1">
        <f t="array" ref="Q1159:R1159">VLOOKUP(E1159,store[],{3,5},FALSE)</f>
        <v>South</v>
      </c>
      <c r="R1159" t="str">
        <v>Online</v>
      </c>
      <c r="S1159" s="4">
        <f t="shared" si="18"/>
        <v>2233.89</v>
      </c>
    </row>
    <row r="1160" spans="1:19">
      <c r="A1160" t="s">
        <v>1934</v>
      </c>
      <c r="B1160" s="3">
        <v>45559</v>
      </c>
      <c r="C1160" t="s">
        <v>857</v>
      </c>
      <c r="D1160" t="s">
        <v>928</v>
      </c>
      <c r="E1160" t="s">
        <v>22</v>
      </c>
      <c r="F1160">
        <v>2</v>
      </c>
      <c r="G1160" t="s">
        <v>23</v>
      </c>
      <c r="H1160">
        <v>54</v>
      </c>
      <c r="I1160" s="12" t="s">
        <v>34</v>
      </c>
      <c r="J1160" s="12" t="s">
        <v>99</v>
      </c>
      <c r="K1160" s="12" t="s">
        <v>60</v>
      </c>
      <c r="L1160" s="12" t="s">
        <v>929</v>
      </c>
      <c r="M1160" s="12" t="s">
        <v>130</v>
      </c>
      <c r="N1160" s="14">
        <v>0.15</v>
      </c>
      <c r="O1160" s="23">
        <v>382.2</v>
      </c>
      <c r="P1160">
        <v>245.77831168831199</v>
      </c>
      <c r="Q1160" s="12" t="str" cm="1">
        <f t="array" ref="Q1160:R1160">VLOOKUP(E1160,store[],{3,5},FALSE)</f>
        <v>North</v>
      </c>
      <c r="R1160" t="str">
        <v>Outlet</v>
      </c>
      <c r="S1160" s="4">
        <f t="shared" si="18"/>
        <v>764.1</v>
      </c>
    </row>
    <row r="1161" spans="1:19">
      <c r="A1161" t="s">
        <v>1935</v>
      </c>
      <c r="B1161" s="3">
        <v>45881</v>
      </c>
      <c r="C1161" t="s">
        <v>48</v>
      </c>
      <c r="D1161" t="s">
        <v>453</v>
      </c>
      <c r="E1161" t="s">
        <v>117</v>
      </c>
      <c r="F1161">
        <v>1</v>
      </c>
      <c r="G1161" t="s">
        <v>33</v>
      </c>
      <c r="H1161">
        <v>58</v>
      </c>
      <c r="I1161" s="12" t="s">
        <v>34</v>
      </c>
      <c r="J1161" s="12" t="s">
        <v>51</v>
      </c>
      <c r="K1161" s="12" t="s">
        <v>52</v>
      </c>
      <c r="L1161" s="12" t="s">
        <v>454</v>
      </c>
      <c r="M1161" s="12" t="s">
        <v>37</v>
      </c>
      <c r="N1161" s="14">
        <v>0.14000000000000001</v>
      </c>
      <c r="O1161" s="23">
        <v>269.25</v>
      </c>
      <c r="P1161">
        <v>340.14</v>
      </c>
      <c r="Q1161" s="12" t="str" cm="1">
        <f t="array" ref="Q1161:R1161">VLOOKUP(E1161,store[],{3,5},FALSE)</f>
        <v>West</v>
      </c>
      <c r="R1161" t="str">
        <v>Flagship</v>
      </c>
      <c r="S1161" s="4">
        <f t="shared" si="18"/>
        <v>269.11</v>
      </c>
    </row>
    <row r="1162" spans="1:19">
      <c r="A1162" t="s">
        <v>1936</v>
      </c>
      <c r="B1162" s="3">
        <v>45367</v>
      </c>
      <c r="C1162" t="s">
        <v>1152</v>
      </c>
      <c r="D1162" t="s">
        <v>271</v>
      </c>
      <c r="E1162" t="s">
        <v>272</v>
      </c>
      <c r="F1162">
        <v>2</v>
      </c>
      <c r="G1162" t="s">
        <v>33</v>
      </c>
      <c r="H1162">
        <v>63</v>
      </c>
      <c r="I1162" s="12" t="s">
        <v>34</v>
      </c>
      <c r="J1162" s="12" t="s">
        <v>444</v>
      </c>
      <c r="K1162" s="12" t="s">
        <v>52</v>
      </c>
      <c r="L1162" s="12" t="s">
        <v>273</v>
      </c>
      <c r="M1162" s="12" t="s">
        <v>75</v>
      </c>
      <c r="N1162" s="14">
        <v>0.03</v>
      </c>
      <c r="O1162" s="23">
        <v>723.75</v>
      </c>
      <c r="P1162">
        <v>19.52</v>
      </c>
      <c r="Q1162" s="12" t="str" cm="1">
        <f t="array" ref="Q1162:R1162">VLOOKUP(E1162,store[],{3,5},FALSE)</f>
        <v>South</v>
      </c>
      <c r="R1162" t="str">
        <v>Online</v>
      </c>
      <c r="S1162" s="4">
        <f t="shared" si="18"/>
        <v>1447.44</v>
      </c>
    </row>
    <row r="1163" spans="1:19">
      <c r="A1163" t="s">
        <v>1937</v>
      </c>
      <c r="B1163" s="3">
        <v>45832</v>
      </c>
      <c r="C1163" t="s">
        <v>1379</v>
      </c>
      <c r="D1163" t="s">
        <v>314</v>
      </c>
      <c r="E1163" t="s">
        <v>135</v>
      </c>
      <c r="F1163">
        <v>4</v>
      </c>
      <c r="G1163" t="s">
        <v>23</v>
      </c>
      <c r="H1163">
        <v>59</v>
      </c>
      <c r="I1163" s="12" t="s">
        <v>24</v>
      </c>
      <c r="J1163" s="12" t="s">
        <v>440</v>
      </c>
      <c r="K1163" s="12" t="s">
        <v>52</v>
      </c>
      <c r="L1163" s="12" t="s">
        <v>315</v>
      </c>
      <c r="M1163" s="12" t="s">
        <v>28</v>
      </c>
      <c r="N1163" s="14">
        <v>0.18</v>
      </c>
      <c r="O1163" s="23">
        <v>58.92</v>
      </c>
      <c r="P1163">
        <v>21.34</v>
      </c>
      <c r="Q1163" s="12" t="str" cm="1">
        <f t="array" ref="Q1163:R1163">VLOOKUP(E1163,store[],{3,5},FALSE)</f>
        <v>East</v>
      </c>
      <c r="R1163" t="str">
        <v>Online</v>
      </c>
      <c r="S1163" s="4">
        <f t="shared" si="18"/>
        <v>234.96</v>
      </c>
    </row>
    <row r="1164" spans="1:19">
      <c r="A1164" t="s">
        <v>1938</v>
      </c>
      <c r="B1164" s="3">
        <v>45438</v>
      </c>
      <c r="C1164" t="s">
        <v>1220</v>
      </c>
      <c r="D1164" t="s">
        <v>368</v>
      </c>
      <c r="E1164" t="s">
        <v>168</v>
      </c>
      <c r="F1164">
        <v>2</v>
      </c>
      <c r="G1164" t="s">
        <v>23</v>
      </c>
      <c r="H1164">
        <v>42</v>
      </c>
      <c r="I1164" s="12" t="s">
        <v>24</v>
      </c>
      <c r="J1164" s="12" t="s">
        <v>222</v>
      </c>
      <c r="K1164" s="12" t="s">
        <v>60</v>
      </c>
      <c r="L1164" s="12" t="s">
        <v>369</v>
      </c>
      <c r="M1164" s="12" t="s">
        <v>46</v>
      </c>
      <c r="N1164" s="14">
        <v>0.26</v>
      </c>
      <c r="O1164" s="23">
        <v>913.08</v>
      </c>
      <c r="P1164">
        <v>214.32</v>
      </c>
      <c r="Q1164" s="12" t="str" cm="1">
        <f t="array" ref="Q1164:R1164">VLOOKUP(E1164,store[],{3,5},FALSE)</f>
        <v>East</v>
      </c>
      <c r="R1164" t="str">
        <v>Online</v>
      </c>
      <c r="S1164" s="4">
        <f t="shared" si="18"/>
        <v>1825.64</v>
      </c>
    </row>
    <row r="1165" spans="1:19">
      <c r="A1165" t="s">
        <v>1939</v>
      </c>
      <c r="B1165" s="3">
        <v>45691</v>
      </c>
      <c r="C1165" t="s">
        <v>1248</v>
      </c>
      <c r="D1165" t="s">
        <v>630</v>
      </c>
      <c r="E1165" t="s">
        <v>105</v>
      </c>
      <c r="F1165">
        <v>1</v>
      </c>
      <c r="G1165" t="s">
        <v>33</v>
      </c>
      <c r="H1165">
        <v>58</v>
      </c>
      <c r="I1165" s="12" t="s">
        <v>34</v>
      </c>
      <c r="J1165" s="12" t="s">
        <v>440</v>
      </c>
      <c r="K1165" s="12" t="s">
        <v>60</v>
      </c>
      <c r="L1165" s="12" t="s">
        <v>631</v>
      </c>
      <c r="M1165" s="12" t="s">
        <v>28</v>
      </c>
      <c r="N1165" s="14">
        <v>0.28000000000000003</v>
      </c>
      <c r="O1165" s="23">
        <v>791.83</v>
      </c>
      <c r="P1165">
        <v>285.54000000000002</v>
      </c>
      <c r="Q1165" s="12" t="str" cm="1">
        <f t="array" ref="Q1165:R1165">VLOOKUP(E1165,store[],{3,5},FALSE)</f>
        <v>North</v>
      </c>
      <c r="R1165" t="str">
        <v>Flagship</v>
      </c>
      <c r="S1165" s="4">
        <f t="shared" si="18"/>
        <v>791.55</v>
      </c>
    </row>
    <row r="1166" spans="1:19">
      <c r="A1166" t="s">
        <v>1940</v>
      </c>
      <c r="B1166" s="3">
        <v>45506</v>
      </c>
      <c r="C1166" t="s">
        <v>756</v>
      </c>
      <c r="D1166" t="s">
        <v>414</v>
      </c>
      <c r="E1166" t="s">
        <v>122</v>
      </c>
      <c r="F1166">
        <v>1</v>
      </c>
      <c r="G1166" t="s">
        <v>50</v>
      </c>
      <c r="H1166">
        <v>42</v>
      </c>
      <c r="I1166" s="12" t="s">
        <v>24</v>
      </c>
      <c r="J1166" s="12" t="s">
        <v>111</v>
      </c>
      <c r="K1166" s="12" t="s">
        <v>52</v>
      </c>
      <c r="L1166" s="12" t="s">
        <v>415</v>
      </c>
      <c r="M1166" s="12" t="s">
        <v>130</v>
      </c>
      <c r="N1166" s="14">
        <v>0.3</v>
      </c>
      <c r="O1166" s="23">
        <v>74.290000000000006</v>
      </c>
      <c r="P1166">
        <v>364.67</v>
      </c>
      <c r="Q1166" s="12" t="str" cm="1">
        <f t="array" ref="Q1166:R1166">VLOOKUP(E1166,store[],{3,5},FALSE)</f>
        <v>North</v>
      </c>
      <c r="R1166" t="str">
        <v>Flagship</v>
      </c>
      <c r="S1166" s="4">
        <f t="shared" si="18"/>
        <v>73.989999999999995</v>
      </c>
    </row>
    <row r="1167" spans="1:19">
      <c r="A1167" t="s">
        <v>1941</v>
      </c>
      <c r="B1167" s="3">
        <v>45251</v>
      </c>
      <c r="C1167" t="s">
        <v>552</v>
      </c>
      <c r="D1167" t="s">
        <v>487</v>
      </c>
      <c r="E1167" t="s">
        <v>90</v>
      </c>
      <c r="F1167">
        <v>2</v>
      </c>
      <c r="G1167" t="s">
        <v>33</v>
      </c>
      <c r="H1167">
        <v>56</v>
      </c>
      <c r="I1167" s="12" t="s">
        <v>34</v>
      </c>
      <c r="J1167" s="12" t="s">
        <v>118</v>
      </c>
      <c r="K1167" s="12" t="s">
        <v>26</v>
      </c>
      <c r="L1167" s="12" t="s">
        <v>488</v>
      </c>
      <c r="M1167" s="12" t="s">
        <v>75</v>
      </c>
      <c r="N1167" s="14">
        <v>0.27</v>
      </c>
      <c r="O1167" s="23">
        <v>961.68</v>
      </c>
      <c r="P1167">
        <v>382.22</v>
      </c>
      <c r="Q1167" s="12" t="str" cm="1">
        <f t="array" ref="Q1167:R1167">VLOOKUP(E1167,store[],{3,5},FALSE)</f>
        <v>East</v>
      </c>
      <c r="R1167" t="str">
        <v>Flagship</v>
      </c>
      <c r="S1167" s="4">
        <f t="shared" si="18"/>
        <v>1922.82</v>
      </c>
    </row>
    <row r="1168" spans="1:19">
      <c r="A1168" t="s">
        <v>1942</v>
      </c>
      <c r="B1168" s="3">
        <v>45722</v>
      </c>
      <c r="C1168" t="s">
        <v>722</v>
      </c>
      <c r="D1168" t="s">
        <v>314</v>
      </c>
      <c r="E1168" t="s">
        <v>98</v>
      </c>
      <c r="F1168">
        <v>1</v>
      </c>
      <c r="G1168" t="s">
        <v>33</v>
      </c>
      <c r="H1168">
        <v>21</v>
      </c>
      <c r="I1168" s="12" t="s">
        <v>24</v>
      </c>
      <c r="J1168" s="12" t="s">
        <v>118</v>
      </c>
      <c r="K1168" s="12" t="s">
        <v>26</v>
      </c>
      <c r="L1168" s="12" t="s">
        <v>315</v>
      </c>
      <c r="M1168" s="12" t="s">
        <v>28</v>
      </c>
      <c r="N1168" s="14">
        <v>0.1</v>
      </c>
      <c r="O1168" s="23">
        <v>90.72</v>
      </c>
      <c r="P1168">
        <v>21.34</v>
      </c>
      <c r="Q1168" s="12" t="str" cm="1">
        <f t="array" ref="Q1168:R1168">VLOOKUP(E1168,store[],{3,5},FALSE)</f>
        <v>South</v>
      </c>
      <c r="R1168" t="str">
        <v>Outlet</v>
      </c>
      <c r="S1168" s="4">
        <f t="shared" si="18"/>
        <v>90.62</v>
      </c>
    </row>
    <row r="1169" spans="1:19">
      <c r="A1169" t="s">
        <v>1943</v>
      </c>
      <c r="B1169" s="3">
        <v>45689</v>
      </c>
      <c r="C1169" t="s">
        <v>1683</v>
      </c>
      <c r="D1169" t="s">
        <v>714</v>
      </c>
      <c r="E1169" t="s">
        <v>66</v>
      </c>
      <c r="F1169">
        <v>1</v>
      </c>
      <c r="G1169" t="s">
        <v>33</v>
      </c>
      <c r="H1169">
        <v>22</v>
      </c>
      <c r="I1169" s="12" t="s">
        <v>34</v>
      </c>
      <c r="J1169" s="12" t="s">
        <v>444</v>
      </c>
      <c r="K1169" s="12" t="s">
        <v>60</v>
      </c>
      <c r="L1169" s="12" t="s">
        <v>715</v>
      </c>
      <c r="M1169" s="12" t="s">
        <v>130</v>
      </c>
      <c r="N1169" s="14">
        <v>0.16</v>
      </c>
      <c r="O1169" s="23">
        <v>458.69</v>
      </c>
      <c r="P1169">
        <v>113.83</v>
      </c>
      <c r="Q1169" s="12" t="str" cm="1">
        <f t="array" ref="Q1169:R1169">VLOOKUP(E1169,store[],{3,5},FALSE)</f>
        <v>South</v>
      </c>
      <c r="R1169" t="str">
        <v>Online</v>
      </c>
      <c r="S1169" s="4">
        <f t="shared" si="18"/>
        <v>458.53</v>
      </c>
    </row>
    <row r="1170" spans="1:19">
      <c r="A1170" t="s">
        <v>1944</v>
      </c>
      <c r="B1170" s="3">
        <v>45346</v>
      </c>
      <c r="C1170" t="s">
        <v>474</v>
      </c>
      <c r="D1170" t="s">
        <v>116</v>
      </c>
      <c r="E1170" t="s">
        <v>66</v>
      </c>
      <c r="F1170">
        <v>1</v>
      </c>
      <c r="G1170" t="s">
        <v>33</v>
      </c>
      <c r="H1170">
        <v>22</v>
      </c>
      <c r="I1170" s="12" t="s">
        <v>34</v>
      </c>
      <c r="J1170" s="12" t="s">
        <v>457</v>
      </c>
      <c r="K1170" s="12" t="s">
        <v>73</v>
      </c>
      <c r="L1170" s="12" t="s">
        <v>119</v>
      </c>
      <c r="M1170" s="12" t="s">
        <v>37</v>
      </c>
      <c r="N1170" s="14">
        <v>0.05</v>
      </c>
      <c r="O1170" s="23">
        <v>168.29</v>
      </c>
      <c r="P1170">
        <v>419.28</v>
      </c>
      <c r="Q1170" s="12" t="str" cm="1">
        <f t="array" ref="Q1170:R1170">VLOOKUP(E1170,store[],{3,5},FALSE)</f>
        <v>South</v>
      </c>
      <c r="R1170" t="str">
        <v>Online</v>
      </c>
      <c r="S1170" s="4">
        <f t="shared" si="18"/>
        <v>168.24</v>
      </c>
    </row>
    <row r="1171" spans="1:19">
      <c r="A1171" t="s">
        <v>1945</v>
      </c>
      <c r="B1171" s="3">
        <v>45549</v>
      </c>
      <c r="C1171" t="s">
        <v>833</v>
      </c>
      <c r="D1171" t="s">
        <v>377</v>
      </c>
      <c r="E1171" t="s">
        <v>32</v>
      </c>
      <c r="F1171">
        <v>1</v>
      </c>
      <c r="G1171" t="s">
        <v>33</v>
      </c>
      <c r="H1171">
        <v>20</v>
      </c>
      <c r="I1171" s="12" t="s">
        <v>34</v>
      </c>
      <c r="J1171" s="12" t="s">
        <v>373</v>
      </c>
      <c r="K1171" s="12" t="s">
        <v>60</v>
      </c>
      <c r="L1171" s="12" t="s">
        <v>379</v>
      </c>
      <c r="M1171" s="12" t="s">
        <v>28</v>
      </c>
      <c r="N1171" s="14">
        <v>0.1</v>
      </c>
      <c r="O1171" s="23">
        <v>391.77</v>
      </c>
      <c r="P1171">
        <v>144.53</v>
      </c>
      <c r="Q1171" s="12" t="str" cm="1">
        <f t="array" ref="Q1171:R1171">VLOOKUP(E1171,store[],{3,5},FALSE)</f>
        <v>North</v>
      </c>
      <c r="R1171" t="str">
        <v>Flagship</v>
      </c>
      <c r="S1171" s="4">
        <f t="shared" si="18"/>
        <v>391.67</v>
      </c>
    </row>
    <row r="1172" spans="1:19">
      <c r="A1172" t="s">
        <v>1946</v>
      </c>
      <c r="B1172" s="3">
        <v>45900</v>
      </c>
      <c r="C1172" t="s">
        <v>497</v>
      </c>
      <c r="D1172" t="s">
        <v>173</v>
      </c>
      <c r="E1172" t="s">
        <v>98</v>
      </c>
      <c r="F1172">
        <v>1</v>
      </c>
      <c r="G1172" t="s">
        <v>50</v>
      </c>
      <c r="H1172">
        <v>38</v>
      </c>
      <c r="I1172" s="12" t="s">
        <v>24</v>
      </c>
      <c r="J1172" s="12" t="s">
        <v>498</v>
      </c>
      <c r="K1172" s="12" t="s">
        <v>73</v>
      </c>
      <c r="L1172" s="12" t="s">
        <v>174</v>
      </c>
      <c r="M1172" s="12" t="s">
        <v>46</v>
      </c>
      <c r="N1172" s="14">
        <v>0.05</v>
      </c>
      <c r="O1172" s="23">
        <v>424.83</v>
      </c>
      <c r="P1172">
        <v>115.82</v>
      </c>
      <c r="Q1172" s="12" t="str" cm="1">
        <f t="array" ref="Q1172:R1172">VLOOKUP(E1172,store[],{3,5},FALSE)</f>
        <v>South</v>
      </c>
      <c r="R1172" t="str">
        <v>Outlet</v>
      </c>
      <c r="S1172" s="4">
        <f t="shared" si="18"/>
        <v>424.78</v>
      </c>
    </row>
    <row r="1173" spans="1:19">
      <c r="A1173" t="s">
        <v>1947</v>
      </c>
      <c r="B1173" s="3">
        <v>45308</v>
      </c>
      <c r="C1173" t="s">
        <v>1042</v>
      </c>
      <c r="D1173" t="s">
        <v>555</v>
      </c>
      <c r="E1173" t="s">
        <v>22</v>
      </c>
      <c r="F1173">
        <v>1</v>
      </c>
      <c r="G1173" t="s">
        <v>23</v>
      </c>
      <c r="H1173">
        <v>37</v>
      </c>
      <c r="I1173" s="12" t="s">
        <v>34</v>
      </c>
      <c r="J1173" s="12" t="s">
        <v>209</v>
      </c>
      <c r="K1173" s="12" t="s">
        <v>26</v>
      </c>
      <c r="L1173" s="12" t="s">
        <v>556</v>
      </c>
      <c r="M1173" s="12" t="s">
        <v>37</v>
      </c>
      <c r="N1173" s="14">
        <v>0.1</v>
      </c>
      <c r="O1173" s="23">
        <v>499.46</v>
      </c>
      <c r="P1173">
        <v>449.4</v>
      </c>
      <c r="Q1173" s="12" t="str" cm="1">
        <f t="array" ref="Q1173:R1173">VLOOKUP(E1173,store[],{3,5},FALSE)</f>
        <v>North</v>
      </c>
      <c r="R1173" t="str">
        <v>Outlet</v>
      </c>
      <c r="S1173" s="4">
        <f t="shared" si="18"/>
        <v>499.36</v>
      </c>
    </row>
    <row r="1174" spans="1:19">
      <c r="A1174" t="s">
        <v>1948</v>
      </c>
      <c r="B1174" s="3">
        <v>45336</v>
      </c>
      <c r="C1174" t="s">
        <v>353</v>
      </c>
      <c r="D1174" t="s">
        <v>85</v>
      </c>
      <c r="E1174" t="s">
        <v>105</v>
      </c>
      <c r="F1174">
        <v>2</v>
      </c>
      <c r="G1174" t="s">
        <v>33</v>
      </c>
      <c r="H1174">
        <v>46</v>
      </c>
      <c r="I1174" s="12" t="s">
        <v>34</v>
      </c>
      <c r="J1174" s="12" t="s">
        <v>204</v>
      </c>
      <c r="K1174" s="12" t="s">
        <v>52</v>
      </c>
      <c r="L1174" s="12" t="s">
        <v>86</v>
      </c>
      <c r="M1174" s="12" t="s">
        <v>75</v>
      </c>
      <c r="N1174" s="14">
        <v>0.15</v>
      </c>
      <c r="O1174" s="23">
        <v>698.34</v>
      </c>
      <c r="P1174">
        <v>201.41</v>
      </c>
      <c r="Q1174" s="12" t="str" cm="1">
        <f t="array" ref="Q1174:R1174">VLOOKUP(E1174,store[],{3,5},FALSE)</f>
        <v>North</v>
      </c>
      <c r="R1174" t="str">
        <v>Flagship</v>
      </c>
      <c r="S1174" s="4">
        <f t="shared" si="18"/>
        <v>1396.38</v>
      </c>
    </row>
    <row r="1175" spans="1:19">
      <c r="A1175" t="s">
        <v>1949</v>
      </c>
      <c r="B1175" s="3">
        <v>45213</v>
      </c>
      <c r="C1175" t="s">
        <v>1567</v>
      </c>
      <c r="D1175" t="s">
        <v>71</v>
      </c>
      <c r="E1175" t="s">
        <v>117</v>
      </c>
      <c r="F1175">
        <v>2</v>
      </c>
      <c r="G1175" t="s">
        <v>33</v>
      </c>
      <c r="H1175">
        <v>54</v>
      </c>
      <c r="I1175" s="12" t="s">
        <v>34</v>
      </c>
      <c r="J1175" s="12" t="s">
        <v>25</v>
      </c>
      <c r="K1175" s="12" t="s">
        <v>60</v>
      </c>
      <c r="L1175" s="12" t="s">
        <v>74</v>
      </c>
      <c r="M1175" s="12" t="s">
        <v>75</v>
      </c>
      <c r="N1175" s="14">
        <v>0.27</v>
      </c>
      <c r="O1175" s="23">
        <v>805.08</v>
      </c>
      <c r="P1175">
        <v>461.47</v>
      </c>
      <c r="Q1175" s="12" t="str" cm="1">
        <f t="array" ref="Q1175:R1175">VLOOKUP(E1175,store[],{3,5},FALSE)</f>
        <v>West</v>
      </c>
      <c r="R1175" t="str">
        <v>Flagship</v>
      </c>
      <c r="S1175" s="4">
        <f t="shared" si="18"/>
        <v>1609.62</v>
      </c>
    </row>
    <row r="1176" spans="1:19">
      <c r="A1176" t="s">
        <v>1950</v>
      </c>
      <c r="B1176" s="3">
        <v>45742</v>
      </c>
      <c r="C1176" t="s">
        <v>819</v>
      </c>
      <c r="D1176" t="s">
        <v>49</v>
      </c>
      <c r="E1176" t="s">
        <v>198</v>
      </c>
      <c r="F1176">
        <v>4</v>
      </c>
      <c r="G1176" t="s">
        <v>33</v>
      </c>
      <c r="H1176">
        <v>18</v>
      </c>
      <c r="I1176" s="12" t="s">
        <v>24</v>
      </c>
      <c r="J1176" s="12" t="s">
        <v>510</v>
      </c>
      <c r="K1176" s="12" t="s">
        <v>60</v>
      </c>
      <c r="L1176" s="12" t="s">
        <v>53</v>
      </c>
      <c r="M1176" s="12" t="s">
        <v>37</v>
      </c>
      <c r="N1176" s="14">
        <v>0.08</v>
      </c>
      <c r="O1176" s="23">
        <v>934.79</v>
      </c>
      <c r="P1176">
        <v>392.89</v>
      </c>
      <c r="Q1176" s="12" t="str" cm="1">
        <f t="array" ref="Q1176:R1176">VLOOKUP(E1176,store[],{3,5},FALSE)</f>
        <v>South</v>
      </c>
      <c r="R1176" t="str">
        <v>Outlet</v>
      </c>
      <c r="S1176" s="4">
        <f t="shared" si="18"/>
        <v>3738.84</v>
      </c>
    </row>
    <row r="1177" spans="1:19">
      <c r="A1177" t="s">
        <v>1951</v>
      </c>
      <c r="B1177" s="3">
        <v>45932</v>
      </c>
      <c r="C1177" t="s">
        <v>353</v>
      </c>
      <c r="D1177" t="s">
        <v>148</v>
      </c>
      <c r="E1177" t="s">
        <v>105</v>
      </c>
      <c r="F1177">
        <v>2</v>
      </c>
      <c r="G1177" t="s">
        <v>33</v>
      </c>
      <c r="H1177">
        <v>46</v>
      </c>
      <c r="I1177" s="12" t="s">
        <v>34</v>
      </c>
      <c r="J1177" s="12" t="s">
        <v>204</v>
      </c>
      <c r="K1177" s="12" t="s">
        <v>52</v>
      </c>
      <c r="L1177" s="12" t="s">
        <v>150</v>
      </c>
      <c r="M1177" s="12" t="s">
        <v>46</v>
      </c>
      <c r="N1177" s="14">
        <v>0.24</v>
      </c>
      <c r="O1177" s="23">
        <v>424.54</v>
      </c>
      <c r="P1177">
        <v>482.75</v>
      </c>
      <c r="Q1177" s="12" t="str" cm="1">
        <f t="array" ref="Q1177:R1177">VLOOKUP(E1177,store[],{3,5},FALSE)</f>
        <v>North</v>
      </c>
      <c r="R1177" t="str">
        <v>Flagship</v>
      </c>
      <c r="S1177" s="4">
        <f t="shared" si="18"/>
        <v>848.6</v>
      </c>
    </row>
    <row r="1178" spans="1:19">
      <c r="A1178" t="s">
        <v>1952</v>
      </c>
      <c r="B1178" s="3">
        <v>45462</v>
      </c>
      <c r="C1178" t="s">
        <v>388</v>
      </c>
      <c r="D1178" t="s">
        <v>814</v>
      </c>
      <c r="E1178" t="s">
        <v>32</v>
      </c>
      <c r="F1178">
        <v>1</v>
      </c>
      <c r="G1178" t="s">
        <v>50</v>
      </c>
      <c r="H1178">
        <v>62</v>
      </c>
      <c r="I1178" s="12" t="s">
        <v>34</v>
      </c>
      <c r="J1178" s="12" t="s">
        <v>161</v>
      </c>
      <c r="K1178" s="12" t="s">
        <v>73</v>
      </c>
      <c r="L1178" s="12" t="s">
        <v>815</v>
      </c>
      <c r="M1178" s="12" t="s">
        <v>75</v>
      </c>
      <c r="N1178" s="14">
        <v>0.19</v>
      </c>
      <c r="O1178" s="23">
        <v>235.44</v>
      </c>
      <c r="P1178">
        <v>388.46</v>
      </c>
      <c r="Q1178" s="12" t="str" cm="1">
        <f t="array" ref="Q1178:R1178">VLOOKUP(E1178,store[],{3,5},FALSE)</f>
        <v>North</v>
      </c>
      <c r="R1178" t="str">
        <v>Flagship</v>
      </c>
      <c r="S1178" s="4">
        <f t="shared" si="18"/>
        <v>235.25</v>
      </c>
    </row>
    <row r="1179" spans="1:19">
      <c r="A1179" t="s">
        <v>1953</v>
      </c>
      <c r="B1179" s="3">
        <v>45568</v>
      </c>
      <c r="C1179" t="s">
        <v>1481</v>
      </c>
      <c r="D1179" t="s">
        <v>42</v>
      </c>
      <c r="E1179" t="s">
        <v>149</v>
      </c>
      <c r="F1179">
        <v>2</v>
      </c>
      <c r="G1179" t="s">
        <v>23</v>
      </c>
      <c r="H1179">
        <v>64</v>
      </c>
      <c r="I1179" s="12" t="s">
        <v>24</v>
      </c>
      <c r="J1179" s="12" t="s">
        <v>761</v>
      </c>
      <c r="K1179" s="12" t="s">
        <v>52</v>
      </c>
      <c r="L1179" s="12" t="s">
        <v>45</v>
      </c>
      <c r="M1179" s="12" t="s">
        <v>46</v>
      </c>
      <c r="N1179" s="14">
        <v>0.27</v>
      </c>
      <c r="O1179" s="23">
        <v>620.71</v>
      </c>
      <c r="P1179">
        <v>43.29</v>
      </c>
      <c r="Q1179" s="12" t="str" cm="1">
        <f t="array" ref="Q1179:R1179">VLOOKUP(E1179,store[],{3,5},FALSE)</f>
        <v>East</v>
      </c>
      <c r="R1179" t="str">
        <v>Flagship</v>
      </c>
      <c r="S1179" s="4">
        <f t="shared" si="18"/>
        <v>1240.8800000000001</v>
      </c>
    </row>
    <row r="1180" spans="1:19">
      <c r="A1180" t="s">
        <v>1954</v>
      </c>
      <c r="B1180" s="3">
        <v>45397</v>
      </c>
      <c r="C1180" t="s">
        <v>363</v>
      </c>
      <c r="D1180" t="s">
        <v>226</v>
      </c>
      <c r="E1180" t="s">
        <v>272</v>
      </c>
      <c r="F1180">
        <v>2</v>
      </c>
      <c r="G1180" t="s">
        <v>33</v>
      </c>
      <c r="H1180">
        <v>53</v>
      </c>
      <c r="I1180" s="12" t="s">
        <v>34</v>
      </c>
      <c r="J1180" s="12" t="s">
        <v>188</v>
      </c>
      <c r="K1180" s="12" t="s">
        <v>52</v>
      </c>
      <c r="L1180" s="12" t="s">
        <v>228</v>
      </c>
      <c r="M1180" s="12" t="s">
        <v>46</v>
      </c>
      <c r="N1180" s="14">
        <v>0.13</v>
      </c>
      <c r="O1180" s="23">
        <v>851.77</v>
      </c>
      <c r="P1180">
        <v>337.42</v>
      </c>
      <c r="Q1180" s="12" t="str" cm="1">
        <f t="array" ref="Q1180:R1180">VLOOKUP(E1180,store[],{3,5},FALSE)</f>
        <v>South</v>
      </c>
      <c r="R1180" t="str">
        <v>Online</v>
      </c>
      <c r="S1180" s="4">
        <f t="shared" si="18"/>
        <v>1703.28</v>
      </c>
    </row>
    <row r="1181" spans="1:19">
      <c r="A1181" t="s">
        <v>1955</v>
      </c>
      <c r="B1181" s="3">
        <v>45569</v>
      </c>
      <c r="C1181" t="s">
        <v>338</v>
      </c>
      <c r="D1181" t="s">
        <v>344</v>
      </c>
      <c r="E1181" t="s">
        <v>105</v>
      </c>
      <c r="F1181">
        <v>3</v>
      </c>
      <c r="G1181" t="s">
        <v>23</v>
      </c>
      <c r="H1181">
        <v>36</v>
      </c>
      <c r="I1181" s="12" t="s">
        <v>34</v>
      </c>
      <c r="J1181" s="12" t="s">
        <v>235</v>
      </c>
      <c r="K1181" s="12" t="s">
        <v>52</v>
      </c>
      <c r="L1181" s="12" t="s">
        <v>347</v>
      </c>
      <c r="M1181" s="12" t="s">
        <v>28</v>
      </c>
      <c r="N1181" s="14">
        <v>0.2</v>
      </c>
      <c r="O1181" s="23">
        <v>876.01</v>
      </c>
      <c r="P1181">
        <v>318.91000000000003</v>
      </c>
      <c r="Q1181" s="12" t="str" cm="1">
        <f t="array" ref="Q1181:R1181">VLOOKUP(E1181,store[],{3,5},FALSE)</f>
        <v>North</v>
      </c>
      <c r="R1181" t="str">
        <v>Flagship</v>
      </c>
      <c r="S1181" s="4">
        <f t="shared" si="18"/>
        <v>2627.43</v>
      </c>
    </row>
    <row r="1182" spans="1:19">
      <c r="A1182" t="s">
        <v>1956</v>
      </c>
      <c r="B1182" s="3">
        <v>45353</v>
      </c>
      <c r="C1182" t="s">
        <v>133</v>
      </c>
      <c r="D1182" t="s">
        <v>139</v>
      </c>
      <c r="E1182" t="s">
        <v>127</v>
      </c>
      <c r="F1182">
        <v>2</v>
      </c>
      <c r="G1182" t="s">
        <v>50</v>
      </c>
      <c r="H1182">
        <v>38</v>
      </c>
      <c r="I1182" s="12" t="s">
        <v>24</v>
      </c>
      <c r="J1182" s="12" t="s">
        <v>99</v>
      </c>
      <c r="K1182" s="12" t="s">
        <v>26</v>
      </c>
      <c r="L1182" s="12" t="s">
        <v>141</v>
      </c>
      <c r="M1182" s="12" t="s">
        <v>75</v>
      </c>
      <c r="N1182" s="14">
        <v>0.15</v>
      </c>
      <c r="O1182" s="23">
        <v>717.21</v>
      </c>
      <c r="P1182">
        <v>250.02157142857101</v>
      </c>
      <c r="Q1182" s="12" t="str" cm="1">
        <f t="array" ref="Q1182:R1182">VLOOKUP(E1182,store[],{3,5},FALSE)</f>
        <v>South</v>
      </c>
      <c r="R1182" t="str">
        <v>Flagship</v>
      </c>
      <c r="S1182" s="4">
        <f t="shared" si="18"/>
        <v>1434.12</v>
      </c>
    </row>
    <row r="1183" spans="1:19">
      <c r="A1183" t="s">
        <v>1957</v>
      </c>
      <c r="B1183" s="3">
        <v>45343</v>
      </c>
      <c r="C1183" t="s">
        <v>41</v>
      </c>
      <c r="D1183" t="s">
        <v>745</v>
      </c>
      <c r="E1183" t="s">
        <v>43</v>
      </c>
      <c r="F1183">
        <v>2</v>
      </c>
      <c r="G1183" t="s">
        <v>23</v>
      </c>
      <c r="H1183">
        <v>49</v>
      </c>
      <c r="I1183" s="12" t="s">
        <v>34</v>
      </c>
      <c r="J1183" s="12" t="s">
        <v>44</v>
      </c>
      <c r="K1183" s="12" t="s">
        <v>26</v>
      </c>
      <c r="L1183" s="12" t="s">
        <v>746</v>
      </c>
      <c r="M1183" s="12" t="s">
        <v>28</v>
      </c>
      <c r="N1183" s="14">
        <v>0.05</v>
      </c>
      <c r="O1183" s="23">
        <v>871.43</v>
      </c>
      <c r="P1183">
        <v>313.26</v>
      </c>
      <c r="Q1183" s="12" t="str" cm="1">
        <f t="array" ref="Q1183:R1183">VLOOKUP(E1183,store[],{3,5},FALSE)</f>
        <v>West</v>
      </c>
      <c r="R1183" t="str">
        <v>Online</v>
      </c>
      <c r="S1183" s="4">
        <f t="shared" si="18"/>
        <v>1742.76</v>
      </c>
    </row>
    <row r="1184" spans="1:19">
      <c r="A1184" t="s">
        <v>1958</v>
      </c>
      <c r="B1184" s="3">
        <v>45321</v>
      </c>
      <c r="C1184" t="s">
        <v>217</v>
      </c>
      <c r="D1184" t="s">
        <v>126</v>
      </c>
      <c r="E1184" t="s">
        <v>66</v>
      </c>
      <c r="F1184">
        <v>1</v>
      </c>
      <c r="G1184" t="s">
        <v>23</v>
      </c>
      <c r="H1184">
        <v>62</v>
      </c>
      <c r="I1184" s="12" t="s">
        <v>34</v>
      </c>
      <c r="J1184" s="12" t="s">
        <v>218</v>
      </c>
      <c r="K1184" s="12" t="s">
        <v>52</v>
      </c>
      <c r="L1184" s="12" t="s">
        <v>129</v>
      </c>
      <c r="M1184" s="12" t="s">
        <v>130</v>
      </c>
      <c r="N1184" s="14">
        <v>0.18</v>
      </c>
      <c r="O1184" s="23">
        <v>514.65</v>
      </c>
      <c r="P1184">
        <v>223.43</v>
      </c>
      <c r="Q1184" s="12" t="str" cm="1">
        <f t="array" ref="Q1184:R1184">VLOOKUP(E1184,store[],{3,5},FALSE)</f>
        <v>South</v>
      </c>
      <c r="R1184" t="str">
        <v>Online</v>
      </c>
      <c r="S1184" s="4">
        <f t="shared" si="18"/>
        <v>514.47</v>
      </c>
    </row>
    <row r="1185" spans="1:19">
      <c r="A1185" t="s">
        <v>1959</v>
      </c>
      <c r="B1185" s="3">
        <v>45650</v>
      </c>
      <c r="C1185" t="s">
        <v>538</v>
      </c>
      <c r="D1185" t="s">
        <v>661</v>
      </c>
      <c r="E1185" t="s">
        <v>117</v>
      </c>
      <c r="F1185">
        <v>3</v>
      </c>
      <c r="G1185" t="s">
        <v>50</v>
      </c>
      <c r="H1185">
        <v>29</v>
      </c>
      <c r="I1185" s="12" t="s">
        <v>34</v>
      </c>
      <c r="J1185" s="12" t="s">
        <v>457</v>
      </c>
      <c r="K1185" s="12" t="s">
        <v>26</v>
      </c>
      <c r="L1185" s="12" t="s">
        <v>662</v>
      </c>
      <c r="M1185" s="12" t="s">
        <v>37</v>
      </c>
      <c r="N1185" s="14">
        <v>0.28000000000000003</v>
      </c>
      <c r="O1185" s="23">
        <v>198.76</v>
      </c>
      <c r="P1185">
        <v>86.42</v>
      </c>
      <c r="Q1185" s="12" t="str" cm="1">
        <f t="array" ref="Q1185:R1185">VLOOKUP(E1185,store[],{3,5},FALSE)</f>
        <v>West</v>
      </c>
      <c r="R1185" t="str">
        <v>Flagship</v>
      </c>
      <c r="S1185" s="4">
        <f t="shared" si="18"/>
        <v>595.44000000000005</v>
      </c>
    </row>
    <row r="1186" spans="1:19">
      <c r="A1186" t="s">
        <v>1960</v>
      </c>
      <c r="B1186" s="3">
        <v>45811</v>
      </c>
      <c r="C1186" t="s">
        <v>817</v>
      </c>
      <c r="D1186" t="s">
        <v>625</v>
      </c>
      <c r="E1186" t="s">
        <v>22</v>
      </c>
      <c r="F1186">
        <v>2</v>
      </c>
      <c r="G1186" t="s">
        <v>50</v>
      </c>
      <c r="H1186">
        <v>46</v>
      </c>
      <c r="I1186" s="12" t="s">
        <v>34</v>
      </c>
      <c r="J1186" s="12" t="s">
        <v>410</v>
      </c>
      <c r="K1186" s="12" t="s">
        <v>52</v>
      </c>
      <c r="L1186" s="12" t="s">
        <v>626</v>
      </c>
      <c r="M1186" s="12" t="s">
        <v>46</v>
      </c>
      <c r="N1186" s="14">
        <v>0.16</v>
      </c>
      <c r="O1186" s="23">
        <v>975.72</v>
      </c>
      <c r="P1186">
        <v>266.86</v>
      </c>
      <c r="Q1186" s="12" t="str" cm="1">
        <f t="array" ref="Q1186:R1186">VLOOKUP(E1186,store[],{3,5},FALSE)</f>
        <v>North</v>
      </c>
      <c r="R1186" t="str">
        <v>Outlet</v>
      </c>
      <c r="S1186" s="4">
        <f t="shared" si="18"/>
        <v>1951.12</v>
      </c>
    </row>
    <row r="1187" spans="1:19">
      <c r="A1187" t="s">
        <v>1961</v>
      </c>
      <c r="B1187" s="3">
        <v>45505</v>
      </c>
      <c r="C1187" t="s">
        <v>278</v>
      </c>
      <c r="D1187" t="s">
        <v>65</v>
      </c>
      <c r="E1187" t="s">
        <v>105</v>
      </c>
      <c r="F1187">
        <v>1</v>
      </c>
      <c r="G1187" t="s">
        <v>23</v>
      </c>
      <c r="H1187">
        <v>60</v>
      </c>
      <c r="I1187" s="12" t="s">
        <v>24</v>
      </c>
      <c r="J1187" s="12" t="s">
        <v>256</v>
      </c>
      <c r="K1187" s="12" t="s">
        <v>73</v>
      </c>
      <c r="L1187" s="12" t="s">
        <v>68</v>
      </c>
      <c r="M1187" s="12" t="s">
        <v>37</v>
      </c>
      <c r="N1187" s="14">
        <v>0.01</v>
      </c>
      <c r="O1187" s="23">
        <v>86.03</v>
      </c>
      <c r="P1187">
        <v>465.34</v>
      </c>
      <c r="Q1187" s="12" t="str" cm="1">
        <f t="array" ref="Q1187:R1187">VLOOKUP(E1187,store[],{3,5},FALSE)</f>
        <v>North</v>
      </c>
      <c r="R1187" t="str">
        <v>Flagship</v>
      </c>
      <c r="S1187" s="4">
        <f t="shared" si="18"/>
        <v>86.02</v>
      </c>
    </row>
    <row r="1188" spans="1:19">
      <c r="A1188" t="s">
        <v>1962</v>
      </c>
      <c r="B1188" s="3">
        <v>45897</v>
      </c>
      <c r="C1188" t="s">
        <v>456</v>
      </c>
      <c r="D1188" t="s">
        <v>420</v>
      </c>
      <c r="E1188" t="s">
        <v>208</v>
      </c>
      <c r="F1188">
        <v>4</v>
      </c>
      <c r="G1188" t="s">
        <v>33</v>
      </c>
      <c r="H1188">
        <v>58</v>
      </c>
      <c r="I1188" s="12" t="s">
        <v>34</v>
      </c>
      <c r="J1188" s="12" t="s">
        <v>457</v>
      </c>
      <c r="K1188" s="12" t="s">
        <v>73</v>
      </c>
      <c r="L1188" s="12" t="s">
        <v>421</v>
      </c>
      <c r="M1188" s="12" t="s">
        <v>28</v>
      </c>
      <c r="N1188" s="14">
        <v>0.15</v>
      </c>
      <c r="O1188" s="23">
        <v>705.12</v>
      </c>
      <c r="P1188">
        <v>434.84</v>
      </c>
      <c r="Q1188" s="12" t="str" cm="1">
        <f t="array" ref="Q1188:R1188">VLOOKUP(E1188,store[],{3,5},FALSE)</f>
        <v>North</v>
      </c>
      <c r="R1188" t="str">
        <v>Online</v>
      </c>
      <c r="S1188" s="4">
        <f t="shared" si="18"/>
        <v>2819.88</v>
      </c>
    </row>
    <row r="1189" spans="1:19">
      <c r="A1189" t="s">
        <v>1963</v>
      </c>
      <c r="B1189" s="3">
        <v>45602</v>
      </c>
      <c r="C1189" t="s">
        <v>674</v>
      </c>
      <c r="D1189" t="s">
        <v>928</v>
      </c>
      <c r="E1189" t="s">
        <v>208</v>
      </c>
      <c r="F1189">
        <v>3</v>
      </c>
      <c r="G1189" t="s">
        <v>33</v>
      </c>
      <c r="H1189">
        <v>21</v>
      </c>
      <c r="I1189" s="12" t="s">
        <v>34</v>
      </c>
      <c r="J1189" s="12" t="s">
        <v>214</v>
      </c>
      <c r="K1189" s="12" t="s">
        <v>52</v>
      </c>
      <c r="L1189" s="12" t="s">
        <v>929</v>
      </c>
      <c r="M1189" s="12" t="s">
        <v>130</v>
      </c>
      <c r="N1189" s="14">
        <v>0.01</v>
      </c>
      <c r="O1189" s="23">
        <v>99.77</v>
      </c>
      <c r="P1189">
        <v>245.77831168831199</v>
      </c>
      <c r="Q1189" s="12" t="str" cm="1">
        <f t="array" ref="Q1189:R1189">VLOOKUP(E1189,store[],{3,5},FALSE)</f>
        <v>North</v>
      </c>
      <c r="R1189" t="str">
        <v>Online</v>
      </c>
      <c r="S1189" s="4">
        <f t="shared" si="18"/>
        <v>299.27999999999997</v>
      </c>
    </row>
    <row r="1190" spans="1:19">
      <c r="A1190" t="s">
        <v>1964</v>
      </c>
      <c r="B1190" s="3">
        <v>45530</v>
      </c>
      <c r="C1190" t="s">
        <v>771</v>
      </c>
      <c r="D1190" t="s">
        <v>116</v>
      </c>
      <c r="E1190" t="s">
        <v>127</v>
      </c>
      <c r="F1190">
        <v>2</v>
      </c>
      <c r="G1190" t="s">
        <v>33</v>
      </c>
      <c r="H1190">
        <v>50</v>
      </c>
      <c r="I1190" s="12" t="s">
        <v>34</v>
      </c>
      <c r="J1190" s="12" t="s">
        <v>193</v>
      </c>
      <c r="K1190" s="12" t="s">
        <v>52</v>
      </c>
      <c r="L1190" s="12" t="s">
        <v>119</v>
      </c>
      <c r="M1190" s="12" t="s">
        <v>37</v>
      </c>
      <c r="N1190" s="14">
        <v>0.14000000000000001</v>
      </c>
      <c r="O1190" s="23">
        <v>166.26</v>
      </c>
      <c r="P1190">
        <v>419.28</v>
      </c>
      <c r="Q1190" s="12" t="str" cm="1">
        <f t="array" ref="Q1190:R1190">VLOOKUP(E1190,store[],{3,5},FALSE)</f>
        <v>South</v>
      </c>
      <c r="R1190" t="str">
        <v>Flagship</v>
      </c>
      <c r="S1190" s="4">
        <f t="shared" si="18"/>
        <v>332.24</v>
      </c>
    </row>
    <row r="1191" spans="1:19">
      <c r="A1191" t="s">
        <v>1965</v>
      </c>
      <c r="B1191" s="3">
        <v>45729</v>
      </c>
      <c r="C1191" t="s">
        <v>538</v>
      </c>
      <c r="D1191" t="s">
        <v>246</v>
      </c>
      <c r="E1191" t="s">
        <v>58</v>
      </c>
      <c r="F1191">
        <v>1</v>
      </c>
      <c r="G1191" t="s">
        <v>23</v>
      </c>
      <c r="H1191">
        <v>29</v>
      </c>
      <c r="I1191" s="12" t="s">
        <v>34</v>
      </c>
      <c r="J1191" s="12" t="s">
        <v>457</v>
      </c>
      <c r="K1191" s="12" t="s">
        <v>26</v>
      </c>
      <c r="L1191" s="12" t="s">
        <v>247</v>
      </c>
      <c r="M1191" s="12" t="s">
        <v>37</v>
      </c>
      <c r="N1191" s="14">
        <v>0.28999999999999998</v>
      </c>
      <c r="O1191" s="23">
        <v>429.25</v>
      </c>
      <c r="P1191">
        <v>322.41000000000003</v>
      </c>
      <c r="Q1191" s="12" t="str" cm="1">
        <f t="array" ref="Q1191:R1191">VLOOKUP(E1191,store[],{3,5},FALSE)</f>
        <v>North</v>
      </c>
      <c r="R1191" t="str">
        <v>Outlet</v>
      </c>
      <c r="S1191" s="4">
        <f t="shared" si="18"/>
        <v>428.96</v>
      </c>
    </row>
    <row r="1192" spans="1:19">
      <c r="A1192" t="s">
        <v>1966</v>
      </c>
      <c r="B1192" s="3">
        <v>45468</v>
      </c>
      <c r="C1192" t="s">
        <v>115</v>
      </c>
      <c r="D1192" t="s">
        <v>768</v>
      </c>
      <c r="E1192" t="s">
        <v>127</v>
      </c>
      <c r="F1192">
        <v>2</v>
      </c>
      <c r="G1192" t="s">
        <v>23</v>
      </c>
      <c r="H1192">
        <v>51</v>
      </c>
      <c r="I1192" s="12" t="s">
        <v>24</v>
      </c>
      <c r="J1192" s="12" t="s">
        <v>118</v>
      </c>
      <c r="K1192" s="12" t="s">
        <v>60</v>
      </c>
      <c r="L1192" s="12" t="s">
        <v>769</v>
      </c>
      <c r="M1192" s="12" t="s">
        <v>37</v>
      </c>
      <c r="N1192" s="14">
        <v>0.28999999999999998</v>
      </c>
      <c r="O1192" s="23">
        <v>540.48</v>
      </c>
      <c r="P1192">
        <v>112.42</v>
      </c>
      <c r="Q1192" s="12" t="str" cm="1">
        <f t="array" ref="Q1192:R1192">VLOOKUP(E1192,store[],{3,5},FALSE)</f>
        <v>South</v>
      </c>
      <c r="R1192" t="str">
        <v>Flagship</v>
      </c>
      <c r="S1192" s="4">
        <f t="shared" si="18"/>
        <v>1080.3800000000001</v>
      </c>
    </row>
    <row r="1193" spans="1:19">
      <c r="A1193" t="s">
        <v>1967</v>
      </c>
      <c r="B1193" s="3">
        <v>45936</v>
      </c>
      <c r="C1193" t="s">
        <v>326</v>
      </c>
      <c r="D1193" t="s">
        <v>57</v>
      </c>
      <c r="E1193" t="s">
        <v>98</v>
      </c>
      <c r="F1193">
        <v>2</v>
      </c>
      <c r="G1193" t="s">
        <v>33</v>
      </c>
      <c r="H1193">
        <v>45</v>
      </c>
      <c r="I1193" s="12" t="s">
        <v>34</v>
      </c>
      <c r="J1193" s="12" t="s">
        <v>227</v>
      </c>
      <c r="K1193" s="12" t="s">
        <v>60</v>
      </c>
      <c r="L1193" s="12" t="s">
        <v>61</v>
      </c>
      <c r="M1193" s="12" t="s">
        <v>46</v>
      </c>
      <c r="N1193" s="14">
        <v>0.01</v>
      </c>
      <c r="O1193" s="23">
        <v>579.52</v>
      </c>
      <c r="P1193">
        <v>17.309999999999999</v>
      </c>
      <c r="Q1193" s="12" t="str" cm="1">
        <f t="array" ref="Q1193:R1193">VLOOKUP(E1193,store[],{3,5},FALSE)</f>
        <v>South</v>
      </c>
      <c r="R1193" t="str">
        <v>Outlet</v>
      </c>
      <c r="S1193" s="4">
        <f t="shared" si="18"/>
        <v>1159.02</v>
      </c>
    </row>
    <row r="1194" spans="1:19">
      <c r="A1194" t="s">
        <v>1968</v>
      </c>
      <c r="B1194" s="3">
        <v>45622</v>
      </c>
      <c r="C1194" t="s">
        <v>1223</v>
      </c>
      <c r="D1194" t="s">
        <v>167</v>
      </c>
      <c r="E1194" t="s">
        <v>32</v>
      </c>
      <c r="F1194">
        <v>4</v>
      </c>
      <c r="G1194" t="s">
        <v>33</v>
      </c>
      <c r="H1194">
        <v>18</v>
      </c>
      <c r="I1194" s="12" t="s">
        <v>34</v>
      </c>
      <c r="J1194" s="12" t="s">
        <v>80</v>
      </c>
      <c r="K1194" s="12" t="s">
        <v>26</v>
      </c>
      <c r="L1194" s="12" t="s">
        <v>170</v>
      </c>
      <c r="M1194" s="12" t="s">
        <v>130</v>
      </c>
      <c r="N1194" s="14">
        <v>7.0000000000000007E-2</v>
      </c>
      <c r="O1194" s="23">
        <v>477.52</v>
      </c>
      <c r="P1194">
        <v>218.22</v>
      </c>
      <c r="Q1194" s="12" t="str" cm="1">
        <f t="array" ref="Q1194:R1194">VLOOKUP(E1194,store[],{3,5},FALSE)</f>
        <v>North</v>
      </c>
      <c r="R1194" t="str">
        <v>Flagship</v>
      </c>
      <c r="S1194" s="4">
        <f t="shared" si="18"/>
        <v>1909.8</v>
      </c>
    </row>
    <row r="1195" spans="1:19">
      <c r="A1195" t="s">
        <v>1969</v>
      </c>
      <c r="B1195" s="3">
        <v>45705</v>
      </c>
      <c r="C1195" t="s">
        <v>1591</v>
      </c>
      <c r="D1195" t="s">
        <v>372</v>
      </c>
      <c r="E1195" t="s">
        <v>179</v>
      </c>
      <c r="F1195">
        <v>3</v>
      </c>
      <c r="G1195" t="s">
        <v>23</v>
      </c>
      <c r="H1195">
        <v>32</v>
      </c>
      <c r="I1195" s="12" t="s">
        <v>34</v>
      </c>
      <c r="J1195" s="12" t="s">
        <v>169</v>
      </c>
      <c r="K1195" s="12" t="s">
        <v>60</v>
      </c>
      <c r="L1195" s="12" t="s">
        <v>374</v>
      </c>
      <c r="M1195" s="12" t="s">
        <v>130</v>
      </c>
      <c r="N1195" s="14">
        <v>0.25</v>
      </c>
      <c r="O1195" s="23">
        <v>242.58</v>
      </c>
      <c r="P1195">
        <v>438.25</v>
      </c>
      <c r="Q1195" s="12" t="str" cm="1">
        <f t="array" ref="Q1195:R1195">VLOOKUP(E1195,store[],{3,5},FALSE)</f>
        <v>East</v>
      </c>
      <c r="R1195" t="str">
        <v>Online</v>
      </c>
      <c r="S1195" s="4">
        <f t="shared" si="18"/>
        <v>726.99</v>
      </c>
    </row>
    <row r="1196" spans="1:19">
      <c r="A1196" t="s">
        <v>1970</v>
      </c>
      <c r="B1196" s="3">
        <v>45250</v>
      </c>
      <c r="C1196" t="s">
        <v>307</v>
      </c>
      <c r="D1196" t="s">
        <v>246</v>
      </c>
      <c r="E1196" t="s">
        <v>32</v>
      </c>
      <c r="F1196">
        <v>2</v>
      </c>
      <c r="G1196" t="s">
        <v>33</v>
      </c>
      <c r="H1196">
        <v>51</v>
      </c>
      <c r="I1196" s="12" t="s">
        <v>24</v>
      </c>
      <c r="J1196" s="12" t="s">
        <v>308</v>
      </c>
      <c r="K1196" s="12" t="s">
        <v>73</v>
      </c>
      <c r="L1196" s="12" t="s">
        <v>247</v>
      </c>
      <c r="M1196" s="12" t="s">
        <v>37</v>
      </c>
      <c r="N1196" s="14">
        <v>0.09</v>
      </c>
      <c r="O1196" s="23">
        <v>519.29999999999995</v>
      </c>
      <c r="P1196">
        <v>322.41000000000003</v>
      </c>
      <c r="Q1196" s="12" t="str" cm="1">
        <f t="array" ref="Q1196:R1196">VLOOKUP(E1196,store[],{3,5},FALSE)</f>
        <v>North</v>
      </c>
      <c r="R1196" t="str">
        <v>Flagship</v>
      </c>
      <c r="S1196" s="4">
        <f t="shared" si="18"/>
        <v>1038.42</v>
      </c>
    </row>
    <row r="1197" spans="1:19">
      <c r="A1197" t="s">
        <v>1971</v>
      </c>
      <c r="B1197" s="3">
        <v>45684</v>
      </c>
      <c r="C1197" t="s">
        <v>1292</v>
      </c>
      <c r="D1197" t="s">
        <v>242</v>
      </c>
      <c r="E1197" t="s">
        <v>272</v>
      </c>
      <c r="F1197">
        <v>3</v>
      </c>
      <c r="G1197" t="s">
        <v>50</v>
      </c>
      <c r="H1197">
        <v>52</v>
      </c>
      <c r="I1197" s="12" t="s">
        <v>34</v>
      </c>
      <c r="J1197" s="12" t="s">
        <v>345</v>
      </c>
      <c r="K1197" s="12" t="s">
        <v>26</v>
      </c>
      <c r="L1197" s="12" t="s">
        <v>243</v>
      </c>
      <c r="M1197" s="12" t="s">
        <v>46</v>
      </c>
      <c r="N1197" s="14">
        <v>0.12</v>
      </c>
      <c r="O1197" s="23">
        <v>845.67</v>
      </c>
      <c r="P1197">
        <v>358.47</v>
      </c>
      <c r="Q1197" s="12" t="str" cm="1">
        <f t="array" ref="Q1197:R1197">VLOOKUP(E1197,store[],{3,5},FALSE)</f>
        <v>South</v>
      </c>
      <c r="R1197" t="str">
        <v>Online</v>
      </c>
      <c r="S1197" s="4">
        <f t="shared" si="18"/>
        <v>2536.65</v>
      </c>
    </row>
    <row r="1198" spans="1:19">
      <c r="A1198" t="s">
        <v>1972</v>
      </c>
      <c r="B1198" s="3">
        <v>45395</v>
      </c>
      <c r="C1198" t="s">
        <v>1691</v>
      </c>
      <c r="D1198" t="s">
        <v>564</v>
      </c>
      <c r="E1198" t="s">
        <v>117</v>
      </c>
      <c r="F1198">
        <v>4</v>
      </c>
      <c r="G1198" t="s">
        <v>33</v>
      </c>
      <c r="H1198">
        <v>64</v>
      </c>
      <c r="I1198" s="12" t="s">
        <v>24</v>
      </c>
      <c r="J1198" s="12" t="s">
        <v>91</v>
      </c>
      <c r="K1198" s="12" t="s">
        <v>52</v>
      </c>
      <c r="L1198" s="12" t="s">
        <v>565</v>
      </c>
      <c r="M1198" s="12" t="s">
        <v>75</v>
      </c>
      <c r="N1198" s="14">
        <v>0.01</v>
      </c>
      <c r="O1198" s="23">
        <v>750.26</v>
      </c>
      <c r="P1198">
        <v>81.75</v>
      </c>
      <c r="Q1198" s="12" t="str" cm="1">
        <f t="array" ref="Q1198:R1198">VLOOKUP(E1198,store[],{3,5},FALSE)</f>
        <v>West</v>
      </c>
      <c r="R1198" t="str">
        <v>Flagship</v>
      </c>
      <c r="S1198" s="4">
        <f t="shared" si="18"/>
        <v>3001</v>
      </c>
    </row>
    <row r="1199" spans="1:19">
      <c r="A1199" t="s">
        <v>1973</v>
      </c>
      <c r="B1199" s="3">
        <v>45382</v>
      </c>
      <c r="C1199" t="s">
        <v>873</v>
      </c>
      <c r="D1199" t="s">
        <v>603</v>
      </c>
      <c r="E1199" t="s">
        <v>208</v>
      </c>
      <c r="F1199">
        <v>4</v>
      </c>
      <c r="G1199" t="s">
        <v>23</v>
      </c>
      <c r="H1199">
        <v>34</v>
      </c>
      <c r="I1199" s="12" t="s">
        <v>34</v>
      </c>
      <c r="J1199" s="12" t="s">
        <v>218</v>
      </c>
      <c r="K1199" s="12" t="s">
        <v>73</v>
      </c>
      <c r="L1199" s="12" t="s">
        <v>604</v>
      </c>
      <c r="M1199" s="12" t="s">
        <v>75</v>
      </c>
      <c r="N1199" s="14">
        <v>0.2</v>
      </c>
      <c r="O1199" s="23">
        <v>294.38</v>
      </c>
      <c r="P1199">
        <v>447.43</v>
      </c>
      <c r="Q1199" s="12" t="str" cm="1">
        <f t="array" ref="Q1199:R1199">VLOOKUP(E1199,store[],{3,5},FALSE)</f>
        <v>North</v>
      </c>
      <c r="R1199" t="str">
        <v>Online</v>
      </c>
      <c r="S1199" s="4">
        <f t="shared" si="18"/>
        <v>1176.72</v>
      </c>
    </row>
    <row r="1200" spans="1:19">
      <c r="A1200" t="s">
        <v>1974</v>
      </c>
      <c r="B1200" s="3">
        <v>45919</v>
      </c>
      <c r="C1200" t="s">
        <v>428</v>
      </c>
      <c r="D1200" t="s">
        <v>1259</v>
      </c>
      <c r="E1200" t="s">
        <v>198</v>
      </c>
      <c r="F1200">
        <v>3</v>
      </c>
      <c r="G1200" t="s">
        <v>33</v>
      </c>
      <c r="H1200">
        <v>36</v>
      </c>
      <c r="I1200" s="12" t="s">
        <v>24</v>
      </c>
      <c r="J1200" s="12" t="s">
        <v>345</v>
      </c>
      <c r="K1200" s="12" t="s">
        <v>60</v>
      </c>
      <c r="L1200" s="12" t="s">
        <v>1260</v>
      </c>
      <c r="M1200" s="12" t="s">
        <v>130</v>
      </c>
      <c r="N1200" s="14">
        <v>7.0000000000000007E-2</v>
      </c>
      <c r="O1200" s="23">
        <v>583.52</v>
      </c>
      <c r="P1200">
        <v>358.47</v>
      </c>
      <c r="Q1200" s="12" t="str" cm="1">
        <f t="array" ref="Q1200:R1200">VLOOKUP(E1200,store[],{3,5},FALSE)</f>
        <v>South</v>
      </c>
      <c r="R1200" t="str">
        <v>Outlet</v>
      </c>
      <c r="S1200" s="4">
        <f t="shared" si="18"/>
        <v>1750.35</v>
      </c>
    </row>
    <row r="1201" spans="1:19">
      <c r="A1201" t="s">
        <v>1975</v>
      </c>
      <c r="B1201" s="3">
        <v>45453</v>
      </c>
      <c r="C1201" t="s">
        <v>264</v>
      </c>
      <c r="D1201" t="s">
        <v>287</v>
      </c>
      <c r="E1201" t="s">
        <v>117</v>
      </c>
      <c r="F1201">
        <v>2</v>
      </c>
      <c r="G1201" t="s">
        <v>50</v>
      </c>
      <c r="H1201">
        <v>21</v>
      </c>
      <c r="I1201" s="12" t="s">
        <v>34</v>
      </c>
      <c r="J1201" s="12" t="s">
        <v>214</v>
      </c>
      <c r="K1201" s="12" t="s">
        <v>26</v>
      </c>
      <c r="L1201" s="12" t="s">
        <v>288</v>
      </c>
      <c r="M1201" s="12" t="s">
        <v>46</v>
      </c>
      <c r="N1201" s="14">
        <v>0.3</v>
      </c>
      <c r="O1201" s="23">
        <v>635.22</v>
      </c>
      <c r="P1201">
        <v>183.04</v>
      </c>
      <c r="Q1201" s="12" t="str" cm="1">
        <f t="array" ref="Q1201:R1201">VLOOKUP(E1201,store[],{3,5},FALSE)</f>
        <v>West</v>
      </c>
      <c r="R1201" t="str">
        <v>Flagship</v>
      </c>
      <c r="S1201" s="4">
        <f t="shared" si="18"/>
        <v>1269.8399999999999</v>
      </c>
    </row>
    <row r="1202" spans="1:19">
      <c r="A1202" t="s">
        <v>1976</v>
      </c>
      <c r="B1202" s="3">
        <v>45313</v>
      </c>
      <c r="C1202" t="s">
        <v>624</v>
      </c>
      <c r="D1202" t="s">
        <v>532</v>
      </c>
      <c r="E1202" t="s">
        <v>198</v>
      </c>
      <c r="F1202">
        <v>1</v>
      </c>
      <c r="G1202" t="s">
        <v>50</v>
      </c>
      <c r="H1202">
        <v>27</v>
      </c>
      <c r="I1202" s="12" t="s">
        <v>34</v>
      </c>
      <c r="J1202" s="12" t="s">
        <v>378</v>
      </c>
      <c r="K1202" s="12" t="s">
        <v>73</v>
      </c>
      <c r="L1202" s="12" t="s">
        <v>533</v>
      </c>
      <c r="M1202" s="12" t="s">
        <v>46</v>
      </c>
      <c r="N1202" s="14">
        <v>0.11</v>
      </c>
      <c r="O1202" s="23">
        <v>743.55</v>
      </c>
      <c r="P1202">
        <v>340.39</v>
      </c>
      <c r="Q1202" s="12" t="str" cm="1">
        <f t="array" ref="Q1202:R1202">VLOOKUP(E1202,store[],{3,5},FALSE)</f>
        <v>South</v>
      </c>
      <c r="R1202" t="str">
        <v>Outlet</v>
      </c>
      <c r="S1202" s="4">
        <f t="shared" si="18"/>
        <v>743.44</v>
      </c>
    </row>
    <row r="1203" spans="1:19">
      <c r="A1203" t="s">
        <v>1977</v>
      </c>
      <c r="B1203" s="3">
        <v>45377</v>
      </c>
      <c r="C1203" t="s">
        <v>789</v>
      </c>
      <c r="D1203" t="s">
        <v>275</v>
      </c>
      <c r="E1203" t="s">
        <v>22</v>
      </c>
      <c r="F1203">
        <v>4</v>
      </c>
      <c r="G1203" t="s">
        <v>23</v>
      </c>
      <c r="H1203">
        <v>29</v>
      </c>
      <c r="I1203" s="12" t="s">
        <v>24</v>
      </c>
      <c r="J1203" s="12" t="s">
        <v>410</v>
      </c>
      <c r="K1203" s="12" t="s">
        <v>26</v>
      </c>
      <c r="L1203" s="12" t="s">
        <v>276</v>
      </c>
      <c r="M1203" s="12" t="s">
        <v>28</v>
      </c>
      <c r="N1203" s="14">
        <v>0.13</v>
      </c>
      <c r="O1203" s="23">
        <v>530.45000000000005</v>
      </c>
      <c r="P1203">
        <v>167.12</v>
      </c>
      <c r="Q1203" s="12" t="str" cm="1">
        <f t="array" ref="Q1203:R1203">VLOOKUP(E1203,store[],{3,5},FALSE)</f>
        <v>North</v>
      </c>
      <c r="R1203" t="str">
        <v>Outlet</v>
      </c>
      <c r="S1203" s="4">
        <f t="shared" si="18"/>
        <v>2121.2800000000002</v>
      </c>
    </row>
    <row r="1204" spans="1:19">
      <c r="A1204" t="s">
        <v>1978</v>
      </c>
      <c r="B1204" s="3">
        <v>45371</v>
      </c>
      <c r="C1204" t="s">
        <v>476</v>
      </c>
      <c r="D1204" t="s">
        <v>532</v>
      </c>
      <c r="E1204" t="s">
        <v>127</v>
      </c>
      <c r="F1204">
        <v>2</v>
      </c>
      <c r="G1204" t="s">
        <v>50</v>
      </c>
      <c r="H1204">
        <v>25</v>
      </c>
      <c r="I1204" s="12" t="s">
        <v>24</v>
      </c>
      <c r="J1204" s="12" t="s">
        <v>25</v>
      </c>
      <c r="K1204" s="12" t="s">
        <v>26</v>
      </c>
      <c r="L1204" s="12" t="s">
        <v>533</v>
      </c>
      <c r="M1204" s="12" t="s">
        <v>46</v>
      </c>
      <c r="N1204" s="14">
        <v>0.06</v>
      </c>
      <c r="O1204" s="23">
        <v>972.4</v>
      </c>
      <c r="P1204">
        <v>340.39</v>
      </c>
      <c r="Q1204" s="12" t="str" cm="1">
        <f t="array" ref="Q1204:R1204">VLOOKUP(E1204,store[],{3,5},FALSE)</f>
        <v>South</v>
      </c>
      <c r="R1204" t="str">
        <v>Flagship</v>
      </c>
      <c r="S1204" s="4">
        <f t="shared" si="18"/>
        <v>1944.68</v>
      </c>
    </row>
    <row r="1205" spans="1:19">
      <c r="A1205" t="s">
        <v>1979</v>
      </c>
      <c r="B1205" s="3">
        <v>45797</v>
      </c>
      <c r="C1205" t="s">
        <v>371</v>
      </c>
      <c r="D1205" t="s">
        <v>65</v>
      </c>
      <c r="E1205" t="s">
        <v>160</v>
      </c>
      <c r="F1205">
        <v>3</v>
      </c>
      <c r="G1205" t="s">
        <v>50</v>
      </c>
      <c r="H1205">
        <v>44</v>
      </c>
      <c r="I1205" s="12" t="s">
        <v>34</v>
      </c>
      <c r="J1205" s="12" t="s">
        <v>373</v>
      </c>
      <c r="K1205" s="12" t="s">
        <v>73</v>
      </c>
      <c r="L1205" s="12" t="s">
        <v>68</v>
      </c>
      <c r="M1205" s="12" t="s">
        <v>37</v>
      </c>
      <c r="N1205" s="14">
        <v>0</v>
      </c>
      <c r="O1205" s="23">
        <v>197.93</v>
      </c>
      <c r="P1205">
        <v>465.34</v>
      </c>
      <c r="Q1205" s="12" t="str" cm="1">
        <f t="array" ref="Q1205:R1205">VLOOKUP(E1205,store[],{3,5},FALSE)</f>
        <v>East</v>
      </c>
      <c r="R1205" t="str">
        <v>Flagship</v>
      </c>
      <c r="S1205" s="4">
        <f t="shared" si="18"/>
        <v>593.79</v>
      </c>
    </row>
    <row r="1206" spans="1:19">
      <c r="A1206" t="s">
        <v>1980</v>
      </c>
      <c r="B1206" s="3">
        <v>45575</v>
      </c>
      <c r="C1206" t="s">
        <v>1455</v>
      </c>
      <c r="D1206" t="s">
        <v>514</v>
      </c>
      <c r="E1206" t="s">
        <v>272</v>
      </c>
      <c r="F1206">
        <v>4</v>
      </c>
      <c r="G1206" t="s">
        <v>33</v>
      </c>
      <c r="H1206">
        <v>30</v>
      </c>
      <c r="I1206" s="12" t="s">
        <v>34</v>
      </c>
      <c r="J1206" s="12" t="s">
        <v>440</v>
      </c>
      <c r="K1206" s="12" t="s">
        <v>73</v>
      </c>
      <c r="L1206" s="12" t="s">
        <v>515</v>
      </c>
      <c r="M1206" s="12" t="s">
        <v>75</v>
      </c>
      <c r="N1206" s="14">
        <v>0.16</v>
      </c>
      <c r="O1206" s="23">
        <v>565.51</v>
      </c>
      <c r="P1206">
        <v>371.38</v>
      </c>
      <c r="Q1206" s="12" t="str" cm="1">
        <f t="array" ref="Q1206:R1206">VLOOKUP(E1206,store[],{3,5},FALSE)</f>
        <v>South</v>
      </c>
      <c r="R1206" t="str">
        <v>Online</v>
      </c>
      <c r="S1206" s="4">
        <f t="shared" si="18"/>
        <v>2261.4</v>
      </c>
    </row>
    <row r="1207" spans="1:19">
      <c r="A1207" t="s">
        <v>1981</v>
      </c>
      <c r="B1207" s="3">
        <v>45566</v>
      </c>
      <c r="C1207" t="s">
        <v>1982</v>
      </c>
      <c r="D1207" t="s">
        <v>104</v>
      </c>
      <c r="E1207" t="s">
        <v>72</v>
      </c>
      <c r="F1207">
        <v>4</v>
      </c>
      <c r="G1207" t="s">
        <v>50</v>
      </c>
      <c r="H1207">
        <v>57</v>
      </c>
      <c r="I1207" s="12" t="s">
        <v>34</v>
      </c>
      <c r="J1207" s="12" t="s">
        <v>169</v>
      </c>
      <c r="K1207" s="12" t="s">
        <v>52</v>
      </c>
      <c r="L1207" s="12" t="s">
        <v>107</v>
      </c>
      <c r="M1207" s="12" t="s">
        <v>37</v>
      </c>
      <c r="N1207" s="14">
        <v>0.25</v>
      </c>
      <c r="O1207" s="23">
        <v>983.38</v>
      </c>
      <c r="P1207">
        <v>326.06</v>
      </c>
      <c r="Q1207" s="12" t="str" cm="1">
        <f t="array" ref="Q1207:R1207">VLOOKUP(E1207,store[],{3,5},FALSE)</f>
        <v>South</v>
      </c>
      <c r="R1207" t="str">
        <v>Online</v>
      </c>
      <c r="S1207" s="4">
        <f t="shared" si="18"/>
        <v>3932.52</v>
      </c>
    </row>
    <row r="1208" spans="1:19">
      <c r="A1208" t="s">
        <v>1983</v>
      </c>
      <c r="B1208" s="3">
        <v>45252</v>
      </c>
      <c r="C1208" t="s">
        <v>880</v>
      </c>
      <c r="D1208" t="s">
        <v>85</v>
      </c>
      <c r="E1208" t="s">
        <v>127</v>
      </c>
      <c r="F1208">
        <v>1</v>
      </c>
      <c r="G1208" t="s">
        <v>23</v>
      </c>
      <c r="H1208">
        <v>43</v>
      </c>
      <c r="I1208" s="12" t="s">
        <v>34</v>
      </c>
      <c r="J1208" s="12" t="s">
        <v>333</v>
      </c>
      <c r="K1208" s="12" t="s">
        <v>26</v>
      </c>
      <c r="L1208" s="12" t="s">
        <v>86</v>
      </c>
      <c r="M1208" s="12" t="s">
        <v>75</v>
      </c>
      <c r="N1208" s="14">
        <v>0.14000000000000001</v>
      </c>
      <c r="O1208" s="23">
        <v>955.06</v>
      </c>
      <c r="P1208">
        <v>201.41</v>
      </c>
      <c r="Q1208" s="12" t="str" cm="1">
        <f t="array" ref="Q1208:R1208">VLOOKUP(E1208,store[],{3,5},FALSE)</f>
        <v>South</v>
      </c>
      <c r="R1208" t="str">
        <v>Flagship</v>
      </c>
      <c r="S1208" s="4">
        <f t="shared" si="18"/>
        <v>954.92</v>
      </c>
    </row>
    <row r="1209" spans="1:19">
      <c r="A1209" t="s">
        <v>1984</v>
      </c>
      <c r="B1209" s="3">
        <v>45693</v>
      </c>
      <c r="C1209" t="s">
        <v>1149</v>
      </c>
      <c r="D1209" t="s">
        <v>57</v>
      </c>
      <c r="E1209" t="s">
        <v>122</v>
      </c>
      <c r="F1209">
        <v>3</v>
      </c>
      <c r="G1209" t="s">
        <v>33</v>
      </c>
      <c r="H1209">
        <v>52</v>
      </c>
      <c r="I1209" s="12" t="s">
        <v>34</v>
      </c>
      <c r="J1209" s="12" t="s">
        <v>199</v>
      </c>
      <c r="K1209" s="12" t="s">
        <v>60</v>
      </c>
      <c r="L1209" s="12" t="s">
        <v>61</v>
      </c>
      <c r="M1209" s="12" t="s">
        <v>46</v>
      </c>
      <c r="N1209" s="14">
        <v>0.02</v>
      </c>
      <c r="O1209" s="23">
        <v>597.46</v>
      </c>
      <c r="P1209">
        <v>17.309999999999999</v>
      </c>
      <c r="Q1209" s="12" t="str" cm="1">
        <f t="array" ref="Q1209:R1209">VLOOKUP(E1209,store[],{3,5},FALSE)</f>
        <v>North</v>
      </c>
      <c r="R1209" t="str">
        <v>Flagship</v>
      </c>
      <c r="S1209" s="4">
        <f t="shared" si="18"/>
        <v>1792.32</v>
      </c>
    </row>
    <row r="1210" spans="1:19">
      <c r="A1210" t="s">
        <v>1985</v>
      </c>
      <c r="B1210" s="3">
        <v>45446</v>
      </c>
      <c r="C1210" t="s">
        <v>1284</v>
      </c>
      <c r="D1210" t="s">
        <v>484</v>
      </c>
      <c r="E1210" t="s">
        <v>117</v>
      </c>
      <c r="F1210">
        <v>3</v>
      </c>
      <c r="G1210" t="s">
        <v>50</v>
      </c>
      <c r="H1210">
        <v>64</v>
      </c>
      <c r="I1210" s="12" t="s">
        <v>34</v>
      </c>
      <c r="J1210" s="12" t="s">
        <v>214</v>
      </c>
      <c r="K1210" s="12" t="s">
        <v>26</v>
      </c>
      <c r="L1210" s="12" t="s">
        <v>485</v>
      </c>
      <c r="M1210" s="12" t="s">
        <v>37</v>
      </c>
      <c r="N1210" s="14">
        <v>0.1</v>
      </c>
      <c r="O1210" s="23">
        <v>581.09</v>
      </c>
      <c r="P1210">
        <v>439.07</v>
      </c>
      <c r="Q1210" s="12" t="str" cm="1">
        <f t="array" ref="Q1210:R1210">VLOOKUP(E1210,store[],{3,5},FALSE)</f>
        <v>West</v>
      </c>
      <c r="R1210" t="str">
        <v>Flagship</v>
      </c>
      <c r="S1210" s="4">
        <f t="shared" si="18"/>
        <v>1742.97</v>
      </c>
    </row>
    <row r="1211" spans="1:19">
      <c r="A1211" t="s">
        <v>1986</v>
      </c>
      <c r="B1211" s="3">
        <v>45862</v>
      </c>
      <c r="C1211" t="s">
        <v>384</v>
      </c>
      <c r="D1211" t="s">
        <v>271</v>
      </c>
      <c r="E1211" t="s">
        <v>72</v>
      </c>
      <c r="F1211">
        <v>4</v>
      </c>
      <c r="G1211" t="s">
        <v>33</v>
      </c>
      <c r="H1211">
        <v>24</v>
      </c>
      <c r="I1211" s="12" t="s">
        <v>24</v>
      </c>
      <c r="J1211" s="12" t="s">
        <v>169</v>
      </c>
      <c r="K1211" s="12" t="s">
        <v>52</v>
      </c>
      <c r="L1211" s="12" t="s">
        <v>273</v>
      </c>
      <c r="M1211" s="12" t="s">
        <v>75</v>
      </c>
      <c r="N1211" s="14">
        <v>0.11</v>
      </c>
      <c r="O1211" s="23">
        <v>153.94999999999999</v>
      </c>
      <c r="P1211">
        <v>19.52</v>
      </c>
      <c r="Q1211" s="12" t="str" cm="1">
        <f t="array" ref="Q1211:R1211">VLOOKUP(E1211,store[],{3,5},FALSE)</f>
        <v>South</v>
      </c>
      <c r="R1211" t="str">
        <v>Online</v>
      </c>
      <c r="S1211" s="4">
        <f t="shared" si="18"/>
        <v>615.36</v>
      </c>
    </row>
    <row r="1212" spans="1:19">
      <c r="A1212" t="s">
        <v>1987</v>
      </c>
      <c r="B1212" s="3">
        <v>45530</v>
      </c>
      <c r="C1212" t="s">
        <v>613</v>
      </c>
      <c r="D1212" t="s">
        <v>126</v>
      </c>
      <c r="E1212" t="s">
        <v>43</v>
      </c>
      <c r="F1212">
        <v>4</v>
      </c>
      <c r="G1212" t="s">
        <v>50</v>
      </c>
      <c r="H1212">
        <v>34</v>
      </c>
      <c r="I1212" s="12" t="s">
        <v>34</v>
      </c>
      <c r="J1212" s="12" t="s">
        <v>251</v>
      </c>
      <c r="K1212" s="12" t="s">
        <v>52</v>
      </c>
      <c r="L1212" s="12" t="s">
        <v>129</v>
      </c>
      <c r="M1212" s="12" t="s">
        <v>130</v>
      </c>
      <c r="N1212" s="14">
        <v>0.12</v>
      </c>
      <c r="O1212" s="23">
        <v>271.04000000000002</v>
      </c>
      <c r="P1212">
        <v>223.43</v>
      </c>
      <c r="Q1212" s="12" t="str" cm="1">
        <f t="array" ref="Q1212:R1212">VLOOKUP(E1212,store[],{3,5},FALSE)</f>
        <v>West</v>
      </c>
      <c r="R1212" t="str">
        <v>Online</v>
      </c>
      <c r="S1212" s="4">
        <f t="shared" si="18"/>
        <v>1083.68</v>
      </c>
    </row>
    <row r="1213" spans="1:19">
      <c r="A1213" t="s">
        <v>1988</v>
      </c>
      <c r="B1213" s="3">
        <v>45558</v>
      </c>
      <c r="C1213" t="s">
        <v>986</v>
      </c>
      <c r="D1213" t="s">
        <v>487</v>
      </c>
      <c r="E1213" t="s">
        <v>179</v>
      </c>
      <c r="F1213">
        <v>4</v>
      </c>
      <c r="G1213" t="s">
        <v>33</v>
      </c>
      <c r="H1213">
        <v>49</v>
      </c>
      <c r="I1213" s="12" t="s">
        <v>34</v>
      </c>
      <c r="J1213" s="12" t="s">
        <v>91</v>
      </c>
      <c r="K1213" s="12" t="s">
        <v>52</v>
      </c>
      <c r="L1213" s="12" t="s">
        <v>488</v>
      </c>
      <c r="M1213" s="12" t="s">
        <v>75</v>
      </c>
      <c r="N1213" s="14">
        <v>0.09</v>
      </c>
      <c r="O1213" s="23">
        <v>328.27</v>
      </c>
      <c r="P1213">
        <v>382.22</v>
      </c>
      <c r="Q1213" s="12" t="str" cm="1">
        <f t="array" ref="Q1213:R1213">VLOOKUP(E1213,store[],{3,5},FALSE)</f>
        <v>East</v>
      </c>
      <c r="R1213" t="str">
        <v>Online</v>
      </c>
      <c r="S1213" s="4">
        <f t="shared" si="18"/>
        <v>1312.72</v>
      </c>
    </row>
    <row r="1214" spans="1:19">
      <c r="A1214" t="s">
        <v>1989</v>
      </c>
      <c r="B1214" s="3">
        <v>45472</v>
      </c>
      <c r="C1214" t="s">
        <v>722</v>
      </c>
      <c r="D1214" t="s">
        <v>377</v>
      </c>
      <c r="E1214" t="s">
        <v>98</v>
      </c>
      <c r="F1214">
        <v>4</v>
      </c>
      <c r="G1214" t="s">
        <v>33</v>
      </c>
      <c r="H1214">
        <v>21</v>
      </c>
      <c r="I1214" s="12" t="s">
        <v>24</v>
      </c>
      <c r="J1214" s="12" t="s">
        <v>118</v>
      </c>
      <c r="K1214" s="12" t="s">
        <v>26</v>
      </c>
      <c r="L1214" s="12" t="s">
        <v>379</v>
      </c>
      <c r="M1214" s="12" t="s">
        <v>28</v>
      </c>
      <c r="N1214" s="14">
        <v>0.09</v>
      </c>
      <c r="O1214" s="23">
        <v>884.71</v>
      </c>
      <c r="P1214">
        <v>144.53</v>
      </c>
      <c r="Q1214" s="12" t="str" cm="1">
        <f t="array" ref="Q1214:R1214">VLOOKUP(E1214,store[],{3,5},FALSE)</f>
        <v>South</v>
      </c>
      <c r="R1214" t="str">
        <v>Outlet</v>
      </c>
      <c r="S1214" s="4">
        <f t="shared" si="18"/>
        <v>3538.48</v>
      </c>
    </row>
    <row r="1215" spans="1:19">
      <c r="A1215" t="s">
        <v>1990</v>
      </c>
      <c r="B1215" s="3">
        <v>45809</v>
      </c>
      <c r="C1215" t="s">
        <v>1734</v>
      </c>
      <c r="D1215" t="s">
        <v>155</v>
      </c>
      <c r="E1215" t="s">
        <v>72</v>
      </c>
      <c r="F1215">
        <v>1</v>
      </c>
      <c r="G1215" t="s">
        <v>23</v>
      </c>
      <c r="H1215">
        <v>41</v>
      </c>
      <c r="I1215" s="12" t="s">
        <v>34</v>
      </c>
      <c r="J1215" s="12" t="s">
        <v>161</v>
      </c>
      <c r="K1215" s="12" t="s">
        <v>26</v>
      </c>
      <c r="L1215" s="12" t="s">
        <v>156</v>
      </c>
      <c r="M1215" s="12" t="s">
        <v>28</v>
      </c>
      <c r="N1215" s="14">
        <v>0.01</v>
      </c>
      <c r="O1215" s="23">
        <v>41.39</v>
      </c>
      <c r="P1215">
        <v>477.61</v>
      </c>
      <c r="Q1215" s="12" t="str" cm="1">
        <f t="array" ref="Q1215:R1215">VLOOKUP(E1215,store[],{3,5},FALSE)</f>
        <v>South</v>
      </c>
      <c r="R1215" t="str">
        <v>Online</v>
      </c>
      <c r="S1215" s="4">
        <f t="shared" si="18"/>
        <v>41.38</v>
      </c>
    </row>
    <row r="1216" spans="1:19">
      <c r="A1216" t="s">
        <v>1991</v>
      </c>
      <c r="B1216" s="3">
        <v>45783</v>
      </c>
      <c r="C1216" t="s">
        <v>931</v>
      </c>
      <c r="D1216" t="s">
        <v>509</v>
      </c>
      <c r="E1216" t="s">
        <v>127</v>
      </c>
      <c r="F1216">
        <v>4</v>
      </c>
      <c r="G1216" t="s">
        <v>23</v>
      </c>
      <c r="H1216">
        <v>47</v>
      </c>
      <c r="I1216" s="12" t="s">
        <v>34</v>
      </c>
      <c r="J1216" s="12" t="s">
        <v>932</v>
      </c>
      <c r="K1216" s="12" t="s">
        <v>52</v>
      </c>
      <c r="L1216" s="12" t="s">
        <v>511</v>
      </c>
      <c r="M1216" s="12" t="s">
        <v>28</v>
      </c>
      <c r="N1216" s="14">
        <v>0.26</v>
      </c>
      <c r="O1216" s="23">
        <v>64.06</v>
      </c>
      <c r="P1216">
        <v>30.62</v>
      </c>
      <c r="Q1216" s="12" t="str" cm="1">
        <f t="array" ref="Q1216:R1216">VLOOKUP(E1216,store[],{3,5},FALSE)</f>
        <v>South</v>
      </c>
      <c r="R1216" t="str">
        <v>Flagship</v>
      </c>
      <c r="S1216" s="4">
        <f t="shared" si="18"/>
        <v>255.2</v>
      </c>
    </row>
    <row r="1217" spans="1:19">
      <c r="A1217" t="s">
        <v>1992</v>
      </c>
      <c r="B1217" s="3">
        <v>45849</v>
      </c>
      <c r="C1217" t="s">
        <v>48</v>
      </c>
      <c r="D1217" t="s">
        <v>381</v>
      </c>
      <c r="E1217" t="s">
        <v>127</v>
      </c>
      <c r="F1217">
        <v>2</v>
      </c>
      <c r="G1217" t="s">
        <v>23</v>
      </c>
      <c r="H1217">
        <v>58</v>
      </c>
      <c r="I1217" s="12" t="s">
        <v>34</v>
      </c>
      <c r="J1217" s="12" t="s">
        <v>51</v>
      </c>
      <c r="K1217" s="12" t="s">
        <v>52</v>
      </c>
      <c r="L1217" s="12" t="s">
        <v>382</v>
      </c>
      <c r="M1217" s="12" t="s">
        <v>130</v>
      </c>
      <c r="N1217" s="14">
        <v>0.13</v>
      </c>
      <c r="O1217" s="23">
        <v>152.25</v>
      </c>
      <c r="P1217">
        <v>167.34</v>
      </c>
      <c r="Q1217" s="12" t="str" cm="1">
        <f t="array" ref="Q1217:R1217">VLOOKUP(E1217,store[],{3,5},FALSE)</f>
        <v>South</v>
      </c>
      <c r="R1217" t="str">
        <v>Flagship</v>
      </c>
      <c r="S1217" s="4">
        <f t="shared" si="18"/>
        <v>304.24</v>
      </c>
    </row>
    <row r="1218" spans="1:19">
      <c r="A1218" t="s">
        <v>1993</v>
      </c>
      <c r="B1218" s="3">
        <v>45281</v>
      </c>
      <c r="C1218" t="s">
        <v>1169</v>
      </c>
      <c r="D1218" t="s">
        <v>197</v>
      </c>
      <c r="E1218" t="s">
        <v>135</v>
      </c>
      <c r="F1218">
        <v>2</v>
      </c>
      <c r="G1218" t="s">
        <v>23</v>
      </c>
      <c r="H1218">
        <v>53</v>
      </c>
      <c r="I1218" s="12" t="s">
        <v>34</v>
      </c>
      <c r="J1218" s="12" t="s">
        <v>118</v>
      </c>
      <c r="K1218" s="12" t="s">
        <v>52</v>
      </c>
      <c r="L1218" s="12" t="s">
        <v>200</v>
      </c>
      <c r="M1218" s="12" t="s">
        <v>37</v>
      </c>
      <c r="N1218" s="14">
        <v>0.23</v>
      </c>
      <c r="O1218" s="23">
        <v>889.04</v>
      </c>
      <c r="P1218">
        <v>242.23</v>
      </c>
      <c r="Q1218" s="12" t="str" cm="1">
        <f t="array" ref="Q1218:R1218">VLOOKUP(E1218,store[],{3,5},FALSE)</f>
        <v>East</v>
      </c>
      <c r="R1218" t="str">
        <v>Online</v>
      </c>
      <c r="S1218" s="4">
        <f t="shared" ref="S1218:S1281" si="19">(O1218-N1218)*F1218</f>
        <v>1777.62</v>
      </c>
    </row>
    <row r="1219" spans="1:19">
      <c r="A1219" t="s">
        <v>1994</v>
      </c>
      <c r="B1219" s="3">
        <v>45322</v>
      </c>
      <c r="C1219" t="s">
        <v>954</v>
      </c>
      <c r="D1219" t="s">
        <v>786</v>
      </c>
      <c r="E1219" t="s">
        <v>168</v>
      </c>
      <c r="F1219">
        <v>3</v>
      </c>
      <c r="G1219" t="s">
        <v>33</v>
      </c>
      <c r="H1219">
        <v>18</v>
      </c>
      <c r="I1219" s="12" t="s">
        <v>34</v>
      </c>
      <c r="J1219" s="12" t="s">
        <v>251</v>
      </c>
      <c r="K1219" s="12" t="s">
        <v>60</v>
      </c>
      <c r="L1219" s="12" t="s">
        <v>787</v>
      </c>
      <c r="M1219" s="12" t="s">
        <v>130</v>
      </c>
      <c r="N1219" s="14">
        <v>0.24</v>
      </c>
      <c r="O1219" s="23">
        <v>145.25</v>
      </c>
      <c r="P1219">
        <v>353.47</v>
      </c>
      <c r="Q1219" s="12" t="str" cm="1">
        <f t="array" ref="Q1219:R1219">VLOOKUP(E1219,store[],{3,5},FALSE)</f>
        <v>East</v>
      </c>
      <c r="R1219" t="str">
        <v>Online</v>
      </c>
      <c r="S1219" s="4">
        <f t="shared" si="19"/>
        <v>435.03</v>
      </c>
    </row>
    <row r="1220" spans="1:19">
      <c r="A1220" t="s">
        <v>1995</v>
      </c>
      <c r="B1220" s="3">
        <v>45560</v>
      </c>
      <c r="C1220" t="s">
        <v>41</v>
      </c>
      <c r="D1220" t="s">
        <v>110</v>
      </c>
      <c r="E1220" t="s">
        <v>198</v>
      </c>
      <c r="F1220">
        <v>2</v>
      </c>
      <c r="G1220" t="s">
        <v>50</v>
      </c>
      <c r="H1220">
        <v>49</v>
      </c>
      <c r="I1220" s="12" t="s">
        <v>34</v>
      </c>
      <c r="J1220" s="12" t="s">
        <v>44</v>
      </c>
      <c r="K1220" s="12" t="s">
        <v>26</v>
      </c>
      <c r="L1220" s="12" t="s">
        <v>112</v>
      </c>
      <c r="M1220" s="12" t="s">
        <v>28</v>
      </c>
      <c r="N1220" s="14">
        <v>0.28999999999999998</v>
      </c>
      <c r="O1220" s="23">
        <v>898.45</v>
      </c>
      <c r="P1220">
        <v>131.24</v>
      </c>
      <c r="Q1220" s="12" t="str" cm="1">
        <f t="array" ref="Q1220:R1220">VLOOKUP(E1220,store[],{3,5},FALSE)</f>
        <v>South</v>
      </c>
      <c r="R1220" t="str">
        <v>Outlet</v>
      </c>
      <c r="S1220" s="4">
        <f t="shared" si="19"/>
        <v>1796.32</v>
      </c>
    </row>
    <row r="1221" spans="1:19">
      <c r="A1221" t="s">
        <v>1996</v>
      </c>
      <c r="B1221" s="3">
        <v>45905</v>
      </c>
      <c r="C1221" t="s">
        <v>1997</v>
      </c>
      <c r="D1221" t="s">
        <v>487</v>
      </c>
      <c r="E1221" t="s">
        <v>122</v>
      </c>
      <c r="F1221">
        <v>4</v>
      </c>
      <c r="G1221" t="s">
        <v>23</v>
      </c>
      <c r="H1221">
        <v>64</v>
      </c>
      <c r="I1221" s="12" t="s">
        <v>34</v>
      </c>
      <c r="J1221" s="12" t="s">
        <v>44</v>
      </c>
      <c r="K1221" s="12" t="s">
        <v>73</v>
      </c>
      <c r="L1221" s="12" t="s">
        <v>488</v>
      </c>
      <c r="M1221" s="12" t="s">
        <v>75</v>
      </c>
      <c r="N1221" s="14">
        <v>0.25</v>
      </c>
      <c r="O1221" s="23">
        <v>642.04999999999995</v>
      </c>
      <c r="P1221">
        <v>382.22</v>
      </c>
      <c r="Q1221" s="12" t="str" cm="1">
        <f t="array" ref="Q1221:R1221">VLOOKUP(E1221,store[],{3,5},FALSE)</f>
        <v>North</v>
      </c>
      <c r="R1221" t="str">
        <v>Flagship</v>
      </c>
      <c r="S1221" s="4">
        <f t="shared" si="19"/>
        <v>2567.1999999999998</v>
      </c>
    </row>
    <row r="1222" spans="1:19">
      <c r="A1222" t="s">
        <v>1998</v>
      </c>
      <c r="B1222" s="3">
        <v>45531</v>
      </c>
      <c r="C1222" t="s">
        <v>1999</v>
      </c>
      <c r="D1222" t="s">
        <v>814</v>
      </c>
      <c r="E1222" t="s">
        <v>66</v>
      </c>
      <c r="F1222">
        <v>4</v>
      </c>
      <c r="G1222" t="s">
        <v>23</v>
      </c>
      <c r="H1222">
        <v>62</v>
      </c>
      <c r="I1222" s="12" t="s">
        <v>24</v>
      </c>
      <c r="J1222" s="12" t="s">
        <v>336</v>
      </c>
      <c r="K1222" s="12" t="s">
        <v>52</v>
      </c>
      <c r="L1222" s="12" t="s">
        <v>815</v>
      </c>
      <c r="M1222" s="12" t="s">
        <v>75</v>
      </c>
      <c r="N1222" s="14">
        <v>0.24</v>
      </c>
      <c r="O1222" s="23">
        <v>450.83</v>
      </c>
      <c r="P1222">
        <v>388.46</v>
      </c>
      <c r="Q1222" s="12" t="str" cm="1">
        <f t="array" ref="Q1222:R1222">VLOOKUP(E1222,store[],{3,5},FALSE)</f>
        <v>South</v>
      </c>
      <c r="R1222" t="str">
        <v>Online</v>
      </c>
      <c r="S1222" s="4">
        <f t="shared" si="19"/>
        <v>1802.36</v>
      </c>
    </row>
    <row r="1223" spans="1:19">
      <c r="A1223" t="s">
        <v>2000</v>
      </c>
      <c r="B1223" s="3">
        <v>45216</v>
      </c>
      <c r="C1223" t="s">
        <v>396</v>
      </c>
      <c r="D1223" t="s">
        <v>282</v>
      </c>
      <c r="E1223" t="s">
        <v>135</v>
      </c>
      <c r="F1223">
        <v>2</v>
      </c>
      <c r="G1223" t="s">
        <v>50</v>
      </c>
      <c r="H1223">
        <v>53</v>
      </c>
      <c r="I1223" s="12" t="s">
        <v>24</v>
      </c>
      <c r="J1223" s="12" t="s">
        <v>44</v>
      </c>
      <c r="K1223" s="12" t="s">
        <v>73</v>
      </c>
      <c r="L1223" s="12" t="s">
        <v>283</v>
      </c>
      <c r="M1223" s="12" t="s">
        <v>28</v>
      </c>
      <c r="N1223" s="14">
        <v>0.23</v>
      </c>
      <c r="O1223" s="23">
        <v>441.03</v>
      </c>
      <c r="P1223">
        <v>212.26</v>
      </c>
      <c r="Q1223" s="12" t="str" cm="1">
        <f t="array" ref="Q1223:R1223">VLOOKUP(E1223,store[],{3,5},FALSE)</f>
        <v>East</v>
      </c>
      <c r="R1223" t="str">
        <v>Online</v>
      </c>
      <c r="S1223" s="4">
        <f t="shared" si="19"/>
        <v>881.6</v>
      </c>
    </row>
    <row r="1224" spans="1:19">
      <c r="A1224" t="s">
        <v>2001</v>
      </c>
      <c r="B1224" s="3">
        <v>45384</v>
      </c>
      <c r="C1224" t="s">
        <v>752</v>
      </c>
      <c r="D1224" t="s">
        <v>425</v>
      </c>
      <c r="E1224" t="s">
        <v>198</v>
      </c>
      <c r="F1224">
        <v>3</v>
      </c>
      <c r="G1224" t="s">
        <v>33</v>
      </c>
      <c r="H1224">
        <v>53</v>
      </c>
      <c r="I1224" s="12" t="s">
        <v>24</v>
      </c>
      <c r="J1224" s="12" t="s">
        <v>235</v>
      </c>
      <c r="K1224" s="12" t="s">
        <v>73</v>
      </c>
      <c r="L1224" s="12" t="s">
        <v>426</v>
      </c>
      <c r="M1224" s="12" t="s">
        <v>130</v>
      </c>
      <c r="N1224" s="14">
        <v>7.0000000000000007E-2</v>
      </c>
      <c r="O1224" s="23">
        <v>377.69</v>
      </c>
      <c r="P1224">
        <v>174.02</v>
      </c>
      <c r="Q1224" s="12" t="str" cm="1">
        <f t="array" ref="Q1224:R1224">VLOOKUP(E1224,store[],{3,5},FALSE)</f>
        <v>South</v>
      </c>
      <c r="R1224" t="str">
        <v>Outlet</v>
      </c>
      <c r="S1224" s="4">
        <f t="shared" si="19"/>
        <v>1132.8599999999999</v>
      </c>
    </row>
    <row r="1225" spans="1:19">
      <c r="A1225" t="s">
        <v>2002</v>
      </c>
      <c r="B1225" s="3">
        <v>45416</v>
      </c>
      <c r="C1225" t="s">
        <v>1155</v>
      </c>
      <c r="D1225" t="s">
        <v>234</v>
      </c>
      <c r="E1225" t="s">
        <v>66</v>
      </c>
      <c r="F1225">
        <v>1</v>
      </c>
      <c r="G1225" t="s">
        <v>23</v>
      </c>
      <c r="H1225">
        <v>41</v>
      </c>
      <c r="I1225" s="12" t="s">
        <v>34</v>
      </c>
      <c r="J1225" s="12" t="s">
        <v>256</v>
      </c>
      <c r="K1225" s="12" t="s">
        <v>52</v>
      </c>
      <c r="L1225" s="12" t="s">
        <v>236</v>
      </c>
      <c r="M1225" s="12" t="s">
        <v>75</v>
      </c>
      <c r="N1225" s="14">
        <v>0.27</v>
      </c>
      <c r="O1225" s="23">
        <v>457.33</v>
      </c>
      <c r="P1225">
        <v>298.86</v>
      </c>
      <c r="Q1225" s="12" t="str" cm="1">
        <f t="array" ref="Q1225:R1225">VLOOKUP(E1225,store[],{3,5},FALSE)</f>
        <v>South</v>
      </c>
      <c r="R1225" t="str">
        <v>Online</v>
      </c>
      <c r="S1225" s="4">
        <f t="shared" si="19"/>
        <v>457.06</v>
      </c>
    </row>
    <row r="1226" spans="1:19">
      <c r="A1226" t="s">
        <v>2003</v>
      </c>
      <c r="B1226" s="3">
        <v>45880</v>
      </c>
      <c r="C1226" t="s">
        <v>408</v>
      </c>
      <c r="D1226" t="s">
        <v>49</v>
      </c>
      <c r="E1226" t="s">
        <v>179</v>
      </c>
      <c r="F1226">
        <v>4</v>
      </c>
      <c r="G1226" t="s">
        <v>23</v>
      </c>
      <c r="H1226">
        <v>19</v>
      </c>
      <c r="I1226" s="12" t="s">
        <v>24</v>
      </c>
      <c r="J1226" s="12" t="s">
        <v>410</v>
      </c>
      <c r="K1226" s="12" t="s">
        <v>73</v>
      </c>
      <c r="L1226" s="12" t="s">
        <v>53</v>
      </c>
      <c r="M1226" s="12" t="s">
        <v>37</v>
      </c>
      <c r="N1226" s="14">
        <v>0.06</v>
      </c>
      <c r="O1226" s="23">
        <v>218.01</v>
      </c>
      <c r="P1226">
        <v>392.89</v>
      </c>
      <c r="Q1226" s="12" t="str" cm="1">
        <f t="array" ref="Q1226:R1226">VLOOKUP(E1226,store[],{3,5},FALSE)</f>
        <v>East</v>
      </c>
      <c r="R1226" t="str">
        <v>Online</v>
      </c>
      <c r="S1226" s="4">
        <f t="shared" si="19"/>
        <v>871.8</v>
      </c>
    </row>
    <row r="1227" spans="1:19">
      <c r="A1227" t="s">
        <v>2004</v>
      </c>
      <c r="B1227" s="3">
        <v>45933</v>
      </c>
      <c r="C1227" t="s">
        <v>225</v>
      </c>
      <c r="D1227" t="s">
        <v>603</v>
      </c>
      <c r="E1227" t="s">
        <v>160</v>
      </c>
      <c r="F1227">
        <v>2</v>
      </c>
      <c r="G1227" t="s">
        <v>23</v>
      </c>
      <c r="H1227">
        <v>46</v>
      </c>
      <c r="I1227" s="12" t="s">
        <v>24</v>
      </c>
      <c r="J1227" s="12" t="s">
        <v>227</v>
      </c>
      <c r="K1227" s="12" t="s">
        <v>52</v>
      </c>
      <c r="L1227" s="12" t="s">
        <v>604</v>
      </c>
      <c r="M1227" s="12" t="s">
        <v>75</v>
      </c>
      <c r="N1227" s="14">
        <v>0.13</v>
      </c>
      <c r="O1227" s="23">
        <v>682.7</v>
      </c>
      <c r="P1227">
        <v>447.43</v>
      </c>
      <c r="Q1227" s="12" t="str" cm="1">
        <f t="array" ref="Q1227:R1227">VLOOKUP(E1227,store[],{3,5},FALSE)</f>
        <v>East</v>
      </c>
      <c r="R1227" t="str">
        <v>Flagship</v>
      </c>
      <c r="S1227" s="4">
        <f t="shared" si="19"/>
        <v>1365.14</v>
      </c>
    </row>
    <row r="1228" spans="1:19">
      <c r="A1228" t="s">
        <v>2005</v>
      </c>
      <c r="B1228" s="3">
        <v>45345</v>
      </c>
      <c r="C1228" t="s">
        <v>648</v>
      </c>
      <c r="D1228" t="s">
        <v>314</v>
      </c>
      <c r="E1228" t="s">
        <v>160</v>
      </c>
      <c r="F1228">
        <v>3</v>
      </c>
      <c r="G1228" t="s">
        <v>33</v>
      </c>
      <c r="H1228">
        <v>64</v>
      </c>
      <c r="I1228" s="12" t="s">
        <v>34</v>
      </c>
      <c r="J1228" s="12" t="s">
        <v>256</v>
      </c>
      <c r="K1228" s="12" t="s">
        <v>52</v>
      </c>
      <c r="L1228" s="12" t="s">
        <v>315</v>
      </c>
      <c r="M1228" s="12" t="s">
        <v>28</v>
      </c>
      <c r="N1228" s="14">
        <v>0.04</v>
      </c>
      <c r="O1228" s="23">
        <v>726.97</v>
      </c>
      <c r="P1228">
        <v>21.34</v>
      </c>
      <c r="Q1228" s="12" t="str" cm="1">
        <f t="array" ref="Q1228:R1228">VLOOKUP(E1228,store[],{3,5},FALSE)</f>
        <v>East</v>
      </c>
      <c r="R1228" t="str">
        <v>Flagship</v>
      </c>
      <c r="S1228" s="4">
        <f t="shared" si="19"/>
        <v>2180.79</v>
      </c>
    </row>
    <row r="1229" spans="1:19">
      <c r="A1229" t="s">
        <v>2006</v>
      </c>
      <c r="B1229" s="3">
        <v>45681</v>
      </c>
      <c r="C1229" t="s">
        <v>310</v>
      </c>
      <c r="D1229" t="s">
        <v>57</v>
      </c>
      <c r="E1229" t="s">
        <v>127</v>
      </c>
      <c r="F1229">
        <v>2</v>
      </c>
      <c r="G1229" t="s">
        <v>23</v>
      </c>
      <c r="H1229">
        <v>36</v>
      </c>
      <c r="I1229" s="12" t="s">
        <v>24</v>
      </c>
      <c r="J1229" s="12" t="s">
        <v>204</v>
      </c>
      <c r="K1229" s="12" t="s">
        <v>26</v>
      </c>
      <c r="L1229" s="12" t="s">
        <v>61</v>
      </c>
      <c r="M1229" s="12" t="s">
        <v>46</v>
      </c>
      <c r="N1229" s="14">
        <v>0.06</v>
      </c>
      <c r="O1229" s="23">
        <v>107.97</v>
      </c>
      <c r="P1229">
        <v>17.309999999999999</v>
      </c>
      <c r="Q1229" s="12" t="str" cm="1">
        <f t="array" ref="Q1229:R1229">VLOOKUP(E1229,store[],{3,5},FALSE)</f>
        <v>South</v>
      </c>
      <c r="R1229" t="str">
        <v>Flagship</v>
      </c>
      <c r="S1229" s="4">
        <f t="shared" si="19"/>
        <v>215.82</v>
      </c>
    </row>
    <row r="1230" spans="1:19">
      <c r="A1230" t="s">
        <v>2007</v>
      </c>
      <c r="B1230" s="3">
        <v>45785</v>
      </c>
      <c r="C1230" t="s">
        <v>355</v>
      </c>
      <c r="D1230" t="s">
        <v>183</v>
      </c>
      <c r="E1230" t="s">
        <v>98</v>
      </c>
      <c r="F1230">
        <v>1</v>
      </c>
      <c r="G1230" t="s">
        <v>50</v>
      </c>
      <c r="H1230">
        <v>29</v>
      </c>
      <c r="I1230" s="12" t="s">
        <v>34</v>
      </c>
      <c r="J1230" s="12" t="s">
        <v>356</v>
      </c>
      <c r="K1230" s="12" t="s">
        <v>73</v>
      </c>
      <c r="L1230" s="12" t="s">
        <v>184</v>
      </c>
      <c r="M1230" s="12" t="s">
        <v>130</v>
      </c>
      <c r="N1230" s="14">
        <v>0.16</v>
      </c>
      <c r="O1230" s="23">
        <v>38.880000000000003</v>
      </c>
      <c r="P1230">
        <v>261</v>
      </c>
      <c r="Q1230" s="12" t="str" cm="1">
        <f t="array" ref="Q1230:R1230">VLOOKUP(E1230,store[],{3,5},FALSE)</f>
        <v>South</v>
      </c>
      <c r="R1230" t="str">
        <v>Outlet</v>
      </c>
      <c r="S1230" s="4">
        <f t="shared" si="19"/>
        <v>38.72</v>
      </c>
    </row>
    <row r="1231" spans="1:19">
      <c r="A1231" t="s">
        <v>2008</v>
      </c>
      <c r="B1231" s="3">
        <v>45823</v>
      </c>
      <c r="C1231" t="s">
        <v>1596</v>
      </c>
      <c r="D1231" t="s">
        <v>226</v>
      </c>
      <c r="E1231" t="s">
        <v>32</v>
      </c>
      <c r="F1231">
        <v>3</v>
      </c>
      <c r="G1231" t="s">
        <v>50</v>
      </c>
      <c r="H1231">
        <v>21</v>
      </c>
      <c r="I1231" s="12" t="s">
        <v>24</v>
      </c>
      <c r="J1231" s="12" t="s">
        <v>498</v>
      </c>
      <c r="K1231" s="12" t="s">
        <v>26</v>
      </c>
      <c r="L1231" s="12" t="s">
        <v>228</v>
      </c>
      <c r="M1231" s="12" t="s">
        <v>46</v>
      </c>
      <c r="N1231" s="14">
        <v>0.28999999999999998</v>
      </c>
      <c r="O1231" s="23">
        <v>484.39</v>
      </c>
      <c r="P1231">
        <v>337.42</v>
      </c>
      <c r="Q1231" s="12" t="str" cm="1">
        <f t="array" ref="Q1231:R1231">VLOOKUP(E1231,store[],{3,5},FALSE)</f>
        <v>North</v>
      </c>
      <c r="R1231" t="str">
        <v>Flagship</v>
      </c>
      <c r="S1231" s="4">
        <f t="shared" si="19"/>
        <v>1452.3</v>
      </c>
    </row>
    <row r="1232" spans="1:19">
      <c r="A1232" t="s">
        <v>2009</v>
      </c>
      <c r="B1232" s="3">
        <v>45572</v>
      </c>
      <c r="C1232" t="s">
        <v>2010</v>
      </c>
      <c r="D1232" t="s">
        <v>429</v>
      </c>
      <c r="E1232" t="s">
        <v>122</v>
      </c>
      <c r="F1232">
        <v>2</v>
      </c>
      <c r="G1232" t="s">
        <v>50</v>
      </c>
      <c r="H1232">
        <v>43</v>
      </c>
      <c r="I1232" s="12" t="s">
        <v>24</v>
      </c>
      <c r="J1232" s="12" t="s">
        <v>333</v>
      </c>
      <c r="K1232" s="12" t="s">
        <v>346</v>
      </c>
      <c r="L1232" s="12" t="s">
        <v>430</v>
      </c>
      <c r="M1232" s="12" t="s">
        <v>75</v>
      </c>
      <c r="N1232" s="14">
        <v>0.08</v>
      </c>
      <c r="O1232" s="23">
        <v>949.3</v>
      </c>
      <c r="P1232">
        <v>143.43</v>
      </c>
      <c r="Q1232" s="12" t="str" cm="1">
        <f t="array" ref="Q1232:R1232">VLOOKUP(E1232,store[],{3,5},FALSE)</f>
        <v>North</v>
      </c>
      <c r="R1232" t="str">
        <v>Flagship</v>
      </c>
      <c r="S1232" s="4">
        <f t="shared" si="19"/>
        <v>1898.44</v>
      </c>
    </row>
    <row r="1233" spans="1:19">
      <c r="A1233" t="s">
        <v>2011</v>
      </c>
      <c r="B1233" s="3">
        <v>45259</v>
      </c>
      <c r="C1233" t="s">
        <v>778</v>
      </c>
      <c r="D1233" t="s">
        <v>368</v>
      </c>
      <c r="E1233" t="s">
        <v>179</v>
      </c>
      <c r="F1233">
        <v>3</v>
      </c>
      <c r="G1233" t="s">
        <v>23</v>
      </c>
      <c r="H1233">
        <v>51</v>
      </c>
      <c r="I1233" s="12" t="s">
        <v>34</v>
      </c>
      <c r="J1233" s="12" t="s">
        <v>161</v>
      </c>
      <c r="K1233" s="12" t="s">
        <v>60</v>
      </c>
      <c r="L1233" s="12" t="s">
        <v>369</v>
      </c>
      <c r="M1233" s="12" t="s">
        <v>46</v>
      </c>
      <c r="N1233" s="14">
        <v>0.12</v>
      </c>
      <c r="O1233" s="23">
        <v>664.75</v>
      </c>
      <c r="P1233">
        <v>214.32</v>
      </c>
      <c r="Q1233" s="12" t="str" cm="1">
        <f t="array" ref="Q1233:R1233">VLOOKUP(E1233,store[],{3,5},FALSE)</f>
        <v>East</v>
      </c>
      <c r="R1233" t="str">
        <v>Online</v>
      </c>
      <c r="S1233" s="4">
        <f t="shared" si="19"/>
        <v>1993.89</v>
      </c>
    </row>
    <row r="1234" spans="1:19">
      <c r="A1234" t="s">
        <v>2012</v>
      </c>
      <c r="B1234" s="3">
        <v>45740</v>
      </c>
      <c r="C1234" t="s">
        <v>773</v>
      </c>
      <c r="D1234" t="s">
        <v>79</v>
      </c>
      <c r="E1234" t="s">
        <v>32</v>
      </c>
      <c r="F1234">
        <v>3</v>
      </c>
      <c r="G1234" t="s">
        <v>33</v>
      </c>
      <c r="H1234">
        <v>46</v>
      </c>
      <c r="I1234" s="12" t="s">
        <v>34</v>
      </c>
      <c r="J1234" s="12" t="s">
        <v>204</v>
      </c>
      <c r="K1234" s="12" t="s">
        <v>26</v>
      </c>
      <c r="L1234" s="12" t="s">
        <v>81</v>
      </c>
      <c r="M1234" s="12" t="s">
        <v>75</v>
      </c>
      <c r="N1234" s="14">
        <v>7.0000000000000007E-2</v>
      </c>
      <c r="O1234" s="23">
        <v>190.04</v>
      </c>
      <c r="P1234">
        <v>138.05000000000001</v>
      </c>
      <c r="Q1234" s="12" t="str" cm="1">
        <f t="array" ref="Q1234:R1234">VLOOKUP(E1234,store[],{3,5},FALSE)</f>
        <v>North</v>
      </c>
      <c r="R1234" t="str">
        <v>Flagship</v>
      </c>
      <c r="S1234" s="4">
        <f t="shared" si="19"/>
        <v>569.91</v>
      </c>
    </row>
    <row r="1235" spans="1:19">
      <c r="A1235" t="s">
        <v>2013</v>
      </c>
      <c r="B1235" s="3">
        <v>45869</v>
      </c>
      <c r="C1235" t="s">
        <v>490</v>
      </c>
      <c r="D1235" t="s">
        <v>645</v>
      </c>
      <c r="E1235" t="s">
        <v>122</v>
      </c>
      <c r="F1235">
        <v>3</v>
      </c>
      <c r="G1235" t="s">
        <v>50</v>
      </c>
      <c r="H1235">
        <v>22</v>
      </c>
      <c r="I1235" s="12" t="s">
        <v>34</v>
      </c>
      <c r="J1235" s="12" t="s">
        <v>491</v>
      </c>
      <c r="K1235" s="12" t="s">
        <v>52</v>
      </c>
      <c r="L1235" s="12" t="s">
        <v>646</v>
      </c>
      <c r="M1235" s="12" t="s">
        <v>75</v>
      </c>
      <c r="N1235" s="14">
        <v>0.1</v>
      </c>
      <c r="O1235" s="23">
        <v>754.02</v>
      </c>
      <c r="P1235">
        <v>218.86</v>
      </c>
      <c r="Q1235" s="12" t="str" cm="1">
        <f t="array" ref="Q1235:R1235">VLOOKUP(E1235,store[],{3,5},FALSE)</f>
        <v>North</v>
      </c>
      <c r="R1235" t="str">
        <v>Flagship</v>
      </c>
      <c r="S1235" s="4">
        <f t="shared" si="19"/>
        <v>2261.7600000000002</v>
      </c>
    </row>
    <row r="1236" spans="1:19">
      <c r="A1236" t="s">
        <v>2014</v>
      </c>
      <c r="B1236" s="3">
        <v>45526</v>
      </c>
      <c r="C1236" t="s">
        <v>1097</v>
      </c>
      <c r="D1236" t="s">
        <v>116</v>
      </c>
      <c r="E1236" t="s">
        <v>208</v>
      </c>
      <c r="F1236">
        <v>4</v>
      </c>
      <c r="G1236" t="s">
        <v>50</v>
      </c>
      <c r="H1236">
        <v>52</v>
      </c>
      <c r="I1236" s="12" t="s">
        <v>34</v>
      </c>
      <c r="J1236" s="12" t="s">
        <v>106</v>
      </c>
      <c r="K1236" s="12" t="s">
        <v>73</v>
      </c>
      <c r="L1236" s="12" t="s">
        <v>119</v>
      </c>
      <c r="M1236" s="12" t="s">
        <v>37</v>
      </c>
      <c r="N1236" s="14">
        <v>0.04</v>
      </c>
      <c r="O1236" s="23">
        <v>94.13</v>
      </c>
      <c r="P1236">
        <v>419.28</v>
      </c>
      <c r="Q1236" s="12" t="str" cm="1">
        <f t="array" ref="Q1236:R1236">VLOOKUP(E1236,store[],{3,5},FALSE)</f>
        <v>North</v>
      </c>
      <c r="R1236" t="str">
        <v>Online</v>
      </c>
      <c r="S1236" s="4">
        <f t="shared" si="19"/>
        <v>376.36</v>
      </c>
    </row>
    <row r="1237" spans="1:19">
      <c r="A1237" t="s">
        <v>2015</v>
      </c>
      <c r="B1237" s="3">
        <v>45489</v>
      </c>
      <c r="C1237" t="s">
        <v>843</v>
      </c>
      <c r="D1237" t="s">
        <v>389</v>
      </c>
      <c r="E1237" t="s">
        <v>122</v>
      </c>
      <c r="F1237">
        <v>3</v>
      </c>
      <c r="G1237" t="s">
        <v>33</v>
      </c>
      <c r="H1237">
        <v>45</v>
      </c>
      <c r="I1237" s="12" t="s">
        <v>24</v>
      </c>
      <c r="J1237" s="12" t="s">
        <v>35</v>
      </c>
      <c r="K1237" s="12" t="s">
        <v>73</v>
      </c>
      <c r="L1237" s="12" t="s">
        <v>390</v>
      </c>
      <c r="M1237" s="12" t="s">
        <v>130</v>
      </c>
      <c r="N1237" s="14">
        <v>0.21</v>
      </c>
      <c r="O1237" s="23">
        <v>402.3</v>
      </c>
      <c r="P1237">
        <v>342.56</v>
      </c>
      <c r="Q1237" s="12" t="str" cm="1">
        <f t="array" ref="Q1237:R1237">VLOOKUP(E1237,store[],{3,5},FALSE)</f>
        <v>North</v>
      </c>
      <c r="R1237" t="str">
        <v>Flagship</v>
      </c>
      <c r="S1237" s="4">
        <f t="shared" si="19"/>
        <v>1206.27</v>
      </c>
    </row>
    <row r="1238" spans="1:19">
      <c r="A1238" t="s">
        <v>2016</v>
      </c>
      <c r="B1238" s="3">
        <v>45908</v>
      </c>
      <c r="C1238" t="s">
        <v>147</v>
      </c>
      <c r="D1238" t="s">
        <v>400</v>
      </c>
      <c r="E1238" t="s">
        <v>66</v>
      </c>
      <c r="F1238">
        <v>1</v>
      </c>
      <c r="G1238" t="s">
        <v>50</v>
      </c>
      <c r="H1238">
        <v>58</v>
      </c>
      <c r="I1238" s="12" t="s">
        <v>34</v>
      </c>
      <c r="J1238" s="12" t="s">
        <v>99</v>
      </c>
      <c r="K1238" s="12" t="s">
        <v>52</v>
      </c>
      <c r="L1238" s="12" t="s">
        <v>401</v>
      </c>
      <c r="M1238" s="12" t="s">
        <v>75</v>
      </c>
      <c r="N1238" s="14">
        <v>0.06</v>
      </c>
      <c r="O1238" s="23">
        <v>729.05</v>
      </c>
      <c r="P1238">
        <v>176.07</v>
      </c>
      <c r="Q1238" s="12" t="str" cm="1">
        <f t="array" ref="Q1238:R1238">VLOOKUP(E1238,store[],{3,5},FALSE)</f>
        <v>South</v>
      </c>
      <c r="R1238" t="str">
        <v>Online</v>
      </c>
      <c r="S1238" s="4">
        <f t="shared" si="19"/>
        <v>728.99</v>
      </c>
    </row>
    <row r="1239" spans="1:19">
      <c r="A1239" t="s">
        <v>2017</v>
      </c>
      <c r="B1239" s="3">
        <v>45912</v>
      </c>
      <c r="C1239" t="s">
        <v>791</v>
      </c>
      <c r="D1239" t="s">
        <v>453</v>
      </c>
      <c r="E1239" t="s">
        <v>149</v>
      </c>
      <c r="F1239">
        <v>1</v>
      </c>
      <c r="G1239" t="s">
        <v>33</v>
      </c>
      <c r="H1239">
        <v>54</v>
      </c>
      <c r="I1239" s="12" t="s">
        <v>24</v>
      </c>
      <c r="J1239" s="12" t="s">
        <v>91</v>
      </c>
      <c r="K1239" s="12" t="s">
        <v>26</v>
      </c>
      <c r="L1239" s="12" t="s">
        <v>454</v>
      </c>
      <c r="M1239" s="12" t="s">
        <v>37</v>
      </c>
      <c r="N1239" s="14">
        <v>0.28999999999999998</v>
      </c>
      <c r="O1239" s="23">
        <v>822.6</v>
      </c>
      <c r="P1239">
        <v>340.14</v>
      </c>
      <c r="Q1239" s="12" t="str" cm="1">
        <f t="array" ref="Q1239:R1239">VLOOKUP(E1239,store[],{3,5},FALSE)</f>
        <v>East</v>
      </c>
      <c r="R1239" t="str">
        <v>Flagship</v>
      </c>
      <c r="S1239" s="4">
        <f t="shared" si="19"/>
        <v>822.31</v>
      </c>
    </row>
    <row r="1240" spans="1:19">
      <c r="A1240" t="s">
        <v>2018</v>
      </c>
      <c r="B1240" s="3">
        <v>45771</v>
      </c>
      <c r="C1240" t="s">
        <v>1661</v>
      </c>
      <c r="D1240" t="s">
        <v>359</v>
      </c>
      <c r="E1240" t="s">
        <v>43</v>
      </c>
      <c r="F1240">
        <v>2</v>
      </c>
      <c r="G1240" t="s">
        <v>33</v>
      </c>
      <c r="H1240">
        <v>38</v>
      </c>
      <c r="I1240" s="12" t="s">
        <v>24</v>
      </c>
      <c r="J1240" s="12" t="s">
        <v>360</v>
      </c>
      <c r="K1240" s="12" t="s">
        <v>26</v>
      </c>
      <c r="L1240" s="12" t="s">
        <v>361</v>
      </c>
      <c r="M1240" s="12" t="s">
        <v>46</v>
      </c>
      <c r="N1240" s="14">
        <v>0.19</v>
      </c>
      <c r="O1240" s="23">
        <v>327.25</v>
      </c>
      <c r="P1240">
        <v>289.359375</v>
      </c>
      <c r="Q1240" s="12" t="str" cm="1">
        <f t="array" ref="Q1240:R1240">VLOOKUP(E1240,store[],{3,5},FALSE)</f>
        <v>West</v>
      </c>
      <c r="R1240" t="str">
        <v>Online</v>
      </c>
      <c r="S1240" s="4">
        <f t="shared" si="19"/>
        <v>654.12</v>
      </c>
    </row>
    <row r="1241" spans="1:19">
      <c r="A1241" t="s">
        <v>2019</v>
      </c>
      <c r="B1241" s="3">
        <v>45619</v>
      </c>
      <c r="C1241" t="s">
        <v>259</v>
      </c>
      <c r="D1241" t="s">
        <v>79</v>
      </c>
      <c r="E1241" t="s">
        <v>127</v>
      </c>
      <c r="F1241">
        <v>4</v>
      </c>
      <c r="G1241" t="s">
        <v>50</v>
      </c>
      <c r="H1241">
        <v>26</v>
      </c>
      <c r="I1241" s="12" t="s">
        <v>34</v>
      </c>
      <c r="J1241" s="12" t="s">
        <v>260</v>
      </c>
      <c r="K1241" s="12" t="s">
        <v>52</v>
      </c>
      <c r="L1241" s="12" t="s">
        <v>81</v>
      </c>
      <c r="M1241" s="12" t="s">
        <v>75</v>
      </c>
      <c r="N1241" s="14">
        <v>0</v>
      </c>
      <c r="O1241" s="23">
        <v>930.38</v>
      </c>
      <c r="P1241">
        <v>138.05000000000001</v>
      </c>
      <c r="Q1241" s="12" t="str" cm="1">
        <f t="array" ref="Q1241:R1241">VLOOKUP(E1241,store[],{3,5},FALSE)</f>
        <v>South</v>
      </c>
      <c r="R1241" t="str">
        <v>Flagship</v>
      </c>
      <c r="S1241" s="4">
        <f t="shared" si="19"/>
        <v>3721.52</v>
      </c>
    </row>
    <row r="1242" spans="1:19">
      <c r="A1242" t="s">
        <v>2020</v>
      </c>
      <c r="B1242" s="3">
        <v>45394</v>
      </c>
      <c r="C1242" t="s">
        <v>154</v>
      </c>
      <c r="D1242" t="s">
        <v>139</v>
      </c>
      <c r="E1242" t="s">
        <v>58</v>
      </c>
      <c r="F1242">
        <v>2</v>
      </c>
      <c r="G1242" t="s">
        <v>23</v>
      </c>
      <c r="H1242">
        <v>62</v>
      </c>
      <c r="I1242" s="12" t="s">
        <v>34</v>
      </c>
      <c r="J1242" s="12" t="s">
        <v>99</v>
      </c>
      <c r="K1242" s="12" t="s">
        <v>73</v>
      </c>
      <c r="L1242" s="12" t="s">
        <v>141</v>
      </c>
      <c r="M1242" s="12" t="s">
        <v>75</v>
      </c>
      <c r="N1242" s="14">
        <v>0.24</v>
      </c>
      <c r="O1242" s="23">
        <v>437.84</v>
      </c>
      <c r="P1242">
        <v>250.02157142857101</v>
      </c>
      <c r="Q1242" s="12" t="str" cm="1">
        <f t="array" ref="Q1242:R1242">VLOOKUP(E1242,store[],{3,5},FALSE)</f>
        <v>North</v>
      </c>
      <c r="R1242" t="str">
        <v>Outlet</v>
      </c>
      <c r="S1242" s="4">
        <f t="shared" si="19"/>
        <v>875.2</v>
      </c>
    </row>
    <row r="1243" spans="1:19">
      <c r="A1243" t="s">
        <v>2021</v>
      </c>
      <c r="B1243" s="3">
        <v>45786</v>
      </c>
      <c r="C1243" t="s">
        <v>266</v>
      </c>
      <c r="D1243" t="s">
        <v>226</v>
      </c>
      <c r="E1243" t="s">
        <v>117</v>
      </c>
      <c r="F1243">
        <v>2</v>
      </c>
      <c r="G1243" t="s">
        <v>50</v>
      </c>
      <c r="H1243">
        <v>29</v>
      </c>
      <c r="I1243" s="12" t="s">
        <v>34</v>
      </c>
      <c r="J1243" s="12" t="s">
        <v>222</v>
      </c>
      <c r="K1243" s="12" t="s">
        <v>26</v>
      </c>
      <c r="L1243" s="12" t="s">
        <v>228</v>
      </c>
      <c r="M1243" s="12" t="s">
        <v>46</v>
      </c>
      <c r="N1243" s="14">
        <v>0.09</v>
      </c>
      <c r="O1243" s="23">
        <v>126.02</v>
      </c>
      <c r="P1243">
        <v>337.42</v>
      </c>
      <c r="Q1243" s="12" t="str" cm="1">
        <f t="array" ref="Q1243:R1243">VLOOKUP(E1243,store[],{3,5},FALSE)</f>
        <v>West</v>
      </c>
      <c r="R1243" t="str">
        <v>Flagship</v>
      </c>
      <c r="S1243" s="4">
        <f t="shared" si="19"/>
        <v>251.86</v>
      </c>
    </row>
    <row r="1244" spans="1:19">
      <c r="A1244" t="s">
        <v>2022</v>
      </c>
      <c r="B1244" s="3">
        <v>45692</v>
      </c>
      <c r="C1244" t="s">
        <v>667</v>
      </c>
      <c r="D1244" t="s">
        <v>359</v>
      </c>
      <c r="E1244" t="s">
        <v>122</v>
      </c>
      <c r="F1244">
        <v>1</v>
      </c>
      <c r="G1244" t="s">
        <v>33</v>
      </c>
      <c r="H1244">
        <v>47</v>
      </c>
      <c r="I1244" s="12" t="s">
        <v>34</v>
      </c>
      <c r="J1244" s="12" t="s">
        <v>214</v>
      </c>
      <c r="K1244" s="12" t="s">
        <v>52</v>
      </c>
      <c r="L1244" s="12" t="s">
        <v>361</v>
      </c>
      <c r="M1244" s="12" t="s">
        <v>46</v>
      </c>
      <c r="N1244" s="14">
        <v>7.0000000000000007E-2</v>
      </c>
      <c r="O1244" s="23">
        <v>860.84</v>
      </c>
      <c r="P1244">
        <v>289.359375</v>
      </c>
      <c r="Q1244" s="12" t="str" cm="1">
        <f t="array" ref="Q1244:R1244">VLOOKUP(E1244,store[],{3,5},FALSE)</f>
        <v>North</v>
      </c>
      <c r="R1244" t="str">
        <v>Flagship</v>
      </c>
      <c r="S1244" s="4">
        <f t="shared" si="19"/>
        <v>860.77</v>
      </c>
    </row>
    <row r="1245" spans="1:19">
      <c r="A1245" t="s">
        <v>2023</v>
      </c>
      <c r="B1245" s="3">
        <v>45677</v>
      </c>
      <c r="C1245" t="s">
        <v>546</v>
      </c>
      <c r="D1245" t="s">
        <v>505</v>
      </c>
      <c r="E1245" t="s">
        <v>149</v>
      </c>
      <c r="F1245">
        <v>1</v>
      </c>
      <c r="G1245" t="s">
        <v>33</v>
      </c>
      <c r="H1245">
        <v>28</v>
      </c>
      <c r="I1245" s="12" t="s">
        <v>34</v>
      </c>
      <c r="J1245" s="12" t="s">
        <v>457</v>
      </c>
      <c r="K1245" s="12" t="s">
        <v>26</v>
      </c>
      <c r="L1245" s="12" t="s">
        <v>506</v>
      </c>
      <c r="M1245" s="12" t="s">
        <v>37</v>
      </c>
      <c r="N1245" s="14">
        <v>0.24</v>
      </c>
      <c r="O1245" s="23">
        <v>161.80000000000001</v>
      </c>
      <c r="P1245">
        <v>177.98</v>
      </c>
      <c r="Q1245" s="12" t="str" cm="1">
        <f t="array" ref="Q1245:R1245">VLOOKUP(E1245,store[],{3,5},FALSE)</f>
        <v>East</v>
      </c>
      <c r="R1245" t="str">
        <v>Flagship</v>
      </c>
      <c r="S1245" s="4">
        <f t="shared" si="19"/>
        <v>161.56</v>
      </c>
    </row>
    <row r="1246" spans="1:19">
      <c r="A1246" t="s">
        <v>2024</v>
      </c>
      <c r="B1246" s="3">
        <v>45669</v>
      </c>
      <c r="C1246" t="s">
        <v>1446</v>
      </c>
      <c r="D1246" t="s">
        <v>340</v>
      </c>
      <c r="E1246" t="s">
        <v>32</v>
      </c>
      <c r="F1246">
        <v>4</v>
      </c>
      <c r="G1246" t="s">
        <v>50</v>
      </c>
      <c r="H1246">
        <v>60</v>
      </c>
      <c r="I1246" s="12" t="s">
        <v>24</v>
      </c>
      <c r="J1246" s="12" t="s">
        <v>457</v>
      </c>
      <c r="K1246" s="12" t="s">
        <v>26</v>
      </c>
      <c r="L1246" s="12" t="s">
        <v>341</v>
      </c>
      <c r="M1246" s="12" t="s">
        <v>28</v>
      </c>
      <c r="N1246" s="14">
        <v>0.02</v>
      </c>
      <c r="O1246" s="23">
        <v>347.82</v>
      </c>
      <c r="P1246">
        <v>135.61000000000001</v>
      </c>
      <c r="Q1246" s="12" t="str" cm="1">
        <f t="array" ref="Q1246:R1246">VLOOKUP(E1246,store[],{3,5},FALSE)</f>
        <v>North</v>
      </c>
      <c r="R1246" t="str">
        <v>Flagship</v>
      </c>
      <c r="S1246" s="4">
        <f t="shared" si="19"/>
        <v>1391.2</v>
      </c>
    </row>
    <row r="1247" spans="1:19">
      <c r="A1247" t="s">
        <v>2025</v>
      </c>
      <c r="B1247" s="3">
        <v>45299</v>
      </c>
      <c r="C1247" t="s">
        <v>217</v>
      </c>
      <c r="D1247" t="s">
        <v>462</v>
      </c>
      <c r="E1247" t="s">
        <v>117</v>
      </c>
      <c r="F1247">
        <v>3</v>
      </c>
      <c r="G1247" t="s">
        <v>23</v>
      </c>
      <c r="H1247">
        <v>62</v>
      </c>
      <c r="I1247" s="12" t="s">
        <v>34</v>
      </c>
      <c r="J1247" s="12" t="s">
        <v>218</v>
      </c>
      <c r="K1247" s="12" t="s">
        <v>52</v>
      </c>
      <c r="L1247" s="12" t="s">
        <v>464</v>
      </c>
      <c r="M1247" s="12" t="s">
        <v>130</v>
      </c>
      <c r="N1247" s="14">
        <v>0.27</v>
      </c>
      <c r="O1247" s="23">
        <v>416.44</v>
      </c>
      <c r="P1247">
        <v>119.57</v>
      </c>
      <c r="Q1247" s="12" t="str" cm="1">
        <f t="array" ref="Q1247:R1247">VLOOKUP(E1247,store[],{3,5},FALSE)</f>
        <v>West</v>
      </c>
      <c r="R1247" t="str">
        <v>Flagship</v>
      </c>
      <c r="S1247" s="4">
        <f t="shared" si="19"/>
        <v>1248.51</v>
      </c>
    </row>
    <row r="1248" spans="1:19">
      <c r="A1248" t="s">
        <v>2026</v>
      </c>
      <c r="B1248" s="3">
        <v>45893</v>
      </c>
      <c r="C1248" t="s">
        <v>1483</v>
      </c>
      <c r="D1248" t="s">
        <v>661</v>
      </c>
      <c r="E1248" t="s">
        <v>90</v>
      </c>
      <c r="F1248">
        <v>1</v>
      </c>
      <c r="G1248" t="s">
        <v>50</v>
      </c>
      <c r="H1248">
        <v>24</v>
      </c>
      <c r="I1248" s="12" t="s">
        <v>24</v>
      </c>
      <c r="J1248" s="12" t="s">
        <v>609</v>
      </c>
      <c r="K1248" s="12" t="s">
        <v>73</v>
      </c>
      <c r="L1248" s="12" t="s">
        <v>662</v>
      </c>
      <c r="M1248" s="12" t="s">
        <v>37</v>
      </c>
      <c r="N1248" s="14">
        <v>0.24</v>
      </c>
      <c r="O1248" s="23">
        <v>147.96</v>
      </c>
      <c r="P1248">
        <v>86.42</v>
      </c>
      <c r="Q1248" s="12" t="str" cm="1">
        <f t="array" ref="Q1248:R1248">VLOOKUP(E1248,store[],{3,5},FALSE)</f>
        <v>East</v>
      </c>
      <c r="R1248" t="str">
        <v>Flagship</v>
      </c>
      <c r="S1248" s="4">
        <f t="shared" si="19"/>
        <v>147.72</v>
      </c>
    </row>
    <row r="1249" spans="1:19">
      <c r="A1249" t="s">
        <v>2027</v>
      </c>
      <c r="B1249" s="3">
        <v>45560</v>
      </c>
      <c r="C1249" t="s">
        <v>1134</v>
      </c>
      <c r="D1249" t="s">
        <v>928</v>
      </c>
      <c r="E1249" t="s">
        <v>43</v>
      </c>
      <c r="F1249">
        <v>3</v>
      </c>
      <c r="G1249" t="s">
        <v>23</v>
      </c>
      <c r="H1249">
        <v>41</v>
      </c>
      <c r="I1249" s="12" t="s">
        <v>34</v>
      </c>
      <c r="J1249" s="12" t="s">
        <v>498</v>
      </c>
      <c r="K1249" s="12" t="s">
        <v>52</v>
      </c>
      <c r="L1249" s="12" t="s">
        <v>929</v>
      </c>
      <c r="M1249" s="12" t="s">
        <v>130</v>
      </c>
      <c r="N1249" s="14">
        <v>0.22</v>
      </c>
      <c r="O1249" s="23">
        <v>550.26</v>
      </c>
      <c r="P1249">
        <v>245.77831168831199</v>
      </c>
      <c r="Q1249" s="12" t="str" cm="1">
        <f t="array" ref="Q1249:R1249">VLOOKUP(E1249,store[],{3,5},FALSE)</f>
        <v>West</v>
      </c>
      <c r="R1249" t="str">
        <v>Online</v>
      </c>
      <c r="S1249" s="4">
        <f t="shared" si="19"/>
        <v>1650.12</v>
      </c>
    </row>
    <row r="1250" spans="1:19">
      <c r="A1250" t="s">
        <v>2028</v>
      </c>
      <c r="B1250" s="3">
        <v>45267</v>
      </c>
      <c r="C1250" t="s">
        <v>674</v>
      </c>
      <c r="D1250" t="s">
        <v>21</v>
      </c>
      <c r="E1250" t="s">
        <v>66</v>
      </c>
      <c r="F1250">
        <v>4</v>
      </c>
      <c r="G1250" t="s">
        <v>33</v>
      </c>
      <c r="H1250">
        <v>21</v>
      </c>
      <c r="I1250" s="12" t="s">
        <v>34</v>
      </c>
      <c r="J1250" s="12" t="s">
        <v>214</v>
      </c>
      <c r="K1250" s="12" t="s">
        <v>52</v>
      </c>
      <c r="L1250" s="12" t="s">
        <v>27</v>
      </c>
      <c r="M1250" s="12" t="s">
        <v>28</v>
      </c>
      <c r="N1250" s="14">
        <v>0.04</v>
      </c>
      <c r="O1250" s="23">
        <v>938.21</v>
      </c>
      <c r="P1250">
        <v>245.98</v>
      </c>
      <c r="Q1250" s="12" t="str" cm="1">
        <f t="array" ref="Q1250:R1250">VLOOKUP(E1250,store[],{3,5},FALSE)</f>
        <v>South</v>
      </c>
      <c r="R1250" t="str">
        <v>Online</v>
      </c>
      <c r="S1250" s="4">
        <f t="shared" si="19"/>
        <v>3752.68</v>
      </c>
    </row>
    <row r="1251" spans="1:19">
      <c r="A1251" t="s">
        <v>2029</v>
      </c>
      <c r="B1251" s="3">
        <v>45467</v>
      </c>
      <c r="C1251" t="s">
        <v>791</v>
      </c>
      <c r="D1251" t="s">
        <v>242</v>
      </c>
      <c r="E1251" t="s">
        <v>117</v>
      </c>
      <c r="F1251">
        <v>3</v>
      </c>
      <c r="G1251" t="s">
        <v>33</v>
      </c>
      <c r="H1251">
        <v>54</v>
      </c>
      <c r="I1251" s="12" t="s">
        <v>24</v>
      </c>
      <c r="J1251" s="12" t="s">
        <v>91</v>
      </c>
      <c r="K1251" s="12" t="s">
        <v>26</v>
      </c>
      <c r="L1251" s="12" t="s">
        <v>243</v>
      </c>
      <c r="M1251" s="12" t="s">
        <v>46</v>
      </c>
      <c r="N1251" s="14">
        <v>0.01</v>
      </c>
      <c r="O1251" s="23">
        <v>517.98</v>
      </c>
      <c r="P1251">
        <v>358.47</v>
      </c>
      <c r="Q1251" s="12" t="str" cm="1">
        <f t="array" ref="Q1251:R1251">VLOOKUP(E1251,store[],{3,5},FALSE)</f>
        <v>West</v>
      </c>
      <c r="R1251" t="str">
        <v>Flagship</v>
      </c>
      <c r="S1251" s="4">
        <f t="shared" si="19"/>
        <v>1553.91</v>
      </c>
    </row>
    <row r="1252" spans="1:19">
      <c r="A1252" t="s">
        <v>2030</v>
      </c>
      <c r="B1252" s="3">
        <v>45847</v>
      </c>
      <c r="C1252" t="s">
        <v>1303</v>
      </c>
      <c r="D1252" t="s">
        <v>887</v>
      </c>
      <c r="E1252" t="s">
        <v>43</v>
      </c>
      <c r="F1252">
        <v>1</v>
      </c>
      <c r="G1252" t="s">
        <v>33</v>
      </c>
      <c r="H1252">
        <v>20</v>
      </c>
      <c r="I1252" s="12" t="s">
        <v>34</v>
      </c>
      <c r="J1252" s="12" t="s">
        <v>360</v>
      </c>
      <c r="K1252" s="12" t="s">
        <v>26</v>
      </c>
      <c r="L1252" s="12" t="s">
        <v>888</v>
      </c>
      <c r="M1252" s="12" t="s">
        <v>46</v>
      </c>
      <c r="N1252" s="14">
        <v>0.16</v>
      </c>
      <c r="O1252" s="23">
        <v>98.27</v>
      </c>
      <c r="P1252">
        <v>312.8</v>
      </c>
      <c r="Q1252" s="12" t="str" cm="1">
        <f t="array" ref="Q1252:R1252">VLOOKUP(E1252,store[],{3,5},FALSE)</f>
        <v>West</v>
      </c>
      <c r="R1252" t="str">
        <v>Online</v>
      </c>
      <c r="S1252" s="4">
        <f t="shared" si="19"/>
        <v>98.11</v>
      </c>
    </row>
    <row r="1253" spans="1:19">
      <c r="A1253" t="s">
        <v>2031</v>
      </c>
      <c r="B1253" s="3">
        <v>45480</v>
      </c>
      <c r="C1253" t="s">
        <v>890</v>
      </c>
      <c r="D1253" t="s">
        <v>505</v>
      </c>
      <c r="E1253" t="s">
        <v>272</v>
      </c>
      <c r="F1253">
        <v>2</v>
      </c>
      <c r="G1253" t="s">
        <v>23</v>
      </c>
      <c r="H1253">
        <v>64</v>
      </c>
      <c r="I1253" s="12" t="s">
        <v>24</v>
      </c>
      <c r="J1253" s="12" t="s">
        <v>59</v>
      </c>
      <c r="K1253" s="12" t="s">
        <v>60</v>
      </c>
      <c r="L1253" s="12" t="s">
        <v>506</v>
      </c>
      <c r="M1253" s="12" t="s">
        <v>37</v>
      </c>
      <c r="N1253" s="14">
        <v>0.19</v>
      </c>
      <c r="O1253" s="23">
        <v>875.2</v>
      </c>
      <c r="P1253">
        <v>177.98</v>
      </c>
      <c r="Q1253" s="12" t="str" cm="1">
        <f t="array" ref="Q1253:R1253">VLOOKUP(E1253,store[],{3,5},FALSE)</f>
        <v>South</v>
      </c>
      <c r="R1253" t="str">
        <v>Online</v>
      </c>
      <c r="S1253" s="4">
        <f t="shared" si="19"/>
        <v>1750.02</v>
      </c>
    </row>
    <row r="1254" spans="1:19">
      <c r="A1254" t="s">
        <v>2032</v>
      </c>
      <c r="B1254" s="3">
        <v>45345</v>
      </c>
      <c r="C1254" t="s">
        <v>1691</v>
      </c>
      <c r="D1254" t="s">
        <v>400</v>
      </c>
      <c r="E1254" t="s">
        <v>90</v>
      </c>
      <c r="F1254">
        <v>1</v>
      </c>
      <c r="G1254" t="s">
        <v>50</v>
      </c>
      <c r="H1254">
        <v>64</v>
      </c>
      <c r="I1254" s="12" t="s">
        <v>24</v>
      </c>
      <c r="J1254" s="12" t="s">
        <v>91</v>
      </c>
      <c r="K1254" s="12" t="s">
        <v>52</v>
      </c>
      <c r="L1254" s="12" t="s">
        <v>401</v>
      </c>
      <c r="M1254" s="12" t="s">
        <v>75</v>
      </c>
      <c r="N1254" s="14">
        <v>0.06</v>
      </c>
      <c r="O1254" s="23">
        <v>227.35</v>
      </c>
      <c r="P1254">
        <v>176.07</v>
      </c>
      <c r="Q1254" s="12" t="str" cm="1">
        <f t="array" ref="Q1254:R1254">VLOOKUP(E1254,store[],{3,5},FALSE)</f>
        <v>East</v>
      </c>
      <c r="R1254" t="str">
        <v>Flagship</v>
      </c>
      <c r="S1254" s="4">
        <f t="shared" si="19"/>
        <v>227.29</v>
      </c>
    </row>
    <row r="1255" spans="1:19">
      <c r="A1255" t="s">
        <v>2033</v>
      </c>
      <c r="B1255" s="3">
        <v>45235</v>
      </c>
      <c r="C1255" t="s">
        <v>934</v>
      </c>
      <c r="D1255" t="s">
        <v>31</v>
      </c>
      <c r="E1255" t="s">
        <v>105</v>
      </c>
      <c r="F1255">
        <v>1</v>
      </c>
      <c r="G1255" t="s">
        <v>50</v>
      </c>
      <c r="H1255">
        <v>48</v>
      </c>
      <c r="I1255" s="12" t="s">
        <v>24</v>
      </c>
      <c r="J1255" s="12" t="s">
        <v>360</v>
      </c>
      <c r="K1255" s="12" t="s">
        <v>60</v>
      </c>
      <c r="L1255" s="12" t="s">
        <v>36</v>
      </c>
      <c r="M1255" s="12" t="s">
        <v>37</v>
      </c>
      <c r="N1255" s="14">
        <v>0.05</v>
      </c>
      <c r="O1255" s="23">
        <v>842.46</v>
      </c>
      <c r="P1255">
        <v>403.71</v>
      </c>
      <c r="Q1255" s="12" t="str" cm="1">
        <f t="array" ref="Q1255:R1255">VLOOKUP(E1255,store[],{3,5},FALSE)</f>
        <v>North</v>
      </c>
      <c r="R1255" t="str">
        <v>Flagship</v>
      </c>
      <c r="S1255" s="4">
        <f t="shared" si="19"/>
        <v>842.41</v>
      </c>
    </row>
    <row r="1256" spans="1:19">
      <c r="A1256" t="s">
        <v>2034</v>
      </c>
      <c r="B1256" s="3">
        <v>45543</v>
      </c>
      <c r="C1256" t="s">
        <v>1143</v>
      </c>
      <c r="D1256" t="s">
        <v>126</v>
      </c>
      <c r="E1256" t="s">
        <v>272</v>
      </c>
      <c r="F1256">
        <v>3</v>
      </c>
      <c r="G1256" t="s">
        <v>50</v>
      </c>
      <c r="H1256">
        <v>63</v>
      </c>
      <c r="I1256" s="12" t="s">
        <v>34</v>
      </c>
      <c r="J1256" s="12" t="s">
        <v>91</v>
      </c>
      <c r="K1256" s="12" t="s">
        <v>52</v>
      </c>
      <c r="L1256" s="12" t="s">
        <v>129</v>
      </c>
      <c r="M1256" s="12" t="s">
        <v>130</v>
      </c>
      <c r="N1256" s="14">
        <v>0.08</v>
      </c>
      <c r="O1256" s="23">
        <v>120.67</v>
      </c>
      <c r="P1256">
        <v>223.43</v>
      </c>
      <c r="Q1256" s="12" t="str" cm="1">
        <f t="array" ref="Q1256:R1256">VLOOKUP(E1256,store[],{3,5},FALSE)</f>
        <v>South</v>
      </c>
      <c r="R1256" t="str">
        <v>Online</v>
      </c>
      <c r="S1256" s="4">
        <f t="shared" si="19"/>
        <v>361.77</v>
      </c>
    </row>
    <row r="1257" spans="1:19">
      <c r="A1257" t="s">
        <v>2035</v>
      </c>
      <c r="B1257" s="3">
        <v>45402</v>
      </c>
      <c r="C1257" t="s">
        <v>1430</v>
      </c>
      <c r="D1257" t="s">
        <v>291</v>
      </c>
      <c r="E1257" t="s">
        <v>22</v>
      </c>
      <c r="F1257">
        <v>4</v>
      </c>
      <c r="G1257" t="s">
        <v>33</v>
      </c>
      <c r="H1257">
        <v>47</v>
      </c>
      <c r="I1257" s="12" t="s">
        <v>34</v>
      </c>
      <c r="J1257" s="12" t="s">
        <v>161</v>
      </c>
      <c r="K1257" s="12" t="s">
        <v>26</v>
      </c>
      <c r="L1257" s="12" t="s">
        <v>292</v>
      </c>
      <c r="M1257" s="12" t="s">
        <v>28</v>
      </c>
      <c r="N1257" s="14">
        <v>0.27</v>
      </c>
      <c r="O1257" s="23">
        <v>176.13</v>
      </c>
      <c r="P1257">
        <v>131.51</v>
      </c>
      <c r="Q1257" s="12" t="str" cm="1">
        <f t="array" ref="Q1257:R1257">VLOOKUP(E1257,store[],{3,5},FALSE)</f>
        <v>North</v>
      </c>
      <c r="R1257" t="str">
        <v>Outlet</v>
      </c>
      <c r="S1257" s="4">
        <f t="shared" si="19"/>
        <v>703.44</v>
      </c>
    </row>
    <row r="1258" spans="1:19">
      <c r="A1258" t="s">
        <v>2036</v>
      </c>
      <c r="B1258" s="3">
        <v>45671</v>
      </c>
      <c r="C1258" t="s">
        <v>2037</v>
      </c>
      <c r="D1258" t="s">
        <v>625</v>
      </c>
      <c r="E1258" t="s">
        <v>272</v>
      </c>
      <c r="F1258">
        <v>4</v>
      </c>
      <c r="G1258" t="s">
        <v>23</v>
      </c>
      <c r="H1258">
        <v>59</v>
      </c>
      <c r="I1258" s="12" t="s">
        <v>24</v>
      </c>
      <c r="J1258" s="12" t="s">
        <v>761</v>
      </c>
      <c r="K1258" s="12" t="s">
        <v>73</v>
      </c>
      <c r="L1258" s="12" t="s">
        <v>626</v>
      </c>
      <c r="M1258" s="12" t="s">
        <v>46</v>
      </c>
      <c r="N1258" s="14">
        <v>0.03</v>
      </c>
      <c r="O1258" s="23">
        <v>592.67999999999995</v>
      </c>
      <c r="P1258">
        <v>266.86</v>
      </c>
      <c r="Q1258" s="12" t="str" cm="1">
        <f t="array" ref="Q1258:R1258">VLOOKUP(E1258,store[],{3,5},FALSE)</f>
        <v>South</v>
      </c>
      <c r="R1258" t="str">
        <v>Online</v>
      </c>
      <c r="S1258" s="4">
        <f t="shared" si="19"/>
        <v>2370.6</v>
      </c>
    </row>
    <row r="1259" spans="1:19">
      <c r="A1259" t="s">
        <v>2038</v>
      </c>
      <c r="B1259" s="3">
        <v>45367</v>
      </c>
      <c r="C1259" t="s">
        <v>365</v>
      </c>
      <c r="D1259" t="s">
        <v>79</v>
      </c>
      <c r="E1259" t="s">
        <v>72</v>
      </c>
      <c r="F1259">
        <v>4</v>
      </c>
      <c r="G1259" t="s">
        <v>33</v>
      </c>
      <c r="H1259">
        <v>48</v>
      </c>
      <c r="I1259" s="12" t="s">
        <v>24</v>
      </c>
      <c r="J1259" s="12" t="s">
        <v>35</v>
      </c>
      <c r="K1259" s="12" t="s">
        <v>60</v>
      </c>
      <c r="L1259" s="12" t="s">
        <v>81</v>
      </c>
      <c r="M1259" s="12" t="s">
        <v>75</v>
      </c>
      <c r="N1259" s="14">
        <v>0.24</v>
      </c>
      <c r="O1259" s="23">
        <v>662.43</v>
      </c>
      <c r="P1259">
        <v>138.05000000000001</v>
      </c>
      <c r="Q1259" s="12" t="str" cm="1">
        <f t="array" ref="Q1259:R1259">VLOOKUP(E1259,store[],{3,5},FALSE)</f>
        <v>South</v>
      </c>
      <c r="R1259" t="str">
        <v>Online</v>
      </c>
      <c r="S1259" s="4">
        <f t="shared" si="19"/>
        <v>2648.76</v>
      </c>
    </row>
    <row r="1260" spans="1:19">
      <c r="A1260" t="s">
        <v>2039</v>
      </c>
      <c r="B1260" s="3">
        <v>45488</v>
      </c>
      <c r="C1260" t="s">
        <v>606</v>
      </c>
      <c r="D1260" t="s">
        <v>159</v>
      </c>
      <c r="E1260" t="s">
        <v>43</v>
      </c>
      <c r="F1260">
        <v>3</v>
      </c>
      <c r="G1260" t="s">
        <v>50</v>
      </c>
      <c r="H1260">
        <v>45</v>
      </c>
      <c r="I1260" s="12" t="s">
        <v>24</v>
      </c>
      <c r="J1260" s="12" t="s">
        <v>140</v>
      </c>
      <c r="K1260" s="12" t="s">
        <v>60</v>
      </c>
      <c r="L1260" s="12" t="s">
        <v>162</v>
      </c>
      <c r="M1260" s="12" t="s">
        <v>37</v>
      </c>
      <c r="N1260" s="14">
        <v>0.21</v>
      </c>
      <c r="O1260" s="23">
        <v>518.35</v>
      </c>
      <c r="P1260">
        <v>253.33</v>
      </c>
      <c r="Q1260" s="12" t="str" cm="1">
        <f t="array" ref="Q1260:R1260">VLOOKUP(E1260,store[],{3,5},FALSE)</f>
        <v>West</v>
      </c>
      <c r="R1260" t="str">
        <v>Online</v>
      </c>
      <c r="S1260" s="4">
        <f t="shared" si="19"/>
        <v>1554.42</v>
      </c>
    </row>
    <row r="1261" spans="1:19">
      <c r="A1261" t="s">
        <v>2040</v>
      </c>
      <c r="B1261" s="3">
        <v>45509</v>
      </c>
      <c r="C1261" t="s">
        <v>1806</v>
      </c>
      <c r="D1261" t="s">
        <v>698</v>
      </c>
      <c r="E1261" t="s">
        <v>58</v>
      </c>
      <c r="F1261">
        <v>1</v>
      </c>
      <c r="G1261" t="s">
        <v>50</v>
      </c>
      <c r="H1261">
        <v>20</v>
      </c>
      <c r="I1261" s="12" t="s">
        <v>24</v>
      </c>
      <c r="J1261" s="12" t="s">
        <v>35</v>
      </c>
      <c r="K1261" s="12" t="s">
        <v>60</v>
      </c>
      <c r="L1261" s="12" t="s">
        <v>699</v>
      </c>
      <c r="M1261" s="12" t="s">
        <v>28</v>
      </c>
      <c r="N1261" s="14">
        <v>0.1</v>
      </c>
      <c r="O1261" s="23">
        <v>85.58</v>
      </c>
      <c r="P1261">
        <v>103.45</v>
      </c>
      <c r="Q1261" s="12" t="str" cm="1">
        <f t="array" ref="Q1261:R1261">VLOOKUP(E1261,store[],{3,5},FALSE)</f>
        <v>North</v>
      </c>
      <c r="R1261" t="str">
        <v>Outlet</v>
      </c>
      <c r="S1261" s="4">
        <f t="shared" si="19"/>
        <v>85.48</v>
      </c>
    </row>
    <row r="1262" spans="1:19">
      <c r="A1262" t="s">
        <v>2041</v>
      </c>
      <c r="B1262" s="3">
        <v>45323</v>
      </c>
      <c r="C1262" t="s">
        <v>1503</v>
      </c>
      <c r="D1262" t="s">
        <v>514</v>
      </c>
      <c r="E1262" t="s">
        <v>105</v>
      </c>
      <c r="F1262">
        <v>4</v>
      </c>
      <c r="G1262" t="s">
        <v>23</v>
      </c>
      <c r="H1262">
        <v>23</v>
      </c>
      <c r="I1262" s="12" t="s">
        <v>24</v>
      </c>
      <c r="J1262" s="12" t="s">
        <v>308</v>
      </c>
      <c r="K1262" s="12" t="s">
        <v>73</v>
      </c>
      <c r="L1262" s="12" t="s">
        <v>515</v>
      </c>
      <c r="M1262" s="12" t="s">
        <v>75</v>
      </c>
      <c r="N1262" s="14">
        <v>0.2</v>
      </c>
      <c r="O1262" s="23">
        <v>800</v>
      </c>
      <c r="P1262">
        <v>371.38</v>
      </c>
      <c r="Q1262" s="12" t="str" cm="1">
        <f t="array" ref="Q1262:R1262">VLOOKUP(E1262,store[],{3,5},FALSE)</f>
        <v>North</v>
      </c>
      <c r="R1262" t="str">
        <v>Flagship</v>
      </c>
      <c r="S1262" s="4">
        <f t="shared" si="19"/>
        <v>3199.2</v>
      </c>
    </row>
    <row r="1263" spans="1:19">
      <c r="A1263" t="s">
        <v>2042</v>
      </c>
      <c r="B1263" s="3">
        <v>45889</v>
      </c>
      <c r="C1263" t="s">
        <v>1803</v>
      </c>
      <c r="D1263" t="s">
        <v>148</v>
      </c>
      <c r="E1263" t="s">
        <v>168</v>
      </c>
      <c r="F1263">
        <v>3</v>
      </c>
      <c r="G1263" t="s">
        <v>33</v>
      </c>
      <c r="H1263">
        <v>60</v>
      </c>
      <c r="I1263" s="12" t="s">
        <v>34</v>
      </c>
      <c r="J1263" s="12" t="s">
        <v>106</v>
      </c>
      <c r="K1263" s="12" t="s">
        <v>26</v>
      </c>
      <c r="L1263" s="12" t="s">
        <v>150</v>
      </c>
      <c r="M1263" s="12" t="s">
        <v>46</v>
      </c>
      <c r="N1263" s="14">
        <v>0.26</v>
      </c>
      <c r="O1263" s="23">
        <v>118.25</v>
      </c>
      <c r="P1263">
        <v>482.75</v>
      </c>
      <c r="Q1263" s="12" t="str" cm="1">
        <f t="array" ref="Q1263:R1263">VLOOKUP(E1263,store[],{3,5},FALSE)</f>
        <v>East</v>
      </c>
      <c r="R1263" t="str">
        <v>Online</v>
      </c>
      <c r="S1263" s="4">
        <f t="shared" si="19"/>
        <v>353.97</v>
      </c>
    </row>
    <row r="1264" spans="1:19">
      <c r="A1264" t="s">
        <v>2043</v>
      </c>
      <c r="B1264" s="3">
        <v>45253</v>
      </c>
      <c r="C1264" t="s">
        <v>1759</v>
      </c>
      <c r="D1264" t="s">
        <v>579</v>
      </c>
      <c r="E1264" t="s">
        <v>122</v>
      </c>
      <c r="F1264">
        <v>1</v>
      </c>
      <c r="G1264" t="s">
        <v>23</v>
      </c>
      <c r="H1264">
        <v>45</v>
      </c>
      <c r="I1264" s="12" t="s">
        <v>34</v>
      </c>
      <c r="J1264" s="12" t="s">
        <v>91</v>
      </c>
      <c r="K1264" s="12" t="s">
        <v>52</v>
      </c>
      <c r="L1264" s="12" t="s">
        <v>580</v>
      </c>
      <c r="M1264" s="12" t="s">
        <v>46</v>
      </c>
      <c r="N1264" s="14">
        <v>0.28999999999999998</v>
      </c>
      <c r="O1264" s="23">
        <v>223.25</v>
      </c>
      <c r="P1264">
        <v>283.83</v>
      </c>
      <c r="Q1264" s="12" t="str" cm="1">
        <f t="array" ref="Q1264:R1264">VLOOKUP(E1264,store[],{3,5},FALSE)</f>
        <v>North</v>
      </c>
      <c r="R1264" t="str">
        <v>Flagship</v>
      </c>
      <c r="S1264" s="4">
        <f t="shared" si="19"/>
        <v>222.96</v>
      </c>
    </row>
    <row r="1265" spans="1:19">
      <c r="A1265" t="s">
        <v>2044</v>
      </c>
      <c r="B1265" s="3">
        <v>45530</v>
      </c>
      <c r="C1265" t="s">
        <v>517</v>
      </c>
      <c r="D1265" t="s">
        <v>579</v>
      </c>
      <c r="E1265" t="s">
        <v>72</v>
      </c>
      <c r="F1265">
        <v>3</v>
      </c>
      <c r="G1265" t="s">
        <v>33</v>
      </c>
      <c r="H1265">
        <v>18</v>
      </c>
      <c r="I1265" s="12" t="s">
        <v>34</v>
      </c>
      <c r="J1265" s="12" t="s">
        <v>193</v>
      </c>
      <c r="K1265" s="12" t="s">
        <v>26</v>
      </c>
      <c r="L1265" s="12" t="s">
        <v>580</v>
      </c>
      <c r="M1265" s="12" t="s">
        <v>46</v>
      </c>
      <c r="N1265" s="14">
        <v>0.2</v>
      </c>
      <c r="O1265" s="23">
        <v>918.76</v>
      </c>
      <c r="P1265">
        <v>283.83</v>
      </c>
      <c r="Q1265" s="12" t="str" cm="1">
        <f t="array" ref="Q1265:R1265">VLOOKUP(E1265,store[],{3,5},FALSE)</f>
        <v>South</v>
      </c>
      <c r="R1265" t="str">
        <v>Online</v>
      </c>
      <c r="S1265" s="4">
        <f t="shared" si="19"/>
        <v>2755.68</v>
      </c>
    </row>
    <row r="1266" spans="1:19">
      <c r="A1266" t="s">
        <v>2045</v>
      </c>
      <c r="B1266" s="3">
        <v>45491</v>
      </c>
      <c r="C1266" t="s">
        <v>1727</v>
      </c>
      <c r="D1266" t="s">
        <v>814</v>
      </c>
      <c r="E1266" t="s">
        <v>149</v>
      </c>
      <c r="F1266">
        <v>2</v>
      </c>
      <c r="G1266" t="s">
        <v>50</v>
      </c>
      <c r="H1266">
        <v>48</v>
      </c>
      <c r="I1266" s="12" t="s">
        <v>24</v>
      </c>
      <c r="J1266" s="12" t="s">
        <v>218</v>
      </c>
      <c r="K1266" s="12" t="s">
        <v>73</v>
      </c>
      <c r="L1266" s="12" t="s">
        <v>815</v>
      </c>
      <c r="M1266" s="12" t="s">
        <v>75</v>
      </c>
      <c r="N1266" s="14">
        <v>0.15</v>
      </c>
      <c r="O1266" s="23">
        <v>905.26</v>
      </c>
      <c r="P1266">
        <v>388.46</v>
      </c>
      <c r="Q1266" s="12" t="str" cm="1">
        <f t="array" ref="Q1266:R1266">VLOOKUP(E1266,store[],{3,5},FALSE)</f>
        <v>East</v>
      </c>
      <c r="R1266" t="str">
        <v>Flagship</v>
      </c>
      <c r="S1266" s="4">
        <f t="shared" si="19"/>
        <v>1810.22</v>
      </c>
    </row>
    <row r="1267" spans="1:19">
      <c r="A1267" t="s">
        <v>2046</v>
      </c>
      <c r="B1267" s="3">
        <v>45628</v>
      </c>
      <c r="C1267" t="s">
        <v>794</v>
      </c>
      <c r="D1267" t="s">
        <v>226</v>
      </c>
      <c r="E1267" t="s">
        <v>135</v>
      </c>
      <c r="F1267">
        <v>4</v>
      </c>
      <c r="G1267" t="s">
        <v>33</v>
      </c>
      <c r="H1267">
        <v>47</v>
      </c>
      <c r="I1267" s="12" t="s">
        <v>34</v>
      </c>
      <c r="J1267" s="12" t="s">
        <v>373</v>
      </c>
      <c r="K1267" s="12" t="s">
        <v>60</v>
      </c>
      <c r="L1267" s="12" t="s">
        <v>228</v>
      </c>
      <c r="M1267" s="12" t="s">
        <v>46</v>
      </c>
      <c r="N1267" s="14">
        <v>0.23</v>
      </c>
      <c r="O1267" s="23">
        <v>295.39999999999998</v>
      </c>
      <c r="P1267">
        <v>337.42</v>
      </c>
      <c r="Q1267" s="12" t="str" cm="1">
        <f t="array" ref="Q1267:R1267">VLOOKUP(E1267,store[],{3,5},FALSE)</f>
        <v>East</v>
      </c>
      <c r="R1267" t="str">
        <v>Online</v>
      </c>
      <c r="S1267" s="4">
        <f t="shared" si="19"/>
        <v>1180.68</v>
      </c>
    </row>
    <row r="1268" spans="1:19">
      <c r="A1268" t="s">
        <v>2047</v>
      </c>
      <c r="B1268" s="3">
        <v>45861</v>
      </c>
      <c r="C1268" t="s">
        <v>456</v>
      </c>
      <c r="D1268" t="s">
        <v>242</v>
      </c>
      <c r="E1268" t="s">
        <v>58</v>
      </c>
      <c r="F1268">
        <v>1</v>
      </c>
      <c r="G1268" t="s">
        <v>33</v>
      </c>
      <c r="H1268">
        <v>58</v>
      </c>
      <c r="I1268" s="12" t="s">
        <v>34</v>
      </c>
      <c r="J1268" s="12" t="s">
        <v>457</v>
      </c>
      <c r="K1268" s="12" t="s">
        <v>73</v>
      </c>
      <c r="L1268" s="12" t="s">
        <v>243</v>
      </c>
      <c r="M1268" s="12" t="s">
        <v>46</v>
      </c>
      <c r="N1268" s="14">
        <v>0.23</v>
      </c>
      <c r="O1268" s="23">
        <v>252.18</v>
      </c>
      <c r="P1268">
        <v>358.47</v>
      </c>
      <c r="Q1268" s="12" t="str" cm="1">
        <f t="array" ref="Q1268:R1268">VLOOKUP(E1268,store[],{3,5},FALSE)</f>
        <v>North</v>
      </c>
      <c r="R1268" t="str">
        <v>Outlet</v>
      </c>
      <c r="S1268" s="4">
        <f t="shared" si="19"/>
        <v>251.95</v>
      </c>
    </row>
    <row r="1269" spans="1:19">
      <c r="A1269" t="s">
        <v>2048</v>
      </c>
      <c r="B1269" s="3">
        <v>45878</v>
      </c>
      <c r="C1269" t="s">
        <v>78</v>
      </c>
      <c r="D1269" t="s">
        <v>21</v>
      </c>
      <c r="E1269" t="s">
        <v>208</v>
      </c>
      <c r="F1269">
        <v>4</v>
      </c>
      <c r="G1269" t="s">
        <v>50</v>
      </c>
      <c r="H1269">
        <v>41</v>
      </c>
      <c r="I1269" s="12" t="s">
        <v>34</v>
      </c>
      <c r="J1269" s="12" t="s">
        <v>80</v>
      </c>
      <c r="K1269" s="12" t="s">
        <v>52</v>
      </c>
      <c r="L1269" s="12" t="s">
        <v>27</v>
      </c>
      <c r="M1269" s="12" t="s">
        <v>28</v>
      </c>
      <c r="N1269" s="14">
        <v>0.19</v>
      </c>
      <c r="O1269" s="23">
        <v>792.1</v>
      </c>
      <c r="P1269">
        <v>245.98</v>
      </c>
      <c r="Q1269" s="12" t="str" cm="1">
        <f t="array" ref="Q1269:R1269">VLOOKUP(E1269,store[],{3,5},FALSE)</f>
        <v>North</v>
      </c>
      <c r="R1269" t="str">
        <v>Online</v>
      </c>
      <c r="S1269" s="4">
        <f t="shared" si="19"/>
        <v>3167.64</v>
      </c>
    </row>
    <row r="1270" spans="1:19">
      <c r="A1270" t="s">
        <v>2049</v>
      </c>
      <c r="B1270" s="3">
        <v>45426</v>
      </c>
      <c r="C1270" t="s">
        <v>578</v>
      </c>
      <c r="D1270" t="s">
        <v>110</v>
      </c>
      <c r="E1270" t="s">
        <v>98</v>
      </c>
      <c r="F1270">
        <v>1</v>
      </c>
      <c r="G1270" t="s">
        <v>33</v>
      </c>
      <c r="H1270">
        <v>37</v>
      </c>
      <c r="I1270" s="12" t="s">
        <v>24</v>
      </c>
      <c r="J1270" s="12" t="s">
        <v>169</v>
      </c>
      <c r="K1270" s="12" t="s">
        <v>26</v>
      </c>
      <c r="L1270" s="12" t="s">
        <v>112</v>
      </c>
      <c r="M1270" s="12" t="s">
        <v>28</v>
      </c>
      <c r="N1270" s="14">
        <v>0.11</v>
      </c>
      <c r="O1270" s="23">
        <v>883.36</v>
      </c>
      <c r="P1270">
        <v>131.24</v>
      </c>
      <c r="Q1270" s="12" t="str" cm="1">
        <f t="array" ref="Q1270:R1270">VLOOKUP(E1270,store[],{3,5},FALSE)</f>
        <v>South</v>
      </c>
      <c r="R1270" t="str">
        <v>Outlet</v>
      </c>
      <c r="S1270" s="4">
        <f t="shared" si="19"/>
        <v>883.25</v>
      </c>
    </row>
    <row r="1271" spans="1:19">
      <c r="A1271" t="s">
        <v>2050</v>
      </c>
      <c r="B1271" s="3">
        <v>45231</v>
      </c>
      <c r="C1271" t="s">
        <v>133</v>
      </c>
      <c r="D1271" t="s">
        <v>167</v>
      </c>
      <c r="E1271" t="s">
        <v>90</v>
      </c>
      <c r="F1271">
        <v>4</v>
      </c>
      <c r="G1271" t="s">
        <v>33</v>
      </c>
      <c r="H1271">
        <v>38</v>
      </c>
      <c r="I1271" s="12" t="s">
        <v>24</v>
      </c>
      <c r="J1271" s="12" t="s">
        <v>99</v>
      </c>
      <c r="K1271" s="12" t="s">
        <v>26</v>
      </c>
      <c r="L1271" s="12" t="s">
        <v>170</v>
      </c>
      <c r="M1271" s="12" t="s">
        <v>130</v>
      </c>
      <c r="N1271" s="14">
        <v>0.08</v>
      </c>
      <c r="O1271" s="23">
        <v>305.95</v>
      </c>
      <c r="P1271">
        <v>218.22</v>
      </c>
      <c r="Q1271" s="12" t="str" cm="1">
        <f t="array" ref="Q1271:R1271">VLOOKUP(E1271,store[],{3,5},FALSE)</f>
        <v>East</v>
      </c>
      <c r="R1271" t="str">
        <v>Flagship</v>
      </c>
      <c r="S1271" s="4">
        <f t="shared" si="19"/>
        <v>1223.48</v>
      </c>
    </row>
    <row r="1272" spans="1:19">
      <c r="A1272" t="s">
        <v>2051</v>
      </c>
      <c r="B1272" s="3">
        <v>45609</v>
      </c>
      <c r="C1272" t="s">
        <v>535</v>
      </c>
      <c r="D1272" t="s">
        <v>714</v>
      </c>
      <c r="E1272" t="s">
        <v>66</v>
      </c>
      <c r="F1272">
        <v>3</v>
      </c>
      <c r="G1272" t="s">
        <v>50</v>
      </c>
      <c r="H1272">
        <v>51</v>
      </c>
      <c r="I1272" s="12" t="s">
        <v>34</v>
      </c>
      <c r="J1272" s="12" t="s">
        <v>99</v>
      </c>
      <c r="K1272" s="12" t="s">
        <v>52</v>
      </c>
      <c r="L1272" s="12" t="s">
        <v>715</v>
      </c>
      <c r="M1272" s="12" t="s">
        <v>130</v>
      </c>
      <c r="N1272" s="14">
        <v>0.23</v>
      </c>
      <c r="O1272" s="23">
        <v>742.45</v>
      </c>
      <c r="P1272">
        <v>113.83</v>
      </c>
      <c r="Q1272" s="12" t="str" cm="1">
        <f t="array" ref="Q1272:R1272">VLOOKUP(E1272,store[],{3,5},FALSE)</f>
        <v>South</v>
      </c>
      <c r="R1272" t="str">
        <v>Online</v>
      </c>
      <c r="S1272" s="4">
        <f t="shared" si="19"/>
        <v>2226.66</v>
      </c>
    </row>
    <row r="1273" spans="1:19">
      <c r="A1273" t="s">
        <v>2052</v>
      </c>
      <c r="B1273" s="3">
        <v>45392</v>
      </c>
      <c r="C1273" t="s">
        <v>1453</v>
      </c>
      <c r="D1273" t="s">
        <v>425</v>
      </c>
      <c r="E1273" t="s">
        <v>160</v>
      </c>
      <c r="F1273">
        <v>3</v>
      </c>
      <c r="G1273" t="s">
        <v>50</v>
      </c>
      <c r="H1273">
        <v>20</v>
      </c>
      <c r="I1273" s="12" t="s">
        <v>24</v>
      </c>
      <c r="J1273" s="12" t="s">
        <v>91</v>
      </c>
      <c r="K1273" s="12" t="s">
        <v>26</v>
      </c>
      <c r="L1273" s="12" t="s">
        <v>426</v>
      </c>
      <c r="M1273" s="12" t="s">
        <v>130</v>
      </c>
      <c r="N1273" s="14">
        <v>0.12</v>
      </c>
      <c r="O1273" s="23">
        <v>336.1</v>
      </c>
      <c r="P1273">
        <v>174.02</v>
      </c>
      <c r="Q1273" s="12" t="str" cm="1">
        <f t="array" ref="Q1273:R1273">VLOOKUP(E1273,store[],{3,5},FALSE)</f>
        <v>East</v>
      </c>
      <c r="R1273" t="str">
        <v>Flagship</v>
      </c>
      <c r="S1273" s="4">
        <f t="shared" si="19"/>
        <v>1007.94</v>
      </c>
    </row>
    <row r="1274" spans="1:19">
      <c r="A1274" t="s">
        <v>2053</v>
      </c>
      <c r="B1274" s="3">
        <v>45876</v>
      </c>
      <c r="C1274" t="s">
        <v>206</v>
      </c>
      <c r="D1274" t="s">
        <v>255</v>
      </c>
      <c r="E1274" t="s">
        <v>66</v>
      </c>
      <c r="F1274">
        <v>3</v>
      </c>
      <c r="G1274" t="s">
        <v>50</v>
      </c>
      <c r="H1274">
        <v>23</v>
      </c>
      <c r="I1274" s="12" t="s">
        <v>34</v>
      </c>
      <c r="J1274" s="12" t="s">
        <v>209</v>
      </c>
      <c r="K1274" s="12" t="s">
        <v>26</v>
      </c>
      <c r="L1274" s="12" t="s">
        <v>257</v>
      </c>
      <c r="M1274" s="12" t="s">
        <v>75</v>
      </c>
      <c r="N1274" s="14">
        <v>0.14000000000000001</v>
      </c>
      <c r="O1274" s="23">
        <v>310.36</v>
      </c>
      <c r="P1274">
        <v>218.48</v>
      </c>
      <c r="Q1274" s="12" t="str" cm="1">
        <f t="array" ref="Q1274:R1274">VLOOKUP(E1274,store[],{3,5},FALSE)</f>
        <v>South</v>
      </c>
      <c r="R1274" t="str">
        <v>Online</v>
      </c>
      <c r="S1274" s="4">
        <f t="shared" si="19"/>
        <v>930.66</v>
      </c>
    </row>
    <row r="1275" spans="1:19">
      <c r="A1275" t="s">
        <v>2054</v>
      </c>
      <c r="B1275" s="3">
        <v>45772</v>
      </c>
      <c r="C1275" t="s">
        <v>1612</v>
      </c>
      <c r="D1275" t="s">
        <v>187</v>
      </c>
      <c r="E1275" t="s">
        <v>43</v>
      </c>
      <c r="F1275">
        <v>3</v>
      </c>
      <c r="G1275" t="s">
        <v>33</v>
      </c>
      <c r="H1275">
        <v>21</v>
      </c>
      <c r="I1275" s="12" t="s">
        <v>34</v>
      </c>
      <c r="J1275" s="12" t="s">
        <v>308</v>
      </c>
      <c r="K1275" s="12" t="s">
        <v>73</v>
      </c>
      <c r="L1275" s="12" t="s">
        <v>189</v>
      </c>
      <c r="M1275" s="12" t="s">
        <v>37</v>
      </c>
      <c r="N1275" s="14">
        <v>0.04</v>
      </c>
      <c r="O1275" s="23">
        <v>992.81</v>
      </c>
      <c r="P1275">
        <v>431.67</v>
      </c>
      <c r="Q1275" s="12" t="str" cm="1">
        <f t="array" ref="Q1275:R1275">VLOOKUP(E1275,store[],{3,5},FALSE)</f>
        <v>West</v>
      </c>
      <c r="R1275" t="str">
        <v>Online</v>
      </c>
      <c r="S1275" s="4">
        <f t="shared" si="19"/>
        <v>2978.31</v>
      </c>
    </row>
    <row r="1276" spans="1:19">
      <c r="A1276" t="s">
        <v>2055</v>
      </c>
      <c r="B1276" s="3">
        <v>45217</v>
      </c>
      <c r="C1276" t="s">
        <v>840</v>
      </c>
      <c r="D1276" t="s">
        <v>148</v>
      </c>
      <c r="E1276" t="s">
        <v>272</v>
      </c>
      <c r="F1276">
        <v>3</v>
      </c>
      <c r="G1276" t="s">
        <v>50</v>
      </c>
      <c r="H1276">
        <v>54</v>
      </c>
      <c r="I1276" s="12" t="s">
        <v>24</v>
      </c>
      <c r="J1276" s="12" t="s">
        <v>35</v>
      </c>
      <c r="K1276" s="12" t="s">
        <v>73</v>
      </c>
      <c r="L1276" s="12" t="s">
        <v>150</v>
      </c>
      <c r="M1276" s="12" t="s">
        <v>46</v>
      </c>
      <c r="N1276" s="14">
        <v>0.26</v>
      </c>
      <c r="O1276" s="23">
        <v>257.11</v>
      </c>
      <c r="P1276">
        <v>482.75</v>
      </c>
      <c r="Q1276" s="12" t="str" cm="1">
        <f t="array" ref="Q1276:R1276">VLOOKUP(E1276,store[],{3,5},FALSE)</f>
        <v>South</v>
      </c>
      <c r="R1276" t="str">
        <v>Online</v>
      </c>
      <c r="S1276" s="4">
        <f t="shared" si="19"/>
        <v>770.55</v>
      </c>
    </row>
    <row r="1277" spans="1:19">
      <c r="A1277" t="s">
        <v>2056</v>
      </c>
      <c r="B1277" s="3">
        <v>45739</v>
      </c>
      <c r="C1277" t="s">
        <v>855</v>
      </c>
      <c r="D1277" t="s">
        <v>1126</v>
      </c>
      <c r="E1277" t="s">
        <v>208</v>
      </c>
      <c r="F1277">
        <v>4</v>
      </c>
      <c r="G1277" t="s">
        <v>33</v>
      </c>
      <c r="H1277">
        <v>50</v>
      </c>
      <c r="I1277" s="12" t="s">
        <v>34</v>
      </c>
      <c r="J1277" s="12" t="s">
        <v>463</v>
      </c>
      <c r="K1277" s="12" t="s">
        <v>73</v>
      </c>
      <c r="L1277" s="12" t="s">
        <v>1127</v>
      </c>
      <c r="M1277" s="12" t="s">
        <v>28</v>
      </c>
      <c r="N1277" s="14">
        <v>0.24</v>
      </c>
      <c r="O1277" s="23">
        <v>816.29</v>
      </c>
      <c r="P1277">
        <v>60.65</v>
      </c>
      <c r="Q1277" s="12" t="str" cm="1">
        <f t="array" ref="Q1277:R1277">VLOOKUP(E1277,store[],{3,5},FALSE)</f>
        <v>North</v>
      </c>
      <c r="R1277" t="str">
        <v>Online</v>
      </c>
      <c r="S1277" s="4">
        <f t="shared" si="19"/>
        <v>3264.2</v>
      </c>
    </row>
    <row r="1278" spans="1:19">
      <c r="A1278" t="s">
        <v>2057</v>
      </c>
      <c r="B1278" s="3">
        <v>45272</v>
      </c>
      <c r="C1278" t="s">
        <v>1468</v>
      </c>
      <c r="D1278" t="s">
        <v>148</v>
      </c>
      <c r="E1278" t="s">
        <v>208</v>
      </c>
      <c r="F1278">
        <v>4</v>
      </c>
      <c r="G1278" t="s">
        <v>50</v>
      </c>
      <c r="H1278">
        <v>50</v>
      </c>
      <c r="I1278" s="12" t="s">
        <v>24</v>
      </c>
      <c r="J1278" s="12" t="s">
        <v>256</v>
      </c>
      <c r="K1278" s="12" t="s">
        <v>52</v>
      </c>
      <c r="L1278" s="12" t="s">
        <v>150</v>
      </c>
      <c r="M1278" s="12" t="s">
        <v>46</v>
      </c>
      <c r="N1278" s="14">
        <v>0.22</v>
      </c>
      <c r="O1278" s="23">
        <v>755.82</v>
      </c>
      <c r="P1278">
        <v>482.75</v>
      </c>
      <c r="Q1278" s="12" t="str" cm="1">
        <f t="array" ref="Q1278:R1278">VLOOKUP(E1278,store[],{3,5},FALSE)</f>
        <v>North</v>
      </c>
      <c r="R1278" t="str">
        <v>Online</v>
      </c>
      <c r="S1278" s="4">
        <f t="shared" si="19"/>
        <v>3022.4</v>
      </c>
    </row>
    <row r="1279" spans="1:19">
      <c r="A1279" t="s">
        <v>2058</v>
      </c>
      <c r="B1279" s="3">
        <v>45524</v>
      </c>
      <c r="C1279" t="s">
        <v>2059</v>
      </c>
      <c r="D1279" t="s">
        <v>768</v>
      </c>
      <c r="E1279" t="s">
        <v>98</v>
      </c>
      <c r="F1279">
        <v>1</v>
      </c>
      <c r="G1279" t="s">
        <v>33</v>
      </c>
      <c r="H1279">
        <v>59</v>
      </c>
      <c r="I1279" s="12" t="s">
        <v>34</v>
      </c>
      <c r="J1279" s="12" t="s">
        <v>308</v>
      </c>
      <c r="K1279" s="12" t="s">
        <v>73</v>
      </c>
      <c r="L1279" s="12" t="s">
        <v>769</v>
      </c>
      <c r="M1279" s="12" t="s">
        <v>37</v>
      </c>
      <c r="N1279" s="14">
        <v>0.01</v>
      </c>
      <c r="O1279" s="23">
        <v>449.6</v>
      </c>
      <c r="P1279">
        <v>112.42</v>
      </c>
      <c r="Q1279" s="12" t="str" cm="1">
        <f t="array" ref="Q1279:R1279">VLOOKUP(E1279,store[],{3,5},FALSE)</f>
        <v>South</v>
      </c>
      <c r="R1279" t="str">
        <v>Outlet</v>
      </c>
      <c r="S1279" s="4">
        <f t="shared" si="19"/>
        <v>449.59</v>
      </c>
    </row>
    <row r="1280" spans="1:19">
      <c r="A1280" t="s">
        <v>2060</v>
      </c>
      <c r="B1280" s="3">
        <v>45481</v>
      </c>
      <c r="C1280" t="s">
        <v>1397</v>
      </c>
      <c r="D1280" t="s">
        <v>480</v>
      </c>
      <c r="E1280" t="s">
        <v>90</v>
      </c>
      <c r="F1280">
        <v>2</v>
      </c>
      <c r="G1280" t="s">
        <v>50</v>
      </c>
      <c r="H1280">
        <v>25</v>
      </c>
      <c r="I1280" s="12" t="s">
        <v>34</v>
      </c>
      <c r="J1280" s="12" t="s">
        <v>761</v>
      </c>
      <c r="K1280" s="12" t="s">
        <v>73</v>
      </c>
      <c r="L1280" s="12" t="s">
        <v>481</v>
      </c>
      <c r="M1280" s="12" t="s">
        <v>75</v>
      </c>
      <c r="N1280" s="14">
        <v>0.12</v>
      </c>
      <c r="O1280" s="23">
        <v>779.29</v>
      </c>
      <c r="P1280">
        <v>48.01</v>
      </c>
      <c r="Q1280" s="12" t="str" cm="1">
        <f t="array" ref="Q1280:R1280">VLOOKUP(E1280,store[],{3,5},FALSE)</f>
        <v>East</v>
      </c>
      <c r="R1280" t="str">
        <v>Flagship</v>
      </c>
      <c r="S1280" s="4">
        <f t="shared" si="19"/>
        <v>1558.34</v>
      </c>
    </row>
    <row r="1281" spans="1:19">
      <c r="A1281" t="s">
        <v>2061</v>
      </c>
      <c r="B1281" s="3">
        <v>45267</v>
      </c>
      <c r="C1281" t="s">
        <v>88</v>
      </c>
      <c r="D1281" t="s">
        <v>192</v>
      </c>
      <c r="E1281" t="s">
        <v>32</v>
      </c>
      <c r="F1281">
        <v>1</v>
      </c>
      <c r="G1281" t="s">
        <v>50</v>
      </c>
      <c r="H1281">
        <v>45</v>
      </c>
      <c r="I1281" s="12" t="s">
        <v>34</v>
      </c>
      <c r="J1281" s="12" t="s">
        <v>91</v>
      </c>
      <c r="K1281" s="12" t="s">
        <v>52</v>
      </c>
      <c r="L1281" s="12" t="s">
        <v>194</v>
      </c>
      <c r="M1281" s="12" t="s">
        <v>37</v>
      </c>
      <c r="N1281" s="14">
        <v>0.1</v>
      </c>
      <c r="O1281" s="23">
        <v>748.75</v>
      </c>
      <c r="P1281">
        <v>480.9</v>
      </c>
      <c r="Q1281" s="12" t="str" cm="1">
        <f t="array" ref="Q1281:R1281">VLOOKUP(E1281,store[],{3,5},FALSE)</f>
        <v>North</v>
      </c>
      <c r="R1281" t="str">
        <v>Flagship</v>
      </c>
      <c r="S1281" s="4">
        <f t="shared" si="19"/>
        <v>748.65</v>
      </c>
    </row>
    <row r="1282" spans="1:19">
      <c r="A1282" t="s">
        <v>2062</v>
      </c>
      <c r="B1282" s="3">
        <v>45328</v>
      </c>
      <c r="C1282" t="s">
        <v>1029</v>
      </c>
      <c r="D1282" t="s">
        <v>287</v>
      </c>
      <c r="E1282" t="s">
        <v>90</v>
      </c>
      <c r="F1282">
        <v>2</v>
      </c>
      <c r="G1282" t="s">
        <v>50</v>
      </c>
      <c r="H1282">
        <v>60</v>
      </c>
      <c r="I1282" s="12" t="s">
        <v>24</v>
      </c>
      <c r="J1282" s="12" t="s">
        <v>161</v>
      </c>
      <c r="K1282" s="12" t="s">
        <v>73</v>
      </c>
      <c r="L1282" s="12" t="s">
        <v>288</v>
      </c>
      <c r="M1282" s="12" t="s">
        <v>46</v>
      </c>
      <c r="N1282" s="14">
        <v>0.08</v>
      </c>
      <c r="O1282" s="23">
        <v>121.67</v>
      </c>
      <c r="P1282">
        <v>183.04</v>
      </c>
      <c r="Q1282" s="12" t="str" cm="1">
        <f t="array" ref="Q1282:R1282">VLOOKUP(E1282,store[],{3,5},FALSE)</f>
        <v>East</v>
      </c>
      <c r="R1282" t="str">
        <v>Flagship</v>
      </c>
      <c r="S1282" s="4">
        <f t="shared" ref="S1282:S1345" si="20">(O1282-N1282)*F1282</f>
        <v>243.18</v>
      </c>
    </row>
    <row r="1283" spans="1:19">
      <c r="A1283" t="s">
        <v>2063</v>
      </c>
      <c r="B1283" s="3">
        <v>45787</v>
      </c>
      <c r="C1283" t="s">
        <v>233</v>
      </c>
      <c r="D1283" t="s">
        <v>42</v>
      </c>
      <c r="E1283" t="s">
        <v>122</v>
      </c>
      <c r="F1283">
        <v>3</v>
      </c>
      <c r="G1283" t="s">
        <v>50</v>
      </c>
      <c r="H1283">
        <v>59</v>
      </c>
      <c r="I1283" s="12" t="s">
        <v>34</v>
      </c>
      <c r="J1283" s="12" t="s">
        <v>235</v>
      </c>
      <c r="K1283" s="12" t="s">
        <v>52</v>
      </c>
      <c r="L1283" s="12" t="s">
        <v>45</v>
      </c>
      <c r="M1283" s="12" t="s">
        <v>46</v>
      </c>
      <c r="N1283" s="14">
        <v>0.15</v>
      </c>
      <c r="O1283" s="23">
        <v>225.14</v>
      </c>
      <c r="P1283">
        <v>43.29</v>
      </c>
      <c r="Q1283" s="12" t="str" cm="1">
        <f t="array" ref="Q1283:R1283">VLOOKUP(E1283,store[],{3,5},FALSE)</f>
        <v>North</v>
      </c>
      <c r="R1283" t="str">
        <v>Flagship</v>
      </c>
      <c r="S1283" s="4">
        <f t="shared" si="20"/>
        <v>674.97</v>
      </c>
    </row>
    <row r="1284" spans="1:19">
      <c r="A1284" t="s">
        <v>2064</v>
      </c>
      <c r="B1284" s="3">
        <v>45876</v>
      </c>
      <c r="C1284" t="s">
        <v>406</v>
      </c>
      <c r="D1284" t="s">
        <v>255</v>
      </c>
      <c r="E1284" t="s">
        <v>135</v>
      </c>
      <c r="F1284">
        <v>1</v>
      </c>
      <c r="G1284" t="s">
        <v>33</v>
      </c>
      <c r="H1284">
        <v>21</v>
      </c>
      <c r="I1284" s="12" t="s">
        <v>34</v>
      </c>
      <c r="J1284" s="12" t="s">
        <v>51</v>
      </c>
      <c r="K1284" s="12" t="s">
        <v>73</v>
      </c>
      <c r="L1284" s="12" t="s">
        <v>257</v>
      </c>
      <c r="M1284" s="12" t="s">
        <v>75</v>
      </c>
      <c r="N1284" s="14">
        <v>0.19</v>
      </c>
      <c r="O1284" s="23">
        <v>654.17999999999995</v>
      </c>
      <c r="P1284">
        <v>218.48</v>
      </c>
      <c r="Q1284" s="12" t="str" cm="1">
        <f t="array" ref="Q1284:R1284">VLOOKUP(E1284,store[],{3,5},FALSE)</f>
        <v>East</v>
      </c>
      <c r="R1284" t="str">
        <v>Online</v>
      </c>
      <c r="S1284" s="4">
        <f t="shared" si="20"/>
        <v>653.99</v>
      </c>
    </row>
    <row r="1285" spans="1:19">
      <c r="A1285" t="s">
        <v>2065</v>
      </c>
      <c r="B1285" s="3">
        <v>45552</v>
      </c>
      <c r="C1285" t="s">
        <v>335</v>
      </c>
      <c r="D1285" t="s">
        <v>368</v>
      </c>
      <c r="E1285" t="s">
        <v>58</v>
      </c>
      <c r="F1285">
        <v>2</v>
      </c>
      <c r="G1285" t="s">
        <v>50</v>
      </c>
      <c r="H1285">
        <v>51</v>
      </c>
      <c r="I1285" s="12" t="s">
        <v>24</v>
      </c>
      <c r="J1285" s="12" t="s">
        <v>336</v>
      </c>
      <c r="K1285" s="12" t="s">
        <v>52</v>
      </c>
      <c r="L1285" s="12" t="s">
        <v>369</v>
      </c>
      <c r="M1285" s="12" t="s">
        <v>46</v>
      </c>
      <c r="N1285" s="14">
        <v>0.08</v>
      </c>
      <c r="O1285" s="23">
        <v>504.98</v>
      </c>
      <c r="P1285">
        <v>214.32</v>
      </c>
      <c r="Q1285" s="12" t="str" cm="1">
        <f t="array" ref="Q1285:R1285">VLOOKUP(E1285,store[],{3,5},FALSE)</f>
        <v>North</v>
      </c>
      <c r="R1285" t="str">
        <v>Outlet</v>
      </c>
      <c r="S1285" s="4">
        <f t="shared" si="20"/>
        <v>1009.8</v>
      </c>
    </row>
    <row r="1286" spans="1:19">
      <c r="A1286" t="s">
        <v>2066</v>
      </c>
      <c r="B1286" s="3">
        <v>45823</v>
      </c>
      <c r="C1286" t="s">
        <v>371</v>
      </c>
      <c r="D1286" t="s">
        <v>420</v>
      </c>
      <c r="E1286" t="s">
        <v>43</v>
      </c>
      <c r="F1286">
        <v>2</v>
      </c>
      <c r="G1286" t="s">
        <v>50</v>
      </c>
      <c r="H1286">
        <v>44</v>
      </c>
      <c r="I1286" s="12" t="s">
        <v>34</v>
      </c>
      <c r="J1286" s="12" t="s">
        <v>373</v>
      </c>
      <c r="K1286" s="12" t="s">
        <v>73</v>
      </c>
      <c r="L1286" s="12" t="s">
        <v>421</v>
      </c>
      <c r="M1286" s="12" t="s">
        <v>28</v>
      </c>
      <c r="N1286" s="14">
        <v>0.14000000000000001</v>
      </c>
      <c r="O1286" s="23">
        <v>623.20000000000005</v>
      </c>
      <c r="P1286">
        <v>434.84</v>
      </c>
      <c r="Q1286" s="12" t="str" cm="1">
        <f t="array" ref="Q1286:R1286">VLOOKUP(E1286,store[],{3,5},FALSE)</f>
        <v>West</v>
      </c>
      <c r="R1286" t="str">
        <v>Online</v>
      </c>
      <c r="S1286" s="4">
        <f t="shared" si="20"/>
        <v>1246.1199999999999</v>
      </c>
    </row>
    <row r="1287" spans="1:19">
      <c r="A1287" t="s">
        <v>2067</v>
      </c>
      <c r="B1287" s="3">
        <v>45622</v>
      </c>
      <c r="C1287" t="s">
        <v>419</v>
      </c>
      <c r="D1287" t="s">
        <v>183</v>
      </c>
      <c r="E1287" t="s">
        <v>117</v>
      </c>
      <c r="F1287">
        <v>2</v>
      </c>
      <c r="G1287" t="s">
        <v>50</v>
      </c>
      <c r="H1287">
        <v>60</v>
      </c>
      <c r="I1287" s="12" t="s">
        <v>24</v>
      </c>
      <c r="J1287" s="12" t="s">
        <v>199</v>
      </c>
      <c r="K1287" s="12" t="s">
        <v>73</v>
      </c>
      <c r="L1287" s="12" t="s">
        <v>184</v>
      </c>
      <c r="M1287" s="12" t="s">
        <v>130</v>
      </c>
      <c r="N1287" s="14">
        <v>0.28000000000000003</v>
      </c>
      <c r="O1287" s="23">
        <v>530.54</v>
      </c>
      <c r="P1287">
        <v>261</v>
      </c>
      <c r="Q1287" s="12" t="str" cm="1">
        <f t="array" ref="Q1287:R1287">VLOOKUP(E1287,store[],{3,5},FALSE)</f>
        <v>West</v>
      </c>
      <c r="R1287" t="str">
        <v>Flagship</v>
      </c>
      <c r="S1287" s="4">
        <f t="shared" si="20"/>
        <v>1060.52</v>
      </c>
    </row>
    <row r="1288" spans="1:19">
      <c r="A1288" t="s">
        <v>2068</v>
      </c>
      <c r="B1288" s="3">
        <v>45810</v>
      </c>
      <c r="C1288" t="s">
        <v>1152</v>
      </c>
      <c r="D1288" t="s">
        <v>768</v>
      </c>
      <c r="E1288" t="s">
        <v>117</v>
      </c>
      <c r="F1288">
        <v>3</v>
      </c>
      <c r="G1288" t="s">
        <v>50</v>
      </c>
      <c r="H1288">
        <v>63</v>
      </c>
      <c r="I1288" s="12" t="s">
        <v>34</v>
      </c>
      <c r="J1288" s="12" t="s">
        <v>444</v>
      </c>
      <c r="K1288" s="12" t="s">
        <v>52</v>
      </c>
      <c r="L1288" s="12" t="s">
        <v>769</v>
      </c>
      <c r="M1288" s="12" t="s">
        <v>37</v>
      </c>
      <c r="N1288" s="14">
        <v>0.15</v>
      </c>
      <c r="O1288" s="23">
        <v>279.45</v>
      </c>
      <c r="P1288">
        <v>112.42</v>
      </c>
      <c r="Q1288" s="12" t="str" cm="1">
        <f t="array" ref="Q1288:R1288">VLOOKUP(E1288,store[],{3,5},FALSE)</f>
        <v>West</v>
      </c>
      <c r="R1288" t="str">
        <v>Flagship</v>
      </c>
      <c r="S1288" s="4">
        <f t="shared" si="20"/>
        <v>837.9</v>
      </c>
    </row>
    <row r="1289" spans="1:19">
      <c r="A1289" t="s">
        <v>2069</v>
      </c>
      <c r="B1289" s="3">
        <v>45645</v>
      </c>
      <c r="C1289" t="s">
        <v>687</v>
      </c>
      <c r="D1289" t="s">
        <v>173</v>
      </c>
      <c r="E1289" t="s">
        <v>43</v>
      </c>
      <c r="F1289">
        <v>3</v>
      </c>
      <c r="G1289" t="s">
        <v>50</v>
      </c>
      <c r="H1289">
        <v>32</v>
      </c>
      <c r="I1289" s="12" t="s">
        <v>34</v>
      </c>
      <c r="J1289" s="12" t="s">
        <v>239</v>
      </c>
      <c r="K1289" s="12" t="s">
        <v>73</v>
      </c>
      <c r="L1289" s="12" t="s">
        <v>174</v>
      </c>
      <c r="M1289" s="12" t="s">
        <v>46</v>
      </c>
      <c r="N1289" s="14">
        <v>0.26</v>
      </c>
      <c r="O1289" s="23">
        <v>906.99</v>
      </c>
      <c r="P1289">
        <v>115.82</v>
      </c>
      <c r="Q1289" s="12" t="str" cm="1">
        <f t="array" ref="Q1289:R1289">VLOOKUP(E1289,store[],{3,5},FALSE)</f>
        <v>West</v>
      </c>
      <c r="R1289" t="str">
        <v>Online</v>
      </c>
      <c r="S1289" s="4">
        <f t="shared" si="20"/>
        <v>2720.19</v>
      </c>
    </row>
    <row r="1290" spans="1:19">
      <c r="A1290" t="s">
        <v>2070</v>
      </c>
      <c r="B1290" s="3">
        <v>45749</v>
      </c>
      <c r="C1290" t="s">
        <v>266</v>
      </c>
      <c r="D1290" t="s">
        <v>429</v>
      </c>
      <c r="E1290" t="s">
        <v>32</v>
      </c>
      <c r="F1290">
        <v>4</v>
      </c>
      <c r="G1290" t="s">
        <v>50</v>
      </c>
      <c r="H1290">
        <v>29</v>
      </c>
      <c r="I1290" s="12" t="s">
        <v>34</v>
      </c>
      <c r="J1290" s="12" t="s">
        <v>222</v>
      </c>
      <c r="K1290" s="12" t="s">
        <v>26</v>
      </c>
      <c r="L1290" s="12" t="s">
        <v>430</v>
      </c>
      <c r="M1290" s="12" t="s">
        <v>75</v>
      </c>
      <c r="N1290" s="14">
        <v>0.12</v>
      </c>
      <c r="O1290" s="23">
        <v>408.76</v>
      </c>
      <c r="P1290">
        <v>143.43</v>
      </c>
      <c r="Q1290" s="12" t="str" cm="1">
        <f t="array" ref="Q1290:R1290">VLOOKUP(E1290,store[],{3,5},FALSE)</f>
        <v>North</v>
      </c>
      <c r="R1290" t="str">
        <v>Flagship</v>
      </c>
      <c r="S1290" s="4">
        <f t="shared" si="20"/>
        <v>1634.56</v>
      </c>
    </row>
    <row r="1291" spans="1:19">
      <c r="A1291" t="s">
        <v>2071</v>
      </c>
      <c r="B1291" s="3">
        <v>45537</v>
      </c>
      <c r="C1291" t="s">
        <v>1373</v>
      </c>
      <c r="D1291" t="s">
        <v>126</v>
      </c>
      <c r="E1291" t="s">
        <v>127</v>
      </c>
      <c r="F1291">
        <v>2</v>
      </c>
      <c r="G1291" t="s">
        <v>33</v>
      </c>
      <c r="H1291">
        <v>55</v>
      </c>
      <c r="I1291" s="12" t="s">
        <v>24</v>
      </c>
      <c r="J1291" s="12" t="s">
        <v>239</v>
      </c>
      <c r="K1291" s="12" t="s">
        <v>52</v>
      </c>
      <c r="L1291" s="12" t="s">
        <v>129</v>
      </c>
      <c r="M1291" s="12" t="s">
        <v>130</v>
      </c>
      <c r="N1291" s="14">
        <v>0.09</v>
      </c>
      <c r="O1291" s="23">
        <v>117.34</v>
      </c>
      <c r="P1291">
        <v>223.43</v>
      </c>
      <c r="Q1291" s="12" t="str" cm="1">
        <f t="array" ref="Q1291:R1291">VLOOKUP(E1291,store[],{3,5},FALSE)</f>
        <v>South</v>
      </c>
      <c r="R1291" t="str">
        <v>Flagship</v>
      </c>
      <c r="S1291" s="4">
        <f t="shared" si="20"/>
        <v>234.5</v>
      </c>
    </row>
    <row r="1292" spans="1:19">
      <c r="A1292" t="s">
        <v>2072</v>
      </c>
      <c r="B1292" s="3">
        <v>45376</v>
      </c>
      <c r="C1292" t="s">
        <v>338</v>
      </c>
      <c r="D1292" t="s">
        <v>372</v>
      </c>
      <c r="E1292" t="s">
        <v>98</v>
      </c>
      <c r="F1292">
        <v>3</v>
      </c>
      <c r="G1292" t="s">
        <v>33</v>
      </c>
      <c r="H1292">
        <v>36</v>
      </c>
      <c r="I1292" s="12" t="s">
        <v>34</v>
      </c>
      <c r="J1292" s="12" t="s">
        <v>235</v>
      </c>
      <c r="K1292" s="12" t="s">
        <v>52</v>
      </c>
      <c r="L1292" s="12" t="s">
        <v>374</v>
      </c>
      <c r="M1292" s="12" t="s">
        <v>130</v>
      </c>
      <c r="N1292" s="14">
        <v>7.0000000000000007E-2</v>
      </c>
      <c r="O1292" s="23">
        <v>690.27</v>
      </c>
      <c r="P1292">
        <v>438.25</v>
      </c>
      <c r="Q1292" s="12" t="str" cm="1">
        <f t="array" ref="Q1292:R1292">VLOOKUP(E1292,store[],{3,5},FALSE)</f>
        <v>South</v>
      </c>
      <c r="R1292" t="str">
        <v>Outlet</v>
      </c>
      <c r="S1292" s="4">
        <f t="shared" si="20"/>
        <v>2070.6</v>
      </c>
    </row>
    <row r="1293" spans="1:19">
      <c r="A1293" t="s">
        <v>2073</v>
      </c>
      <c r="B1293" s="3">
        <v>45709</v>
      </c>
      <c r="C1293" t="s">
        <v>589</v>
      </c>
      <c r="D1293" t="s">
        <v>567</v>
      </c>
      <c r="E1293" t="s">
        <v>32</v>
      </c>
      <c r="F1293">
        <v>4</v>
      </c>
      <c r="G1293" t="s">
        <v>33</v>
      </c>
      <c r="H1293">
        <v>38</v>
      </c>
      <c r="I1293" s="12" t="s">
        <v>24</v>
      </c>
      <c r="J1293" s="12" t="s">
        <v>214</v>
      </c>
      <c r="K1293" s="12" t="s">
        <v>73</v>
      </c>
      <c r="L1293" s="12" t="s">
        <v>568</v>
      </c>
      <c r="M1293" s="12" t="s">
        <v>28</v>
      </c>
      <c r="N1293" s="14">
        <v>0.24</v>
      </c>
      <c r="O1293" s="23">
        <v>377.18</v>
      </c>
      <c r="P1293">
        <v>38.76</v>
      </c>
      <c r="Q1293" s="12" t="str" cm="1">
        <f t="array" ref="Q1293:R1293">VLOOKUP(E1293,store[],{3,5},FALSE)</f>
        <v>North</v>
      </c>
      <c r="R1293" t="str">
        <v>Flagship</v>
      </c>
      <c r="S1293" s="4">
        <f t="shared" si="20"/>
        <v>1507.76</v>
      </c>
    </row>
    <row r="1294" spans="1:19">
      <c r="A1294" t="s">
        <v>2074</v>
      </c>
      <c r="B1294" s="3">
        <v>45446</v>
      </c>
      <c r="C1294" t="s">
        <v>2075</v>
      </c>
      <c r="D1294" t="s">
        <v>295</v>
      </c>
      <c r="E1294" t="s">
        <v>90</v>
      </c>
      <c r="F1294">
        <v>1</v>
      </c>
      <c r="G1294" t="s">
        <v>50</v>
      </c>
      <c r="H1294">
        <v>27</v>
      </c>
      <c r="I1294" s="12" t="s">
        <v>34</v>
      </c>
      <c r="J1294" s="12" t="s">
        <v>209</v>
      </c>
      <c r="K1294" s="12" t="s">
        <v>60</v>
      </c>
      <c r="L1294" s="12" t="s">
        <v>296</v>
      </c>
      <c r="M1294" s="12" t="s">
        <v>37</v>
      </c>
      <c r="N1294" s="14">
        <v>0.08</v>
      </c>
      <c r="O1294" s="23">
        <v>70.52</v>
      </c>
      <c r="P1294">
        <v>38.520000000000003</v>
      </c>
      <c r="Q1294" s="12" t="str" cm="1">
        <f t="array" ref="Q1294:R1294">VLOOKUP(E1294,store[],{3,5},FALSE)</f>
        <v>East</v>
      </c>
      <c r="R1294" t="str">
        <v>Flagship</v>
      </c>
      <c r="S1294" s="4">
        <f t="shared" si="20"/>
        <v>70.44</v>
      </c>
    </row>
    <row r="1295" spans="1:19">
      <c r="A1295" t="s">
        <v>2076</v>
      </c>
      <c r="B1295" s="3">
        <v>45330</v>
      </c>
      <c r="C1295" t="s">
        <v>712</v>
      </c>
      <c r="D1295" t="s">
        <v>340</v>
      </c>
      <c r="E1295" t="s">
        <v>127</v>
      </c>
      <c r="F1295">
        <v>1</v>
      </c>
      <c r="G1295" t="s">
        <v>33</v>
      </c>
      <c r="H1295">
        <v>22</v>
      </c>
      <c r="I1295" s="12" t="s">
        <v>24</v>
      </c>
      <c r="J1295" s="12" t="s">
        <v>239</v>
      </c>
      <c r="K1295" s="12" t="s">
        <v>26</v>
      </c>
      <c r="L1295" s="12" t="s">
        <v>341</v>
      </c>
      <c r="M1295" s="12" t="s">
        <v>28</v>
      </c>
      <c r="N1295" s="14">
        <v>0.1</v>
      </c>
      <c r="O1295" s="23">
        <v>40.25</v>
      </c>
      <c r="P1295">
        <v>135.61000000000001</v>
      </c>
      <c r="Q1295" s="12" t="str" cm="1">
        <f t="array" ref="Q1295:R1295">VLOOKUP(E1295,store[],{3,5},FALSE)</f>
        <v>South</v>
      </c>
      <c r="R1295" t="str">
        <v>Flagship</v>
      </c>
      <c r="S1295" s="4">
        <f t="shared" si="20"/>
        <v>40.15</v>
      </c>
    </row>
    <row r="1296" spans="1:19">
      <c r="A1296" t="s">
        <v>2077</v>
      </c>
      <c r="B1296" s="3">
        <v>45388</v>
      </c>
      <c r="C1296" t="s">
        <v>1125</v>
      </c>
      <c r="D1296" t="s">
        <v>287</v>
      </c>
      <c r="E1296" t="s">
        <v>272</v>
      </c>
      <c r="F1296">
        <v>3</v>
      </c>
      <c r="G1296" t="s">
        <v>50</v>
      </c>
      <c r="H1296">
        <v>27</v>
      </c>
      <c r="I1296" s="12" t="s">
        <v>34</v>
      </c>
      <c r="J1296" s="12" t="s">
        <v>204</v>
      </c>
      <c r="K1296" s="12" t="s">
        <v>52</v>
      </c>
      <c r="L1296" s="12" t="s">
        <v>288</v>
      </c>
      <c r="M1296" s="12" t="s">
        <v>46</v>
      </c>
      <c r="N1296" s="14">
        <v>0.05</v>
      </c>
      <c r="O1296" s="23">
        <v>539.44000000000005</v>
      </c>
      <c r="P1296">
        <v>183.04</v>
      </c>
      <c r="Q1296" s="12" t="str" cm="1">
        <f t="array" ref="Q1296:R1296">VLOOKUP(E1296,store[],{3,5},FALSE)</f>
        <v>South</v>
      </c>
      <c r="R1296" t="str">
        <v>Online</v>
      </c>
      <c r="S1296" s="4">
        <f t="shared" si="20"/>
        <v>1618.17</v>
      </c>
    </row>
    <row r="1297" spans="1:19">
      <c r="A1297" t="s">
        <v>2078</v>
      </c>
      <c r="B1297" s="3">
        <v>45313</v>
      </c>
      <c r="C1297" t="s">
        <v>1495</v>
      </c>
      <c r="D1297" t="s">
        <v>148</v>
      </c>
      <c r="E1297" t="s">
        <v>72</v>
      </c>
      <c r="F1297">
        <v>3</v>
      </c>
      <c r="G1297" t="s">
        <v>33</v>
      </c>
      <c r="H1297">
        <v>32</v>
      </c>
      <c r="I1297" s="12" t="s">
        <v>24</v>
      </c>
      <c r="J1297" s="12" t="s">
        <v>214</v>
      </c>
      <c r="K1297" s="12" t="s">
        <v>52</v>
      </c>
      <c r="L1297" s="12" t="s">
        <v>150</v>
      </c>
      <c r="M1297" s="12" t="s">
        <v>46</v>
      </c>
      <c r="N1297" s="14">
        <v>0.05</v>
      </c>
      <c r="O1297" s="23">
        <v>543.49</v>
      </c>
      <c r="P1297">
        <v>482.75</v>
      </c>
      <c r="Q1297" s="12" t="str" cm="1">
        <f t="array" ref="Q1297:R1297">VLOOKUP(E1297,store[],{3,5},FALSE)</f>
        <v>South</v>
      </c>
      <c r="R1297" t="str">
        <v>Online</v>
      </c>
      <c r="S1297" s="4">
        <f t="shared" si="20"/>
        <v>1630.32</v>
      </c>
    </row>
    <row r="1298" spans="1:19">
      <c r="A1298" t="s">
        <v>2079</v>
      </c>
      <c r="B1298" s="3">
        <v>45221</v>
      </c>
      <c r="C1298" t="s">
        <v>290</v>
      </c>
      <c r="D1298" t="s">
        <v>645</v>
      </c>
      <c r="E1298" t="s">
        <v>179</v>
      </c>
      <c r="F1298">
        <v>4</v>
      </c>
      <c r="G1298" t="s">
        <v>50</v>
      </c>
      <c r="H1298">
        <v>58</v>
      </c>
      <c r="I1298" s="12" t="s">
        <v>24</v>
      </c>
      <c r="J1298" s="12" t="s">
        <v>169</v>
      </c>
      <c r="K1298" s="12" t="s">
        <v>73</v>
      </c>
      <c r="L1298" s="12" t="s">
        <v>646</v>
      </c>
      <c r="M1298" s="12" t="s">
        <v>75</v>
      </c>
      <c r="N1298" s="14">
        <v>0.1</v>
      </c>
      <c r="O1298" s="23">
        <v>547.21</v>
      </c>
      <c r="P1298">
        <v>218.86</v>
      </c>
      <c r="Q1298" s="12" t="str" cm="1">
        <f t="array" ref="Q1298:R1298">VLOOKUP(E1298,store[],{3,5},FALSE)</f>
        <v>East</v>
      </c>
      <c r="R1298" t="str">
        <v>Online</v>
      </c>
      <c r="S1298" s="4">
        <f t="shared" si="20"/>
        <v>2188.44</v>
      </c>
    </row>
    <row r="1299" spans="1:19">
      <c r="A1299" t="s">
        <v>2080</v>
      </c>
      <c r="B1299" s="3">
        <v>45619</v>
      </c>
      <c r="C1299" t="s">
        <v>926</v>
      </c>
      <c r="D1299" t="s">
        <v>134</v>
      </c>
      <c r="E1299" t="s">
        <v>105</v>
      </c>
      <c r="F1299">
        <v>2</v>
      </c>
      <c r="G1299" t="s">
        <v>33</v>
      </c>
      <c r="H1299">
        <v>31</v>
      </c>
      <c r="I1299" s="12" t="s">
        <v>24</v>
      </c>
      <c r="J1299" s="12" t="s">
        <v>498</v>
      </c>
      <c r="K1299" s="12" t="s">
        <v>52</v>
      </c>
      <c r="L1299" s="12" t="s">
        <v>136</v>
      </c>
      <c r="M1299" s="12" t="s">
        <v>28</v>
      </c>
      <c r="N1299" s="14">
        <v>7.0000000000000007E-2</v>
      </c>
      <c r="O1299" s="23">
        <v>892.46</v>
      </c>
      <c r="P1299">
        <v>240.63</v>
      </c>
      <c r="Q1299" s="12" t="str" cm="1">
        <f t="array" ref="Q1299:R1299">VLOOKUP(E1299,store[],{3,5},FALSE)</f>
        <v>North</v>
      </c>
      <c r="R1299" t="str">
        <v>Flagship</v>
      </c>
      <c r="S1299" s="4">
        <f t="shared" si="20"/>
        <v>1784.78</v>
      </c>
    </row>
    <row r="1300" spans="1:19">
      <c r="A1300" t="s">
        <v>2081</v>
      </c>
      <c r="B1300" s="3">
        <v>45286</v>
      </c>
      <c r="C1300" t="s">
        <v>1442</v>
      </c>
      <c r="D1300" t="s">
        <v>246</v>
      </c>
      <c r="E1300" t="s">
        <v>43</v>
      </c>
      <c r="F1300">
        <v>2</v>
      </c>
      <c r="G1300" t="s">
        <v>23</v>
      </c>
      <c r="H1300">
        <v>28</v>
      </c>
      <c r="I1300" s="12" t="s">
        <v>34</v>
      </c>
      <c r="J1300" s="12" t="s">
        <v>204</v>
      </c>
      <c r="K1300" s="12" t="s">
        <v>60</v>
      </c>
      <c r="L1300" s="12" t="s">
        <v>247</v>
      </c>
      <c r="M1300" s="12" t="s">
        <v>37</v>
      </c>
      <c r="N1300" s="14">
        <v>0.25</v>
      </c>
      <c r="O1300" s="23">
        <v>853.41</v>
      </c>
      <c r="P1300">
        <v>322.41000000000003</v>
      </c>
      <c r="Q1300" s="12" t="str" cm="1">
        <f t="array" ref="Q1300:R1300">VLOOKUP(E1300,store[],{3,5},FALSE)</f>
        <v>West</v>
      </c>
      <c r="R1300" t="str">
        <v>Online</v>
      </c>
      <c r="S1300" s="4">
        <f t="shared" si="20"/>
        <v>1706.32</v>
      </c>
    </row>
    <row r="1301" spans="1:19">
      <c r="A1301" t="s">
        <v>2082</v>
      </c>
      <c r="B1301" s="3">
        <v>45451</v>
      </c>
      <c r="C1301" t="s">
        <v>1528</v>
      </c>
      <c r="D1301" t="s">
        <v>542</v>
      </c>
      <c r="E1301" t="s">
        <v>66</v>
      </c>
      <c r="F1301">
        <v>1</v>
      </c>
      <c r="G1301" t="s">
        <v>33</v>
      </c>
      <c r="H1301">
        <v>40</v>
      </c>
      <c r="I1301" s="12" t="s">
        <v>34</v>
      </c>
      <c r="J1301" s="12" t="s">
        <v>336</v>
      </c>
      <c r="K1301" s="12" t="s">
        <v>26</v>
      </c>
      <c r="L1301" s="12" t="s">
        <v>543</v>
      </c>
      <c r="M1301" s="12" t="s">
        <v>28</v>
      </c>
      <c r="N1301" s="14">
        <v>7.0000000000000007E-2</v>
      </c>
      <c r="O1301" s="23">
        <v>162.13999999999999</v>
      </c>
      <c r="P1301">
        <v>152.91999999999999</v>
      </c>
      <c r="Q1301" s="12" t="str" cm="1">
        <f t="array" ref="Q1301:R1301">VLOOKUP(E1301,store[],{3,5},FALSE)</f>
        <v>South</v>
      </c>
      <c r="R1301" t="str">
        <v>Online</v>
      </c>
      <c r="S1301" s="4">
        <f t="shared" si="20"/>
        <v>162.07</v>
      </c>
    </row>
    <row r="1302" spans="1:19">
      <c r="A1302" t="s">
        <v>2083</v>
      </c>
      <c r="B1302" s="3">
        <v>45478</v>
      </c>
      <c r="C1302" t="s">
        <v>1256</v>
      </c>
      <c r="D1302" t="s">
        <v>1259</v>
      </c>
      <c r="E1302" t="s">
        <v>117</v>
      </c>
      <c r="F1302">
        <v>1</v>
      </c>
      <c r="G1302" t="s">
        <v>23</v>
      </c>
      <c r="H1302">
        <v>49</v>
      </c>
      <c r="I1302" s="12" t="s">
        <v>34</v>
      </c>
      <c r="J1302" s="12" t="s">
        <v>444</v>
      </c>
      <c r="K1302" s="12" t="s">
        <v>52</v>
      </c>
      <c r="L1302" s="12" t="s">
        <v>1260</v>
      </c>
      <c r="M1302" s="12" t="s">
        <v>130</v>
      </c>
      <c r="N1302" s="14">
        <v>0.09</v>
      </c>
      <c r="O1302" s="23">
        <v>893.14</v>
      </c>
      <c r="P1302">
        <v>358.47</v>
      </c>
      <c r="Q1302" s="12" t="str" cm="1">
        <f t="array" ref="Q1302:R1302">VLOOKUP(E1302,store[],{3,5},FALSE)</f>
        <v>West</v>
      </c>
      <c r="R1302" t="str">
        <v>Flagship</v>
      </c>
      <c r="S1302" s="4">
        <f t="shared" si="20"/>
        <v>893.05</v>
      </c>
    </row>
    <row r="1303" spans="1:19">
      <c r="A1303" t="s">
        <v>2084</v>
      </c>
      <c r="B1303" s="3">
        <v>45528</v>
      </c>
      <c r="C1303" t="s">
        <v>765</v>
      </c>
      <c r="D1303" t="s">
        <v>116</v>
      </c>
      <c r="E1303" t="s">
        <v>43</v>
      </c>
      <c r="F1303">
        <v>4</v>
      </c>
      <c r="G1303" t="s">
        <v>23</v>
      </c>
      <c r="H1303">
        <v>21</v>
      </c>
      <c r="I1303" s="12" t="s">
        <v>24</v>
      </c>
      <c r="J1303" s="12" t="s">
        <v>440</v>
      </c>
      <c r="K1303" s="12" t="s">
        <v>73</v>
      </c>
      <c r="L1303" s="12" t="s">
        <v>119</v>
      </c>
      <c r="M1303" s="12" t="s">
        <v>37</v>
      </c>
      <c r="N1303" s="14">
        <v>0.28000000000000003</v>
      </c>
      <c r="O1303" s="23">
        <v>349.07</v>
      </c>
      <c r="P1303">
        <v>419.28</v>
      </c>
      <c r="Q1303" s="12" t="str" cm="1">
        <f t="array" ref="Q1303:R1303">VLOOKUP(E1303,store[],{3,5},FALSE)</f>
        <v>West</v>
      </c>
      <c r="R1303" t="str">
        <v>Online</v>
      </c>
      <c r="S1303" s="4">
        <f t="shared" si="20"/>
        <v>1395.16</v>
      </c>
    </row>
    <row r="1304" spans="1:19">
      <c r="A1304" t="s">
        <v>2085</v>
      </c>
      <c r="B1304" s="3">
        <v>45418</v>
      </c>
      <c r="C1304" t="s">
        <v>1567</v>
      </c>
      <c r="D1304" t="s">
        <v>630</v>
      </c>
      <c r="E1304" t="s">
        <v>149</v>
      </c>
      <c r="F1304">
        <v>1</v>
      </c>
      <c r="G1304" t="s">
        <v>50</v>
      </c>
      <c r="H1304">
        <v>54</v>
      </c>
      <c r="I1304" s="12" t="s">
        <v>34</v>
      </c>
      <c r="J1304" s="12" t="s">
        <v>25</v>
      </c>
      <c r="K1304" s="12" t="s">
        <v>60</v>
      </c>
      <c r="L1304" s="12" t="s">
        <v>631</v>
      </c>
      <c r="M1304" s="12" t="s">
        <v>28</v>
      </c>
      <c r="N1304" s="14">
        <v>0.21</v>
      </c>
      <c r="O1304" s="23">
        <v>747.9</v>
      </c>
      <c r="P1304">
        <v>285.54000000000002</v>
      </c>
      <c r="Q1304" s="12" t="str" cm="1">
        <f t="array" ref="Q1304:R1304">VLOOKUP(E1304,store[],{3,5},FALSE)</f>
        <v>East</v>
      </c>
      <c r="R1304" t="str">
        <v>Flagship</v>
      </c>
      <c r="S1304" s="4">
        <f t="shared" si="20"/>
        <v>747.69</v>
      </c>
    </row>
    <row r="1305" spans="1:19">
      <c r="A1305" t="s">
        <v>2086</v>
      </c>
      <c r="B1305" s="3">
        <v>45478</v>
      </c>
      <c r="C1305" t="s">
        <v>727</v>
      </c>
      <c r="D1305" t="s">
        <v>630</v>
      </c>
      <c r="E1305" t="s">
        <v>179</v>
      </c>
      <c r="F1305">
        <v>3</v>
      </c>
      <c r="G1305" t="s">
        <v>23</v>
      </c>
      <c r="H1305">
        <v>41</v>
      </c>
      <c r="I1305" s="12" t="s">
        <v>24</v>
      </c>
      <c r="J1305" s="12" t="s">
        <v>609</v>
      </c>
      <c r="K1305" s="12" t="s">
        <v>60</v>
      </c>
      <c r="L1305" s="12" t="s">
        <v>631</v>
      </c>
      <c r="M1305" s="12" t="s">
        <v>28</v>
      </c>
      <c r="N1305" s="14">
        <v>0.21</v>
      </c>
      <c r="O1305" s="23">
        <v>438.92</v>
      </c>
      <c r="P1305">
        <v>285.54000000000002</v>
      </c>
      <c r="Q1305" s="12" t="str" cm="1">
        <f t="array" ref="Q1305:R1305">VLOOKUP(E1305,store[],{3,5},FALSE)</f>
        <v>East</v>
      </c>
      <c r="R1305" t="str">
        <v>Online</v>
      </c>
      <c r="S1305" s="4">
        <f t="shared" si="20"/>
        <v>1316.13</v>
      </c>
    </row>
    <row r="1306" spans="1:19">
      <c r="A1306" t="s">
        <v>2087</v>
      </c>
      <c r="B1306" s="3">
        <v>45232</v>
      </c>
      <c r="C1306" t="s">
        <v>1201</v>
      </c>
      <c r="D1306" t="s">
        <v>192</v>
      </c>
      <c r="E1306" t="s">
        <v>72</v>
      </c>
      <c r="F1306">
        <v>4</v>
      </c>
      <c r="G1306" t="s">
        <v>23</v>
      </c>
      <c r="H1306">
        <v>40</v>
      </c>
      <c r="I1306" s="12" t="s">
        <v>24</v>
      </c>
      <c r="J1306" s="12" t="s">
        <v>106</v>
      </c>
      <c r="K1306" s="12" t="s">
        <v>60</v>
      </c>
      <c r="L1306" s="12" t="s">
        <v>194</v>
      </c>
      <c r="M1306" s="12" t="s">
        <v>37</v>
      </c>
      <c r="N1306" s="14">
        <v>0.18</v>
      </c>
      <c r="O1306" s="23">
        <v>665.38</v>
      </c>
      <c r="P1306">
        <v>480.9</v>
      </c>
      <c r="Q1306" s="12" t="str" cm="1">
        <f t="array" ref="Q1306:R1306">VLOOKUP(E1306,store[],{3,5},FALSE)</f>
        <v>South</v>
      </c>
      <c r="R1306" t="str">
        <v>Online</v>
      </c>
      <c r="S1306" s="4">
        <f t="shared" si="20"/>
        <v>2660.8</v>
      </c>
    </row>
    <row r="1307" spans="1:19">
      <c r="A1307" t="s">
        <v>2088</v>
      </c>
      <c r="B1307" s="3">
        <v>45616</v>
      </c>
      <c r="C1307" t="s">
        <v>2059</v>
      </c>
      <c r="D1307" t="s">
        <v>148</v>
      </c>
      <c r="E1307" t="s">
        <v>160</v>
      </c>
      <c r="F1307">
        <v>1</v>
      </c>
      <c r="G1307" t="s">
        <v>23</v>
      </c>
      <c r="H1307">
        <v>59</v>
      </c>
      <c r="I1307" s="12" t="s">
        <v>34</v>
      </c>
      <c r="J1307" s="12" t="s">
        <v>308</v>
      </c>
      <c r="K1307" s="12" t="s">
        <v>73</v>
      </c>
      <c r="L1307" s="12" t="s">
        <v>150</v>
      </c>
      <c r="M1307" s="12" t="s">
        <v>46</v>
      </c>
      <c r="N1307" s="14">
        <v>0.28000000000000003</v>
      </c>
      <c r="O1307" s="23">
        <v>146.49</v>
      </c>
      <c r="P1307">
        <v>482.75</v>
      </c>
      <c r="Q1307" s="12" t="str" cm="1">
        <f t="array" ref="Q1307:R1307">VLOOKUP(E1307,store[],{3,5},FALSE)</f>
        <v>East</v>
      </c>
      <c r="R1307" t="str">
        <v>Flagship</v>
      </c>
      <c r="S1307" s="4">
        <f t="shared" si="20"/>
        <v>146.21</v>
      </c>
    </row>
    <row r="1308" spans="1:19">
      <c r="A1308" t="s">
        <v>2089</v>
      </c>
      <c r="B1308" s="3">
        <v>45774</v>
      </c>
      <c r="C1308" t="s">
        <v>1400</v>
      </c>
      <c r="D1308" t="s">
        <v>340</v>
      </c>
      <c r="E1308" t="s">
        <v>122</v>
      </c>
      <c r="F1308">
        <v>2</v>
      </c>
      <c r="G1308" t="s">
        <v>50</v>
      </c>
      <c r="H1308">
        <v>32</v>
      </c>
      <c r="I1308" s="12" t="s">
        <v>24</v>
      </c>
      <c r="J1308" s="12" t="s">
        <v>410</v>
      </c>
      <c r="K1308" s="12" t="s">
        <v>73</v>
      </c>
      <c r="L1308" s="12" t="s">
        <v>341</v>
      </c>
      <c r="M1308" s="12" t="s">
        <v>28</v>
      </c>
      <c r="N1308" s="14">
        <v>0.27</v>
      </c>
      <c r="O1308" s="23">
        <v>235.39</v>
      </c>
      <c r="P1308">
        <v>135.61000000000001</v>
      </c>
      <c r="Q1308" s="12" t="str" cm="1">
        <f t="array" ref="Q1308:R1308">VLOOKUP(E1308,store[],{3,5},FALSE)</f>
        <v>North</v>
      </c>
      <c r="R1308" t="str">
        <v>Flagship</v>
      </c>
      <c r="S1308" s="4">
        <f t="shared" si="20"/>
        <v>470.24</v>
      </c>
    </row>
    <row r="1309" spans="1:19">
      <c r="A1309" t="s">
        <v>2090</v>
      </c>
      <c r="B1309" s="3">
        <v>45651</v>
      </c>
      <c r="C1309" t="s">
        <v>203</v>
      </c>
      <c r="D1309" t="s">
        <v>698</v>
      </c>
      <c r="E1309" t="s">
        <v>58</v>
      </c>
      <c r="F1309">
        <v>3</v>
      </c>
      <c r="G1309" t="s">
        <v>33</v>
      </c>
      <c r="H1309">
        <v>27</v>
      </c>
      <c r="I1309" s="12" t="s">
        <v>34</v>
      </c>
      <c r="J1309" s="12" t="s">
        <v>204</v>
      </c>
      <c r="K1309" s="12" t="s">
        <v>52</v>
      </c>
      <c r="L1309" s="12" t="s">
        <v>699</v>
      </c>
      <c r="M1309" s="12" t="s">
        <v>28</v>
      </c>
      <c r="N1309" s="14">
        <v>0.09</v>
      </c>
      <c r="O1309" s="23">
        <v>38.07</v>
      </c>
      <c r="P1309">
        <v>103.45</v>
      </c>
      <c r="Q1309" s="12" t="str" cm="1">
        <f t="array" ref="Q1309:R1309">VLOOKUP(E1309,store[],{3,5},FALSE)</f>
        <v>North</v>
      </c>
      <c r="R1309" t="str">
        <v>Outlet</v>
      </c>
      <c r="S1309" s="4">
        <f t="shared" si="20"/>
        <v>113.94</v>
      </c>
    </row>
    <row r="1310" spans="1:19">
      <c r="A1310" t="s">
        <v>2091</v>
      </c>
      <c r="B1310" s="3">
        <v>45902</v>
      </c>
      <c r="C1310" t="s">
        <v>376</v>
      </c>
      <c r="D1310" t="s">
        <v>116</v>
      </c>
      <c r="E1310" t="s">
        <v>72</v>
      </c>
      <c r="F1310">
        <v>2</v>
      </c>
      <c r="G1310" t="s">
        <v>50</v>
      </c>
      <c r="H1310">
        <v>34</v>
      </c>
      <c r="I1310" s="12" t="s">
        <v>24</v>
      </c>
      <c r="J1310" s="12" t="s">
        <v>378</v>
      </c>
      <c r="K1310" s="12" t="s">
        <v>73</v>
      </c>
      <c r="L1310" s="12" t="s">
        <v>119</v>
      </c>
      <c r="M1310" s="12" t="s">
        <v>37</v>
      </c>
      <c r="N1310" s="14">
        <v>0.12</v>
      </c>
      <c r="O1310" s="23">
        <v>511.7</v>
      </c>
      <c r="P1310">
        <v>419.28</v>
      </c>
      <c r="Q1310" s="12" t="str" cm="1">
        <f t="array" ref="Q1310:R1310">VLOOKUP(E1310,store[],{3,5},FALSE)</f>
        <v>South</v>
      </c>
      <c r="R1310" t="str">
        <v>Online</v>
      </c>
      <c r="S1310" s="4">
        <f t="shared" si="20"/>
        <v>1023.16</v>
      </c>
    </row>
    <row r="1311" spans="1:19">
      <c r="A1311" t="s">
        <v>2092</v>
      </c>
      <c r="B1311" s="3">
        <v>45401</v>
      </c>
      <c r="C1311" t="s">
        <v>1175</v>
      </c>
      <c r="D1311" t="s">
        <v>213</v>
      </c>
      <c r="E1311" t="s">
        <v>43</v>
      </c>
      <c r="F1311">
        <v>4</v>
      </c>
      <c r="G1311" t="s">
        <v>33</v>
      </c>
      <c r="H1311">
        <v>44</v>
      </c>
      <c r="I1311" s="12" t="s">
        <v>34</v>
      </c>
      <c r="J1311" s="12" t="s">
        <v>51</v>
      </c>
      <c r="K1311" s="12" t="s">
        <v>52</v>
      </c>
      <c r="L1311" s="12" t="s">
        <v>215</v>
      </c>
      <c r="M1311" s="12" t="s">
        <v>130</v>
      </c>
      <c r="N1311" s="14">
        <v>0.23</v>
      </c>
      <c r="O1311" s="23">
        <v>488.72</v>
      </c>
      <c r="P1311">
        <v>158.13999999999999</v>
      </c>
      <c r="Q1311" s="12" t="str" cm="1">
        <f t="array" ref="Q1311:R1311">VLOOKUP(E1311,store[],{3,5},FALSE)</f>
        <v>West</v>
      </c>
      <c r="R1311" t="str">
        <v>Online</v>
      </c>
      <c r="S1311" s="4">
        <f t="shared" si="20"/>
        <v>1953.96</v>
      </c>
    </row>
    <row r="1312" spans="1:19">
      <c r="A1312" t="s">
        <v>2093</v>
      </c>
      <c r="B1312" s="3">
        <v>45717</v>
      </c>
      <c r="C1312" t="s">
        <v>1007</v>
      </c>
      <c r="D1312" t="s">
        <v>409</v>
      </c>
      <c r="E1312" t="s">
        <v>208</v>
      </c>
      <c r="F1312">
        <v>2</v>
      </c>
      <c r="G1312" t="s">
        <v>50</v>
      </c>
      <c r="H1312">
        <v>40</v>
      </c>
      <c r="I1312" s="12" t="s">
        <v>34</v>
      </c>
      <c r="J1312" s="12" t="s">
        <v>609</v>
      </c>
      <c r="K1312" s="12" t="s">
        <v>73</v>
      </c>
      <c r="L1312" s="12" t="s">
        <v>411</v>
      </c>
      <c r="M1312" s="12" t="s">
        <v>28</v>
      </c>
      <c r="N1312" s="14">
        <v>0.11</v>
      </c>
      <c r="O1312" s="23">
        <v>520.45000000000005</v>
      </c>
      <c r="P1312">
        <v>190.29</v>
      </c>
      <c r="Q1312" s="12" t="str" cm="1">
        <f t="array" ref="Q1312:R1312">VLOOKUP(E1312,store[],{3,5},FALSE)</f>
        <v>North</v>
      </c>
      <c r="R1312" t="str">
        <v>Online</v>
      </c>
      <c r="S1312" s="4">
        <f t="shared" si="20"/>
        <v>1040.68</v>
      </c>
    </row>
    <row r="1313" spans="1:19">
      <c r="A1313" t="s">
        <v>2094</v>
      </c>
      <c r="B1313" s="3">
        <v>45376</v>
      </c>
      <c r="C1313" t="s">
        <v>1919</v>
      </c>
      <c r="D1313" t="s">
        <v>505</v>
      </c>
      <c r="E1313" t="s">
        <v>58</v>
      </c>
      <c r="F1313">
        <v>1</v>
      </c>
      <c r="G1313" t="s">
        <v>23</v>
      </c>
      <c r="H1313">
        <v>37</v>
      </c>
      <c r="I1313" s="12" t="s">
        <v>24</v>
      </c>
      <c r="J1313" s="12" t="s">
        <v>204</v>
      </c>
      <c r="K1313" s="12" t="s">
        <v>73</v>
      </c>
      <c r="L1313" s="12" t="s">
        <v>506</v>
      </c>
      <c r="M1313" s="12" t="s">
        <v>37</v>
      </c>
      <c r="N1313" s="14">
        <v>0.28999999999999998</v>
      </c>
      <c r="O1313" s="23">
        <v>340.9</v>
      </c>
      <c r="P1313">
        <v>177.98</v>
      </c>
      <c r="Q1313" s="12" t="str" cm="1">
        <f t="array" ref="Q1313:R1313">VLOOKUP(E1313,store[],{3,5},FALSE)</f>
        <v>North</v>
      </c>
      <c r="R1313" t="str">
        <v>Outlet</v>
      </c>
      <c r="S1313" s="4">
        <f t="shared" si="20"/>
        <v>340.61</v>
      </c>
    </row>
    <row r="1314" spans="1:19">
      <c r="A1314" t="s">
        <v>2095</v>
      </c>
      <c r="B1314" s="3">
        <v>45576</v>
      </c>
      <c r="C1314" t="s">
        <v>48</v>
      </c>
      <c r="D1314" t="s">
        <v>311</v>
      </c>
      <c r="E1314" t="s">
        <v>43</v>
      </c>
      <c r="F1314">
        <v>3</v>
      </c>
      <c r="G1314" t="s">
        <v>50</v>
      </c>
      <c r="H1314">
        <v>58</v>
      </c>
      <c r="I1314" s="12" t="s">
        <v>34</v>
      </c>
      <c r="J1314" s="12" t="s">
        <v>51</v>
      </c>
      <c r="K1314" s="12" t="s">
        <v>52</v>
      </c>
      <c r="L1314" s="12" t="s">
        <v>312</v>
      </c>
      <c r="M1314" s="12" t="s">
        <v>28</v>
      </c>
      <c r="N1314" s="14">
        <v>0.17</v>
      </c>
      <c r="O1314" s="23">
        <v>653.59</v>
      </c>
      <c r="P1314">
        <v>204.39</v>
      </c>
      <c r="Q1314" s="12" t="str" cm="1">
        <f t="array" ref="Q1314:R1314">VLOOKUP(E1314,store[],{3,5},FALSE)</f>
        <v>West</v>
      </c>
      <c r="R1314" t="str">
        <v>Online</v>
      </c>
      <c r="S1314" s="4">
        <f t="shared" si="20"/>
        <v>1960.26</v>
      </c>
    </row>
    <row r="1315" spans="1:19">
      <c r="A1315" t="s">
        <v>2096</v>
      </c>
      <c r="B1315" s="3">
        <v>45906</v>
      </c>
      <c r="C1315" t="s">
        <v>2097</v>
      </c>
      <c r="D1315" t="s">
        <v>246</v>
      </c>
      <c r="E1315" t="s">
        <v>160</v>
      </c>
      <c r="F1315">
        <v>1</v>
      </c>
      <c r="G1315" t="s">
        <v>50</v>
      </c>
      <c r="H1315">
        <v>36</v>
      </c>
      <c r="I1315" s="12" t="s">
        <v>34</v>
      </c>
      <c r="J1315" s="12" t="s">
        <v>169</v>
      </c>
      <c r="K1315" s="12" t="s">
        <v>26</v>
      </c>
      <c r="L1315" s="12" t="s">
        <v>247</v>
      </c>
      <c r="M1315" s="12" t="s">
        <v>37</v>
      </c>
      <c r="N1315" s="14">
        <v>0.23</v>
      </c>
      <c r="O1315" s="23">
        <v>179.77</v>
      </c>
      <c r="P1315">
        <v>322.41000000000003</v>
      </c>
      <c r="Q1315" s="12" t="str" cm="1">
        <f t="array" ref="Q1315:R1315">VLOOKUP(E1315,store[],{3,5},FALSE)</f>
        <v>East</v>
      </c>
      <c r="R1315" t="str">
        <v>Flagship</v>
      </c>
      <c r="S1315" s="4">
        <f t="shared" si="20"/>
        <v>179.54</v>
      </c>
    </row>
    <row r="1316" spans="1:19">
      <c r="A1316" t="s">
        <v>2098</v>
      </c>
      <c r="B1316" s="3">
        <v>45523</v>
      </c>
      <c r="C1316" t="s">
        <v>270</v>
      </c>
      <c r="D1316" t="s">
        <v>768</v>
      </c>
      <c r="E1316" t="s">
        <v>127</v>
      </c>
      <c r="F1316">
        <v>2</v>
      </c>
      <c r="G1316" t="s">
        <v>23</v>
      </c>
      <c r="H1316">
        <v>53</v>
      </c>
      <c r="I1316" s="12" t="s">
        <v>34</v>
      </c>
      <c r="J1316" s="12" t="s">
        <v>214</v>
      </c>
      <c r="K1316" s="12" t="s">
        <v>26</v>
      </c>
      <c r="L1316" s="12" t="s">
        <v>769</v>
      </c>
      <c r="M1316" s="12" t="s">
        <v>37</v>
      </c>
      <c r="N1316" s="14">
        <v>0.06</v>
      </c>
      <c r="O1316" s="23">
        <v>943.8</v>
      </c>
      <c r="P1316">
        <v>112.42</v>
      </c>
      <c r="Q1316" s="12" t="str" cm="1">
        <f t="array" ref="Q1316:R1316">VLOOKUP(E1316,store[],{3,5},FALSE)</f>
        <v>South</v>
      </c>
      <c r="R1316" t="str">
        <v>Flagship</v>
      </c>
      <c r="S1316" s="4">
        <f t="shared" si="20"/>
        <v>1887.48</v>
      </c>
    </row>
    <row r="1317" spans="1:19">
      <c r="A1317" t="s">
        <v>2099</v>
      </c>
      <c r="B1317" s="3">
        <v>45234</v>
      </c>
      <c r="C1317" t="s">
        <v>20</v>
      </c>
      <c r="D1317" t="s">
        <v>368</v>
      </c>
      <c r="E1317" t="s">
        <v>122</v>
      </c>
      <c r="F1317">
        <v>2</v>
      </c>
      <c r="G1317" t="s">
        <v>23</v>
      </c>
      <c r="H1317">
        <v>55</v>
      </c>
      <c r="I1317" s="12" t="s">
        <v>24</v>
      </c>
      <c r="J1317" s="12" t="s">
        <v>25</v>
      </c>
      <c r="K1317" s="12" t="s">
        <v>26</v>
      </c>
      <c r="L1317" s="12" t="s">
        <v>369</v>
      </c>
      <c r="M1317" s="12" t="s">
        <v>46</v>
      </c>
      <c r="N1317" s="14">
        <v>0.25</v>
      </c>
      <c r="O1317" s="23">
        <v>985</v>
      </c>
      <c r="P1317">
        <v>214.32</v>
      </c>
      <c r="Q1317" s="12" t="str" cm="1">
        <f t="array" ref="Q1317:R1317">VLOOKUP(E1317,store[],{3,5},FALSE)</f>
        <v>North</v>
      </c>
      <c r="R1317" t="str">
        <v>Flagship</v>
      </c>
      <c r="S1317" s="4">
        <f t="shared" si="20"/>
        <v>1969.5</v>
      </c>
    </row>
    <row r="1318" spans="1:19">
      <c r="A1318" t="s">
        <v>2100</v>
      </c>
      <c r="B1318" s="3">
        <v>45405</v>
      </c>
      <c r="C1318" t="s">
        <v>598</v>
      </c>
      <c r="D1318" t="s">
        <v>110</v>
      </c>
      <c r="E1318" t="s">
        <v>168</v>
      </c>
      <c r="F1318">
        <v>4</v>
      </c>
      <c r="G1318" t="s">
        <v>23</v>
      </c>
      <c r="H1318">
        <v>46</v>
      </c>
      <c r="I1318" s="12" t="s">
        <v>34</v>
      </c>
      <c r="J1318" s="12" t="s">
        <v>498</v>
      </c>
      <c r="K1318" s="12" t="s">
        <v>73</v>
      </c>
      <c r="L1318" s="12" t="s">
        <v>112</v>
      </c>
      <c r="M1318" s="12" t="s">
        <v>28</v>
      </c>
      <c r="N1318" s="14">
        <v>0.28999999999999998</v>
      </c>
      <c r="O1318" s="23">
        <v>216.81</v>
      </c>
      <c r="P1318">
        <v>131.24</v>
      </c>
      <c r="Q1318" s="12" t="str" cm="1">
        <f t="array" ref="Q1318:R1318">VLOOKUP(E1318,store[],{3,5},FALSE)</f>
        <v>East</v>
      </c>
      <c r="R1318" t="str">
        <v>Online</v>
      </c>
      <c r="S1318" s="4">
        <f t="shared" si="20"/>
        <v>866.08</v>
      </c>
    </row>
    <row r="1319" spans="1:19">
      <c r="A1319" t="s">
        <v>2101</v>
      </c>
      <c r="B1319" s="3">
        <v>45223</v>
      </c>
      <c r="C1319" t="s">
        <v>1299</v>
      </c>
      <c r="D1319" t="s">
        <v>779</v>
      </c>
      <c r="E1319" t="s">
        <v>198</v>
      </c>
      <c r="F1319">
        <v>4</v>
      </c>
      <c r="G1319" t="s">
        <v>50</v>
      </c>
      <c r="H1319">
        <v>21</v>
      </c>
      <c r="I1319" s="12" t="s">
        <v>34</v>
      </c>
      <c r="J1319" s="12" t="s">
        <v>91</v>
      </c>
      <c r="K1319" s="12" t="s">
        <v>52</v>
      </c>
      <c r="L1319" s="12" t="s">
        <v>780</v>
      </c>
      <c r="M1319" s="12" t="s">
        <v>46</v>
      </c>
      <c r="N1319" s="14">
        <v>0.27</v>
      </c>
      <c r="O1319" s="23">
        <v>950.21</v>
      </c>
      <c r="P1319">
        <v>299.11</v>
      </c>
      <c r="Q1319" s="12" t="str" cm="1">
        <f t="array" ref="Q1319:R1319">VLOOKUP(E1319,store[],{3,5},FALSE)</f>
        <v>South</v>
      </c>
      <c r="R1319" t="str">
        <v>Outlet</v>
      </c>
      <c r="S1319" s="4">
        <f t="shared" si="20"/>
        <v>3799.76</v>
      </c>
    </row>
    <row r="1320" spans="1:19">
      <c r="A1320" t="s">
        <v>2102</v>
      </c>
      <c r="B1320" s="3">
        <v>45838</v>
      </c>
      <c r="C1320" t="s">
        <v>593</v>
      </c>
      <c r="D1320" t="s">
        <v>505</v>
      </c>
      <c r="E1320" t="s">
        <v>66</v>
      </c>
      <c r="F1320">
        <v>2</v>
      </c>
      <c r="G1320" t="s">
        <v>33</v>
      </c>
      <c r="H1320">
        <v>57</v>
      </c>
      <c r="I1320" s="12" t="s">
        <v>24</v>
      </c>
      <c r="J1320" s="12" t="s">
        <v>140</v>
      </c>
      <c r="K1320" s="12" t="s">
        <v>52</v>
      </c>
      <c r="L1320" s="12" t="s">
        <v>506</v>
      </c>
      <c r="M1320" s="12" t="s">
        <v>37</v>
      </c>
      <c r="N1320" s="14">
        <v>0.17</v>
      </c>
      <c r="O1320" s="23">
        <v>271.39999999999998</v>
      </c>
      <c r="P1320">
        <v>177.98</v>
      </c>
      <c r="Q1320" s="12" t="str" cm="1">
        <f t="array" ref="Q1320:R1320">VLOOKUP(E1320,store[],{3,5},FALSE)</f>
        <v>South</v>
      </c>
      <c r="R1320" t="str">
        <v>Online</v>
      </c>
      <c r="S1320" s="4">
        <f t="shared" si="20"/>
        <v>542.46</v>
      </c>
    </row>
    <row r="1321" spans="1:19">
      <c r="A1321" t="s">
        <v>2103</v>
      </c>
      <c r="B1321" s="3">
        <v>45883</v>
      </c>
      <c r="C1321" t="s">
        <v>338</v>
      </c>
      <c r="D1321" t="s">
        <v>104</v>
      </c>
      <c r="E1321" t="s">
        <v>43</v>
      </c>
      <c r="F1321">
        <v>4</v>
      </c>
      <c r="G1321" t="s">
        <v>33</v>
      </c>
      <c r="H1321">
        <v>36</v>
      </c>
      <c r="I1321" s="12" t="s">
        <v>34</v>
      </c>
      <c r="J1321" s="12" t="s">
        <v>235</v>
      </c>
      <c r="K1321" s="12" t="s">
        <v>52</v>
      </c>
      <c r="L1321" s="12" t="s">
        <v>107</v>
      </c>
      <c r="M1321" s="12" t="s">
        <v>37</v>
      </c>
      <c r="N1321" s="14">
        <v>0.1</v>
      </c>
      <c r="O1321" s="23">
        <v>708.19</v>
      </c>
      <c r="P1321">
        <v>326.06</v>
      </c>
      <c r="Q1321" s="12" t="str" cm="1">
        <f t="array" ref="Q1321:R1321">VLOOKUP(E1321,store[],{3,5},FALSE)</f>
        <v>West</v>
      </c>
      <c r="R1321" t="str">
        <v>Online</v>
      </c>
      <c r="S1321" s="4">
        <f t="shared" si="20"/>
        <v>2832.36</v>
      </c>
    </row>
    <row r="1322" spans="1:19">
      <c r="A1322" t="s">
        <v>2104</v>
      </c>
      <c r="B1322" s="3">
        <v>45788</v>
      </c>
      <c r="C1322" t="s">
        <v>1731</v>
      </c>
      <c r="D1322" t="s">
        <v>420</v>
      </c>
      <c r="E1322" t="s">
        <v>22</v>
      </c>
      <c r="F1322">
        <v>3</v>
      </c>
      <c r="G1322" t="s">
        <v>33</v>
      </c>
      <c r="H1322">
        <v>19</v>
      </c>
      <c r="I1322" s="12" t="s">
        <v>24</v>
      </c>
      <c r="J1322" s="12" t="s">
        <v>25</v>
      </c>
      <c r="K1322" s="12" t="s">
        <v>26</v>
      </c>
      <c r="L1322" s="12" t="s">
        <v>421</v>
      </c>
      <c r="M1322" s="12" t="s">
        <v>28</v>
      </c>
      <c r="N1322" s="14">
        <v>0.05</v>
      </c>
      <c r="O1322" s="23">
        <v>477.05</v>
      </c>
      <c r="P1322">
        <v>434.84</v>
      </c>
      <c r="Q1322" s="12" t="str" cm="1">
        <f t="array" ref="Q1322:R1322">VLOOKUP(E1322,store[],{3,5},FALSE)</f>
        <v>North</v>
      </c>
      <c r="R1322" t="str">
        <v>Outlet</v>
      </c>
      <c r="S1322" s="4">
        <f t="shared" si="20"/>
        <v>1431</v>
      </c>
    </row>
    <row r="1323" spans="1:19">
      <c r="A1323" t="s">
        <v>2105</v>
      </c>
      <c r="B1323" s="3">
        <v>45383</v>
      </c>
      <c r="C1323" t="s">
        <v>560</v>
      </c>
      <c r="D1323" t="s">
        <v>31</v>
      </c>
      <c r="E1323" t="s">
        <v>127</v>
      </c>
      <c r="F1323">
        <v>3</v>
      </c>
      <c r="G1323" t="s">
        <v>50</v>
      </c>
      <c r="H1323">
        <v>56</v>
      </c>
      <c r="I1323" s="12" t="s">
        <v>34</v>
      </c>
      <c r="J1323" s="12" t="s">
        <v>59</v>
      </c>
      <c r="K1323" s="12" t="s">
        <v>73</v>
      </c>
      <c r="L1323" s="12" t="s">
        <v>36</v>
      </c>
      <c r="M1323" s="12" t="s">
        <v>37</v>
      </c>
      <c r="N1323" s="14">
        <v>0.27</v>
      </c>
      <c r="O1323" s="23">
        <v>627.29</v>
      </c>
      <c r="P1323">
        <v>403.71</v>
      </c>
      <c r="Q1323" s="12" t="str" cm="1">
        <f t="array" ref="Q1323:R1323">VLOOKUP(E1323,store[],{3,5},FALSE)</f>
        <v>South</v>
      </c>
      <c r="R1323" t="str">
        <v>Flagship</v>
      </c>
      <c r="S1323" s="4">
        <f t="shared" si="20"/>
        <v>1881.06</v>
      </c>
    </row>
    <row r="1324" spans="1:19">
      <c r="A1324" t="s">
        <v>2106</v>
      </c>
      <c r="B1324" s="3">
        <v>45335</v>
      </c>
      <c r="C1324" t="s">
        <v>861</v>
      </c>
      <c r="D1324" t="s">
        <v>242</v>
      </c>
      <c r="E1324" t="s">
        <v>272</v>
      </c>
      <c r="F1324">
        <v>3</v>
      </c>
      <c r="G1324" t="s">
        <v>33</v>
      </c>
      <c r="H1324">
        <v>41</v>
      </c>
      <c r="I1324" s="12" t="s">
        <v>24</v>
      </c>
      <c r="J1324" s="12" t="s">
        <v>333</v>
      </c>
      <c r="K1324" s="12" t="s">
        <v>60</v>
      </c>
      <c r="L1324" s="12" t="s">
        <v>243</v>
      </c>
      <c r="M1324" s="12" t="s">
        <v>46</v>
      </c>
      <c r="N1324" s="14">
        <v>0.19</v>
      </c>
      <c r="O1324" s="23">
        <v>206.84</v>
      </c>
      <c r="P1324">
        <v>358.47</v>
      </c>
      <c r="Q1324" s="12" t="str" cm="1">
        <f t="array" ref="Q1324:R1324">VLOOKUP(E1324,store[],{3,5},FALSE)</f>
        <v>South</v>
      </c>
      <c r="R1324" t="str">
        <v>Online</v>
      </c>
      <c r="S1324" s="4">
        <f t="shared" si="20"/>
        <v>619.95000000000005</v>
      </c>
    </row>
    <row r="1325" spans="1:19">
      <c r="A1325" t="s">
        <v>2107</v>
      </c>
      <c r="B1325" s="3">
        <v>45304</v>
      </c>
      <c r="C1325" t="s">
        <v>890</v>
      </c>
      <c r="D1325" t="s">
        <v>271</v>
      </c>
      <c r="E1325" t="s">
        <v>105</v>
      </c>
      <c r="F1325">
        <v>4</v>
      </c>
      <c r="G1325" t="s">
        <v>23</v>
      </c>
      <c r="H1325">
        <v>64</v>
      </c>
      <c r="I1325" s="12" t="s">
        <v>24</v>
      </c>
      <c r="J1325" s="12" t="s">
        <v>59</v>
      </c>
      <c r="K1325" s="12" t="s">
        <v>60</v>
      </c>
      <c r="L1325" s="12" t="s">
        <v>273</v>
      </c>
      <c r="M1325" s="12" t="s">
        <v>75</v>
      </c>
      <c r="N1325" s="14">
        <v>0.26</v>
      </c>
      <c r="O1325" s="23">
        <v>629.04999999999995</v>
      </c>
      <c r="P1325">
        <v>19.52</v>
      </c>
      <c r="Q1325" s="12" t="str" cm="1">
        <f t="array" ref="Q1325:R1325">VLOOKUP(E1325,store[],{3,5},FALSE)</f>
        <v>North</v>
      </c>
      <c r="R1325" t="str">
        <v>Flagship</v>
      </c>
      <c r="S1325" s="4">
        <f t="shared" si="20"/>
        <v>2515.16</v>
      </c>
    </row>
    <row r="1326" spans="1:19">
      <c r="A1326" t="s">
        <v>2108</v>
      </c>
      <c r="B1326" s="3">
        <v>45543</v>
      </c>
      <c r="C1326" t="s">
        <v>878</v>
      </c>
      <c r="D1326" t="s">
        <v>31</v>
      </c>
      <c r="E1326" t="s">
        <v>32</v>
      </c>
      <c r="F1326">
        <v>4</v>
      </c>
      <c r="G1326" t="s">
        <v>33</v>
      </c>
      <c r="H1326">
        <v>59</v>
      </c>
      <c r="I1326" s="12" t="s">
        <v>34</v>
      </c>
      <c r="J1326" s="12" t="s">
        <v>51</v>
      </c>
      <c r="K1326" s="12" t="s">
        <v>52</v>
      </c>
      <c r="L1326" s="12" t="s">
        <v>36</v>
      </c>
      <c r="M1326" s="12" t="s">
        <v>37</v>
      </c>
      <c r="N1326" s="14">
        <v>0.1</v>
      </c>
      <c r="O1326" s="23">
        <v>529.04</v>
      </c>
      <c r="P1326">
        <v>403.71</v>
      </c>
      <c r="Q1326" s="12" t="str" cm="1">
        <f t="array" ref="Q1326:R1326">VLOOKUP(E1326,store[],{3,5},FALSE)</f>
        <v>North</v>
      </c>
      <c r="R1326" t="str">
        <v>Flagship</v>
      </c>
      <c r="S1326" s="4">
        <f t="shared" si="20"/>
        <v>2115.7600000000002</v>
      </c>
    </row>
    <row r="1327" spans="1:19">
      <c r="A1327" t="s">
        <v>2109</v>
      </c>
      <c r="B1327" s="3">
        <v>45326</v>
      </c>
      <c r="C1327" t="s">
        <v>519</v>
      </c>
      <c r="D1327" t="s">
        <v>271</v>
      </c>
      <c r="E1327" t="s">
        <v>32</v>
      </c>
      <c r="F1327">
        <v>1</v>
      </c>
      <c r="G1327" t="s">
        <v>33</v>
      </c>
      <c r="H1327">
        <v>31</v>
      </c>
      <c r="I1327" s="12" t="s">
        <v>24</v>
      </c>
      <c r="J1327" s="12" t="s">
        <v>444</v>
      </c>
      <c r="K1327" s="12" t="s">
        <v>73</v>
      </c>
      <c r="L1327" s="12" t="s">
        <v>273</v>
      </c>
      <c r="M1327" s="12" t="s">
        <v>75</v>
      </c>
      <c r="N1327" s="14">
        <v>0.22</v>
      </c>
      <c r="O1327" s="23">
        <v>350.67</v>
      </c>
      <c r="P1327">
        <v>19.52</v>
      </c>
      <c r="Q1327" s="12" t="str" cm="1">
        <f t="array" ref="Q1327:R1327">VLOOKUP(E1327,store[],{3,5},FALSE)</f>
        <v>North</v>
      </c>
      <c r="R1327" t="str">
        <v>Flagship</v>
      </c>
      <c r="S1327" s="4">
        <f t="shared" si="20"/>
        <v>350.45</v>
      </c>
    </row>
    <row r="1328" spans="1:19">
      <c r="A1328" t="s">
        <v>2110</v>
      </c>
      <c r="B1328" s="3">
        <v>45498</v>
      </c>
      <c r="C1328" t="s">
        <v>674</v>
      </c>
      <c r="D1328" t="s">
        <v>1126</v>
      </c>
      <c r="E1328" t="s">
        <v>105</v>
      </c>
      <c r="F1328">
        <v>1</v>
      </c>
      <c r="G1328" t="s">
        <v>23</v>
      </c>
      <c r="H1328">
        <v>21</v>
      </c>
      <c r="I1328" s="12" t="s">
        <v>34</v>
      </c>
      <c r="J1328" s="12" t="s">
        <v>214</v>
      </c>
      <c r="K1328" s="12" t="s">
        <v>52</v>
      </c>
      <c r="L1328" s="12" t="s">
        <v>1127</v>
      </c>
      <c r="M1328" s="12" t="s">
        <v>28</v>
      </c>
      <c r="N1328" s="14">
        <v>0.26</v>
      </c>
      <c r="O1328" s="23">
        <v>128.93</v>
      </c>
      <c r="P1328">
        <v>60.65</v>
      </c>
      <c r="Q1328" s="12" t="str" cm="1">
        <f t="array" ref="Q1328:R1328">VLOOKUP(E1328,store[],{3,5},FALSE)</f>
        <v>North</v>
      </c>
      <c r="R1328" t="str">
        <v>Flagship</v>
      </c>
      <c r="S1328" s="4">
        <f t="shared" si="20"/>
        <v>128.66999999999999</v>
      </c>
    </row>
    <row r="1329" spans="1:19">
      <c r="A1329" t="s">
        <v>2111</v>
      </c>
      <c r="B1329" s="3">
        <v>45544</v>
      </c>
      <c r="C1329" t="s">
        <v>1024</v>
      </c>
      <c r="D1329" t="s">
        <v>400</v>
      </c>
      <c r="E1329" t="s">
        <v>122</v>
      </c>
      <c r="F1329">
        <v>2</v>
      </c>
      <c r="G1329" t="s">
        <v>23</v>
      </c>
      <c r="H1329">
        <v>46</v>
      </c>
      <c r="I1329" s="12" t="s">
        <v>24</v>
      </c>
      <c r="J1329" s="12" t="s">
        <v>260</v>
      </c>
      <c r="K1329" s="12" t="s">
        <v>52</v>
      </c>
      <c r="L1329" s="12" t="s">
        <v>401</v>
      </c>
      <c r="M1329" s="12" t="s">
        <v>75</v>
      </c>
      <c r="N1329" s="14">
        <v>0.09</v>
      </c>
      <c r="O1329" s="23">
        <v>384.92</v>
      </c>
      <c r="P1329">
        <v>176.07</v>
      </c>
      <c r="Q1329" s="12" t="str" cm="1">
        <f t="array" ref="Q1329:R1329">VLOOKUP(E1329,store[],{3,5},FALSE)</f>
        <v>North</v>
      </c>
      <c r="R1329" t="str">
        <v>Flagship</v>
      </c>
      <c r="S1329" s="4">
        <f t="shared" si="20"/>
        <v>769.66</v>
      </c>
    </row>
    <row r="1330" spans="1:19">
      <c r="A1330" t="s">
        <v>2112</v>
      </c>
      <c r="B1330" s="3">
        <v>45268</v>
      </c>
      <c r="C1330" t="s">
        <v>639</v>
      </c>
      <c r="D1330" t="s">
        <v>183</v>
      </c>
      <c r="E1330" t="s">
        <v>43</v>
      </c>
      <c r="F1330">
        <v>3</v>
      </c>
      <c r="G1330" t="s">
        <v>33</v>
      </c>
      <c r="H1330">
        <v>50</v>
      </c>
      <c r="I1330" s="12" t="s">
        <v>34</v>
      </c>
      <c r="J1330" s="12" t="s">
        <v>440</v>
      </c>
      <c r="K1330" s="12" t="s">
        <v>60</v>
      </c>
      <c r="L1330" s="12" t="s">
        <v>184</v>
      </c>
      <c r="M1330" s="12" t="s">
        <v>130</v>
      </c>
      <c r="N1330" s="14">
        <v>0.28999999999999998</v>
      </c>
      <c r="O1330" s="23">
        <v>120.77</v>
      </c>
      <c r="P1330">
        <v>261</v>
      </c>
      <c r="Q1330" s="12" t="str" cm="1">
        <f t="array" ref="Q1330:R1330">VLOOKUP(E1330,store[],{3,5},FALSE)</f>
        <v>West</v>
      </c>
      <c r="R1330" t="str">
        <v>Online</v>
      </c>
      <c r="S1330" s="4">
        <f t="shared" si="20"/>
        <v>361.44</v>
      </c>
    </row>
    <row r="1331" spans="1:19">
      <c r="A1331" t="s">
        <v>2113</v>
      </c>
      <c r="B1331" s="3">
        <v>45824</v>
      </c>
      <c r="C1331" t="s">
        <v>904</v>
      </c>
      <c r="D1331" t="s">
        <v>49</v>
      </c>
      <c r="E1331" t="s">
        <v>32</v>
      </c>
      <c r="F1331">
        <v>4</v>
      </c>
      <c r="G1331" t="s">
        <v>23</v>
      </c>
      <c r="H1331">
        <v>35</v>
      </c>
      <c r="I1331" s="12" t="s">
        <v>24</v>
      </c>
      <c r="J1331" s="12" t="s">
        <v>222</v>
      </c>
      <c r="K1331" s="12" t="s">
        <v>52</v>
      </c>
      <c r="L1331" s="12" t="s">
        <v>53</v>
      </c>
      <c r="M1331" s="12" t="s">
        <v>37</v>
      </c>
      <c r="N1331" s="14">
        <v>7.0000000000000007E-2</v>
      </c>
      <c r="O1331" s="23">
        <v>661.39</v>
      </c>
      <c r="P1331">
        <v>392.89</v>
      </c>
      <c r="Q1331" s="12" t="str" cm="1">
        <f t="array" ref="Q1331:R1331">VLOOKUP(E1331,store[],{3,5},FALSE)</f>
        <v>North</v>
      </c>
      <c r="R1331" t="str">
        <v>Flagship</v>
      </c>
      <c r="S1331" s="4">
        <f t="shared" si="20"/>
        <v>2645.28</v>
      </c>
    </row>
    <row r="1332" spans="1:19">
      <c r="A1332" t="s">
        <v>2114</v>
      </c>
      <c r="B1332" s="3">
        <v>45261</v>
      </c>
      <c r="C1332" t="s">
        <v>748</v>
      </c>
      <c r="D1332" t="s">
        <v>661</v>
      </c>
      <c r="E1332" t="s">
        <v>198</v>
      </c>
      <c r="F1332">
        <v>1</v>
      </c>
      <c r="G1332" t="s">
        <v>33</v>
      </c>
      <c r="H1332">
        <v>29</v>
      </c>
      <c r="I1332" s="12" t="s">
        <v>24</v>
      </c>
      <c r="J1332" s="12" t="s">
        <v>308</v>
      </c>
      <c r="K1332" s="12" t="s">
        <v>73</v>
      </c>
      <c r="L1332" s="12" t="s">
        <v>662</v>
      </c>
      <c r="M1332" s="12" t="s">
        <v>37</v>
      </c>
      <c r="N1332" s="14">
        <v>0.27</v>
      </c>
      <c r="O1332" s="23">
        <v>195.24</v>
      </c>
      <c r="P1332">
        <v>86.42</v>
      </c>
      <c r="Q1332" s="12" t="str" cm="1">
        <f t="array" ref="Q1332:R1332">VLOOKUP(E1332,store[],{3,5},FALSE)</f>
        <v>South</v>
      </c>
      <c r="R1332" t="str">
        <v>Outlet</v>
      </c>
      <c r="S1332" s="4">
        <f t="shared" si="20"/>
        <v>194.97</v>
      </c>
    </row>
    <row r="1333" spans="1:19">
      <c r="A1333" t="s">
        <v>2115</v>
      </c>
      <c r="B1333" s="3">
        <v>45233</v>
      </c>
      <c r="C1333" t="s">
        <v>1747</v>
      </c>
      <c r="D1333" t="s">
        <v>603</v>
      </c>
      <c r="E1333" t="s">
        <v>160</v>
      </c>
      <c r="F1333">
        <v>2</v>
      </c>
      <c r="G1333" t="s">
        <v>33</v>
      </c>
      <c r="H1333">
        <v>64</v>
      </c>
      <c r="I1333" s="12" t="s">
        <v>34</v>
      </c>
      <c r="J1333" s="12" t="s">
        <v>227</v>
      </c>
      <c r="K1333" s="12" t="s">
        <v>60</v>
      </c>
      <c r="L1333" s="12" t="s">
        <v>604</v>
      </c>
      <c r="M1333" s="12" t="s">
        <v>75</v>
      </c>
      <c r="N1333" s="14">
        <v>0.19</v>
      </c>
      <c r="O1333" s="23">
        <v>177.4</v>
      </c>
      <c r="P1333">
        <v>447.43</v>
      </c>
      <c r="Q1333" s="12" t="str" cm="1">
        <f t="array" ref="Q1333:R1333">VLOOKUP(E1333,store[],{3,5},FALSE)</f>
        <v>East</v>
      </c>
      <c r="R1333" t="str">
        <v>Flagship</v>
      </c>
      <c r="S1333" s="4">
        <f t="shared" si="20"/>
        <v>354.42</v>
      </c>
    </row>
    <row r="1334" spans="1:19">
      <c r="A1334" t="s">
        <v>2116</v>
      </c>
      <c r="B1334" s="3">
        <v>45673</v>
      </c>
      <c r="C1334" t="s">
        <v>1208</v>
      </c>
      <c r="D1334" t="s">
        <v>187</v>
      </c>
      <c r="E1334" t="s">
        <v>272</v>
      </c>
      <c r="F1334">
        <v>4</v>
      </c>
      <c r="G1334" t="s">
        <v>33</v>
      </c>
      <c r="H1334">
        <v>43</v>
      </c>
      <c r="I1334" s="12" t="s">
        <v>34</v>
      </c>
      <c r="J1334" s="12" t="s">
        <v>67</v>
      </c>
      <c r="K1334" s="12" t="s">
        <v>52</v>
      </c>
      <c r="L1334" s="12" t="s">
        <v>189</v>
      </c>
      <c r="M1334" s="12" t="s">
        <v>37</v>
      </c>
      <c r="N1334" s="14">
        <v>0.2</v>
      </c>
      <c r="O1334" s="23">
        <v>862.67</v>
      </c>
      <c r="P1334">
        <v>431.67</v>
      </c>
      <c r="Q1334" s="12" t="str" cm="1">
        <f t="array" ref="Q1334:R1334">VLOOKUP(E1334,store[],{3,5},FALSE)</f>
        <v>South</v>
      </c>
      <c r="R1334" t="str">
        <v>Online</v>
      </c>
      <c r="S1334" s="4">
        <f t="shared" si="20"/>
        <v>3449.88</v>
      </c>
    </row>
    <row r="1335" spans="1:19">
      <c r="A1335" t="s">
        <v>2117</v>
      </c>
      <c r="B1335" s="3">
        <v>45565</v>
      </c>
      <c r="C1335" t="s">
        <v>1731</v>
      </c>
      <c r="D1335" t="s">
        <v>377</v>
      </c>
      <c r="E1335" t="s">
        <v>179</v>
      </c>
      <c r="F1335">
        <v>1</v>
      </c>
      <c r="G1335" t="s">
        <v>50</v>
      </c>
      <c r="H1335">
        <v>19</v>
      </c>
      <c r="I1335" s="12" t="s">
        <v>24</v>
      </c>
      <c r="J1335" s="12" t="s">
        <v>25</v>
      </c>
      <c r="K1335" s="12" t="s">
        <v>26</v>
      </c>
      <c r="L1335" s="12" t="s">
        <v>379</v>
      </c>
      <c r="M1335" s="12" t="s">
        <v>28</v>
      </c>
      <c r="N1335" s="14">
        <v>0.01</v>
      </c>
      <c r="O1335" s="23">
        <v>55.04</v>
      </c>
      <c r="P1335">
        <v>144.53</v>
      </c>
      <c r="Q1335" s="12" t="str" cm="1">
        <f t="array" ref="Q1335:R1335">VLOOKUP(E1335,store[],{3,5},FALSE)</f>
        <v>East</v>
      </c>
      <c r="R1335" t="str">
        <v>Online</v>
      </c>
      <c r="S1335" s="4">
        <f t="shared" si="20"/>
        <v>55.03</v>
      </c>
    </row>
    <row r="1336" spans="1:19">
      <c r="A1336" t="s">
        <v>2118</v>
      </c>
      <c r="B1336" s="3">
        <v>45646</v>
      </c>
      <c r="C1336" t="s">
        <v>710</v>
      </c>
      <c r="D1336" t="s">
        <v>344</v>
      </c>
      <c r="E1336" t="s">
        <v>90</v>
      </c>
      <c r="F1336">
        <v>2</v>
      </c>
      <c r="G1336" t="s">
        <v>50</v>
      </c>
      <c r="H1336">
        <v>45</v>
      </c>
      <c r="I1336" s="12" t="s">
        <v>34</v>
      </c>
      <c r="J1336" s="12" t="s">
        <v>308</v>
      </c>
      <c r="K1336" s="12" t="s">
        <v>26</v>
      </c>
      <c r="L1336" s="12" t="s">
        <v>347</v>
      </c>
      <c r="M1336" s="12" t="s">
        <v>28</v>
      </c>
      <c r="N1336" s="14">
        <v>0.2</v>
      </c>
      <c r="O1336" s="23">
        <v>905.47</v>
      </c>
      <c r="P1336">
        <v>318.91000000000003</v>
      </c>
      <c r="Q1336" s="12" t="str" cm="1">
        <f t="array" ref="Q1336:R1336">VLOOKUP(E1336,store[],{3,5},FALSE)</f>
        <v>East</v>
      </c>
      <c r="R1336" t="str">
        <v>Flagship</v>
      </c>
      <c r="S1336" s="4">
        <f t="shared" si="20"/>
        <v>1810.54</v>
      </c>
    </row>
    <row r="1337" spans="1:19">
      <c r="A1337" t="s">
        <v>2119</v>
      </c>
      <c r="B1337" s="3">
        <v>45539</v>
      </c>
      <c r="C1337" t="s">
        <v>1235</v>
      </c>
      <c r="D1337" t="s">
        <v>625</v>
      </c>
      <c r="E1337" t="s">
        <v>149</v>
      </c>
      <c r="F1337">
        <v>3</v>
      </c>
      <c r="G1337" t="s">
        <v>23</v>
      </c>
      <c r="H1337">
        <v>60</v>
      </c>
      <c r="I1337" s="12" t="s">
        <v>34</v>
      </c>
      <c r="J1337" s="12" t="s">
        <v>333</v>
      </c>
      <c r="K1337" s="12" t="s">
        <v>60</v>
      </c>
      <c r="L1337" s="12" t="s">
        <v>626</v>
      </c>
      <c r="M1337" s="12" t="s">
        <v>46</v>
      </c>
      <c r="N1337" s="14">
        <v>0.28000000000000003</v>
      </c>
      <c r="O1337" s="23">
        <v>217.13</v>
      </c>
      <c r="P1337">
        <v>266.86</v>
      </c>
      <c r="Q1337" s="12" t="str" cm="1">
        <f t="array" ref="Q1337:R1337">VLOOKUP(E1337,store[],{3,5},FALSE)</f>
        <v>East</v>
      </c>
      <c r="R1337" t="str">
        <v>Flagship</v>
      </c>
      <c r="S1337" s="4">
        <f t="shared" si="20"/>
        <v>650.54999999999995</v>
      </c>
    </row>
    <row r="1338" spans="1:19">
      <c r="A1338" t="s">
        <v>2120</v>
      </c>
      <c r="B1338" s="3">
        <v>45936</v>
      </c>
      <c r="C1338" t="s">
        <v>1218</v>
      </c>
      <c r="D1338" t="s">
        <v>213</v>
      </c>
      <c r="E1338" t="s">
        <v>90</v>
      </c>
      <c r="F1338">
        <v>3</v>
      </c>
      <c r="G1338" t="s">
        <v>33</v>
      </c>
      <c r="H1338">
        <v>50</v>
      </c>
      <c r="I1338" s="12" t="s">
        <v>24</v>
      </c>
      <c r="J1338" s="12" t="s">
        <v>761</v>
      </c>
      <c r="K1338" s="12" t="s">
        <v>52</v>
      </c>
      <c r="L1338" s="12" t="s">
        <v>215</v>
      </c>
      <c r="M1338" s="12" t="s">
        <v>130</v>
      </c>
      <c r="N1338" s="14">
        <v>0</v>
      </c>
      <c r="O1338" s="23">
        <v>580.45000000000005</v>
      </c>
      <c r="P1338">
        <v>158.13999999999999</v>
      </c>
      <c r="Q1338" s="12" t="str" cm="1">
        <f t="array" ref="Q1338:R1338">VLOOKUP(E1338,store[],{3,5},FALSE)</f>
        <v>East</v>
      </c>
      <c r="R1338" t="str">
        <v>Flagship</v>
      </c>
      <c r="S1338" s="4">
        <f t="shared" si="20"/>
        <v>1741.35</v>
      </c>
    </row>
    <row r="1339" spans="1:19">
      <c r="A1339" t="s">
        <v>2121</v>
      </c>
      <c r="B1339" s="3">
        <v>45854</v>
      </c>
      <c r="C1339" t="s">
        <v>765</v>
      </c>
      <c r="D1339" t="s">
        <v>634</v>
      </c>
      <c r="E1339" t="s">
        <v>32</v>
      </c>
      <c r="F1339">
        <v>2</v>
      </c>
      <c r="G1339" t="s">
        <v>33</v>
      </c>
      <c r="H1339">
        <v>21</v>
      </c>
      <c r="I1339" s="12" t="s">
        <v>24</v>
      </c>
      <c r="J1339" s="12" t="s">
        <v>440</v>
      </c>
      <c r="K1339" s="12" t="s">
        <v>73</v>
      </c>
      <c r="L1339" s="12" t="s">
        <v>635</v>
      </c>
      <c r="M1339" s="12" t="s">
        <v>130</v>
      </c>
      <c r="N1339" s="14">
        <v>0.17</v>
      </c>
      <c r="O1339" s="23">
        <v>892.88</v>
      </c>
      <c r="P1339">
        <v>306.45999999999998</v>
      </c>
      <c r="Q1339" s="12" t="str" cm="1">
        <f t="array" ref="Q1339:R1339">VLOOKUP(E1339,store[],{3,5},FALSE)</f>
        <v>North</v>
      </c>
      <c r="R1339" t="str">
        <v>Flagship</v>
      </c>
      <c r="S1339" s="4">
        <f t="shared" si="20"/>
        <v>1785.42</v>
      </c>
    </row>
    <row r="1340" spans="1:19">
      <c r="A1340" t="s">
        <v>2122</v>
      </c>
      <c r="B1340" s="3">
        <v>45936</v>
      </c>
      <c r="C1340" t="s">
        <v>637</v>
      </c>
      <c r="D1340" t="s">
        <v>295</v>
      </c>
      <c r="E1340" t="s">
        <v>160</v>
      </c>
      <c r="F1340">
        <v>2</v>
      </c>
      <c r="G1340" t="s">
        <v>50</v>
      </c>
      <c r="H1340">
        <v>29</v>
      </c>
      <c r="I1340" s="12" t="s">
        <v>34</v>
      </c>
      <c r="J1340" s="12" t="s">
        <v>251</v>
      </c>
      <c r="K1340" s="12" t="s">
        <v>60</v>
      </c>
      <c r="L1340" s="12" t="s">
        <v>296</v>
      </c>
      <c r="M1340" s="12" t="s">
        <v>37</v>
      </c>
      <c r="N1340" s="14">
        <v>0.11</v>
      </c>
      <c r="O1340" s="23">
        <v>356.28</v>
      </c>
      <c r="P1340">
        <v>38.520000000000003</v>
      </c>
      <c r="Q1340" s="12" t="str" cm="1">
        <f t="array" ref="Q1340:R1340">VLOOKUP(E1340,store[],{3,5},FALSE)</f>
        <v>East</v>
      </c>
      <c r="R1340" t="str">
        <v>Flagship</v>
      </c>
      <c r="S1340" s="4">
        <f t="shared" si="20"/>
        <v>712.34</v>
      </c>
    </row>
    <row r="1341" spans="1:19">
      <c r="A1341" t="s">
        <v>2123</v>
      </c>
      <c r="B1341" s="3">
        <v>45921</v>
      </c>
      <c r="C1341" t="s">
        <v>1097</v>
      </c>
      <c r="D1341" t="s">
        <v>429</v>
      </c>
      <c r="E1341" t="s">
        <v>198</v>
      </c>
      <c r="F1341">
        <v>4</v>
      </c>
      <c r="G1341" t="s">
        <v>23</v>
      </c>
      <c r="H1341">
        <v>52</v>
      </c>
      <c r="I1341" s="12" t="s">
        <v>34</v>
      </c>
      <c r="J1341" s="12" t="s">
        <v>106</v>
      </c>
      <c r="K1341" s="12" t="s">
        <v>73</v>
      </c>
      <c r="L1341" s="12" t="s">
        <v>430</v>
      </c>
      <c r="M1341" s="12" t="s">
        <v>75</v>
      </c>
      <c r="N1341" s="14">
        <v>0.06</v>
      </c>
      <c r="O1341" s="23">
        <v>806.99</v>
      </c>
      <c r="P1341">
        <v>143.43</v>
      </c>
      <c r="Q1341" s="12" t="str" cm="1">
        <f t="array" ref="Q1341:R1341">VLOOKUP(E1341,store[],{3,5},FALSE)</f>
        <v>South</v>
      </c>
      <c r="R1341" t="str">
        <v>Outlet</v>
      </c>
      <c r="S1341" s="4">
        <f t="shared" si="20"/>
        <v>3227.72</v>
      </c>
    </row>
    <row r="1342" spans="1:19">
      <c r="A1342" t="s">
        <v>2124</v>
      </c>
      <c r="B1342" s="3">
        <v>45855</v>
      </c>
      <c r="C1342" t="s">
        <v>2125</v>
      </c>
      <c r="D1342" t="s">
        <v>291</v>
      </c>
      <c r="E1342" t="s">
        <v>105</v>
      </c>
      <c r="F1342">
        <v>3</v>
      </c>
      <c r="G1342" t="s">
        <v>23</v>
      </c>
      <c r="H1342">
        <v>53</v>
      </c>
      <c r="I1342" s="12" t="s">
        <v>24</v>
      </c>
      <c r="J1342" s="12" t="s">
        <v>209</v>
      </c>
      <c r="K1342" s="12" t="s">
        <v>60</v>
      </c>
      <c r="L1342" s="12" t="s">
        <v>292</v>
      </c>
      <c r="M1342" s="12" t="s">
        <v>28</v>
      </c>
      <c r="N1342" s="14">
        <v>0.09</v>
      </c>
      <c r="O1342" s="23">
        <v>684.22</v>
      </c>
      <c r="P1342">
        <v>131.51</v>
      </c>
      <c r="Q1342" s="12" t="str" cm="1">
        <f t="array" ref="Q1342:R1342">VLOOKUP(E1342,store[],{3,5},FALSE)</f>
        <v>North</v>
      </c>
      <c r="R1342" t="str">
        <v>Flagship</v>
      </c>
      <c r="S1342" s="4">
        <f t="shared" si="20"/>
        <v>2052.39</v>
      </c>
    </row>
    <row r="1343" spans="1:19">
      <c r="A1343" t="s">
        <v>2126</v>
      </c>
      <c r="B1343" s="3">
        <v>45837</v>
      </c>
      <c r="C1343" t="s">
        <v>115</v>
      </c>
      <c r="D1343" t="s">
        <v>317</v>
      </c>
      <c r="E1343" t="s">
        <v>66</v>
      </c>
      <c r="F1343">
        <v>4</v>
      </c>
      <c r="G1343" t="s">
        <v>33</v>
      </c>
      <c r="H1343">
        <v>51</v>
      </c>
      <c r="I1343" s="12" t="s">
        <v>24</v>
      </c>
      <c r="J1343" s="12" t="s">
        <v>118</v>
      </c>
      <c r="K1343" s="12" t="s">
        <v>60</v>
      </c>
      <c r="L1343" s="12" t="s">
        <v>318</v>
      </c>
      <c r="M1343" s="12" t="s">
        <v>37</v>
      </c>
      <c r="N1343" s="14">
        <v>7.0000000000000007E-2</v>
      </c>
      <c r="O1343" s="23">
        <v>763.34</v>
      </c>
      <c r="P1343">
        <v>377.52</v>
      </c>
      <c r="Q1343" s="12" t="str" cm="1">
        <f t="array" ref="Q1343:R1343">VLOOKUP(E1343,store[],{3,5},FALSE)</f>
        <v>South</v>
      </c>
      <c r="R1343" t="str">
        <v>Online</v>
      </c>
      <c r="S1343" s="4">
        <f t="shared" si="20"/>
        <v>3053.08</v>
      </c>
    </row>
    <row r="1344" spans="1:19">
      <c r="A1344" t="s">
        <v>2127</v>
      </c>
      <c r="B1344" s="3">
        <v>45738</v>
      </c>
      <c r="C1344" t="s">
        <v>1895</v>
      </c>
      <c r="D1344" t="s">
        <v>409</v>
      </c>
      <c r="E1344" t="s">
        <v>22</v>
      </c>
      <c r="F1344">
        <v>3</v>
      </c>
      <c r="G1344" t="s">
        <v>23</v>
      </c>
      <c r="H1344">
        <v>64</v>
      </c>
      <c r="I1344" s="12" t="s">
        <v>24</v>
      </c>
      <c r="J1344" s="12" t="s">
        <v>260</v>
      </c>
      <c r="K1344" s="12" t="s">
        <v>52</v>
      </c>
      <c r="L1344" s="12" t="s">
        <v>411</v>
      </c>
      <c r="M1344" s="12" t="s">
        <v>28</v>
      </c>
      <c r="N1344" s="14">
        <v>0.26</v>
      </c>
      <c r="O1344" s="23">
        <v>721.94</v>
      </c>
      <c r="P1344">
        <v>190.29</v>
      </c>
      <c r="Q1344" s="12" t="str" cm="1">
        <f t="array" ref="Q1344:R1344">VLOOKUP(E1344,store[],{3,5},FALSE)</f>
        <v>North</v>
      </c>
      <c r="R1344" t="str">
        <v>Outlet</v>
      </c>
      <c r="S1344" s="4">
        <f t="shared" si="20"/>
        <v>2165.04</v>
      </c>
    </row>
    <row r="1345" spans="1:19">
      <c r="A1345" t="s">
        <v>2128</v>
      </c>
      <c r="B1345" s="3">
        <v>45323</v>
      </c>
      <c r="C1345" t="s">
        <v>398</v>
      </c>
      <c r="D1345" t="s">
        <v>21</v>
      </c>
      <c r="E1345" t="s">
        <v>105</v>
      </c>
      <c r="F1345">
        <v>3</v>
      </c>
      <c r="G1345" t="s">
        <v>50</v>
      </c>
      <c r="H1345">
        <v>23</v>
      </c>
      <c r="I1345" s="12" t="s">
        <v>34</v>
      </c>
      <c r="J1345" s="12" t="s">
        <v>199</v>
      </c>
      <c r="K1345" s="12" t="s">
        <v>26</v>
      </c>
      <c r="L1345" s="12" t="s">
        <v>27</v>
      </c>
      <c r="M1345" s="12" t="s">
        <v>28</v>
      </c>
      <c r="N1345" s="14">
        <v>0</v>
      </c>
      <c r="O1345" s="23">
        <v>760.38</v>
      </c>
      <c r="P1345">
        <v>245.98</v>
      </c>
      <c r="Q1345" s="12" t="str" cm="1">
        <f t="array" ref="Q1345:R1345">VLOOKUP(E1345,store[],{3,5},FALSE)</f>
        <v>North</v>
      </c>
      <c r="R1345" t="str">
        <v>Flagship</v>
      </c>
      <c r="S1345" s="4">
        <f t="shared" si="20"/>
        <v>2281.14</v>
      </c>
    </row>
    <row r="1346" spans="1:19">
      <c r="A1346" t="s">
        <v>2129</v>
      </c>
      <c r="B1346" s="3">
        <v>45362</v>
      </c>
      <c r="C1346" t="s">
        <v>404</v>
      </c>
      <c r="D1346" t="s">
        <v>21</v>
      </c>
      <c r="E1346" t="s">
        <v>179</v>
      </c>
      <c r="F1346">
        <v>3</v>
      </c>
      <c r="G1346" t="s">
        <v>50</v>
      </c>
      <c r="H1346">
        <v>64</v>
      </c>
      <c r="I1346" s="12" t="s">
        <v>24</v>
      </c>
      <c r="J1346" s="12" t="s">
        <v>193</v>
      </c>
      <c r="K1346" s="12" t="s">
        <v>52</v>
      </c>
      <c r="L1346" s="12" t="s">
        <v>27</v>
      </c>
      <c r="M1346" s="12" t="s">
        <v>28</v>
      </c>
      <c r="N1346" s="14">
        <v>0.21</v>
      </c>
      <c r="O1346" s="23">
        <v>612.53</v>
      </c>
      <c r="P1346">
        <v>245.98</v>
      </c>
      <c r="Q1346" s="12" t="str" cm="1">
        <f t="array" ref="Q1346:R1346">VLOOKUP(E1346,store[],{3,5},FALSE)</f>
        <v>East</v>
      </c>
      <c r="R1346" t="str">
        <v>Online</v>
      </c>
      <c r="S1346" s="4">
        <f t="shared" ref="S1346:S1409" si="21">(O1346-N1346)*F1346</f>
        <v>1836.96</v>
      </c>
    </row>
    <row r="1347" spans="1:19">
      <c r="A1347" t="s">
        <v>2130</v>
      </c>
      <c r="B1347" s="3">
        <v>45544</v>
      </c>
      <c r="C1347" t="s">
        <v>442</v>
      </c>
      <c r="D1347" t="s">
        <v>625</v>
      </c>
      <c r="E1347" t="s">
        <v>117</v>
      </c>
      <c r="F1347">
        <v>3</v>
      </c>
      <c r="G1347" t="s">
        <v>33</v>
      </c>
      <c r="H1347">
        <v>21</v>
      </c>
      <c r="I1347" s="12" t="s">
        <v>24</v>
      </c>
      <c r="J1347" s="12" t="s">
        <v>444</v>
      </c>
      <c r="K1347" s="12" t="s">
        <v>52</v>
      </c>
      <c r="L1347" s="12" t="s">
        <v>626</v>
      </c>
      <c r="M1347" s="12" t="s">
        <v>46</v>
      </c>
      <c r="N1347" s="14">
        <v>0.28999999999999998</v>
      </c>
      <c r="O1347" s="23">
        <v>841.37</v>
      </c>
      <c r="P1347">
        <v>266.86</v>
      </c>
      <c r="Q1347" s="12" t="str" cm="1">
        <f t="array" ref="Q1347:R1347">VLOOKUP(E1347,store[],{3,5},FALSE)</f>
        <v>West</v>
      </c>
      <c r="R1347" t="str">
        <v>Flagship</v>
      </c>
      <c r="S1347" s="4">
        <f t="shared" si="21"/>
        <v>2523.2399999999998</v>
      </c>
    </row>
    <row r="1348" spans="1:19">
      <c r="A1348" t="s">
        <v>2131</v>
      </c>
      <c r="B1348" s="3">
        <v>45249</v>
      </c>
      <c r="C1348" t="s">
        <v>1165</v>
      </c>
      <c r="D1348" t="s">
        <v>505</v>
      </c>
      <c r="E1348" t="s">
        <v>127</v>
      </c>
      <c r="F1348">
        <v>2</v>
      </c>
      <c r="G1348" t="s">
        <v>23</v>
      </c>
      <c r="H1348">
        <v>27</v>
      </c>
      <c r="I1348" s="12" t="s">
        <v>34</v>
      </c>
      <c r="J1348" s="12" t="s">
        <v>609</v>
      </c>
      <c r="K1348" s="12" t="s">
        <v>60</v>
      </c>
      <c r="L1348" s="12" t="s">
        <v>506</v>
      </c>
      <c r="M1348" s="12" t="s">
        <v>37</v>
      </c>
      <c r="N1348" s="14">
        <v>0.25</v>
      </c>
      <c r="O1348" s="23">
        <v>636.51</v>
      </c>
      <c r="P1348">
        <v>177.98</v>
      </c>
      <c r="Q1348" s="12" t="str" cm="1">
        <f t="array" ref="Q1348:R1348">VLOOKUP(E1348,store[],{3,5},FALSE)</f>
        <v>South</v>
      </c>
      <c r="R1348" t="str">
        <v>Flagship</v>
      </c>
      <c r="S1348" s="4">
        <f t="shared" si="21"/>
        <v>1272.52</v>
      </c>
    </row>
    <row r="1349" spans="1:19">
      <c r="A1349" t="s">
        <v>2132</v>
      </c>
      <c r="B1349" s="3">
        <v>45659</v>
      </c>
      <c r="C1349" t="s">
        <v>637</v>
      </c>
      <c r="D1349" t="s">
        <v>344</v>
      </c>
      <c r="E1349" t="s">
        <v>43</v>
      </c>
      <c r="F1349">
        <v>2</v>
      </c>
      <c r="G1349" t="s">
        <v>50</v>
      </c>
      <c r="H1349">
        <v>29</v>
      </c>
      <c r="I1349" s="12" t="s">
        <v>34</v>
      </c>
      <c r="J1349" s="12" t="s">
        <v>251</v>
      </c>
      <c r="K1349" s="12" t="s">
        <v>60</v>
      </c>
      <c r="L1349" s="12" t="s">
        <v>347</v>
      </c>
      <c r="M1349" s="12" t="s">
        <v>28</v>
      </c>
      <c r="N1349" s="14">
        <v>0.22</v>
      </c>
      <c r="O1349" s="23">
        <v>732.37</v>
      </c>
      <c r="P1349">
        <v>318.91000000000003</v>
      </c>
      <c r="Q1349" s="12" t="str" cm="1">
        <f t="array" ref="Q1349:R1349">VLOOKUP(E1349,store[],{3,5},FALSE)</f>
        <v>West</v>
      </c>
      <c r="R1349" t="str">
        <v>Online</v>
      </c>
      <c r="S1349" s="4">
        <f t="shared" si="21"/>
        <v>1464.3</v>
      </c>
    </row>
    <row r="1350" spans="1:19">
      <c r="A1350" t="s">
        <v>2133</v>
      </c>
      <c r="B1350" s="3">
        <v>45927</v>
      </c>
      <c r="C1350" t="s">
        <v>504</v>
      </c>
      <c r="D1350" t="s">
        <v>420</v>
      </c>
      <c r="E1350" t="s">
        <v>117</v>
      </c>
      <c r="F1350">
        <v>3</v>
      </c>
      <c r="G1350" t="s">
        <v>50</v>
      </c>
      <c r="H1350">
        <v>39</v>
      </c>
      <c r="I1350" s="12" t="s">
        <v>34</v>
      </c>
      <c r="J1350" s="12" t="s">
        <v>360</v>
      </c>
      <c r="K1350" s="12" t="s">
        <v>60</v>
      </c>
      <c r="L1350" s="12" t="s">
        <v>421</v>
      </c>
      <c r="M1350" s="12" t="s">
        <v>28</v>
      </c>
      <c r="N1350" s="14">
        <v>0.28000000000000003</v>
      </c>
      <c r="O1350" s="23">
        <v>183.44</v>
      </c>
      <c r="P1350">
        <v>434.84</v>
      </c>
      <c r="Q1350" s="12" t="str" cm="1">
        <f t="array" ref="Q1350:R1350">VLOOKUP(E1350,store[],{3,5},FALSE)</f>
        <v>West</v>
      </c>
      <c r="R1350" t="str">
        <v>Flagship</v>
      </c>
      <c r="S1350" s="4">
        <f t="shared" si="21"/>
        <v>549.48</v>
      </c>
    </row>
    <row r="1351" spans="1:19">
      <c r="A1351" t="s">
        <v>2134</v>
      </c>
      <c r="B1351" s="3">
        <v>45373</v>
      </c>
      <c r="C1351" t="s">
        <v>96</v>
      </c>
      <c r="D1351" t="s">
        <v>555</v>
      </c>
      <c r="E1351" t="s">
        <v>149</v>
      </c>
      <c r="F1351">
        <v>4</v>
      </c>
      <c r="G1351" t="s">
        <v>33</v>
      </c>
      <c r="H1351">
        <v>21</v>
      </c>
      <c r="I1351" s="12" t="s">
        <v>34</v>
      </c>
      <c r="J1351" s="12" t="s">
        <v>99</v>
      </c>
      <c r="K1351" s="12" t="s">
        <v>60</v>
      </c>
      <c r="L1351" s="12" t="s">
        <v>556</v>
      </c>
      <c r="M1351" s="12" t="s">
        <v>37</v>
      </c>
      <c r="N1351" s="14">
        <v>0.16</v>
      </c>
      <c r="O1351" s="23">
        <v>898.58</v>
      </c>
      <c r="P1351">
        <v>449.4</v>
      </c>
      <c r="Q1351" s="12" t="str" cm="1">
        <f t="array" ref="Q1351:R1351">VLOOKUP(E1351,store[],{3,5},FALSE)</f>
        <v>East</v>
      </c>
      <c r="R1351" t="str">
        <v>Flagship</v>
      </c>
      <c r="S1351" s="4">
        <f t="shared" si="21"/>
        <v>3593.68</v>
      </c>
    </row>
    <row r="1352" spans="1:19">
      <c r="A1352" t="s">
        <v>2135</v>
      </c>
      <c r="B1352" s="3">
        <v>45529</v>
      </c>
      <c r="C1352" t="s">
        <v>1322</v>
      </c>
      <c r="D1352" t="s">
        <v>250</v>
      </c>
      <c r="E1352" t="s">
        <v>198</v>
      </c>
      <c r="F1352">
        <v>3</v>
      </c>
      <c r="G1352" t="s">
        <v>23</v>
      </c>
      <c r="H1352">
        <v>56</v>
      </c>
      <c r="I1352" s="12" t="s">
        <v>24</v>
      </c>
      <c r="J1352" s="12" t="s">
        <v>140</v>
      </c>
      <c r="K1352" s="12" t="s">
        <v>60</v>
      </c>
      <c r="L1352" s="12" t="s">
        <v>252</v>
      </c>
      <c r="M1352" s="12" t="s">
        <v>130</v>
      </c>
      <c r="N1352" s="14">
        <v>0.25</v>
      </c>
      <c r="O1352" s="23">
        <v>152.41</v>
      </c>
      <c r="P1352">
        <v>248.82191780821901</v>
      </c>
      <c r="Q1352" s="12" t="str" cm="1">
        <f t="array" ref="Q1352:R1352">VLOOKUP(E1352,store[],{3,5},FALSE)</f>
        <v>South</v>
      </c>
      <c r="R1352" t="str">
        <v>Outlet</v>
      </c>
      <c r="S1352" s="4">
        <f t="shared" si="21"/>
        <v>456.48</v>
      </c>
    </row>
    <row r="1353" spans="1:19">
      <c r="A1353" t="s">
        <v>2136</v>
      </c>
      <c r="B1353" s="3">
        <v>45872</v>
      </c>
      <c r="C1353" t="s">
        <v>1118</v>
      </c>
      <c r="D1353" t="s">
        <v>603</v>
      </c>
      <c r="E1353" t="s">
        <v>98</v>
      </c>
      <c r="F1353">
        <v>3</v>
      </c>
      <c r="G1353" t="s">
        <v>50</v>
      </c>
      <c r="H1353">
        <v>50</v>
      </c>
      <c r="I1353" s="12" t="s">
        <v>24</v>
      </c>
      <c r="J1353" s="12" t="s">
        <v>106</v>
      </c>
      <c r="K1353" s="12" t="s">
        <v>52</v>
      </c>
      <c r="L1353" s="12" t="s">
        <v>604</v>
      </c>
      <c r="M1353" s="12" t="s">
        <v>75</v>
      </c>
      <c r="N1353" s="14">
        <v>0.28000000000000003</v>
      </c>
      <c r="O1353" s="23">
        <v>972.58</v>
      </c>
      <c r="P1353">
        <v>447.43</v>
      </c>
      <c r="Q1353" s="12" t="str" cm="1">
        <f t="array" ref="Q1353:R1353">VLOOKUP(E1353,store[],{3,5},FALSE)</f>
        <v>South</v>
      </c>
      <c r="R1353" t="str">
        <v>Outlet</v>
      </c>
      <c r="S1353" s="4">
        <f t="shared" si="21"/>
        <v>2916.9</v>
      </c>
    </row>
    <row r="1354" spans="1:19">
      <c r="A1354" t="s">
        <v>2137</v>
      </c>
      <c r="B1354" s="3">
        <v>45267</v>
      </c>
      <c r="C1354" t="s">
        <v>819</v>
      </c>
      <c r="D1354" t="s">
        <v>167</v>
      </c>
      <c r="E1354" t="s">
        <v>272</v>
      </c>
      <c r="F1354">
        <v>4</v>
      </c>
      <c r="G1354" t="s">
        <v>50</v>
      </c>
      <c r="H1354">
        <v>18</v>
      </c>
      <c r="I1354" s="12" t="s">
        <v>24</v>
      </c>
      <c r="J1354" s="12" t="s">
        <v>510</v>
      </c>
      <c r="K1354" s="12" t="s">
        <v>60</v>
      </c>
      <c r="L1354" s="12" t="s">
        <v>170</v>
      </c>
      <c r="M1354" s="12" t="s">
        <v>130</v>
      </c>
      <c r="N1354" s="14">
        <v>0.04</v>
      </c>
      <c r="O1354" s="23">
        <v>136.4</v>
      </c>
      <c r="P1354">
        <v>218.22</v>
      </c>
      <c r="Q1354" s="12" t="str" cm="1">
        <f t="array" ref="Q1354:R1354">VLOOKUP(E1354,store[],{3,5},FALSE)</f>
        <v>South</v>
      </c>
      <c r="R1354" t="str">
        <v>Online</v>
      </c>
      <c r="S1354" s="4">
        <f t="shared" si="21"/>
        <v>545.44000000000005</v>
      </c>
    </row>
    <row r="1355" spans="1:19">
      <c r="A1355" t="s">
        <v>2138</v>
      </c>
      <c r="B1355" s="3">
        <v>45894</v>
      </c>
      <c r="C1355" t="s">
        <v>1982</v>
      </c>
      <c r="D1355" t="s">
        <v>242</v>
      </c>
      <c r="E1355" t="s">
        <v>122</v>
      </c>
      <c r="F1355">
        <v>1</v>
      </c>
      <c r="G1355" t="s">
        <v>50</v>
      </c>
      <c r="H1355">
        <v>57</v>
      </c>
      <c r="I1355" s="12" t="s">
        <v>34</v>
      </c>
      <c r="J1355" s="12" t="s">
        <v>169</v>
      </c>
      <c r="K1355" s="12" t="s">
        <v>52</v>
      </c>
      <c r="L1355" s="12" t="s">
        <v>243</v>
      </c>
      <c r="M1355" s="12" t="s">
        <v>46</v>
      </c>
      <c r="N1355" s="14">
        <v>0.27</v>
      </c>
      <c r="O1355" s="23">
        <v>509.63</v>
      </c>
      <c r="P1355">
        <v>358.47</v>
      </c>
      <c r="Q1355" s="12" t="str" cm="1">
        <f t="array" ref="Q1355:R1355">VLOOKUP(E1355,store[],{3,5},FALSE)</f>
        <v>North</v>
      </c>
      <c r="R1355" t="str">
        <v>Flagship</v>
      </c>
      <c r="S1355" s="4">
        <f t="shared" si="21"/>
        <v>509.36</v>
      </c>
    </row>
    <row r="1356" spans="1:19">
      <c r="A1356" t="s">
        <v>2139</v>
      </c>
      <c r="B1356" s="3">
        <v>45331</v>
      </c>
      <c r="C1356" t="s">
        <v>2059</v>
      </c>
      <c r="D1356" t="s">
        <v>21</v>
      </c>
      <c r="E1356" t="s">
        <v>22</v>
      </c>
      <c r="F1356">
        <v>4</v>
      </c>
      <c r="G1356" t="s">
        <v>50</v>
      </c>
      <c r="H1356">
        <v>59</v>
      </c>
      <c r="I1356" s="12" t="s">
        <v>34</v>
      </c>
      <c r="J1356" s="12" t="s">
        <v>308</v>
      </c>
      <c r="K1356" s="12" t="s">
        <v>73</v>
      </c>
      <c r="L1356" s="12" t="s">
        <v>27</v>
      </c>
      <c r="M1356" s="12" t="s">
        <v>28</v>
      </c>
      <c r="N1356" s="14">
        <v>0.09</v>
      </c>
      <c r="O1356" s="23">
        <v>360.28</v>
      </c>
      <c r="P1356">
        <v>245.98</v>
      </c>
      <c r="Q1356" s="12" t="str" cm="1">
        <f t="array" ref="Q1356:R1356">VLOOKUP(E1356,store[],{3,5},FALSE)</f>
        <v>North</v>
      </c>
      <c r="R1356" t="str">
        <v>Outlet</v>
      </c>
      <c r="S1356" s="4">
        <f t="shared" si="21"/>
        <v>1440.76</v>
      </c>
    </row>
    <row r="1357" spans="1:19">
      <c r="A1357" t="s">
        <v>2140</v>
      </c>
      <c r="B1357" s="3">
        <v>45910</v>
      </c>
      <c r="C1357" t="s">
        <v>300</v>
      </c>
      <c r="D1357" t="s">
        <v>287</v>
      </c>
      <c r="E1357" t="s">
        <v>122</v>
      </c>
      <c r="F1357">
        <v>3</v>
      </c>
      <c r="G1357" t="s">
        <v>33</v>
      </c>
      <c r="H1357">
        <v>61</v>
      </c>
      <c r="I1357" s="12" t="s">
        <v>34</v>
      </c>
      <c r="J1357" s="12" t="s">
        <v>222</v>
      </c>
      <c r="K1357" s="12" t="s">
        <v>73</v>
      </c>
      <c r="L1357" s="12" t="s">
        <v>288</v>
      </c>
      <c r="M1357" s="12" t="s">
        <v>46</v>
      </c>
      <c r="N1357" s="14">
        <v>0.06</v>
      </c>
      <c r="O1357" s="23">
        <v>882.05</v>
      </c>
      <c r="P1357">
        <v>183.04</v>
      </c>
      <c r="Q1357" s="12" t="str" cm="1">
        <f t="array" ref="Q1357:R1357">VLOOKUP(E1357,store[],{3,5},FALSE)</f>
        <v>North</v>
      </c>
      <c r="R1357" t="str">
        <v>Flagship</v>
      </c>
      <c r="S1357" s="4">
        <f t="shared" si="21"/>
        <v>2645.97</v>
      </c>
    </row>
    <row r="1358" spans="1:19">
      <c r="A1358" t="s">
        <v>2141</v>
      </c>
      <c r="B1358" s="3">
        <v>45564</v>
      </c>
      <c r="C1358" t="s">
        <v>1618</v>
      </c>
      <c r="D1358" t="s">
        <v>221</v>
      </c>
      <c r="E1358" t="s">
        <v>43</v>
      </c>
      <c r="F1358">
        <v>3</v>
      </c>
      <c r="G1358" t="s">
        <v>33</v>
      </c>
      <c r="H1358">
        <v>60</v>
      </c>
      <c r="I1358" s="12" t="s">
        <v>24</v>
      </c>
      <c r="J1358" s="12" t="s">
        <v>251</v>
      </c>
      <c r="K1358" s="12" t="s">
        <v>60</v>
      </c>
      <c r="L1358" s="12" t="s">
        <v>223</v>
      </c>
      <c r="M1358" s="12" t="s">
        <v>75</v>
      </c>
      <c r="N1358" s="14">
        <v>0.12</v>
      </c>
      <c r="O1358" s="23">
        <v>141.54</v>
      </c>
      <c r="P1358">
        <v>228.53</v>
      </c>
      <c r="Q1358" s="12" t="str" cm="1">
        <f t="array" ref="Q1358:R1358">VLOOKUP(E1358,store[],{3,5},FALSE)</f>
        <v>West</v>
      </c>
      <c r="R1358" t="str">
        <v>Online</v>
      </c>
      <c r="S1358" s="4">
        <f t="shared" si="21"/>
        <v>424.26</v>
      </c>
    </row>
    <row r="1359" spans="1:19">
      <c r="A1359" t="s">
        <v>2142</v>
      </c>
      <c r="B1359" s="3">
        <v>45461</v>
      </c>
      <c r="C1359" t="s">
        <v>1009</v>
      </c>
      <c r="D1359" t="s">
        <v>65</v>
      </c>
      <c r="E1359" t="s">
        <v>72</v>
      </c>
      <c r="F1359">
        <v>3</v>
      </c>
      <c r="G1359" t="s">
        <v>50</v>
      </c>
      <c r="H1359">
        <v>45</v>
      </c>
      <c r="I1359" s="12" t="s">
        <v>24</v>
      </c>
      <c r="J1359" s="12" t="s">
        <v>35</v>
      </c>
      <c r="K1359" s="12" t="s">
        <v>26</v>
      </c>
      <c r="L1359" s="12" t="s">
        <v>68</v>
      </c>
      <c r="M1359" s="12" t="s">
        <v>37</v>
      </c>
      <c r="N1359" s="14">
        <v>0.23</v>
      </c>
      <c r="O1359" s="23">
        <v>83.5</v>
      </c>
      <c r="P1359">
        <v>465.34</v>
      </c>
      <c r="Q1359" s="12" t="str" cm="1">
        <f t="array" ref="Q1359:R1359">VLOOKUP(E1359,store[],{3,5},FALSE)</f>
        <v>South</v>
      </c>
      <c r="R1359" t="str">
        <v>Online</v>
      </c>
      <c r="S1359" s="4">
        <f t="shared" si="21"/>
        <v>249.81</v>
      </c>
    </row>
    <row r="1360" spans="1:19">
      <c r="A1360" t="s">
        <v>2143</v>
      </c>
      <c r="B1360" s="3">
        <v>45258</v>
      </c>
      <c r="C1360" t="s">
        <v>1201</v>
      </c>
      <c r="D1360" t="s">
        <v>480</v>
      </c>
      <c r="E1360" t="s">
        <v>179</v>
      </c>
      <c r="F1360">
        <v>2</v>
      </c>
      <c r="G1360" t="s">
        <v>33</v>
      </c>
      <c r="H1360">
        <v>40</v>
      </c>
      <c r="I1360" s="12" t="s">
        <v>24</v>
      </c>
      <c r="J1360" s="12" t="s">
        <v>106</v>
      </c>
      <c r="K1360" s="12" t="s">
        <v>60</v>
      </c>
      <c r="L1360" s="12" t="s">
        <v>481</v>
      </c>
      <c r="M1360" s="12" t="s">
        <v>75</v>
      </c>
      <c r="N1360" s="14">
        <v>7.0000000000000007E-2</v>
      </c>
      <c r="O1360" s="23">
        <v>629.73</v>
      </c>
      <c r="P1360">
        <v>48.01</v>
      </c>
      <c r="Q1360" s="12" t="str" cm="1">
        <f t="array" ref="Q1360:R1360">VLOOKUP(E1360,store[],{3,5},FALSE)</f>
        <v>East</v>
      </c>
      <c r="R1360" t="str">
        <v>Online</v>
      </c>
      <c r="S1360" s="4">
        <f t="shared" si="21"/>
        <v>1259.32</v>
      </c>
    </row>
    <row r="1361" spans="1:19">
      <c r="A1361" t="s">
        <v>2144</v>
      </c>
      <c r="B1361" s="3">
        <v>45228</v>
      </c>
      <c r="C1361" t="s">
        <v>677</v>
      </c>
      <c r="D1361" t="s">
        <v>89</v>
      </c>
      <c r="E1361" t="s">
        <v>179</v>
      </c>
      <c r="F1361">
        <v>2</v>
      </c>
      <c r="G1361" t="s">
        <v>50</v>
      </c>
      <c r="H1361">
        <v>55</v>
      </c>
      <c r="I1361" s="12" t="s">
        <v>34</v>
      </c>
      <c r="J1361" s="12" t="s">
        <v>333</v>
      </c>
      <c r="K1361" s="12" t="s">
        <v>52</v>
      </c>
      <c r="L1361" s="12" t="s">
        <v>92</v>
      </c>
      <c r="M1361" s="12" t="s">
        <v>75</v>
      </c>
      <c r="N1361" s="14">
        <v>0.2</v>
      </c>
      <c r="O1361" s="23">
        <v>159.93</v>
      </c>
      <c r="P1361">
        <v>179.77</v>
      </c>
      <c r="Q1361" s="12" t="str" cm="1">
        <f t="array" ref="Q1361:R1361">VLOOKUP(E1361,store[],{3,5},FALSE)</f>
        <v>East</v>
      </c>
      <c r="R1361" t="str">
        <v>Online</v>
      </c>
      <c r="S1361" s="4">
        <f t="shared" si="21"/>
        <v>319.45999999999998</v>
      </c>
    </row>
    <row r="1362" spans="1:19">
      <c r="A1362" t="s">
        <v>2145</v>
      </c>
      <c r="B1362" s="3">
        <v>45858</v>
      </c>
      <c r="C1362" t="s">
        <v>677</v>
      </c>
      <c r="D1362" t="s">
        <v>344</v>
      </c>
      <c r="E1362" t="s">
        <v>160</v>
      </c>
      <c r="F1362">
        <v>1</v>
      </c>
      <c r="G1362" t="s">
        <v>50</v>
      </c>
      <c r="H1362">
        <v>55</v>
      </c>
      <c r="I1362" s="12" t="s">
        <v>34</v>
      </c>
      <c r="J1362" s="12" t="s">
        <v>333</v>
      </c>
      <c r="K1362" s="12" t="s">
        <v>52</v>
      </c>
      <c r="L1362" s="12" t="s">
        <v>347</v>
      </c>
      <c r="M1362" s="12" t="s">
        <v>28</v>
      </c>
      <c r="N1362" s="14">
        <v>0.18</v>
      </c>
      <c r="O1362" s="23">
        <v>459.89</v>
      </c>
      <c r="P1362">
        <v>318.91000000000003</v>
      </c>
      <c r="Q1362" s="12" t="str" cm="1">
        <f t="array" ref="Q1362:R1362">VLOOKUP(E1362,store[],{3,5},FALSE)</f>
        <v>East</v>
      </c>
      <c r="R1362" t="str">
        <v>Flagship</v>
      </c>
      <c r="S1362" s="4">
        <f t="shared" si="21"/>
        <v>459.71</v>
      </c>
    </row>
    <row r="1363" spans="1:19">
      <c r="A1363" t="s">
        <v>2146</v>
      </c>
      <c r="B1363" s="3">
        <v>45532</v>
      </c>
      <c r="C1363" t="s">
        <v>1220</v>
      </c>
      <c r="D1363" t="s">
        <v>89</v>
      </c>
      <c r="E1363" t="s">
        <v>135</v>
      </c>
      <c r="F1363">
        <v>4</v>
      </c>
      <c r="G1363" t="s">
        <v>23</v>
      </c>
      <c r="H1363">
        <v>42</v>
      </c>
      <c r="I1363" s="12" t="s">
        <v>24</v>
      </c>
      <c r="J1363" s="12" t="s">
        <v>222</v>
      </c>
      <c r="K1363" s="12" t="s">
        <v>60</v>
      </c>
      <c r="L1363" s="12" t="s">
        <v>92</v>
      </c>
      <c r="M1363" s="12" t="s">
        <v>75</v>
      </c>
      <c r="N1363" s="14">
        <v>0.27</v>
      </c>
      <c r="O1363" s="23">
        <v>885.57</v>
      </c>
      <c r="P1363">
        <v>179.77</v>
      </c>
      <c r="Q1363" s="12" t="str" cm="1">
        <f t="array" ref="Q1363:R1363">VLOOKUP(E1363,store[],{3,5},FALSE)</f>
        <v>East</v>
      </c>
      <c r="R1363" t="str">
        <v>Online</v>
      </c>
      <c r="S1363" s="4">
        <f t="shared" si="21"/>
        <v>3541.2</v>
      </c>
    </row>
    <row r="1364" spans="1:19">
      <c r="A1364" t="s">
        <v>2147</v>
      </c>
      <c r="B1364" s="3">
        <v>45454</v>
      </c>
      <c r="C1364" t="s">
        <v>1336</v>
      </c>
      <c r="D1364" t="s">
        <v>420</v>
      </c>
      <c r="E1364" t="s">
        <v>122</v>
      </c>
      <c r="F1364">
        <v>3</v>
      </c>
      <c r="G1364" t="s">
        <v>33</v>
      </c>
      <c r="H1364">
        <v>31</v>
      </c>
      <c r="I1364" s="12" t="s">
        <v>24</v>
      </c>
      <c r="J1364" s="12" t="s">
        <v>231</v>
      </c>
      <c r="K1364" s="12" t="s">
        <v>73</v>
      </c>
      <c r="L1364" s="12" t="s">
        <v>421</v>
      </c>
      <c r="M1364" s="12" t="s">
        <v>28</v>
      </c>
      <c r="N1364" s="14">
        <v>0</v>
      </c>
      <c r="O1364" s="23">
        <v>789.05</v>
      </c>
      <c r="P1364">
        <v>434.84</v>
      </c>
      <c r="Q1364" s="12" t="str" cm="1">
        <f t="array" ref="Q1364:R1364">VLOOKUP(E1364,store[],{3,5},FALSE)</f>
        <v>North</v>
      </c>
      <c r="R1364" t="str">
        <v>Flagship</v>
      </c>
      <c r="S1364" s="4">
        <f t="shared" si="21"/>
        <v>2367.15</v>
      </c>
    </row>
    <row r="1365" spans="1:19">
      <c r="A1365" t="s">
        <v>2148</v>
      </c>
      <c r="B1365" s="3">
        <v>45244</v>
      </c>
      <c r="C1365" t="s">
        <v>1706</v>
      </c>
      <c r="D1365" t="s">
        <v>532</v>
      </c>
      <c r="E1365" t="s">
        <v>90</v>
      </c>
      <c r="F1365">
        <v>1</v>
      </c>
      <c r="G1365" t="s">
        <v>33</v>
      </c>
      <c r="H1365">
        <v>35</v>
      </c>
      <c r="I1365" s="12" t="s">
        <v>34</v>
      </c>
      <c r="J1365" s="12" t="s">
        <v>35</v>
      </c>
      <c r="K1365" s="12" t="s">
        <v>26</v>
      </c>
      <c r="L1365" s="12" t="s">
        <v>533</v>
      </c>
      <c r="M1365" s="12" t="s">
        <v>46</v>
      </c>
      <c r="N1365" s="14">
        <v>0</v>
      </c>
      <c r="O1365" s="23">
        <v>570.52</v>
      </c>
      <c r="P1365">
        <v>340.39</v>
      </c>
      <c r="Q1365" s="12" t="str" cm="1">
        <f t="array" ref="Q1365:R1365">VLOOKUP(E1365,store[],{3,5},FALSE)</f>
        <v>East</v>
      </c>
      <c r="R1365" t="str">
        <v>Flagship</v>
      </c>
      <c r="S1365" s="4">
        <f t="shared" si="21"/>
        <v>570.52</v>
      </c>
    </row>
    <row r="1366" spans="1:19">
      <c r="A1366" t="s">
        <v>2149</v>
      </c>
      <c r="B1366" s="3">
        <v>45322</v>
      </c>
      <c r="C1366" t="s">
        <v>1913</v>
      </c>
      <c r="D1366" t="s">
        <v>139</v>
      </c>
      <c r="E1366" t="s">
        <v>117</v>
      </c>
      <c r="F1366">
        <v>4</v>
      </c>
      <c r="G1366" t="s">
        <v>50</v>
      </c>
      <c r="H1366">
        <v>43</v>
      </c>
      <c r="I1366" s="12" t="s">
        <v>34</v>
      </c>
      <c r="J1366" s="12" t="s">
        <v>410</v>
      </c>
      <c r="K1366" s="12" t="s">
        <v>60</v>
      </c>
      <c r="L1366" s="12" t="s">
        <v>141</v>
      </c>
      <c r="M1366" s="12" t="s">
        <v>75</v>
      </c>
      <c r="N1366" s="14">
        <v>0.22</v>
      </c>
      <c r="O1366" s="23">
        <v>310.79000000000002</v>
      </c>
      <c r="P1366">
        <v>250.02157142857101</v>
      </c>
      <c r="Q1366" s="12" t="str" cm="1">
        <f t="array" ref="Q1366:R1366">VLOOKUP(E1366,store[],{3,5},FALSE)</f>
        <v>West</v>
      </c>
      <c r="R1366" t="str">
        <v>Flagship</v>
      </c>
      <c r="S1366" s="4">
        <f t="shared" si="21"/>
        <v>1242.28</v>
      </c>
    </row>
    <row r="1367" spans="1:19">
      <c r="A1367" t="s">
        <v>2150</v>
      </c>
      <c r="B1367" s="3">
        <v>45757</v>
      </c>
      <c r="C1367" t="s">
        <v>1208</v>
      </c>
      <c r="D1367" t="s">
        <v>741</v>
      </c>
      <c r="E1367" t="s">
        <v>32</v>
      </c>
      <c r="F1367">
        <v>4</v>
      </c>
      <c r="G1367" t="s">
        <v>23</v>
      </c>
      <c r="H1367">
        <v>43</v>
      </c>
      <c r="I1367" s="12" t="s">
        <v>34</v>
      </c>
      <c r="J1367" s="12" t="s">
        <v>67</v>
      </c>
      <c r="K1367" s="12" t="s">
        <v>52</v>
      </c>
      <c r="L1367" s="12" t="s">
        <v>742</v>
      </c>
      <c r="M1367" s="12" t="s">
        <v>75</v>
      </c>
      <c r="N1367" s="14">
        <v>0.17</v>
      </c>
      <c r="O1367" s="23">
        <v>255.67</v>
      </c>
      <c r="P1367">
        <v>243.7</v>
      </c>
      <c r="Q1367" s="12" t="str" cm="1">
        <f t="array" ref="Q1367:R1367">VLOOKUP(E1367,store[],{3,5},FALSE)</f>
        <v>North</v>
      </c>
      <c r="R1367" t="str">
        <v>Flagship</v>
      </c>
      <c r="S1367" s="4">
        <f t="shared" si="21"/>
        <v>1022</v>
      </c>
    </row>
    <row r="1368" spans="1:19">
      <c r="A1368" t="s">
        <v>2151</v>
      </c>
      <c r="B1368" s="3">
        <v>45397</v>
      </c>
      <c r="C1368" t="s">
        <v>1079</v>
      </c>
      <c r="D1368" t="s">
        <v>139</v>
      </c>
      <c r="E1368" t="s">
        <v>117</v>
      </c>
      <c r="F1368">
        <v>2</v>
      </c>
      <c r="G1368" t="s">
        <v>50</v>
      </c>
      <c r="H1368">
        <v>43</v>
      </c>
      <c r="I1368" s="12" t="s">
        <v>34</v>
      </c>
      <c r="J1368" s="12" t="s">
        <v>345</v>
      </c>
      <c r="K1368" s="12" t="s">
        <v>60</v>
      </c>
      <c r="L1368" s="12" t="s">
        <v>141</v>
      </c>
      <c r="M1368" s="12" t="s">
        <v>75</v>
      </c>
      <c r="N1368" s="14">
        <v>0.1</v>
      </c>
      <c r="O1368" s="23">
        <v>270.66000000000003</v>
      </c>
      <c r="P1368">
        <v>250.02157142857101</v>
      </c>
      <c r="Q1368" s="12" t="str" cm="1">
        <f t="array" ref="Q1368:R1368">VLOOKUP(E1368,store[],{3,5},FALSE)</f>
        <v>West</v>
      </c>
      <c r="R1368" t="str">
        <v>Flagship</v>
      </c>
      <c r="S1368" s="4">
        <f t="shared" si="21"/>
        <v>541.12</v>
      </c>
    </row>
    <row r="1369" spans="1:19">
      <c r="A1369" t="s">
        <v>2152</v>
      </c>
      <c r="B1369" s="3">
        <v>45914</v>
      </c>
      <c r="C1369" t="s">
        <v>2153</v>
      </c>
      <c r="D1369" t="s">
        <v>250</v>
      </c>
      <c r="E1369" t="s">
        <v>32</v>
      </c>
      <c r="F1369">
        <v>3</v>
      </c>
      <c r="G1369" t="s">
        <v>50</v>
      </c>
      <c r="H1369">
        <v>48</v>
      </c>
      <c r="I1369" s="12" t="s">
        <v>34</v>
      </c>
      <c r="J1369" s="12" t="s">
        <v>378</v>
      </c>
      <c r="K1369" s="12" t="s">
        <v>52</v>
      </c>
      <c r="L1369" s="12" t="s">
        <v>252</v>
      </c>
      <c r="M1369" s="12" t="s">
        <v>130</v>
      </c>
      <c r="N1369" s="14">
        <v>0.2</v>
      </c>
      <c r="O1369" s="23">
        <v>373.35</v>
      </c>
      <c r="P1369">
        <v>248.82191780821901</v>
      </c>
      <c r="Q1369" s="12" t="str" cm="1">
        <f t="array" ref="Q1369:R1369">VLOOKUP(E1369,store[],{3,5},FALSE)</f>
        <v>North</v>
      </c>
      <c r="R1369" t="str">
        <v>Flagship</v>
      </c>
      <c r="S1369" s="4">
        <f t="shared" si="21"/>
        <v>1119.45</v>
      </c>
    </row>
    <row r="1370" spans="1:19">
      <c r="A1370" t="s">
        <v>2154</v>
      </c>
      <c r="B1370" s="3">
        <v>45432</v>
      </c>
      <c r="C1370" t="s">
        <v>1303</v>
      </c>
      <c r="D1370" t="s">
        <v>57</v>
      </c>
      <c r="E1370" t="s">
        <v>272</v>
      </c>
      <c r="F1370">
        <v>2</v>
      </c>
      <c r="G1370" t="s">
        <v>33</v>
      </c>
      <c r="H1370">
        <v>20</v>
      </c>
      <c r="I1370" s="12" t="s">
        <v>34</v>
      </c>
      <c r="J1370" s="12" t="s">
        <v>360</v>
      </c>
      <c r="K1370" s="12" t="s">
        <v>26</v>
      </c>
      <c r="L1370" s="12" t="s">
        <v>61</v>
      </c>
      <c r="M1370" s="12" t="s">
        <v>46</v>
      </c>
      <c r="N1370" s="14">
        <v>0.02</v>
      </c>
      <c r="O1370" s="23">
        <v>23.58</v>
      </c>
      <c r="P1370">
        <v>17.309999999999999</v>
      </c>
      <c r="Q1370" s="12" t="str" cm="1">
        <f t="array" ref="Q1370:R1370">VLOOKUP(E1370,store[],{3,5},FALSE)</f>
        <v>South</v>
      </c>
      <c r="R1370" t="str">
        <v>Online</v>
      </c>
      <c r="S1370" s="4">
        <f t="shared" si="21"/>
        <v>47.12</v>
      </c>
    </row>
    <row r="1371" spans="1:19">
      <c r="A1371" t="s">
        <v>2155</v>
      </c>
      <c r="B1371" s="3">
        <v>45798</v>
      </c>
      <c r="C1371" t="s">
        <v>1483</v>
      </c>
      <c r="D1371" t="s">
        <v>487</v>
      </c>
      <c r="E1371" t="s">
        <v>66</v>
      </c>
      <c r="F1371">
        <v>4</v>
      </c>
      <c r="G1371" t="s">
        <v>33</v>
      </c>
      <c r="H1371">
        <v>24</v>
      </c>
      <c r="I1371" s="12" t="s">
        <v>24</v>
      </c>
      <c r="J1371" s="12" t="s">
        <v>609</v>
      </c>
      <c r="K1371" s="12" t="s">
        <v>73</v>
      </c>
      <c r="L1371" s="12" t="s">
        <v>488</v>
      </c>
      <c r="M1371" s="12" t="s">
        <v>75</v>
      </c>
      <c r="N1371" s="14">
        <v>0.21</v>
      </c>
      <c r="O1371" s="23">
        <v>185.67</v>
      </c>
      <c r="P1371">
        <v>382.22</v>
      </c>
      <c r="Q1371" s="12" t="str" cm="1">
        <f t="array" ref="Q1371:R1371">VLOOKUP(E1371,store[],{3,5},FALSE)</f>
        <v>South</v>
      </c>
      <c r="R1371" t="str">
        <v>Online</v>
      </c>
      <c r="S1371" s="4">
        <f t="shared" si="21"/>
        <v>741.84</v>
      </c>
    </row>
    <row r="1372" spans="1:19">
      <c r="A1372" t="s">
        <v>2156</v>
      </c>
      <c r="B1372" s="3">
        <v>45396</v>
      </c>
      <c r="C1372" t="s">
        <v>959</v>
      </c>
      <c r="D1372" t="s">
        <v>928</v>
      </c>
      <c r="E1372" t="s">
        <v>149</v>
      </c>
      <c r="F1372">
        <v>3</v>
      </c>
      <c r="G1372" t="s">
        <v>33</v>
      </c>
      <c r="H1372">
        <v>44</v>
      </c>
      <c r="I1372" s="12" t="s">
        <v>34</v>
      </c>
      <c r="J1372" s="12" t="s">
        <v>44</v>
      </c>
      <c r="K1372" s="12" t="s">
        <v>52</v>
      </c>
      <c r="L1372" s="12" t="s">
        <v>929</v>
      </c>
      <c r="M1372" s="12" t="s">
        <v>130</v>
      </c>
      <c r="N1372" s="14">
        <v>0.27</v>
      </c>
      <c r="O1372" s="23">
        <v>928.74</v>
      </c>
      <c r="P1372">
        <v>245.77831168831199</v>
      </c>
      <c r="Q1372" s="12" t="str" cm="1">
        <f t="array" ref="Q1372:R1372">VLOOKUP(E1372,store[],{3,5},FALSE)</f>
        <v>East</v>
      </c>
      <c r="R1372" t="str">
        <v>Flagship</v>
      </c>
      <c r="S1372" s="4">
        <f t="shared" si="21"/>
        <v>2785.41</v>
      </c>
    </row>
    <row r="1373" spans="1:19">
      <c r="A1373" t="s">
        <v>2157</v>
      </c>
      <c r="B1373" s="3">
        <v>45235</v>
      </c>
      <c r="C1373" t="s">
        <v>434</v>
      </c>
      <c r="D1373" t="s">
        <v>814</v>
      </c>
      <c r="E1373" t="s">
        <v>58</v>
      </c>
      <c r="F1373">
        <v>3</v>
      </c>
      <c r="G1373" t="s">
        <v>50</v>
      </c>
      <c r="H1373">
        <v>54</v>
      </c>
      <c r="I1373" s="12" t="s">
        <v>34</v>
      </c>
      <c r="J1373" s="12" t="s">
        <v>227</v>
      </c>
      <c r="K1373" s="12" t="s">
        <v>60</v>
      </c>
      <c r="L1373" s="12" t="s">
        <v>815</v>
      </c>
      <c r="M1373" s="12" t="s">
        <v>75</v>
      </c>
      <c r="N1373" s="14">
        <v>7.0000000000000007E-2</v>
      </c>
      <c r="O1373" s="23">
        <v>923.38</v>
      </c>
      <c r="P1373">
        <v>388.46</v>
      </c>
      <c r="Q1373" s="12" t="str" cm="1">
        <f t="array" ref="Q1373:R1373">VLOOKUP(E1373,store[],{3,5},FALSE)</f>
        <v>North</v>
      </c>
      <c r="R1373" t="str">
        <v>Outlet</v>
      </c>
      <c r="S1373" s="4">
        <f t="shared" si="21"/>
        <v>2769.93</v>
      </c>
    </row>
    <row r="1374" spans="1:19">
      <c r="A1374" t="s">
        <v>2158</v>
      </c>
      <c r="B1374" s="3">
        <v>45499</v>
      </c>
      <c r="C1374" t="s">
        <v>617</v>
      </c>
      <c r="D1374" t="s">
        <v>634</v>
      </c>
      <c r="E1374" t="s">
        <v>127</v>
      </c>
      <c r="F1374">
        <v>2</v>
      </c>
      <c r="G1374" t="s">
        <v>33</v>
      </c>
      <c r="H1374">
        <v>34</v>
      </c>
      <c r="I1374" s="12" t="s">
        <v>34</v>
      </c>
      <c r="J1374" s="12" t="s">
        <v>356</v>
      </c>
      <c r="K1374" s="12" t="s">
        <v>60</v>
      </c>
      <c r="L1374" s="12" t="s">
        <v>635</v>
      </c>
      <c r="M1374" s="12" t="s">
        <v>130</v>
      </c>
      <c r="N1374" s="14">
        <v>0.1</v>
      </c>
      <c r="O1374" s="23">
        <v>409.26</v>
      </c>
      <c r="P1374">
        <v>306.45999999999998</v>
      </c>
      <c r="Q1374" s="12" t="str" cm="1">
        <f t="array" ref="Q1374:R1374">VLOOKUP(E1374,store[],{3,5},FALSE)</f>
        <v>South</v>
      </c>
      <c r="R1374" t="str">
        <v>Flagship</v>
      </c>
      <c r="S1374" s="4">
        <f t="shared" si="21"/>
        <v>818.32</v>
      </c>
    </row>
    <row r="1375" spans="1:19">
      <c r="A1375" t="s">
        <v>2159</v>
      </c>
      <c r="B1375" s="3">
        <v>45272</v>
      </c>
      <c r="C1375" t="s">
        <v>2160</v>
      </c>
      <c r="D1375" t="s">
        <v>250</v>
      </c>
      <c r="E1375" t="s">
        <v>66</v>
      </c>
      <c r="F1375">
        <v>2</v>
      </c>
      <c r="G1375" t="s">
        <v>23</v>
      </c>
      <c r="H1375">
        <v>34</v>
      </c>
      <c r="I1375" s="12" t="s">
        <v>24</v>
      </c>
      <c r="J1375" s="12" t="s">
        <v>444</v>
      </c>
      <c r="K1375" s="12" t="s">
        <v>60</v>
      </c>
      <c r="L1375" s="12" t="s">
        <v>252</v>
      </c>
      <c r="M1375" s="12" t="s">
        <v>130</v>
      </c>
      <c r="N1375" s="14">
        <v>0.16</v>
      </c>
      <c r="O1375" s="23">
        <v>608.46</v>
      </c>
      <c r="P1375">
        <v>248.82191780821901</v>
      </c>
      <c r="Q1375" s="12" t="str" cm="1">
        <f t="array" ref="Q1375:R1375">VLOOKUP(E1375,store[],{3,5},FALSE)</f>
        <v>South</v>
      </c>
      <c r="R1375" t="str">
        <v>Online</v>
      </c>
      <c r="S1375" s="4">
        <f t="shared" si="21"/>
        <v>1216.5999999999999</v>
      </c>
    </row>
    <row r="1376" spans="1:19">
      <c r="A1376" t="s">
        <v>2161</v>
      </c>
      <c r="B1376" s="3">
        <v>45785</v>
      </c>
      <c r="C1376" t="s">
        <v>1143</v>
      </c>
      <c r="D1376" t="s">
        <v>449</v>
      </c>
      <c r="E1376" t="s">
        <v>135</v>
      </c>
      <c r="F1376">
        <v>4</v>
      </c>
      <c r="G1376" t="s">
        <v>23</v>
      </c>
      <c r="H1376">
        <v>63</v>
      </c>
      <c r="I1376" s="12" t="s">
        <v>34</v>
      </c>
      <c r="J1376" s="12" t="s">
        <v>91</v>
      </c>
      <c r="K1376" s="12" t="s">
        <v>52</v>
      </c>
      <c r="L1376" s="12" t="s">
        <v>450</v>
      </c>
      <c r="M1376" s="12" t="s">
        <v>37</v>
      </c>
      <c r="N1376" s="14">
        <v>0.09</v>
      </c>
      <c r="O1376" s="23">
        <v>150.47999999999999</v>
      </c>
      <c r="P1376">
        <v>450.71</v>
      </c>
      <c r="Q1376" s="12" t="str" cm="1">
        <f t="array" ref="Q1376:R1376">VLOOKUP(E1376,store[],{3,5},FALSE)</f>
        <v>East</v>
      </c>
      <c r="R1376" t="str">
        <v>Online</v>
      </c>
      <c r="S1376" s="4">
        <f t="shared" si="21"/>
        <v>601.55999999999995</v>
      </c>
    </row>
    <row r="1377" spans="1:19">
      <c r="A1377" t="s">
        <v>2162</v>
      </c>
      <c r="B1377" s="3">
        <v>45534</v>
      </c>
      <c r="C1377" t="s">
        <v>1685</v>
      </c>
      <c r="D1377" t="s">
        <v>741</v>
      </c>
      <c r="E1377" t="s">
        <v>98</v>
      </c>
      <c r="F1377">
        <v>4</v>
      </c>
      <c r="G1377" t="s">
        <v>23</v>
      </c>
      <c r="H1377">
        <v>57</v>
      </c>
      <c r="I1377" s="12" t="s">
        <v>34</v>
      </c>
      <c r="J1377" s="12" t="s">
        <v>209</v>
      </c>
      <c r="K1377" s="12" t="s">
        <v>52</v>
      </c>
      <c r="L1377" s="12" t="s">
        <v>742</v>
      </c>
      <c r="M1377" s="12" t="s">
        <v>75</v>
      </c>
      <c r="N1377" s="14">
        <v>0.02</v>
      </c>
      <c r="O1377" s="23">
        <v>207.41</v>
      </c>
      <c r="P1377">
        <v>243.7</v>
      </c>
      <c r="Q1377" s="12" t="str" cm="1">
        <f t="array" ref="Q1377:R1377">VLOOKUP(E1377,store[],{3,5},FALSE)</f>
        <v>South</v>
      </c>
      <c r="R1377" t="str">
        <v>Outlet</v>
      </c>
      <c r="S1377" s="4">
        <f t="shared" si="21"/>
        <v>829.56</v>
      </c>
    </row>
    <row r="1378" spans="1:19">
      <c r="A1378" t="s">
        <v>2163</v>
      </c>
      <c r="B1378" s="3">
        <v>45803</v>
      </c>
      <c r="C1378" t="s">
        <v>1463</v>
      </c>
      <c r="D1378" t="s">
        <v>555</v>
      </c>
      <c r="E1378" t="s">
        <v>179</v>
      </c>
      <c r="F1378">
        <v>1</v>
      </c>
      <c r="G1378" t="s">
        <v>33</v>
      </c>
      <c r="H1378">
        <v>41</v>
      </c>
      <c r="I1378" s="12" t="s">
        <v>34</v>
      </c>
      <c r="J1378" s="12" t="s">
        <v>356</v>
      </c>
      <c r="K1378" s="12" t="s">
        <v>73</v>
      </c>
      <c r="L1378" s="12" t="s">
        <v>556</v>
      </c>
      <c r="M1378" s="12" t="s">
        <v>37</v>
      </c>
      <c r="N1378" s="14">
        <v>0.15</v>
      </c>
      <c r="O1378" s="23">
        <v>56.59</v>
      </c>
      <c r="P1378">
        <v>449.4</v>
      </c>
      <c r="Q1378" s="12" t="str" cm="1">
        <f t="array" ref="Q1378:R1378">VLOOKUP(E1378,store[],{3,5},FALSE)</f>
        <v>East</v>
      </c>
      <c r="R1378" t="str">
        <v>Online</v>
      </c>
      <c r="S1378" s="4">
        <f t="shared" si="21"/>
        <v>56.44</v>
      </c>
    </row>
    <row r="1379" spans="1:19">
      <c r="A1379" t="s">
        <v>2164</v>
      </c>
      <c r="B1379" s="3">
        <v>45667</v>
      </c>
      <c r="C1379" t="s">
        <v>558</v>
      </c>
      <c r="D1379" t="s">
        <v>104</v>
      </c>
      <c r="E1379" t="s">
        <v>72</v>
      </c>
      <c r="F1379">
        <v>4</v>
      </c>
      <c r="G1379" t="s">
        <v>23</v>
      </c>
      <c r="H1379">
        <v>18</v>
      </c>
      <c r="I1379" s="12" t="s">
        <v>34</v>
      </c>
      <c r="J1379" s="12" t="s">
        <v>378</v>
      </c>
      <c r="K1379" s="12" t="s">
        <v>26</v>
      </c>
      <c r="L1379" s="12" t="s">
        <v>107</v>
      </c>
      <c r="M1379" s="12" t="s">
        <v>37</v>
      </c>
      <c r="N1379" s="14">
        <v>0.27</v>
      </c>
      <c r="O1379" s="23">
        <v>995.4</v>
      </c>
      <c r="P1379">
        <v>326.06</v>
      </c>
      <c r="Q1379" s="12" t="str" cm="1">
        <f t="array" ref="Q1379:R1379">VLOOKUP(E1379,store[],{3,5},FALSE)</f>
        <v>South</v>
      </c>
      <c r="R1379" t="str">
        <v>Online</v>
      </c>
      <c r="S1379" s="4">
        <f t="shared" si="21"/>
        <v>3980.52</v>
      </c>
    </row>
    <row r="1380" spans="1:19">
      <c r="A1380" t="s">
        <v>2165</v>
      </c>
      <c r="B1380" s="3">
        <v>45656</v>
      </c>
      <c r="C1380" t="s">
        <v>2166</v>
      </c>
      <c r="D1380" t="s">
        <v>302</v>
      </c>
      <c r="E1380" t="s">
        <v>208</v>
      </c>
      <c r="F1380">
        <v>2</v>
      </c>
      <c r="G1380" t="s">
        <v>23</v>
      </c>
      <c r="H1380">
        <v>33</v>
      </c>
      <c r="I1380" s="12" t="s">
        <v>24</v>
      </c>
      <c r="J1380" s="12" t="s">
        <v>251</v>
      </c>
      <c r="K1380" s="12" t="s">
        <v>26</v>
      </c>
      <c r="L1380" s="12" t="s">
        <v>303</v>
      </c>
      <c r="M1380" s="12" t="s">
        <v>46</v>
      </c>
      <c r="N1380" s="14">
        <v>0.24</v>
      </c>
      <c r="O1380" s="23">
        <v>591.33000000000004</v>
      </c>
      <c r="P1380">
        <v>255.04901960784301</v>
      </c>
      <c r="Q1380" s="12" t="str" cm="1">
        <f t="array" ref="Q1380:R1380">VLOOKUP(E1380,store[],{3,5},FALSE)</f>
        <v>North</v>
      </c>
      <c r="R1380" t="str">
        <v>Online</v>
      </c>
      <c r="S1380" s="4">
        <f t="shared" si="21"/>
        <v>1182.18</v>
      </c>
    </row>
    <row r="1381" spans="1:19">
      <c r="A1381" t="s">
        <v>2167</v>
      </c>
      <c r="B1381" s="3">
        <v>45869</v>
      </c>
      <c r="C1381" t="s">
        <v>371</v>
      </c>
      <c r="D1381" t="s">
        <v>505</v>
      </c>
      <c r="E1381" t="s">
        <v>32</v>
      </c>
      <c r="F1381">
        <v>2</v>
      </c>
      <c r="G1381" t="s">
        <v>23</v>
      </c>
      <c r="H1381">
        <v>44</v>
      </c>
      <c r="I1381" s="12" t="s">
        <v>34</v>
      </c>
      <c r="J1381" s="12" t="s">
        <v>373</v>
      </c>
      <c r="K1381" s="12" t="s">
        <v>73</v>
      </c>
      <c r="L1381" s="12" t="s">
        <v>506</v>
      </c>
      <c r="M1381" s="12" t="s">
        <v>37</v>
      </c>
      <c r="N1381" s="14">
        <v>0.24</v>
      </c>
      <c r="O1381" s="23">
        <v>204.89</v>
      </c>
      <c r="P1381">
        <v>177.98</v>
      </c>
      <c r="Q1381" s="12" t="str" cm="1">
        <f t="array" ref="Q1381:R1381">VLOOKUP(E1381,store[],{3,5},FALSE)</f>
        <v>North</v>
      </c>
      <c r="R1381" t="str">
        <v>Flagship</v>
      </c>
      <c r="S1381" s="4">
        <f t="shared" si="21"/>
        <v>409.3</v>
      </c>
    </row>
    <row r="1382" spans="1:19">
      <c r="A1382" t="s">
        <v>2168</v>
      </c>
      <c r="B1382" s="3">
        <v>45549</v>
      </c>
      <c r="C1382" t="s">
        <v>2169</v>
      </c>
      <c r="D1382" t="s">
        <v>134</v>
      </c>
      <c r="E1382" t="s">
        <v>98</v>
      </c>
      <c r="F1382">
        <v>2</v>
      </c>
      <c r="G1382" t="s">
        <v>50</v>
      </c>
      <c r="H1382">
        <v>58</v>
      </c>
      <c r="I1382" s="12" t="s">
        <v>34</v>
      </c>
      <c r="J1382" s="12" t="s">
        <v>378</v>
      </c>
      <c r="K1382" s="12" t="s">
        <v>52</v>
      </c>
      <c r="L1382" s="12" t="s">
        <v>136</v>
      </c>
      <c r="M1382" s="12" t="s">
        <v>28</v>
      </c>
      <c r="N1382" s="14">
        <v>0.08</v>
      </c>
      <c r="O1382" s="23">
        <v>546.41</v>
      </c>
      <c r="P1382">
        <v>240.63</v>
      </c>
      <c r="Q1382" s="12" t="str" cm="1">
        <f t="array" ref="Q1382:R1382">VLOOKUP(E1382,store[],{3,5},FALSE)</f>
        <v>South</v>
      </c>
      <c r="R1382" t="str">
        <v>Outlet</v>
      </c>
      <c r="S1382" s="4">
        <f t="shared" si="21"/>
        <v>1092.6600000000001</v>
      </c>
    </row>
    <row r="1383" spans="1:19">
      <c r="A1383" t="s">
        <v>2170</v>
      </c>
      <c r="B1383" s="3">
        <v>45409</v>
      </c>
      <c r="C1383" t="s">
        <v>41</v>
      </c>
      <c r="D1383" t="s">
        <v>928</v>
      </c>
      <c r="E1383" t="s">
        <v>208</v>
      </c>
      <c r="F1383">
        <v>4</v>
      </c>
      <c r="G1383" t="s">
        <v>23</v>
      </c>
      <c r="H1383">
        <v>49</v>
      </c>
      <c r="I1383" s="12" t="s">
        <v>34</v>
      </c>
      <c r="J1383" s="12" t="s">
        <v>44</v>
      </c>
      <c r="K1383" s="12" t="s">
        <v>26</v>
      </c>
      <c r="L1383" s="12" t="s">
        <v>929</v>
      </c>
      <c r="M1383" s="12" t="s">
        <v>130</v>
      </c>
      <c r="N1383" s="14">
        <v>0.17</v>
      </c>
      <c r="O1383" s="23">
        <v>455.49</v>
      </c>
      <c r="P1383">
        <v>245.77831168831199</v>
      </c>
      <c r="Q1383" s="12" t="str" cm="1">
        <f t="array" ref="Q1383:R1383">VLOOKUP(E1383,store[],{3,5},FALSE)</f>
        <v>North</v>
      </c>
      <c r="R1383" t="str">
        <v>Online</v>
      </c>
      <c r="S1383" s="4">
        <f t="shared" si="21"/>
        <v>1821.28</v>
      </c>
    </row>
    <row r="1384" spans="1:19">
      <c r="A1384" t="s">
        <v>2171</v>
      </c>
      <c r="B1384" s="3">
        <v>45374</v>
      </c>
      <c r="C1384" t="s">
        <v>1064</v>
      </c>
      <c r="D1384" t="s">
        <v>234</v>
      </c>
      <c r="E1384" t="s">
        <v>117</v>
      </c>
      <c r="F1384">
        <v>2</v>
      </c>
      <c r="G1384" t="s">
        <v>23</v>
      </c>
      <c r="H1384">
        <v>42</v>
      </c>
      <c r="I1384" s="12" t="s">
        <v>34</v>
      </c>
      <c r="J1384" s="12" t="s">
        <v>333</v>
      </c>
      <c r="K1384" s="12" t="s">
        <v>52</v>
      </c>
      <c r="L1384" s="12" t="s">
        <v>236</v>
      </c>
      <c r="M1384" s="12" t="s">
        <v>75</v>
      </c>
      <c r="N1384" s="14">
        <v>0.16</v>
      </c>
      <c r="O1384" s="23">
        <v>700.27</v>
      </c>
      <c r="P1384">
        <v>298.86</v>
      </c>
      <c r="Q1384" s="12" t="str" cm="1">
        <f t="array" ref="Q1384:R1384">VLOOKUP(E1384,store[],{3,5},FALSE)</f>
        <v>West</v>
      </c>
      <c r="R1384" t="str">
        <v>Flagship</v>
      </c>
      <c r="S1384" s="4">
        <f t="shared" si="21"/>
        <v>1400.22</v>
      </c>
    </row>
    <row r="1385" spans="1:19">
      <c r="A1385" t="s">
        <v>2172</v>
      </c>
      <c r="B1385" s="3">
        <v>45282</v>
      </c>
      <c r="C1385" t="s">
        <v>1055</v>
      </c>
      <c r="D1385" t="s">
        <v>542</v>
      </c>
      <c r="E1385" t="s">
        <v>32</v>
      </c>
      <c r="F1385">
        <v>2</v>
      </c>
      <c r="G1385" t="s">
        <v>23</v>
      </c>
      <c r="H1385">
        <v>33</v>
      </c>
      <c r="I1385" s="12" t="s">
        <v>24</v>
      </c>
      <c r="J1385" s="12" t="s">
        <v>169</v>
      </c>
      <c r="K1385" s="12" t="s">
        <v>73</v>
      </c>
      <c r="L1385" s="12" t="s">
        <v>543</v>
      </c>
      <c r="M1385" s="12" t="s">
        <v>28</v>
      </c>
      <c r="N1385" s="14">
        <v>0.09</v>
      </c>
      <c r="O1385" s="23">
        <v>160.21</v>
      </c>
      <c r="P1385">
        <v>152.91999999999999</v>
      </c>
      <c r="Q1385" s="12" t="str" cm="1">
        <f t="array" ref="Q1385:R1385">VLOOKUP(E1385,store[],{3,5},FALSE)</f>
        <v>North</v>
      </c>
      <c r="R1385" t="str">
        <v>Flagship</v>
      </c>
      <c r="S1385" s="4">
        <f t="shared" si="21"/>
        <v>320.24</v>
      </c>
    </row>
    <row r="1386" spans="1:19">
      <c r="A1386" t="s">
        <v>2173</v>
      </c>
      <c r="B1386" s="3">
        <v>45742</v>
      </c>
      <c r="C1386" t="s">
        <v>727</v>
      </c>
      <c r="D1386" t="s">
        <v>302</v>
      </c>
      <c r="E1386" t="s">
        <v>272</v>
      </c>
      <c r="F1386">
        <v>1</v>
      </c>
      <c r="G1386" t="s">
        <v>50</v>
      </c>
      <c r="H1386">
        <v>41</v>
      </c>
      <c r="I1386" s="12" t="s">
        <v>24</v>
      </c>
      <c r="J1386" s="12" t="s">
        <v>609</v>
      </c>
      <c r="K1386" s="12" t="s">
        <v>60</v>
      </c>
      <c r="L1386" s="12" t="s">
        <v>303</v>
      </c>
      <c r="M1386" s="12" t="s">
        <v>46</v>
      </c>
      <c r="N1386" s="14">
        <v>0.28000000000000003</v>
      </c>
      <c r="O1386" s="23">
        <v>713.63</v>
      </c>
      <c r="P1386">
        <v>255.04901960784301</v>
      </c>
      <c r="Q1386" s="12" t="str" cm="1">
        <f t="array" ref="Q1386:R1386">VLOOKUP(E1386,store[],{3,5},FALSE)</f>
        <v>South</v>
      </c>
      <c r="R1386" t="str">
        <v>Online</v>
      </c>
      <c r="S1386" s="4">
        <f t="shared" si="21"/>
        <v>713.35</v>
      </c>
    </row>
    <row r="1387" spans="1:19">
      <c r="A1387" t="s">
        <v>2174</v>
      </c>
      <c r="B1387" s="3">
        <v>45447</v>
      </c>
      <c r="C1387" t="s">
        <v>2175</v>
      </c>
      <c r="D1387" t="s">
        <v>317</v>
      </c>
      <c r="E1387" t="s">
        <v>66</v>
      </c>
      <c r="F1387">
        <v>2</v>
      </c>
      <c r="G1387" t="s">
        <v>50</v>
      </c>
      <c r="H1387">
        <v>63</v>
      </c>
      <c r="I1387" s="12" t="s">
        <v>34</v>
      </c>
      <c r="J1387" s="12" t="s">
        <v>333</v>
      </c>
      <c r="K1387" s="12" t="s">
        <v>26</v>
      </c>
      <c r="L1387" s="12" t="s">
        <v>318</v>
      </c>
      <c r="M1387" s="12" t="s">
        <v>37</v>
      </c>
      <c r="N1387" s="14">
        <v>0.2</v>
      </c>
      <c r="O1387" s="23">
        <v>224.69</v>
      </c>
      <c r="P1387">
        <v>377.52</v>
      </c>
      <c r="Q1387" s="12" t="str" cm="1">
        <f t="array" ref="Q1387:R1387">VLOOKUP(E1387,store[],{3,5},FALSE)</f>
        <v>South</v>
      </c>
      <c r="R1387" t="str">
        <v>Online</v>
      </c>
      <c r="S1387" s="4">
        <f t="shared" si="21"/>
        <v>448.98</v>
      </c>
    </row>
    <row r="1388" spans="1:19">
      <c r="A1388" t="s">
        <v>2176</v>
      </c>
      <c r="B1388" s="3">
        <v>45733</v>
      </c>
      <c r="C1388" t="s">
        <v>217</v>
      </c>
      <c r="D1388" t="s">
        <v>291</v>
      </c>
      <c r="E1388" t="s">
        <v>98</v>
      </c>
      <c r="F1388">
        <v>2</v>
      </c>
      <c r="G1388" t="s">
        <v>23</v>
      </c>
      <c r="H1388">
        <v>62</v>
      </c>
      <c r="I1388" s="12" t="s">
        <v>34</v>
      </c>
      <c r="J1388" s="12" t="s">
        <v>218</v>
      </c>
      <c r="K1388" s="12" t="s">
        <v>52</v>
      </c>
      <c r="L1388" s="12" t="s">
        <v>292</v>
      </c>
      <c r="M1388" s="12" t="s">
        <v>28</v>
      </c>
      <c r="N1388" s="14">
        <v>0.06</v>
      </c>
      <c r="O1388" s="23">
        <v>740.57</v>
      </c>
      <c r="P1388">
        <v>131.51</v>
      </c>
      <c r="Q1388" s="12" t="str" cm="1">
        <f t="array" ref="Q1388:R1388">VLOOKUP(E1388,store[],{3,5},FALSE)</f>
        <v>South</v>
      </c>
      <c r="R1388" t="str">
        <v>Outlet</v>
      </c>
      <c r="S1388" s="4">
        <f t="shared" si="21"/>
        <v>1481.02</v>
      </c>
    </row>
    <row r="1389" spans="1:19">
      <c r="A1389" t="s">
        <v>2177</v>
      </c>
      <c r="B1389" s="3">
        <v>45373</v>
      </c>
      <c r="C1389" t="s">
        <v>285</v>
      </c>
      <c r="D1389" t="s">
        <v>555</v>
      </c>
      <c r="E1389" t="s">
        <v>22</v>
      </c>
      <c r="F1389">
        <v>3</v>
      </c>
      <c r="G1389" t="s">
        <v>33</v>
      </c>
      <c r="H1389">
        <v>37</v>
      </c>
      <c r="I1389" s="12" t="s">
        <v>24</v>
      </c>
      <c r="J1389" s="12" t="s">
        <v>111</v>
      </c>
      <c r="K1389" s="12" t="s">
        <v>73</v>
      </c>
      <c r="L1389" s="12" t="s">
        <v>556</v>
      </c>
      <c r="M1389" s="12" t="s">
        <v>37</v>
      </c>
      <c r="N1389" s="14">
        <v>0.23</v>
      </c>
      <c r="O1389" s="23">
        <v>250.14</v>
      </c>
      <c r="P1389">
        <v>449.4</v>
      </c>
      <c r="Q1389" s="12" t="str" cm="1">
        <f t="array" ref="Q1389:R1389">VLOOKUP(E1389,store[],{3,5},FALSE)</f>
        <v>North</v>
      </c>
      <c r="R1389" t="str">
        <v>Outlet</v>
      </c>
      <c r="S1389" s="4">
        <f t="shared" si="21"/>
        <v>749.73</v>
      </c>
    </row>
    <row r="1390" spans="1:19">
      <c r="A1390" t="s">
        <v>2178</v>
      </c>
      <c r="B1390" s="3">
        <v>45655</v>
      </c>
      <c r="C1390" t="s">
        <v>572</v>
      </c>
      <c r="D1390" t="s">
        <v>187</v>
      </c>
      <c r="E1390" t="s">
        <v>135</v>
      </c>
      <c r="F1390">
        <v>3</v>
      </c>
      <c r="G1390" t="s">
        <v>23</v>
      </c>
      <c r="H1390">
        <v>59</v>
      </c>
      <c r="I1390" s="12" t="s">
        <v>24</v>
      </c>
      <c r="J1390" s="12" t="s">
        <v>373</v>
      </c>
      <c r="K1390" s="12" t="s">
        <v>60</v>
      </c>
      <c r="L1390" s="12" t="s">
        <v>189</v>
      </c>
      <c r="M1390" s="12" t="s">
        <v>37</v>
      </c>
      <c r="N1390" s="14">
        <v>0.01</v>
      </c>
      <c r="O1390" s="23">
        <v>34.97</v>
      </c>
      <c r="P1390">
        <v>431.67</v>
      </c>
      <c r="Q1390" s="12" t="str" cm="1">
        <f t="array" ref="Q1390:R1390">VLOOKUP(E1390,store[],{3,5},FALSE)</f>
        <v>East</v>
      </c>
      <c r="R1390" t="str">
        <v>Online</v>
      </c>
      <c r="S1390" s="4">
        <f t="shared" si="21"/>
        <v>104.88</v>
      </c>
    </row>
    <row r="1391" spans="1:19">
      <c r="A1391" t="s">
        <v>2179</v>
      </c>
      <c r="B1391" s="3">
        <v>45868</v>
      </c>
      <c r="C1391" t="s">
        <v>861</v>
      </c>
      <c r="D1391" t="s">
        <v>449</v>
      </c>
      <c r="E1391" t="s">
        <v>117</v>
      </c>
      <c r="F1391">
        <v>1</v>
      </c>
      <c r="G1391" t="s">
        <v>33</v>
      </c>
      <c r="H1391">
        <v>41</v>
      </c>
      <c r="I1391" s="12" t="s">
        <v>24</v>
      </c>
      <c r="J1391" s="12" t="s">
        <v>333</v>
      </c>
      <c r="K1391" s="12" t="s">
        <v>60</v>
      </c>
      <c r="L1391" s="12" t="s">
        <v>450</v>
      </c>
      <c r="M1391" s="12" t="s">
        <v>37</v>
      </c>
      <c r="N1391" s="14">
        <v>0.3</v>
      </c>
      <c r="O1391" s="23">
        <v>653.91</v>
      </c>
      <c r="P1391">
        <v>450.71</v>
      </c>
      <c r="Q1391" s="12" t="str" cm="1">
        <f t="array" ref="Q1391:R1391">VLOOKUP(E1391,store[],{3,5},FALSE)</f>
        <v>West</v>
      </c>
      <c r="R1391" t="str">
        <v>Flagship</v>
      </c>
      <c r="S1391" s="4">
        <f t="shared" si="21"/>
        <v>653.61</v>
      </c>
    </row>
    <row r="1392" spans="1:19">
      <c r="A1392" t="s">
        <v>2180</v>
      </c>
      <c r="B1392" s="3">
        <v>45338</v>
      </c>
      <c r="C1392" t="s">
        <v>1503</v>
      </c>
      <c r="D1392" t="s">
        <v>532</v>
      </c>
      <c r="E1392" t="s">
        <v>22</v>
      </c>
      <c r="F1392">
        <v>1</v>
      </c>
      <c r="G1392" t="s">
        <v>23</v>
      </c>
      <c r="H1392">
        <v>23</v>
      </c>
      <c r="I1392" s="12" t="s">
        <v>24</v>
      </c>
      <c r="J1392" s="12" t="s">
        <v>308</v>
      </c>
      <c r="K1392" s="12" t="s">
        <v>73</v>
      </c>
      <c r="L1392" s="12" t="s">
        <v>533</v>
      </c>
      <c r="M1392" s="12" t="s">
        <v>46</v>
      </c>
      <c r="N1392" s="14">
        <v>0.24</v>
      </c>
      <c r="O1392" s="23">
        <v>997.87</v>
      </c>
      <c r="P1392">
        <v>340.39</v>
      </c>
      <c r="Q1392" s="12" t="str" cm="1">
        <f t="array" ref="Q1392:R1392">VLOOKUP(E1392,store[],{3,5},FALSE)</f>
        <v>North</v>
      </c>
      <c r="R1392" t="str">
        <v>Outlet</v>
      </c>
      <c r="S1392" s="4">
        <f t="shared" si="21"/>
        <v>997.63</v>
      </c>
    </row>
    <row r="1393" spans="1:19">
      <c r="A1393" t="s">
        <v>2181</v>
      </c>
      <c r="B1393" s="3">
        <v>45349</v>
      </c>
      <c r="C1393" t="s">
        <v>968</v>
      </c>
      <c r="D1393" t="s">
        <v>287</v>
      </c>
      <c r="E1393" t="s">
        <v>98</v>
      </c>
      <c r="F1393">
        <v>1</v>
      </c>
      <c r="G1393" t="s">
        <v>50</v>
      </c>
      <c r="H1393">
        <v>54</v>
      </c>
      <c r="I1393" s="12" t="s">
        <v>24</v>
      </c>
      <c r="J1393" s="12" t="s">
        <v>378</v>
      </c>
      <c r="K1393" s="12" t="s">
        <v>52</v>
      </c>
      <c r="L1393" s="12" t="s">
        <v>288</v>
      </c>
      <c r="M1393" s="12" t="s">
        <v>46</v>
      </c>
      <c r="N1393" s="14">
        <v>0.27</v>
      </c>
      <c r="O1393" s="23">
        <v>174.27</v>
      </c>
      <c r="P1393">
        <v>183.04</v>
      </c>
      <c r="Q1393" s="12" t="str" cm="1">
        <f t="array" ref="Q1393:R1393">VLOOKUP(E1393,store[],{3,5},FALSE)</f>
        <v>South</v>
      </c>
      <c r="R1393" t="str">
        <v>Outlet</v>
      </c>
      <c r="S1393" s="4">
        <f t="shared" si="21"/>
        <v>174</v>
      </c>
    </row>
    <row r="1394" spans="1:19">
      <c r="A1394" t="s">
        <v>2182</v>
      </c>
      <c r="B1394" s="3">
        <v>45368</v>
      </c>
      <c r="C1394" t="s">
        <v>363</v>
      </c>
      <c r="D1394" t="s">
        <v>42</v>
      </c>
      <c r="E1394" t="s">
        <v>66</v>
      </c>
      <c r="F1394">
        <v>3</v>
      </c>
      <c r="G1394" t="s">
        <v>23</v>
      </c>
      <c r="H1394">
        <v>53</v>
      </c>
      <c r="I1394" s="12" t="s">
        <v>34</v>
      </c>
      <c r="J1394" s="12" t="s">
        <v>188</v>
      </c>
      <c r="K1394" s="12" t="s">
        <v>52</v>
      </c>
      <c r="L1394" s="12" t="s">
        <v>45</v>
      </c>
      <c r="M1394" s="12" t="s">
        <v>46</v>
      </c>
      <c r="N1394" s="14">
        <v>0.17</v>
      </c>
      <c r="O1394" s="23">
        <v>847.44</v>
      </c>
      <c r="P1394">
        <v>43.29</v>
      </c>
      <c r="Q1394" s="12" t="str" cm="1">
        <f t="array" ref="Q1394:R1394">VLOOKUP(E1394,store[],{3,5},FALSE)</f>
        <v>South</v>
      </c>
      <c r="R1394" t="str">
        <v>Online</v>
      </c>
      <c r="S1394" s="4">
        <f t="shared" si="21"/>
        <v>2541.81</v>
      </c>
    </row>
    <row r="1395" spans="1:19">
      <c r="A1395" t="s">
        <v>2183</v>
      </c>
      <c r="B1395" s="3">
        <v>45243</v>
      </c>
      <c r="C1395" t="s">
        <v>624</v>
      </c>
      <c r="D1395" t="s">
        <v>868</v>
      </c>
      <c r="E1395" t="s">
        <v>198</v>
      </c>
      <c r="F1395">
        <v>1</v>
      </c>
      <c r="G1395" t="s">
        <v>23</v>
      </c>
      <c r="H1395">
        <v>27</v>
      </c>
      <c r="I1395" s="12" t="s">
        <v>34</v>
      </c>
      <c r="J1395" s="12" t="s">
        <v>378</v>
      </c>
      <c r="K1395" s="12" t="s">
        <v>73</v>
      </c>
      <c r="L1395" s="12" t="s">
        <v>869</v>
      </c>
      <c r="M1395" s="12" t="s">
        <v>130</v>
      </c>
      <c r="N1395" s="14">
        <v>0.09</v>
      </c>
      <c r="O1395" s="23">
        <v>493.45</v>
      </c>
      <c r="P1395">
        <v>254.62086956521699</v>
      </c>
      <c r="Q1395" s="12" t="str" cm="1">
        <f t="array" ref="Q1395:R1395">VLOOKUP(E1395,store[],{3,5},FALSE)</f>
        <v>South</v>
      </c>
      <c r="R1395" t="str">
        <v>Outlet</v>
      </c>
      <c r="S1395" s="4">
        <f t="shared" si="21"/>
        <v>493.36</v>
      </c>
    </row>
    <row r="1396" spans="1:19">
      <c r="A1396" t="s">
        <v>2184</v>
      </c>
      <c r="B1396" s="3">
        <v>45577</v>
      </c>
      <c r="C1396" t="s">
        <v>1125</v>
      </c>
      <c r="D1396" t="s">
        <v>661</v>
      </c>
      <c r="E1396" t="s">
        <v>198</v>
      </c>
      <c r="F1396">
        <v>4</v>
      </c>
      <c r="G1396" t="s">
        <v>23</v>
      </c>
      <c r="H1396">
        <v>27</v>
      </c>
      <c r="I1396" s="12" t="s">
        <v>34</v>
      </c>
      <c r="J1396" s="12" t="s">
        <v>204</v>
      </c>
      <c r="K1396" s="12" t="s">
        <v>52</v>
      </c>
      <c r="L1396" s="12" t="s">
        <v>662</v>
      </c>
      <c r="M1396" s="12" t="s">
        <v>37</v>
      </c>
      <c r="N1396" s="14">
        <v>0.14000000000000001</v>
      </c>
      <c r="O1396" s="23">
        <v>111.66</v>
      </c>
      <c r="P1396">
        <v>86.42</v>
      </c>
      <c r="Q1396" s="12" t="str" cm="1">
        <f t="array" ref="Q1396:R1396">VLOOKUP(E1396,store[],{3,5},FALSE)</f>
        <v>South</v>
      </c>
      <c r="R1396" t="str">
        <v>Outlet</v>
      </c>
      <c r="S1396" s="4">
        <f t="shared" si="21"/>
        <v>446.08</v>
      </c>
    </row>
    <row r="1397" spans="1:19">
      <c r="A1397" t="s">
        <v>2185</v>
      </c>
      <c r="B1397" s="3">
        <v>45343</v>
      </c>
      <c r="C1397" t="s">
        <v>1212</v>
      </c>
      <c r="D1397" t="s">
        <v>453</v>
      </c>
      <c r="E1397" t="s">
        <v>272</v>
      </c>
      <c r="F1397">
        <v>1</v>
      </c>
      <c r="G1397" t="s">
        <v>50</v>
      </c>
      <c r="H1397">
        <v>42</v>
      </c>
      <c r="I1397" s="12" t="s">
        <v>34</v>
      </c>
      <c r="J1397" s="12" t="s">
        <v>67</v>
      </c>
      <c r="K1397" s="12" t="s">
        <v>52</v>
      </c>
      <c r="L1397" s="12" t="s">
        <v>454</v>
      </c>
      <c r="M1397" s="12" t="s">
        <v>37</v>
      </c>
      <c r="N1397" s="14">
        <v>0.1</v>
      </c>
      <c r="O1397" s="23">
        <v>413.65</v>
      </c>
      <c r="P1397">
        <v>340.14</v>
      </c>
      <c r="Q1397" s="12" t="str" cm="1">
        <f t="array" ref="Q1397:R1397">VLOOKUP(E1397,store[],{3,5},FALSE)</f>
        <v>South</v>
      </c>
      <c r="R1397" t="str">
        <v>Online</v>
      </c>
      <c r="S1397" s="4">
        <f t="shared" si="21"/>
        <v>413.55</v>
      </c>
    </row>
    <row r="1398" spans="1:19">
      <c r="A1398" t="s">
        <v>2186</v>
      </c>
      <c r="B1398" s="3">
        <v>45744</v>
      </c>
      <c r="C1398" t="s">
        <v>1517</v>
      </c>
      <c r="D1398" t="s">
        <v>287</v>
      </c>
      <c r="E1398" t="s">
        <v>127</v>
      </c>
      <c r="F1398">
        <v>1</v>
      </c>
      <c r="G1398" t="s">
        <v>50</v>
      </c>
      <c r="H1398">
        <v>18</v>
      </c>
      <c r="I1398" s="12" t="s">
        <v>34</v>
      </c>
      <c r="J1398" s="12" t="s">
        <v>35</v>
      </c>
      <c r="K1398" s="12" t="s">
        <v>52</v>
      </c>
      <c r="L1398" s="12" t="s">
        <v>288</v>
      </c>
      <c r="M1398" s="12" t="s">
        <v>46</v>
      </c>
      <c r="N1398" s="14">
        <v>0.24</v>
      </c>
      <c r="O1398" s="23">
        <v>317.14999999999998</v>
      </c>
      <c r="P1398">
        <v>183.04</v>
      </c>
      <c r="Q1398" s="12" t="str" cm="1">
        <f t="array" ref="Q1398:R1398">VLOOKUP(E1398,store[],{3,5},FALSE)</f>
        <v>South</v>
      </c>
      <c r="R1398" t="str">
        <v>Flagship</v>
      </c>
      <c r="S1398" s="4">
        <f t="shared" si="21"/>
        <v>316.91000000000003</v>
      </c>
    </row>
    <row r="1399" spans="1:19">
      <c r="A1399" t="s">
        <v>2187</v>
      </c>
      <c r="B1399" s="3">
        <v>45873</v>
      </c>
      <c r="C1399" t="s">
        <v>1908</v>
      </c>
      <c r="D1399" t="s">
        <v>110</v>
      </c>
      <c r="E1399" t="s">
        <v>105</v>
      </c>
      <c r="F1399">
        <v>3</v>
      </c>
      <c r="G1399" t="s">
        <v>50</v>
      </c>
      <c r="H1399">
        <v>32</v>
      </c>
      <c r="I1399" s="12" t="s">
        <v>24</v>
      </c>
      <c r="J1399" s="12" t="s">
        <v>333</v>
      </c>
      <c r="K1399" s="12" t="s">
        <v>60</v>
      </c>
      <c r="L1399" s="12" t="s">
        <v>112</v>
      </c>
      <c r="M1399" s="12" t="s">
        <v>28</v>
      </c>
      <c r="N1399" s="14">
        <v>0.05</v>
      </c>
      <c r="O1399" s="23">
        <v>642.94000000000005</v>
      </c>
      <c r="P1399">
        <v>131.24</v>
      </c>
      <c r="Q1399" s="12" t="str" cm="1">
        <f t="array" ref="Q1399:R1399">VLOOKUP(E1399,store[],{3,5},FALSE)</f>
        <v>North</v>
      </c>
      <c r="R1399" t="str">
        <v>Flagship</v>
      </c>
      <c r="S1399" s="4">
        <f t="shared" si="21"/>
        <v>1928.67</v>
      </c>
    </row>
    <row r="1400" spans="1:19">
      <c r="A1400" t="s">
        <v>2188</v>
      </c>
      <c r="B1400" s="3">
        <v>45601</v>
      </c>
      <c r="C1400" t="s">
        <v>893</v>
      </c>
      <c r="D1400" t="s">
        <v>509</v>
      </c>
      <c r="E1400" t="s">
        <v>168</v>
      </c>
      <c r="F1400">
        <v>4</v>
      </c>
      <c r="G1400" t="s">
        <v>50</v>
      </c>
      <c r="H1400">
        <v>62</v>
      </c>
      <c r="I1400" s="12" t="s">
        <v>34</v>
      </c>
      <c r="J1400" s="12" t="s">
        <v>235</v>
      </c>
      <c r="K1400" s="12" t="s">
        <v>73</v>
      </c>
      <c r="L1400" s="12" t="s">
        <v>511</v>
      </c>
      <c r="M1400" s="12" t="s">
        <v>28</v>
      </c>
      <c r="N1400" s="14">
        <v>0.19</v>
      </c>
      <c r="O1400" s="23">
        <v>559.59</v>
      </c>
      <c r="P1400">
        <v>30.62</v>
      </c>
      <c r="Q1400" s="12" t="str" cm="1">
        <f t="array" ref="Q1400:R1400">VLOOKUP(E1400,store[],{3,5},FALSE)</f>
        <v>East</v>
      </c>
      <c r="R1400" t="str">
        <v>Online</v>
      </c>
      <c r="S1400" s="4">
        <f t="shared" si="21"/>
        <v>2237.6</v>
      </c>
    </row>
    <row r="1401" spans="1:19">
      <c r="A1401" t="s">
        <v>2189</v>
      </c>
      <c r="B1401" s="3">
        <v>45458</v>
      </c>
      <c r="C1401" t="s">
        <v>1037</v>
      </c>
      <c r="D1401" t="s">
        <v>255</v>
      </c>
      <c r="E1401" t="s">
        <v>160</v>
      </c>
      <c r="F1401">
        <v>1</v>
      </c>
      <c r="G1401" t="s">
        <v>33</v>
      </c>
      <c r="H1401">
        <v>30</v>
      </c>
      <c r="I1401" s="12" t="s">
        <v>24</v>
      </c>
      <c r="J1401" s="12" t="s">
        <v>99</v>
      </c>
      <c r="K1401" s="12" t="s">
        <v>73</v>
      </c>
      <c r="L1401" s="12" t="s">
        <v>257</v>
      </c>
      <c r="M1401" s="12" t="s">
        <v>75</v>
      </c>
      <c r="N1401" s="14">
        <v>0.28999999999999998</v>
      </c>
      <c r="O1401" s="23">
        <v>758.54</v>
      </c>
      <c r="P1401">
        <v>218.48</v>
      </c>
      <c r="Q1401" s="12" t="str" cm="1">
        <f t="array" ref="Q1401:R1401">VLOOKUP(E1401,store[],{3,5},FALSE)</f>
        <v>East</v>
      </c>
      <c r="R1401" t="str">
        <v>Flagship</v>
      </c>
      <c r="S1401" s="4">
        <f t="shared" si="21"/>
        <v>758.25</v>
      </c>
    </row>
    <row r="1402" spans="1:19">
      <c r="A1402" t="s">
        <v>2190</v>
      </c>
      <c r="B1402" s="3">
        <v>45649</v>
      </c>
      <c r="C1402" t="s">
        <v>617</v>
      </c>
      <c r="D1402" t="s">
        <v>429</v>
      </c>
      <c r="E1402" t="s">
        <v>122</v>
      </c>
      <c r="F1402">
        <v>4</v>
      </c>
      <c r="G1402" t="s">
        <v>33</v>
      </c>
      <c r="H1402">
        <v>34</v>
      </c>
      <c r="I1402" s="12" t="s">
        <v>34</v>
      </c>
      <c r="J1402" s="12" t="s">
        <v>356</v>
      </c>
      <c r="K1402" s="12" t="s">
        <v>60</v>
      </c>
      <c r="L1402" s="12" t="s">
        <v>430</v>
      </c>
      <c r="M1402" s="12" t="s">
        <v>75</v>
      </c>
      <c r="N1402" s="14">
        <v>0.16</v>
      </c>
      <c r="O1402" s="23">
        <v>643.96</v>
      </c>
      <c r="P1402">
        <v>143.43</v>
      </c>
      <c r="Q1402" s="12" t="str" cm="1">
        <f t="array" ref="Q1402:R1402">VLOOKUP(E1402,store[],{3,5},FALSE)</f>
        <v>North</v>
      </c>
      <c r="R1402" t="str">
        <v>Flagship</v>
      </c>
      <c r="S1402" s="4">
        <f t="shared" si="21"/>
        <v>2575.1999999999998</v>
      </c>
    </row>
    <row r="1403" spans="1:19">
      <c r="A1403" t="s">
        <v>2191</v>
      </c>
      <c r="B1403" s="3">
        <v>45653</v>
      </c>
      <c r="C1403" t="s">
        <v>552</v>
      </c>
      <c r="D1403" t="s">
        <v>97</v>
      </c>
      <c r="E1403" t="s">
        <v>127</v>
      </c>
      <c r="F1403">
        <v>1</v>
      </c>
      <c r="G1403" t="s">
        <v>23</v>
      </c>
      <c r="H1403">
        <v>56</v>
      </c>
      <c r="I1403" s="12" t="s">
        <v>34</v>
      </c>
      <c r="J1403" s="12" t="s">
        <v>118</v>
      </c>
      <c r="K1403" s="12" t="s">
        <v>26</v>
      </c>
      <c r="L1403" s="12" t="s">
        <v>100</v>
      </c>
      <c r="M1403" s="12" t="s">
        <v>28</v>
      </c>
      <c r="N1403" s="14">
        <v>0.1</v>
      </c>
      <c r="O1403" s="23">
        <v>882.73</v>
      </c>
      <c r="P1403">
        <v>166.06</v>
      </c>
      <c r="Q1403" s="12" t="str" cm="1">
        <f t="array" ref="Q1403:R1403">VLOOKUP(E1403,store[],{3,5},FALSE)</f>
        <v>South</v>
      </c>
      <c r="R1403" t="str">
        <v>Flagship</v>
      </c>
      <c r="S1403" s="4">
        <f t="shared" si="21"/>
        <v>882.63</v>
      </c>
    </row>
    <row r="1404" spans="1:19">
      <c r="A1404" t="s">
        <v>2192</v>
      </c>
      <c r="B1404" s="3">
        <v>45378</v>
      </c>
      <c r="C1404" t="s">
        <v>419</v>
      </c>
      <c r="D1404" t="s">
        <v>372</v>
      </c>
      <c r="E1404" t="s">
        <v>135</v>
      </c>
      <c r="F1404">
        <v>2</v>
      </c>
      <c r="G1404" t="s">
        <v>33</v>
      </c>
      <c r="H1404">
        <v>60</v>
      </c>
      <c r="I1404" s="12" t="s">
        <v>24</v>
      </c>
      <c r="J1404" s="12" t="s">
        <v>199</v>
      </c>
      <c r="K1404" s="12" t="s">
        <v>73</v>
      </c>
      <c r="L1404" s="12" t="s">
        <v>374</v>
      </c>
      <c r="M1404" s="12" t="s">
        <v>130</v>
      </c>
      <c r="N1404" s="14">
        <v>0.26</v>
      </c>
      <c r="O1404" s="23">
        <v>600.03</v>
      </c>
      <c r="P1404">
        <v>438.25</v>
      </c>
      <c r="Q1404" s="12" t="str" cm="1">
        <f t="array" ref="Q1404:R1404">VLOOKUP(E1404,store[],{3,5},FALSE)</f>
        <v>East</v>
      </c>
      <c r="R1404" t="str">
        <v>Online</v>
      </c>
      <c r="S1404" s="4">
        <f t="shared" si="21"/>
        <v>1199.54</v>
      </c>
    </row>
    <row r="1405" spans="1:19">
      <c r="A1405" t="s">
        <v>2193</v>
      </c>
      <c r="B1405" s="3">
        <v>45638</v>
      </c>
      <c r="C1405" t="s">
        <v>1203</v>
      </c>
      <c r="D1405" t="s">
        <v>420</v>
      </c>
      <c r="E1405" t="s">
        <v>58</v>
      </c>
      <c r="F1405">
        <v>2</v>
      </c>
      <c r="G1405" t="s">
        <v>33</v>
      </c>
      <c r="H1405">
        <v>59</v>
      </c>
      <c r="I1405" s="12" t="s">
        <v>24</v>
      </c>
      <c r="J1405" s="12" t="s">
        <v>188</v>
      </c>
      <c r="K1405" s="12" t="s">
        <v>52</v>
      </c>
      <c r="L1405" s="12" t="s">
        <v>421</v>
      </c>
      <c r="M1405" s="12" t="s">
        <v>28</v>
      </c>
      <c r="N1405" s="14">
        <v>7.0000000000000007E-2</v>
      </c>
      <c r="O1405" s="23">
        <v>628.83000000000004</v>
      </c>
      <c r="P1405">
        <v>434.84</v>
      </c>
      <c r="Q1405" s="12" t="str" cm="1">
        <f t="array" ref="Q1405:R1405">VLOOKUP(E1405,store[],{3,5},FALSE)</f>
        <v>North</v>
      </c>
      <c r="R1405" t="str">
        <v>Outlet</v>
      </c>
      <c r="S1405" s="4">
        <f t="shared" si="21"/>
        <v>1257.52</v>
      </c>
    </row>
    <row r="1406" spans="1:19">
      <c r="A1406" t="s">
        <v>2194</v>
      </c>
      <c r="B1406" s="3">
        <v>45277</v>
      </c>
      <c r="C1406" t="s">
        <v>595</v>
      </c>
      <c r="D1406" t="s">
        <v>630</v>
      </c>
      <c r="E1406" t="s">
        <v>127</v>
      </c>
      <c r="F1406">
        <v>3</v>
      </c>
      <c r="G1406" t="s">
        <v>50</v>
      </c>
      <c r="H1406">
        <v>56</v>
      </c>
      <c r="I1406" s="12" t="s">
        <v>24</v>
      </c>
      <c r="J1406" s="12" t="s">
        <v>218</v>
      </c>
      <c r="K1406" s="12" t="s">
        <v>52</v>
      </c>
      <c r="L1406" s="12" t="s">
        <v>631</v>
      </c>
      <c r="M1406" s="12" t="s">
        <v>28</v>
      </c>
      <c r="N1406" s="14">
        <v>0.21</v>
      </c>
      <c r="O1406" s="23">
        <v>113.87</v>
      </c>
      <c r="P1406">
        <v>285.54000000000002</v>
      </c>
      <c r="Q1406" s="12" t="str" cm="1">
        <f t="array" ref="Q1406:R1406">VLOOKUP(E1406,store[],{3,5},FALSE)</f>
        <v>South</v>
      </c>
      <c r="R1406" t="str">
        <v>Flagship</v>
      </c>
      <c r="S1406" s="4">
        <f t="shared" si="21"/>
        <v>340.98</v>
      </c>
    </row>
    <row r="1407" spans="1:19">
      <c r="A1407" t="s">
        <v>2195</v>
      </c>
      <c r="B1407" s="3">
        <v>45351</v>
      </c>
      <c r="C1407" t="s">
        <v>1116</v>
      </c>
      <c r="D1407" t="s">
        <v>155</v>
      </c>
      <c r="E1407" t="s">
        <v>66</v>
      </c>
      <c r="F1407">
        <v>4</v>
      </c>
      <c r="G1407" t="s">
        <v>33</v>
      </c>
      <c r="H1407">
        <v>60</v>
      </c>
      <c r="I1407" s="12" t="s">
        <v>34</v>
      </c>
      <c r="J1407" s="12" t="s">
        <v>214</v>
      </c>
      <c r="K1407" s="12" t="s">
        <v>60</v>
      </c>
      <c r="L1407" s="12" t="s">
        <v>156</v>
      </c>
      <c r="M1407" s="12" t="s">
        <v>28</v>
      </c>
      <c r="N1407" s="14">
        <v>0.18</v>
      </c>
      <c r="O1407" s="23">
        <v>282.07</v>
      </c>
      <c r="P1407">
        <v>477.61</v>
      </c>
      <c r="Q1407" s="12" t="str" cm="1">
        <f t="array" ref="Q1407:R1407">VLOOKUP(E1407,store[],{3,5},FALSE)</f>
        <v>South</v>
      </c>
      <c r="R1407" t="str">
        <v>Online</v>
      </c>
      <c r="S1407" s="4">
        <f t="shared" si="21"/>
        <v>1127.56</v>
      </c>
    </row>
    <row r="1408" spans="1:19">
      <c r="A1408" t="s">
        <v>2196</v>
      </c>
      <c r="B1408" s="3">
        <v>45290</v>
      </c>
      <c r="C1408" t="s">
        <v>1120</v>
      </c>
      <c r="D1408" t="s">
        <v>420</v>
      </c>
      <c r="E1408" t="s">
        <v>179</v>
      </c>
      <c r="F1408">
        <v>3</v>
      </c>
      <c r="G1408" t="s">
        <v>33</v>
      </c>
      <c r="H1408">
        <v>46</v>
      </c>
      <c r="I1408" s="12" t="s">
        <v>24</v>
      </c>
      <c r="J1408" s="12" t="s">
        <v>188</v>
      </c>
      <c r="K1408" s="12" t="s">
        <v>73</v>
      </c>
      <c r="L1408" s="12" t="s">
        <v>421</v>
      </c>
      <c r="M1408" s="12" t="s">
        <v>28</v>
      </c>
      <c r="N1408" s="14">
        <v>0.17</v>
      </c>
      <c r="O1408" s="23">
        <v>676.77</v>
      </c>
      <c r="P1408">
        <v>434.84</v>
      </c>
      <c r="Q1408" s="12" t="str" cm="1">
        <f t="array" ref="Q1408:R1408">VLOOKUP(E1408,store[],{3,5},FALSE)</f>
        <v>East</v>
      </c>
      <c r="R1408" t="str">
        <v>Online</v>
      </c>
      <c r="S1408" s="4">
        <f t="shared" si="21"/>
        <v>2029.8</v>
      </c>
    </row>
    <row r="1409" spans="1:19">
      <c r="A1409" t="s">
        <v>2197</v>
      </c>
      <c r="B1409" s="3">
        <v>45638</v>
      </c>
      <c r="C1409" t="s">
        <v>855</v>
      </c>
      <c r="D1409" t="s">
        <v>645</v>
      </c>
      <c r="E1409" t="s">
        <v>117</v>
      </c>
      <c r="F1409">
        <v>2</v>
      </c>
      <c r="G1409" t="s">
        <v>23</v>
      </c>
      <c r="H1409">
        <v>50</v>
      </c>
      <c r="I1409" s="12" t="s">
        <v>34</v>
      </c>
      <c r="J1409" s="12" t="s">
        <v>463</v>
      </c>
      <c r="K1409" s="12" t="s">
        <v>73</v>
      </c>
      <c r="L1409" s="12" t="s">
        <v>646</v>
      </c>
      <c r="M1409" s="12" t="s">
        <v>75</v>
      </c>
      <c r="N1409" s="14">
        <v>0.09</v>
      </c>
      <c r="O1409" s="23">
        <v>362.7</v>
      </c>
      <c r="P1409">
        <v>218.86</v>
      </c>
      <c r="Q1409" s="12" t="str" cm="1">
        <f t="array" ref="Q1409:R1409">VLOOKUP(E1409,store[],{3,5},FALSE)</f>
        <v>West</v>
      </c>
      <c r="R1409" t="str">
        <v>Flagship</v>
      </c>
      <c r="S1409" s="4">
        <f t="shared" si="21"/>
        <v>725.22</v>
      </c>
    </row>
    <row r="1410" spans="1:19">
      <c r="A1410" t="s">
        <v>2198</v>
      </c>
      <c r="B1410" s="3">
        <v>45679</v>
      </c>
      <c r="C1410" t="s">
        <v>652</v>
      </c>
      <c r="D1410" t="s">
        <v>197</v>
      </c>
      <c r="E1410" t="s">
        <v>198</v>
      </c>
      <c r="F1410">
        <v>1</v>
      </c>
      <c r="G1410" t="s">
        <v>50</v>
      </c>
      <c r="H1410">
        <v>33</v>
      </c>
      <c r="I1410" s="12" t="s">
        <v>34</v>
      </c>
      <c r="J1410" s="12" t="s">
        <v>209</v>
      </c>
      <c r="K1410" s="12" t="s">
        <v>52</v>
      </c>
      <c r="L1410" s="12" t="s">
        <v>200</v>
      </c>
      <c r="M1410" s="12" t="s">
        <v>37</v>
      </c>
      <c r="N1410" s="14">
        <v>0.2</v>
      </c>
      <c r="O1410" s="23">
        <v>908.5</v>
      </c>
      <c r="P1410">
        <v>242.23</v>
      </c>
      <c r="Q1410" s="12" t="str" cm="1">
        <f t="array" ref="Q1410:R1410">VLOOKUP(E1410,store[],{3,5},FALSE)</f>
        <v>South</v>
      </c>
      <c r="R1410" t="str">
        <v>Outlet</v>
      </c>
      <c r="S1410" s="4">
        <f t="shared" ref="S1410:S1473" si="22">(O1410-N1410)*F1410</f>
        <v>908.3</v>
      </c>
    </row>
    <row r="1411" spans="1:19">
      <c r="A1411" t="s">
        <v>2199</v>
      </c>
      <c r="B1411" s="3">
        <v>45296</v>
      </c>
      <c r="C1411" t="s">
        <v>468</v>
      </c>
      <c r="D1411" t="s">
        <v>425</v>
      </c>
      <c r="E1411" t="s">
        <v>122</v>
      </c>
      <c r="F1411">
        <v>2</v>
      </c>
      <c r="G1411" t="s">
        <v>50</v>
      </c>
      <c r="H1411">
        <v>58</v>
      </c>
      <c r="I1411" s="12" t="s">
        <v>24</v>
      </c>
      <c r="J1411" s="12" t="s">
        <v>235</v>
      </c>
      <c r="K1411" s="12" t="s">
        <v>60</v>
      </c>
      <c r="L1411" s="12" t="s">
        <v>426</v>
      </c>
      <c r="M1411" s="12" t="s">
        <v>130</v>
      </c>
      <c r="N1411" s="14">
        <v>0.2</v>
      </c>
      <c r="O1411" s="23">
        <v>795.37</v>
      </c>
      <c r="P1411">
        <v>174.02</v>
      </c>
      <c r="Q1411" s="12" t="str" cm="1">
        <f t="array" ref="Q1411:R1411">VLOOKUP(E1411,store[],{3,5},FALSE)</f>
        <v>North</v>
      </c>
      <c r="R1411" t="str">
        <v>Flagship</v>
      </c>
      <c r="S1411" s="4">
        <f t="shared" si="22"/>
        <v>1590.34</v>
      </c>
    </row>
    <row r="1412" spans="1:19">
      <c r="A1412" t="s">
        <v>2200</v>
      </c>
      <c r="B1412" s="3">
        <v>45760</v>
      </c>
      <c r="C1412" t="s">
        <v>154</v>
      </c>
      <c r="D1412" t="s">
        <v>487</v>
      </c>
      <c r="E1412" t="s">
        <v>72</v>
      </c>
      <c r="F1412">
        <v>2</v>
      </c>
      <c r="G1412" t="s">
        <v>50</v>
      </c>
      <c r="H1412">
        <v>62</v>
      </c>
      <c r="I1412" s="12" t="s">
        <v>34</v>
      </c>
      <c r="J1412" s="12" t="s">
        <v>99</v>
      </c>
      <c r="K1412" s="12" t="s">
        <v>73</v>
      </c>
      <c r="L1412" s="12" t="s">
        <v>488</v>
      </c>
      <c r="M1412" s="12" t="s">
        <v>75</v>
      </c>
      <c r="N1412" s="14">
        <v>0.17</v>
      </c>
      <c r="O1412" s="23">
        <v>326.85000000000002</v>
      </c>
      <c r="P1412">
        <v>382.22</v>
      </c>
      <c r="Q1412" s="12" t="str" cm="1">
        <f t="array" ref="Q1412:R1412">VLOOKUP(E1412,store[],{3,5},FALSE)</f>
        <v>South</v>
      </c>
      <c r="R1412" t="str">
        <v>Online</v>
      </c>
      <c r="S1412" s="4">
        <f t="shared" si="22"/>
        <v>653.36</v>
      </c>
    </row>
    <row r="1413" spans="1:19">
      <c r="A1413" t="s">
        <v>2201</v>
      </c>
      <c r="B1413" s="3">
        <v>45603</v>
      </c>
      <c r="C1413" t="s">
        <v>1497</v>
      </c>
      <c r="D1413" t="s">
        <v>71</v>
      </c>
      <c r="E1413" t="s">
        <v>98</v>
      </c>
      <c r="F1413">
        <v>3</v>
      </c>
      <c r="G1413" t="s">
        <v>23</v>
      </c>
      <c r="H1413">
        <v>26</v>
      </c>
      <c r="I1413" s="12" t="s">
        <v>24</v>
      </c>
      <c r="J1413" s="12" t="s">
        <v>106</v>
      </c>
      <c r="K1413" s="12" t="s">
        <v>60</v>
      </c>
      <c r="L1413" s="12" t="s">
        <v>74</v>
      </c>
      <c r="M1413" s="12" t="s">
        <v>75</v>
      </c>
      <c r="N1413" s="14">
        <v>0.19</v>
      </c>
      <c r="O1413" s="23">
        <v>169.43</v>
      </c>
      <c r="P1413">
        <v>461.47</v>
      </c>
      <c r="Q1413" s="12" t="str" cm="1">
        <f t="array" ref="Q1413:R1413">VLOOKUP(E1413,store[],{3,5},FALSE)</f>
        <v>South</v>
      </c>
      <c r="R1413" t="str">
        <v>Outlet</v>
      </c>
      <c r="S1413" s="4">
        <f t="shared" si="22"/>
        <v>507.72</v>
      </c>
    </row>
    <row r="1414" spans="1:19">
      <c r="A1414" t="s">
        <v>2202</v>
      </c>
      <c r="B1414" s="3">
        <v>45413</v>
      </c>
      <c r="C1414" t="s">
        <v>1083</v>
      </c>
      <c r="D1414" t="s">
        <v>359</v>
      </c>
      <c r="E1414" t="s">
        <v>179</v>
      </c>
      <c r="F1414">
        <v>1</v>
      </c>
      <c r="G1414" t="s">
        <v>23</v>
      </c>
      <c r="H1414">
        <v>21</v>
      </c>
      <c r="I1414" s="12" t="s">
        <v>24</v>
      </c>
      <c r="J1414" s="12" t="s">
        <v>932</v>
      </c>
      <c r="K1414" s="12" t="s">
        <v>73</v>
      </c>
      <c r="L1414" s="12" t="s">
        <v>361</v>
      </c>
      <c r="M1414" s="12" t="s">
        <v>46</v>
      </c>
      <c r="N1414" s="14">
        <v>0.1</v>
      </c>
      <c r="O1414" s="23">
        <v>254.47</v>
      </c>
      <c r="P1414">
        <v>289.359375</v>
      </c>
      <c r="Q1414" s="12" t="str" cm="1">
        <f t="array" ref="Q1414:R1414">VLOOKUP(E1414,store[],{3,5},FALSE)</f>
        <v>East</v>
      </c>
      <c r="R1414" t="str">
        <v>Online</v>
      </c>
      <c r="S1414" s="4">
        <f t="shared" si="22"/>
        <v>254.37</v>
      </c>
    </row>
    <row r="1415" spans="1:19">
      <c r="A1415" t="s">
        <v>2203</v>
      </c>
      <c r="B1415" s="3">
        <v>45506</v>
      </c>
      <c r="C1415" t="s">
        <v>1116</v>
      </c>
      <c r="D1415" t="s">
        <v>425</v>
      </c>
      <c r="E1415" t="s">
        <v>117</v>
      </c>
      <c r="F1415">
        <v>4</v>
      </c>
      <c r="G1415" t="s">
        <v>50</v>
      </c>
      <c r="H1415">
        <v>60</v>
      </c>
      <c r="I1415" s="12" t="s">
        <v>34</v>
      </c>
      <c r="J1415" s="12" t="s">
        <v>214</v>
      </c>
      <c r="K1415" s="12" t="s">
        <v>60</v>
      </c>
      <c r="L1415" s="12" t="s">
        <v>426</v>
      </c>
      <c r="M1415" s="12" t="s">
        <v>130</v>
      </c>
      <c r="N1415" s="14">
        <v>0.11</v>
      </c>
      <c r="O1415" s="23">
        <v>627.73</v>
      </c>
      <c r="P1415">
        <v>174.02</v>
      </c>
      <c r="Q1415" s="12" t="str" cm="1">
        <f t="array" ref="Q1415:R1415">VLOOKUP(E1415,store[],{3,5},FALSE)</f>
        <v>West</v>
      </c>
      <c r="R1415" t="str">
        <v>Flagship</v>
      </c>
      <c r="S1415" s="4">
        <f t="shared" si="22"/>
        <v>2510.48</v>
      </c>
    </row>
    <row r="1416" spans="1:19">
      <c r="A1416" t="s">
        <v>2204</v>
      </c>
      <c r="B1416" s="3">
        <v>45394</v>
      </c>
      <c r="C1416" t="s">
        <v>674</v>
      </c>
      <c r="D1416" t="s">
        <v>311</v>
      </c>
      <c r="E1416" t="s">
        <v>135</v>
      </c>
      <c r="F1416">
        <v>4</v>
      </c>
      <c r="G1416" t="s">
        <v>50</v>
      </c>
      <c r="H1416">
        <v>21</v>
      </c>
      <c r="I1416" s="12" t="s">
        <v>34</v>
      </c>
      <c r="J1416" s="12" t="s">
        <v>214</v>
      </c>
      <c r="K1416" s="12" t="s">
        <v>52</v>
      </c>
      <c r="L1416" s="12" t="s">
        <v>312</v>
      </c>
      <c r="M1416" s="12" t="s">
        <v>28</v>
      </c>
      <c r="N1416" s="14">
        <v>0.13</v>
      </c>
      <c r="O1416" s="23">
        <v>327.25</v>
      </c>
      <c r="P1416">
        <v>204.39</v>
      </c>
      <c r="Q1416" s="12" t="str" cm="1">
        <f t="array" ref="Q1416:R1416">VLOOKUP(E1416,store[],{3,5},FALSE)</f>
        <v>East</v>
      </c>
      <c r="R1416" t="str">
        <v>Online</v>
      </c>
      <c r="S1416" s="4">
        <f t="shared" si="22"/>
        <v>1308.48</v>
      </c>
    </row>
    <row r="1417" spans="1:19">
      <c r="A1417" t="s">
        <v>2205</v>
      </c>
      <c r="B1417" s="3">
        <v>45755</v>
      </c>
      <c r="C1417" t="s">
        <v>1024</v>
      </c>
      <c r="D1417" t="s">
        <v>57</v>
      </c>
      <c r="E1417" t="s">
        <v>272</v>
      </c>
      <c r="F1417">
        <v>4</v>
      </c>
      <c r="G1417" t="s">
        <v>50</v>
      </c>
      <c r="H1417">
        <v>46</v>
      </c>
      <c r="I1417" s="12" t="s">
        <v>24</v>
      </c>
      <c r="J1417" s="12" t="s">
        <v>260</v>
      </c>
      <c r="K1417" s="12" t="s">
        <v>52</v>
      </c>
      <c r="L1417" s="12" t="s">
        <v>61</v>
      </c>
      <c r="M1417" s="12" t="s">
        <v>46</v>
      </c>
      <c r="N1417" s="14">
        <v>0.18</v>
      </c>
      <c r="O1417" s="23">
        <v>511.43</v>
      </c>
      <c r="P1417">
        <v>17.309999999999999</v>
      </c>
      <c r="Q1417" s="12" t="str" cm="1">
        <f t="array" ref="Q1417:R1417">VLOOKUP(E1417,store[],{3,5},FALSE)</f>
        <v>South</v>
      </c>
      <c r="R1417" t="str">
        <v>Online</v>
      </c>
      <c r="S1417" s="4">
        <f t="shared" si="22"/>
        <v>2045</v>
      </c>
    </row>
    <row r="1418" spans="1:19">
      <c r="A1418" t="s">
        <v>2206</v>
      </c>
      <c r="B1418" s="3">
        <v>45473</v>
      </c>
      <c r="C1418" t="s">
        <v>931</v>
      </c>
      <c r="D1418" t="s">
        <v>625</v>
      </c>
      <c r="E1418" t="s">
        <v>32</v>
      </c>
      <c r="F1418">
        <v>4</v>
      </c>
      <c r="G1418" t="s">
        <v>33</v>
      </c>
      <c r="H1418">
        <v>47</v>
      </c>
      <c r="I1418" s="12" t="s">
        <v>34</v>
      </c>
      <c r="J1418" s="12" t="s">
        <v>932</v>
      </c>
      <c r="K1418" s="12" t="s">
        <v>52</v>
      </c>
      <c r="L1418" s="12" t="s">
        <v>626</v>
      </c>
      <c r="M1418" s="12" t="s">
        <v>46</v>
      </c>
      <c r="N1418" s="14">
        <v>0.23</v>
      </c>
      <c r="O1418" s="23">
        <v>194.67</v>
      </c>
      <c r="P1418">
        <v>266.86</v>
      </c>
      <c r="Q1418" s="12" t="str" cm="1">
        <f t="array" ref="Q1418:R1418">VLOOKUP(E1418,store[],{3,5},FALSE)</f>
        <v>North</v>
      </c>
      <c r="R1418" t="str">
        <v>Flagship</v>
      </c>
      <c r="S1418" s="4">
        <f t="shared" si="22"/>
        <v>777.76</v>
      </c>
    </row>
    <row r="1419" spans="1:19">
      <c r="A1419" t="s">
        <v>2207</v>
      </c>
      <c r="B1419" s="3">
        <v>45304</v>
      </c>
      <c r="C1419" t="s">
        <v>1306</v>
      </c>
      <c r="D1419" t="s">
        <v>250</v>
      </c>
      <c r="E1419" t="s">
        <v>105</v>
      </c>
      <c r="F1419">
        <v>2</v>
      </c>
      <c r="G1419" t="s">
        <v>23</v>
      </c>
      <c r="H1419">
        <v>53</v>
      </c>
      <c r="I1419" s="12" t="s">
        <v>24</v>
      </c>
      <c r="J1419" s="12" t="s">
        <v>111</v>
      </c>
      <c r="K1419" s="12" t="s">
        <v>52</v>
      </c>
      <c r="L1419" s="12" t="s">
        <v>252</v>
      </c>
      <c r="M1419" s="12" t="s">
        <v>130</v>
      </c>
      <c r="N1419" s="14">
        <v>7.0000000000000007E-2</v>
      </c>
      <c r="O1419" s="23">
        <v>54.51</v>
      </c>
      <c r="P1419">
        <v>248.82191780821901</v>
      </c>
      <c r="Q1419" s="12" t="str" cm="1">
        <f t="array" ref="Q1419:R1419">VLOOKUP(E1419,store[],{3,5},FALSE)</f>
        <v>North</v>
      </c>
      <c r="R1419" t="str">
        <v>Flagship</v>
      </c>
      <c r="S1419" s="4">
        <f t="shared" si="22"/>
        <v>108.88</v>
      </c>
    </row>
    <row r="1420" spans="1:19">
      <c r="A1420" t="s">
        <v>2208</v>
      </c>
      <c r="B1420" s="3">
        <v>45557</v>
      </c>
      <c r="C1420" t="s">
        <v>578</v>
      </c>
      <c r="D1420" t="s">
        <v>661</v>
      </c>
      <c r="E1420" t="s">
        <v>272</v>
      </c>
      <c r="F1420">
        <v>4</v>
      </c>
      <c r="G1420" t="s">
        <v>33</v>
      </c>
      <c r="H1420">
        <v>37</v>
      </c>
      <c r="I1420" s="12" t="s">
        <v>24</v>
      </c>
      <c r="J1420" s="12" t="s">
        <v>169</v>
      </c>
      <c r="K1420" s="12" t="s">
        <v>26</v>
      </c>
      <c r="L1420" s="12" t="s">
        <v>662</v>
      </c>
      <c r="M1420" s="12" t="s">
        <v>37</v>
      </c>
      <c r="N1420" s="14">
        <v>0.14000000000000001</v>
      </c>
      <c r="O1420" s="23">
        <v>964</v>
      </c>
      <c r="P1420">
        <v>86.42</v>
      </c>
      <c r="Q1420" s="12" t="str" cm="1">
        <f t="array" ref="Q1420:R1420">VLOOKUP(E1420,store[],{3,5},FALSE)</f>
        <v>South</v>
      </c>
      <c r="R1420" t="str">
        <v>Online</v>
      </c>
      <c r="S1420" s="4">
        <f t="shared" si="22"/>
        <v>3855.44</v>
      </c>
    </row>
    <row r="1421" spans="1:19">
      <c r="A1421" t="s">
        <v>2209</v>
      </c>
      <c r="B1421" s="3">
        <v>45527</v>
      </c>
      <c r="C1421" t="s">
        <v>1239</v>
      </c>
      <c r="D1421" t="s">
        <v>287</v>
      </c>
      <c r="E1421" t="s">
        <v>72</v>
      </c>
      <c r="F1421">
        <v>1</v>
      </c>
      <c r="G1421" t="s">
        <v>33</v>
      </c>
      <c r="H1421">
        <v>50</v>
      </c>
      <c r="I1421" s="12" t="s">
        <v>24</v>
      </c>
      <c r="J1421" s="12" t="s">
        <v>333</v>
      </c>
      <c r="K1421" s="12" t="s">
        <v>26</v>
      </c>
      <c r="L1421" s="12" t="s">
        <v>288</v>
      </c>
      <c r="M1421" s="12" t="s">
        <v>46</v>
      </c>
      <c r="N1421" s="14">
        <v>0.26</v>
      </c>
      <c r="O1421" s="23">
        <v>170.12</v>
      </c>
      <c r="P1421">
        <v>183.04</v>
      </c>
      <c r="Q1421" s="12" t="str" cm="1">
        <f t="array" ref="Q1421:R1421">VLOOKUP(E1421,store[],{3,5},FALSE)</f>
        <v>South</v>
      </c>
      <c r="R1421" t="str">
        <v>Online</v>
      </c>
      <c r="S1421" s="4">
        <f t="shared" si="22"/>
        <v>169.86</v>
      </c>
    </row>
    <row r="1422" spans="1:19">
      <c r="A1422" t="s">
        <v>2210</v>
      </c>
      <c r="B1422" s="3">
        <v>45875</v>
      </c>
      <c r="C1422" t="s">
        <v>78</v>
      </c>
      <c r="D1422" t="s">
        <v>207</v>
      </c>
      <c r="E1422" t="s">
        <v>135</v>
      </c>
      <c r="F1422">
        <v>2</v>
      </c>
      <c r="G1422" t="s">
        <v>23</v>
      </c>
      <c r="H1422">
        <v>41</v>
      </c>
      <c r="I1422" s="12" t="s">
        <v>34</v>
      </c>
      <c r="J1422" s="12" t="s">
        <v>80</v>
      </c>
      <c r="K1422" s="12" t="s">
        <v>52</v>
      </c>
      <c r="L1422" s="12" t="s">
        <v>210</v>
      </c>
      <c r="M1422" s="12" t="s">
        <v>130</v>
      </c>
      <c r="N1422" s="14">
        <v>0.23</v>
      </c>
      <c r="O1422" s="23">
        <v>664.5</v>
      </c>
      <c r="P1422">
        <v>386.56</v>
      </c>
      <c r="Q1422" s="12" t="str" cm="1">
        <f t="array" ref="Q1422:R1422">VLOOKUP(E1422,store[],{3,5},FALSE)</f>
        <v>East</v>
      </c>
      <c r="R1422" t="str">
        <v>Online</v>
      </c>
      <c r="S1422" s="4">
        <f t="shared" si="22"/>
        <v>1328.54</v>
      </c>
    </row>
    <row r="1423" spans="1:19">
      <c r="A1423" t="s">
        <v>2211</v>
      </c>
      <c r="B1423" s="3">
        <v>45936</v>
      </c>
      <c r="C1423" t="s">
        <v>674</v>
      </c>
      <c r="D1423" t="s">
        <v>344</v>
      </c>
      <c r="E1423" t="s">
        <v>168</v>
      </c>
      <c r="F1423">
        <v>4</v>
      </c>
      <c r="G1423" t="s">
        <v>23</v>
      </c>
      <c r="H1423">
        <v>21</v>
      </c>
      <c r="I1423" s="12" t="s">
        <v>34</v>
      </c>
      <c r="J1423" s="12" t="s">
        <v>214</v>
      </c>
      <c r="K1423" s="12" t="s">
        <v>52</v>
      </c>
      <c r="L1423" s="12" t="s">
        <v>347</v>
      </c>
      <c r="M1423" s="12" t="s">
        <v>28</v>
      </c>
      <c r="N1423" s="14">
        <v>0.11</v>
      </c>
      <c r="O1423" s="23">
        <v>557.51</v>
      </c>
      <c r="P1423">
        <v>318.91000000000003</v>
      </c>
      <c r="Q1423" s="12" t="str" cm="1">
        <f t="array" ref="Q1423:R1423">VLOOKUP(E1423,store[],{3,5},FALSE)</f>
        <v>East</v>
      </c>
      <c r="R1423" t="str">
        <v>Online</v>
      </c>
      <c r="S1423" s="4">
        <f t="shared" si="22"/>
        <v>2229.6</v>
      </c>
    </row>
    <row r="1424" spans="1:19">
      <c r="A1424" t="s">
        <v>2212</v>
      </c>
      <c r="B1424" s="3">
        <v>45807</v>
      </c>
      <c r="C1424" t="s">
        <v>493</v>
      </c>
      <c r="D1424" t="s">
        <v>453</v>
      </c>
      <c r="E1424" t="s">
        <v>105</v>
      </c>
      <c r="F1424">
        <v>2</v>
      </c>
      <c r="G1424" t="s">
        <v>50</v>
      </c>
      <c r="H1424">
        <v>62</v>
      </c>
      <c r="I1424" s="12" t="s">
        <v>34</v>
      </c>
      <c r="J1424" s="12" t="s">
        <v>333</v>
      </c>
      <c r="K1424" s="12" t="s">
        <v>52</v>
      </c>
      <c r="L1424" s="12" t="s">
        <v>454</v>
      </c>
      <c r="M1424" s="12" t="s">
        <v>37</v>
      </c>
      <c r="N1424" s="14">
        <v>0.13</v>
      </c>
      <c r="O1424" s="23">
        <v>410</v>
      </c>
      <c r="P1424">
        <v>340.14</v>
      </c>
      <c r="Q1424" s="12" t="str" cm="1">
        <f t="array" ref="Q1424:R1424">VLOOKUP(E1424,store[],{3,5},FALSE)</f>
        <v>North</v>
      </c>
      <c r="R1424" t="str">
        <v>Flagship</v>
      </c>
      <c r="S1424" s="4">
        <f t="shared" si="22"/>
        <v>819.74</v>
      </c>
    </row>
    <row r="1425" spans="1:19">
      <c r="A1425" t="s">
        <v>2213</v>
      </c>
      <c r="B1425" s="3">
        <v>45473</v>
      </c>
      <c r="C1425" t="s">
        <v>1536</v>
      </c>
      <c r="D1425" t="s">
        <v>359</v>
      </c>
      <c r="E1425" t="s">
        <v>58</v>
      </c>
      <c r="F1425">
        <v>2</v>
      </c>
      <c r="G1425" t="s">
        <v>50</v>
      </c>
      <c r="H1425">
        <v>44</v>
      </c>
      <c r="I1425" s="12" t="s">
        <v>24</v>
      </c>
      <c r="J1425" s="12" t="s">
        <v>51</v>
      </c>
      <c r="K1425" s="12" t="s">
        <v>52</v>
      </c>
      <c r="L1425" s="12" t="s">
        <v>361</v>
      </c>
      <c r="M1425" s="12" t="s">
        <v>46</v>
      </c>
      <c r="N1425" s="14">
        <v>0.28999999999999998</v>
      </c>
      <c r="O1425" s="23">
        <v>879.93</v>
      </c>
      <c r="P1425">
        <v>289.359375</v>
      </c>
      <c r="Q1425" s="12" t="str" cm="1">
        <f t="array" ref="Q1425:R1425">VLOOKUP(E1425,store[],{3,5},FALSE)</f>
        <v>North</v>
      </c>
      <c r="R1425" t="str">
        <v>Outlet</v>
      </c>
      <c r="S1425" s="4">
        <f t="shared" si="22"/>
        <v>1759.28</v>
      </c>
    </row>
    <row r="1426" spans="1:19">
      <c r="A1426" t="s">
        <v>2214</v>
      </c>
      <c r="B1426" s="3">
        <v>45664</v>
      </c>
      <c r="C1426" t="s">
        <v>355</v>
      </c>
      <c r="D1426" t="s">
        <v>197</v>
      </c>
      <c r="E1426" t="s">
        <v>160</v>
      </c>
      <c r="F1426">
        <v>1</v>
      </c>
      <c r="G1426" t="s">
        <v>50</v>
      </c>
      <c r="H1426">
        <v>29</v>
      </c>
      <c r="I1426" s="12" t="s">
        <v>34</v>
      </c>
      <c r="J1426" s="12" t="s">
        <v>356</v>
      </c>
      <c r="K1426" s="12" t="s">
        <v>73</v>
      </c>
      <c r="L1426" s="12" t="s">
        <v>200</v>
      </c>
      <c r="M1426" s="12" t="s">
        <v>37</v>
      </c>
      <c r="N1426" s="14">
        <v>0.03</v>
      </c>
      <c r="O1426" s="23">
        <v>350.58</v>
      </c>
      <c r="P1426">
        <v>242.23</v>
      </c>
      <c r="Q1426" s="12" t="str" cm="1">
        <f t="array" ref="Q1426:R1426">VLOOKUP(E1426,store[],{3,5},FALSE)</f>
        <v>East</v>
      </c>
      <c r="R1426" t="str">
        <v>Flagship</v>
      </c>
      <c r="S1426" s="4">
        <f t="shared" si="22"/>
        <v>350.55</v>
      </c>
    </row>
    <row r="1427" spans="1:19">
      <c r="A1427" t="s">
        <v>2215</v>
      </c>
      <c r="B1427" s="3">
        <v>45633</v>
      </c>
      <c r="C1427" t="s">
        <v>1497</v>
      </c>
      <c r="D1427" t="s">
        <v>714</v>
      </c>
      <c r="E1427" t="s">
        <v>22</v>
      </c>
      <c r="F1427">
        <v>4</v>
      </c>
      <c r="G1427" t="s">
        <v>23</v>
      </c>
      <c r="H1427">
        <v>26</v>
      </c>
      <c r="I1427" s="12" t="s">
        <v>24</v>
      </c>
      <c r="J1427" s="12" t="s">
        <v>106</v>
      </c>
      <c r="K1427" s="12" t="s">
        <v>60</v>
      </c>
      <c r="L1427" s="12" t="s">
        <v>715</v>
      </c>
      <c r="M1427" s="12" t="s">
        <v>130</v>
      </c>
      <c r="N1427" s="14">
        <v>0.16</v>
      </c>
      <c r="O1427" s="23">
        <v>348.58</v>
      </c>
      <c r="P1427">
        <v>113.83</v>
      </c>
      <c r="Q1427" s="12" t="str" cm="1">
        <f t="array" ref="Q1427:R1427">VLOOKUP(E1427,store[],{3,5},FALSE)</f>
        <v>North</v>
      </c>
      <c r="R1427" t="str">
        <v>Outlet</v>
      </c>
      <c r="S1427" s="4">
        <f t="shared" si="22"/>
        <v>1393.68</v>
      </c>
    </row>
    <row r="1428" spans="1:19">
      <c r="A1428" t="s">
        <v>2216</v>
      </c>
      <c r="B1428" s="3">
        <v>45548</v>
      </c>
      <c r="C1428" t="s">
        <v>538</v>
      </c>
      <c r="D1428" t="s">
        <v>425</v>
      </c>
      <c r="E1428" t="s">
        <v>22</v>
      </c>
      <c r="F1428">
        <v>3</v>
      </c>
      <c r="G1428" t="s">
        <v>50</v>
      </c>
      <c r="H1428">
        <v>29</v>
      </c>
      <c r="I1428" s="12" t="s">
        <v>34</v>
      </c>
      <c r="J1428" s="12" t="s">
        <v>457</v>
      </c>
      <c r="K1428" s="12" t="s">
        <v>26</v>
      </c>
      <c r="L1428" s="12" t="s">
        <v>426</v>
      </c>
      <c r="M1428" s="12" t="s">
        <v>130</v>
      </c>
      <c r="N1428" s="14">
        <v>0.02</v>
      </c>
      <c r="O1428" s="23">
        <v>247.66</v>
      </c>
      <c r="P1428">
        <v>174.02</v>
      </c>
      <c r="Q1428" s="12" t="str" cm="1">
        <f t="array" ref="Q1428:R1428">VLOOKUP(E1428,store[],{3,5},FALSE)</f>
        <v>North</v>
      </c>
      <c r="R1428" t="str">
        <v>Outlet</v>
      </c>
      <c r="S1428" s="4">
        <f t="shared" si="22"/>
        <v>742.92</v>
      </c>
    </row>
    <row r="1429" spans="1:19">
      <c r="A1429" t="s">
        <v>2217</v>
      </c>
      <c r="B1429" s="3">
        <v>45244</v>
      </c>
      <c r="C1429" t="s">
        <v>1187</v>
      </c>
      <c r="D1429" t="s">
        <v>104</v>
      </c>
      <c r="E1429" t="s">
        <v>122</v>
      </c>
      <c r="F1429">
        <v>3</v>
      </c>
      <c r="G1429" t="s">
        <v>23</v>
      </c>
      <c r="H1429">
        <v>53</v>
      </c>
      <c r="I1429" s="12" t="s">
        <v>24</v>
      </c>
      <c r="J1429" s="12" t="s">
        <v>80</v>
      </c>
      <c r="K1429" s="12" t="s">
        <v>52</v>
      </c>
      <c r="L1429" s="12" t="s">
        <v>107</v>
      </c>
      <c r="M1429" s="12" t="s">
        <v>37</v>
      </c>
      <c r="N1429" s="14">
        <v>0.16</v>
      </c>
      <c r="O1429" s="23">
        <v>836.27</v>
      </c>
      <c r="P1429">
        <v>326.06</v>
      </c>
      <c r="Q1429" s="12" t="str" cm="1">
        <f t="array" ref="Q1429:R1429">VLOOKUP(E1429,store[],{3,5},FALSE)</f>
        <v>North</v>
      </c>
      <c r="R1429" t="str">
        <v>Flagship</v>
      </c>
      <c r="S1429" s="4">
        <f t="shared" si="22"/>
        <v>2508.33</v>
      </c>
    </row>
    <row r="1430" spans="1:19">
      <c r="A1430" t="s">
        <v>2218</v>
      </c>
      <c r="B1430" s="3">
        <v>45753</v>
      </c>
      <c r="C1430" t="s">
        <v>1618</v>
      </c>
      <c r="D1430" t="s">
        <v>480</v>
      </c>
      <c r="E1430" t="s">
        <v>168</v>
      </c>
      <c r="F1430">
        <v>3</v>
      </c>
      <c r="G1430" t="s">
        <v>50</v>
      </c>
      <c r="H1430">
        <v>60</v>
      </c>
      <c r="I1430" s="12" t="s">
        <v>24</v>
      </c>
      <c r="J1430" s="12" t="s">
        <v>251</v>
      </c>
      <c r="K1430" s="12" t="s">
        <v>60</v>
      </c>
      <c r="L1430" s="12" t="s">
        <v>481</v>
      </c>
      <c r="M1430" s="12" t="s">
        <v>75</v>
      </c>
      <c r="N1430" s="14">
        <v>0.13</v>
      </c>
      <c r="O1430" s="23">
        <v>696.74</v>
      </c>
      <c r="P1430">
        <v>48.01</v>
      </c>
      <c r="Q1430" s="12" t="str" cm="1">
        <f t="array" ref="Q1430:R1430">VLOOKUP(E1430,store[],{3,5},FALSE)</f>
        <v>East</v>
      </c>
      <c r="R1430" t="str">
        <v>Online</v>
      </c>
      <c r="S1430" s="4">
        <f t="shared" si="22"/>
        <v>2089.83</v>
      </c>
    </row>
    <row r="1431" spans="1:19">
      <c r="A1431" t="s">
        <v>2219</v>
      </c>
      <c r="B1431" s="3">
        <v>45804</v>
      </c>
      <c r="C1431" t="s">
        <v>1685</v>
      </c>
      <c r="D1431" t="s">
        <v>242</v>
      </c>
      <c r="E1431" t="s">
        <v>149</v>
      </c>
      <c r="F1431">
        <v>2</v>
      </c>
      <c r="G1431" t="s">
        <v>33</v>
      </c>
      <c r="H1431">
        <v>57</v>
      </c>
      <c r="I1431" s="12" t="s">
        <v>34</v>
      </c>
      <c r="J1431" s="12" t="s">
        <v>209</v>
      </c>
      <c r="K1431" s="12" t="s">
        <v>52</v>
      </c>
      <c r="L1431" s="12" t="s">
        <v>243</v>
      </c>
      <c r="M1431" s="12" t="s">
        <v>46</v>
      </c>
      <c r="N1431" s="14">
        <v>0.22</v>
      </c>
      <c r="O1431" s="23">
        <v>822.59</v>
      </c>
      <c r="P1431">
        <v>358.47</v>
      </c>
      <c r="Q1431" s="12" t="str" cm="1">
        <f t="array" ref="Q1431:R1431">VLOOKUP(E1431,store[],{3,5},FALSE)</f>
        <v>East</v>
      </c>
      <c r="R1431" t="str">
        <v>Flagship</v>
      </c>
      <c r="S1431" s="4">
        <f t="shared" si="22"/>
        <v>1644.74</v>
      </c>
    </row>
    <row r="1432" spans="1:19">
      <c r="A1432" t="s">
        <v>2220</v>
      </c>
      <c r="B1432" s="3">
        <v>45263</v>
      </c>
      <c r="C1432" t="s">
        <v>904</v>
      </c>
      <c r="D1432" t="s">
        <v>221</v>
      </c>
      <c r="E1432" t="s">
        <v>198</v>
      </c>
      <c r="F1432">
        <v>1</v>
      </c>
      <c r="G1432" t="s">
        <v>33</v>
      </c>
      <c r="H1432">
        <v>35</v>
      </c>
      <c r="I1432" s="12" t="s">
        <v>24</v>
      </c>
      <c r="J1432" s="12" t="s">
        <v>222</v>
      </c>
      <c r="K1432" s="12" t="s">
        <v>52</v>
      </c>
      <c r="L1432" s="12" t="s">
        <v>223</v>
      </c>
      <c r="M1432" s="12" t="s">
        <v>75</v>
      </c>
      <c r="N1432" s="14">
        <v>0.3</v>
      </c>
      <c r="O1432" s="23">
        <v>462.23</v>
      </c>
      <c r="P1432">
        <v>228.53</v>
      </c>
      <c r="Q1432" s="12" t="str" cm="1">
        <f t="array" ref="Q1432:R1432">VLOOKUP(E1432,store[],{3,5},FALSE)</f>
        <v>South</v>
      </c>
      <c r="R1432" t="str">
        <v>Outlet</v>
      </c>
      <c r="S1432" s="4">
        <f t="shared" si="22"/>
        <v>461.93</v>
      </c>
    </row>
    <row r="1433" spans="1:19">
      <c r="A1433" t="s">
        <v>2221</v>
      </c>
      <c r="B1433" s="3">
        <v>45906</v>
      </c>
      <c r="C1433" t="s">
        <v>2222</v>
      </c>
      <c r="D1433" t="s">
        <v>449</v>
      </c>
      <c r="E1433" t="s">
        <v>32</v>
      </c>
      <c r="F1433">
        <v>1</v>
      </c>
      <c r="G1433" t="s">
        <v>33</v>
      </c>
      <c r="H1433">
        <v>45</v>
      </c>
      <c r="I1433" s="12" t="s">
        <v>24</v>
      </c>
      <c r="J1433" s="12" t="s">
        <v>256</v>
      </c>
      <c r="K1433" s="12" t="s">
        <v>26</v>
      </c>
      <c r="L1433" s="12" t="s">
        <v>450</v>
      </c>
      <c r="M1433" s="12" t="s">
        <v>37</v>
      </c>
      <c r="N1433" s="14">
        <v>0.06</v>
      </c>
      <c r="O1433" s="23">
        <v>361.09</v>
      </c>
      <c r="P1433">
        <v>450.71</v>
      </c>
      <c r="Q1433" s="12" t="str" cm="1">
        <f t="array" ref="Q1433:R1433">VLOOKUP(E1433,store[],{3,5},FALSE)</f>
        <v>North</v>
      </c>
      <c r="R1433" t="str">
        <v>Flagship</v>
      </c>
      <c r="S1433" s="4">
        <f t="shared" si="22"/>
        <v>361.03</v>
      </c>
    </row>
    <row r="1434" spans="1:19">
      <c r="A1434" t="s">
        <v>2223</v>
      </c>
      <c r="B1434" s="3">
        <v>45243</v>
      </c>
      <c r="C1434" t="s">
        <v>1017</v>
      </c>
      <c r="D1434" t="s">
        <v>575</v>
      </c>
      <c r="E1434" t="s">
        <v>135</v>
      </c>
      <c r="F1434">
        <v>3</v>
      </c>
      <c r="G1434" t="s">
        <v>33</v>
      </c>
      <c r="H1434">
        <v>27</v>
      </c>
      <c r="I1434" s="12" t="s">
        <v>34</v>
      </c>
      <c r="J1434" s="12" t="s">
        <v>457</v>
      </c>
      <c r="K1434" s="12" t="s">
        <v>60</v>
      </c>
      <c r="L1434" s="12" t="s">
        <v>576</v>
      </c>
      <c r="M1434" s="12" t="s">
        <v>28</v>
      </c>
      <c r="N1434" s="14">
        <v>0.03</v>
      </c>
      <c r="O1434" s="23">
        <v>59.37</v>
      </c>
      <c r="P1434">
        <v>107.06</v>
      </c>
      <c r="Q1434" s="12" t="str" cm="1">
        <f t="array" ref="Q1434:R1434">VLOOKUP(E1434,store[],{3,5},FALSE)</f>
        <v>East</v>
      </c>
      <c r="R1434" t="str">
        <v>Online</v>
      </c>
      <c r="S1434" s="4">
        <f t="shared" si="22"/>
        <v>178.02</v>
      </c>
    </row>
    <row r="1435" spans="1:19">
      <c r="A1435" t="s">
        <v>2224</v>
      </c>
      <c r="B1435" s="3">
        <v>45686</v>
      </c>
      <c r="C1435" t="s">
        <v>1303</v>
      </c>
      <c r="D1435" t="s">
        <v>295</v>
      </c>
      <c r="E1435" t="s">
        <v>105</v>
      </c>
      <c r="F1435">
        <v>3</v>
      </c>
      <c r="G1435" t="s">
        <v>50</v>
      </c>
      <c r="H1435">
        <v>20</v>
      </c>
      <c r="I1435" s="12" t="s">
        <v>34</v>
      </c>
      <c r="J1435" s="12" t="s">
        <v>360</v>
      </c>
      <c r="K1435" s="12" t="s">
        <v>26</v>
      </c>
      <c r="L1435" s="12" t="s">
        <v>296</v>
      </c>
      <c r="M1435" s="12" t="s">
        <v>37</v>
      </c>
      <c r="N1435" s="14">
        <v>0.14000000000000001</v>
      </c>
      <c r="O1435" s="23">
        <v>765.21</v>
      </c>
      <c r="P1435">
        <v>38.520000000000003</v>
      </c>
      <c r="Q1435" s="12" t="str" cm="1">
        <f t="array" ref="Q1435:R1435">VLOOKUP(E1435,store[],{3,5},FALSE)</f>
        <v>North</v>
      </c>
      <c r="R1435" t="str">
        <v>Flagship</v>
      </c>
      <c r="S1435" s="4">
        <f t="shared" si="22"/>
        <v>2295.21</v>
      </c>
    </row>
    <row r="1436" spans="1:19">
      <c r="A1436" t="s">
        <v>2225</v>
      </c>
      <c r="B1436" s="3">
        <v>45472</v>
      </c>
      <c r="C1436" t="s">
        <v>552</v>
      </c>
      <c r="D1436" t="s">
        <v>579</v>
      </c>
      <c r="E1436" t="s">
        <v>208</v>
      </c>
      <c r="F1436">
        <v>4</v>
      </c>
      <c r="G1436" t="s">
        <v>50</v>
      </c>
      <c r="H1436">
        <v>56</v>
      </c>
      <c r="I1436" s="12" t="s">
        <v>34</v>
      </c>
      <c r="J1436" s="12" t="s">
        <v>118</v>
      </c>
      <c r="K1436" s="12" t="s">
        <v>26</v>
      </c>
      <c r="L1436" s="12" t="s">
        <v>580</v>
      </c>
      <c r="M1436" s="12" t="s">
        <v>46</v>
      </c>
      <c r="N1436" s="14">
        <v>0.2</v>
      </c>
      <c r="O1436" s="23">
        <v>303.56</v>
      </c>
      <c r="P1436">
        <v>283.83</v>
      </c>
      <c r="Q1436" s="12" t="str" cm="1">
        <f t="array" ref="Q1436:R1436">VLOOKUP(E1436,store[],{3,5},FALSE)</f>
        <v>North</v>
      </c>
      <c r="R1436" t="str">
        <v>Online</v>
      </c>
      <c r="S1436" s="4">
        <f t="shared" si="22"/>
        <v>1213.44</v>
      </c>
    </row>
    <row r="1437" spans="1:19">
      <c r="A1437" t="s">
        <v>2226</v>
      </c>
      <c r="B1437" s="3">
        <v>45779</v>
      </c>
      <c r="C1437" t="s">
        <v>115</v>
      </c>
      <c r="D1437" t="s">
        <v>139</v>
      </c>
      <c r="E1437" t="s">
        <v>90</v>
      </c>
      <c r="F1437">
        <v>1</v>
      </c>
      <c r="G1437" t="s">
        <v>33</v>
      </c>
      <c r="H1437">
        <v>51</v>
      </c>
      <c r="I1437" s="12" t="s">
        <v>24</v>
      </c>
      <c r="J1437" s="12" t="s">
        <v>118</v>
      </c>
      <c r="K1437" s="12" t="s">
        <v>60</v>
      </c>
      <c r="L1437" s="12" t="s">
        <v>141</v>
      </c>
      <c r="M1437" s="12" t="s">
        <v>75</v>
      </c>
      <c r="N1437" s="14">
        <v>0.19</v>
      </c>
      <c r="O1437" s="23">
        <v>640.92999999999995</v>
      </c>
      <c r="P1437">
        <v>250.02157142857101</v>
      </c>
      <c r="Q1437" s="12" t="str" cm="1">
        <f t="array" ref="Q1437:R1437">VLOOKUP(E1437,store[],{3,5},FALSE)</f>
        <v>East</v>
      </c>
      <c r="R1437" t="str">
        <v>Flagship</v>
      </c>
      <c r="S1437" s="4">
        <f t="shared" si="22"/>
        <v>640.74</v>
      </c>
    </row>
    <row r="1438" spans="1:19">
      <c r="A1438" t="s">
        <v>2227</v>
      </c>
      <c r="B1438" s="3">
        <v>45830</v>
      </c>
      <c r="C1438" t="s">
        <v>2228</v>
      </c>
      <c r="D1438" t="s">
        <v>400</v>
      </c>
      <c r="E1438" t="s">
        <v>168</v>
      </c>
      <c r="F1438">
        <v>2</v>
      </c>
      <c r="G1438" t="s">
        <v>23</v>
      </c>
      <c r="H1438">
        <v>26</v>
      </c>
      <c r="I1438" s="12" t="s">
        <v>34</v>
      </c>
      <c r="J1438" s="12" t="s">
        <v>35</v>
      </c>
      <c r="K1438" s="12" t="s">
        <v>26</v>
      </c>
      <c r="L1438" s="12" t="s">
        <v>401</v>
      </c>
      <c r="M1438" s="12" t="s">
        <v>75</v>
      </c>
      <c r="N1438" s="14">
        <v>0.22</v>
      </c>
      <c r="O1438" s="23">
        <v>611.25</v>
      </c>
      <c r="P1438">
        <v>176.07</v>
      </c>
      <c r="Q1438" s="12" t="str" cm="1">
        <f t="array" ref="Q1438:R1438">VLOOKUP(E1438,store[],{3,5},FALSE)</f>
        <v>East</v>
      </c>
      <c r="R1438" t="str">
        <v>Online</v>
      </c>
      <c r="S1438" s="4">
        <f t="shared" si="22"/>
        <v>1222.06</v>
      </c>
    </row>
    <row r="1439" spans="1:19">
      <c r="A1439" t="s">
        <v>2229</v>
      </c>
      <c r="B1439" s="3">
        <v>45756</v>
      </c>
      <c r="C1439" t="s">
        <v>1235</v>
      </c>
      <c r="D1439" t="s">
        <v>532</v>
      </c>
      <c r="E1439" t="s">
        <v>105</v>
      </c>
      <c r="F1439">
        <v>1</v>
      </c>
      <c r="G1439" t="s">
        <v>23</v>
      </c>
      <c r="H1439">
        <v>60</v>
      </c>
      <c r="I1439" s="12" t="s">
        <v>34</v>
      </c>
      <c r="J1439" s="12" t="s">
        <v>333</v>
      </c>
      <c r="K1439" s="12" t="s">
        <v>60</v>
      </c>
      <c r="L1439" s="12" t="s">
        <v>533</v>
      </c>
      <c r="M1439" s="12" t="s">
        <v>46</v>
      </c>
      <c r="N1439" s="14">
        <v>0.21</v>
      </c>
      <c r="O1439" s="23">
        <v>209.93</v>
      </c>
      <c r="P1439">
        <v>340.39</v>
      </c>
      <c r="Q1439" s="12" t="str" cm="1">
        <f t="array" ref="Q1439:R1439">VLOOKUP(E1439,store[],{3,5},FALSE)</f>
        <v>North</v>
      </c>
      <c r="R1439" t="str">
        <v>Flagship</v>
      </c>
      <c r="S1439" s="4">
        <f t="shared" si="22"/>
        <v>209.72</v>
      </c>
    </row>
    <row r="1440" spans="1:19">
      <c r="A1440" t="s">
        <v>2230</v>
      </c>
      <c r="B1440" s="3">
        <v>45847</v>
      </c>
      <c r="C1440" t="s">
        <v>1528</v>
      </c>
      <c r="D1440" t="s">
        <v>85</v>
      </c>
      <c r="E1440" t="s">
        <v>168</v>
      </c>
      <c r="F1440">
        <v>3</v>
      </c>
      <c r="G1440" t="s">
        <v>33</v>
      </c>
      <c r="H1440">
        <v>40</v>
      </c>
      <c r="I1440" s="12" t="s">
        <v>34</v>
      </c>
      <c r="J1440" s="12" t="s">
        <v>336</v>
      </c>
      <c r="K1440" s="12" t="s">
        <v>26</v>
      </c>
      <c r="L1440" s="12" t="s">
        <v>86</v>
      </c>
      <c r="M1440" s="12" t="s">
        <v>75</v>
      </c>
      <c r="N1440" s="14">
        <v>0.24</v>
      </c>
      <c r="O1440" s="23">
        <v>130.38999999999999</v>
      </c>
      <c r="P1440">
        <v>201.41</v>
      </c>
      <c r="Q1440" s="12" t="str" cm="1">
        <f t="array" ref="Q1440:R1440">VLOOKUP(E1440,store[],{3,5},FALSE)</f>
        <v>East</v>
      </c>
      <c r="R1440" t="str">
        <v>Online</v>
      </c>
      <c r="S1440" s="4">
        <f t="shared" si="22"/>
        <v>390.45</v>
      </c>
    </row>
    <row r="1441" spans="1:19">
      <c r="A1441" t="s">
        <v>2231</v>
      </c>
      <c r="B1441" s="3">
        <v>45322</v>
      </c>
      <c r="C1441" t="s">
        <v>2232</v>
      </c>
      <c r="D1441" t="s">
        <v>317</v>
      </c>
      <c r="E1441" t="s">
        <v>66</v>
      </c>
      <c r="F1441">
        <v>2</v>
      </c>
      <c r="G1441" t="s">
        <v>50</v>
      </c>
      <c r="H1441">
        <v>40</v>
      </c>
      <c r="I1441" s="12" t="s">
        <v>34</v>
      </c>
      <c r="J1441" s="12" t="s">
        <v>80</v>
      </c>
      <c r="K1441" s="12" t="s">
        <v>73</v>
      </c>
      <c r="L1441" s="12" t="s">
        <v>318</v>
      </c>
      <c r="M1441" s="12" t="s">
        <v>37</v>
      </c>
      <c r="N1441" s="14">
        <v>0.1</v>
      </c>
      <c r="O1441" s="23">
        <v>846.18</v>
      </c>
      <c r="P1441">
        <v>377.52</v>
      </c>
      <c r="Q1441" s="12" t="str" cm="1">
        <f t="array" ref="Q1441:R1441">VLOOKUP(E1441,store[],{3,5},FALSE)</f>
        <v>South</v>
      </c>
      <c r="R1441" t="str">
        <v>Online</v>
      </c>
      <c r="S1441" s="4">
        <f t="shared" si="22"/>
        <v>1692.16</v>
      </c>
    </row>
    <row r="1442" spans="1:19">
      <c r="A1442" t="s">
        <v>2233</v>
      </c>
      <c r="B1442" s="3">
        <v>45829</v>
      </c>
      <c r="C1442" t="s">
        <v>1354</v>
      </c>
      <c r="D1442" t="s">
        <v>79</v>
      </c>
      <c r="E1442" t="s">
        <v>98</v>
      </c>
      <c r="F1442">
        <v>2</v>
      </c>
      <c r="G1442" t="s">
        <v>50</v>
      </c>
      <c r="H1442">
        <v>38</v>
      </c>
      <c r="I1442" s="12" t="s">
        <v>24</v>
      </c>
      <c r="J1442" s="12" t="s">
        <v>440</v>
      </c>
      <c r="K1442" s="12" t="s">
        <v>60</v>
      </c>
      <c r="L1442" s="12" t="s">
        <v>81</v>
      </c>
      <c r="M1442" s="12" t="s">
        <v>75</v>
      </c>
      <c r="N1442" s="14">
        <v>0.14000000000000001</v>
      </c>
      <c r="O1442" s="23">
        <v>424.53</v>
      </c>
      <c r="P1442">
        <v>138.05000000000001</v>
      </c>
      <c r="Q1442" s="12" t="str" cm="1">
        <f t="array" ref="Q1442:R1442">VLOOKUP(E1442,store[],{3,5},FALSE)</f>
        <v>South</v>
      </c>
      <c r="R1442" t="str">
        <v>Outlet</v>
      </c>
      <c r="S1442" s="4">
        <f t="shared" si="22"/>
        <v>848.78</v>
      </c>
    </row>
    <row r="1443" spans="1:19">
      <c r="A1443" t="s">
        <v>2234</v>
      </c>
      <c r="B1443" s="3">
        <v>45539</v>
      </c>
      <c r="C1443" t="s">
        <v>2235</v>
      </c>
      <c r="D1443" t="s">
        <v>110</v>
      </c>
      <c r="E1443" t="s">
        <v>98</v>
      </c>
      <c r="F1443">
        <v>4</v>
      </c>
      <c r="G1443" t="s">
        <v>50</v>
      </c>
      <c r="H1443">
        <v>24</v>
      </c>
      <c r="I1443" s="12" t="s">
        <v>34</v>
      </c>
      <c r="J1443" s="12" t="s">
        <v>118</v>
      </c>
      <c r="K1443" s="12" t="s">
        <v>52</v>
      </c>
      <c r="L1443" s="12" t="s">
        <v>112</v>
      </c>
      <c r="M1443" s="12" t="s">
        <v>28</v>
      </c>
      <c r="N1443" s="14">
        <v>0.08</v>
      </c>
      <c r="O1443" s="23">
        <v>450.42</v>
      </c>
      <c r="P1443">
        <v>131.24</v>
      </c>
      <c r="Q1443" s="12" t="str" cm="1">
        <f t="array" ref="Q1443:R1443">VLOOKUP(E1443,store[],{3,5},FALSE)</f>
        <v>South</v>
      </c>
      <c r="R1443" t="str">
        <v>Outlet</v>
      </c>
      <c r="S1443" s="4">
        <f t="shared" si="22"/>
        <v>1801.36</v>
      </c>
    </row>
    <row r="1444" spans="1:19">
      <c r="A1444" t="s">
        <v>2236</v>
      </c>
      <c r="B1444" s="3">
        <v>45893</v>
      </c>
      <c r="C1444" t="s">
        <v>1120</v>
      </c>
      <c r="D1444" t="s">
        <v>246</v>
      </c>
      <c r="E1444" t="s">
        <v>127</v>
      </c>
      <c r="F1444">
        <v>4</v>
      </c>
      <c r="G1444" t="s">
        <v>23</v>
      </c>
      <c r="H1444">
        <v>46</v>
      </c>
      <c r="I1444" s="12" t="s">
        <v>24</v>
      </c>
      <c r="J1444" s="12" t="s">
        <v>188</v>
      </c>
      <c r="K1444" s="12" t="s">
        <v>73</v>
      </c>
      <c r="L1444" s="12" t="s">
        <v>247</v>
      </c>
      <c r="M1444" s="12" t="s">
        <v>37</v>
      </c>
      <c r="N1444" s="14">
        <v>0.1</v>
      </c>
      <c r="O1444" s="23">
        <v>896.91</v>
      </c>
      <c r="P1444">
        <v>322.41000000000003</v>
      </c>
      <c r="Q1444" s="12" t="str" cm="1">
        <f t="array" ref="Q1444:R1444">VLOOKUP(E1444,store[],{3,5},FALSE)</f>
        <v>South</v>
      </c>
      <c r="R1444" t="str">
        <v>Flagship</v>
      </c>
      <c r="S1444" s="4">
        <f t="shared" si="22"/>
        <v>3587.24</v>
      </c>
    </row>
    <row r="1445" spans="1:19">
      <c r="A1445" t="s">
        <v>2237</v>
      </c>
      <c r="B1445" s="3">
        <v>45814</v>
      </c>
      <c r="C1445" t="s">
        <v>598</v>
      </c>
      <c r="D1445" t="s">
        <v>21</v>
      </c>
      <c r="E1445" t="s">
        <v>168</v>
      </c>
      <c r="F1445">
        <v>3</v>
      </c>
      <c r="G1445" t="s">
        <v>50</v>
      </c>
      <c r="H1445">
        <v>46</v>
      </c>
      <c r="I1445" s="12" t="s">
        <v>34</v>
      </c>
      <c r="J1445" s="12" t="s">
        <v>498</v>
      </c>
      <c r="K1445" s="12" t="s">
        <v>73</v>
      </c>
      <c r="L1445" s="12" t="s">
        <v>27</v>
      </c>
      <c r="M1445" s="12" t="s">
        <v>28</v>
      </c>
      <c r="N1445" s="14">
        <v>0.3</v>
      </c>
      <c r="O1445" s="23">
        <v>679.38</v>
      </c>
      <c r="P1445">
        <v>245.98</v>
      </c>
      <c r="Q1445" s="12" t="str" cm="1">
        <f t="array" ref="Q1445:R1445">VLOOKUP(E1445,store[],{3,5},FALSE)</f>
        <v>East</v>
      </c>
      <c r="R1445" t="str">
        <v>Online</v>
      </c>
      <c r="S1445" s="4">
        <f t="shared" si="22"/>
        <v>2037.24</v>
      </c>
    </row>
    <row r="1446" spans="1:19">
      <c r="A1446" t="s">
        <v>2238</v>
      </c>
      <c r="B1446" s="3">
        <v>45571</v>
      </c>
      <c r="C1446" t="s">
        <v>70</v>
      </c>
      <c r="D1446" t="s">
        <v>429</v>
      </c>
      <c r="E1446" t="s">
        <v>117</v>
      </c>
      <c r="F1446">
        <v>3</v>
      </c>
      <c r="G1446" t="s">
        <v>23</v>
      </c>
      <c r="H1446">
        <v>24</v>
      </c>
      <c r="I1446" s="12" t="s">
        <v>34</v>
      </c>
      <c r="J1446" s="12" t="s">
        <v>44</v>
      </c>
      <c r="K1446" s="12" t="s">
        <v>73</v>
      </c>
      <c r="L1446" s="12" t="s">
        <v>430</v>
      </c>
      <c r="M1446" s="12" t="s">
        <v>75</v>
      </c>
      <c r="N1446" s="14">
        <v>0</v>
      </c>
      <c r="O1446" s="23">
        <v>483.63</v>
      </c>
      <c r="P1446">
        <v>143.43</v>
      </c>
      <c r="Q1446" s="12" t="str" cm="1">
        <f t="array" ref="Q1446:R1446">VLOOKUP(E1446,store[],{3,5},FALSE)</f>
        <v>West</v>
      </c>
      <c r="R1446" t="str">
        <v>Flagship</v>
      </c>
      <c r="S1446" s="4">
        <f t="shared" si="22"/>
        <v>1450.89</v>
      </c>
    </row>
    <row r="1447" spans="1:19">
      <c r="A1447" t="s">
        <v>2239</v>
      </c>
      <c r="B1447" s="3">
        <v>45542</v>
      </c>
      <c r="C1447" t="s">
        <v>1997</v>
      </c>
      <c r="D1447" t="s">
        <v>104</v>
      </c>
      <c r="E1447" t="s">
        <v>90</v>
      </c>
      <c r="F1447">
        <v>3</v>
      </c>
      <c r="G1447" t="s">
        <v>50</v>
      </c>
      <c r="H1447">
        <v>64</v>
      </c>
      <c r="I1447" s="12" t="s">
        <v>34</v>
      </c>
      <c r="J1447" s="12" t="s">
        <v>44</v>
      </c>
      <c r="K1447" s="12" t="s">
        <v>73</v>
      </c>
      <c r="L1447" s="12" t="s">
        <v>107</v>
      </c>
      <c r="M1447" s="12" t="s">
        <v>37</v>
      </c>
      <c r="N1447" s="14">
        <v>0.24</v>
      </c>
      <c r="O1447" s="23">
        <v>158.27000000000001</v>
      </c>
      <c r="P1447">
        <v>326.06</v>
      </c>
      <c r="Q1447" s="12" t="str" cm="1">
        <f t="array" ref="Q1447:R1447">VLOOKUP(E1447,store[],{3,5},FALSE)</f>
        <v>East</v>
      </c>
      <c r="R1447" t="str">
        <v>Flagship</v>
      </c>
      <c r="S1447" s="4">
        <f t="shared" si="22"/>
        <v>474.09</v>
      </c>
    </row>
    <row r="1448" spans="1:19">
      <c r="A1448" t="s">
        <v>2240</v>
      </c>
      <c r="B1448" s="3">
        <v>45758</v>
      </c>
      <c r="C1448" t="s">
        <v>363</v>
      </c>
      <c r="D1448" t="s">
        <v>868</v>
      </c>
      <c r="E1448" t="s">
        <v>122</v>
      </c>
      <c r="F1448">
        <v>4</v>
      </c>
      <c r="G1448" t="s">
        <v>23</v>
      </c>
      <c r="H1448">
        <v>53</v>
      </c>
      <c r="I1448" s="12" t="s">
        <v>34</v>
      </c>
      <c r="J1448" s="12" t="s">
        <v>188</v>
      </c>
      <c r="K1448" s="12" t="s">
        <v>52</v>
      </c>
      <c r="L1448" s="12" t="s">
        <v>869</v>
      </c>
      <c r="M1448" s="12" t="s">
        <v>130</v>
      </c>
      <c r="N1448" s="14">
        <v>0.18</v>
      </c>
      <c r="O1448" s="23">
        <v>601.5</v>
      </c>
      <c r="P1448">
        <v>254.62086956521699</v>
      </c>
      <c r="Q1448" s="12" t="str" cm="1">
        <f t="array" ref="Q1448:R1448">VLOOKUP(E1448,store[],{3,5},FALSE)</f>
        <v>North</v>
      </c>
      <c r="R1448" t="str">
        <v>Flagship</v>
      </c>
      <c r="S1448" s="4">
        <f t="shared" si="22"/>
        <v>2405.2800000000002</v>
      </c>
    </row>
    <row r="1449" spans="1:19">
      <c r="A1449" t="s">
        <v>2241</v>
      </c>
      <c r="B1449" s="3">
        <v>45709</v>
      </c>
      <c r="C1449" t="s">
        <v>703</v>
      </c>
      <c r="D1449" t="s">
        <v>311</v>
      </c>
      <c r="E1449" t="s">
        <v>160</v>
      </c>
      <c r="F1449">
        <v>2</v>
      </c>
      <c r="G1449" t="s">
        <v>23</v>
      </c>
      <c r="H1449">
        <v>24</v>
      </c>
      <c r="I1449" s="12" t="s">
        <v>34</v>
      </c>
      <c r="J1449" s="12" t="s">
        <v>204</v>
      </c>
      <c r="K1449" s="12" t="s">
        <v>52</v>
      </c>
      <c r="L1449" s="12" t="s">
        <v>312</v>
      </c>
      <c r="M1449" s="12" t="s">
        <v>28</v>
      </c>
      <c r="N1449" s="14">
        <v>7.0000000000000007E-2</v>
      </c>
      <c r="O1449" s="23">
        <v>46.39</v>
      </c>
      <c r="P1449">
        <v>204.39</v>
      </c>
      <c r="Q1449" s="12" t="str" cm="1">
        <f t="array" ref="Q1449:R1449">VLOOKUP(E1449,store[],{3,5},FALSE)</f>
        <v>East</v>
      </c>
      <c r="R1449" t="str">
        <v>Flagship</v>
      </c>
      <c r="S1449" s="4">
        <f t="shared" si="22"/>
        <v>92.64</v>
      </c>
    </row>
    <row r="1450" spans="1:19">
      <c r="A1450" t="s">
        <v>2242</v>
      </c>
      <c r="B1450" s="3">
        <v>45587</v>
      </c>
      <c r="C1450" t="s">
        <v>452</v>
      </c>
      <c r="D1450" t="s">
        <v>542</v>
      </c>
      <c r="E1450" t="s">
        <v>43</v>
      </c>
      <c r="F1450">
        <v>4</v>
      </c>
      <c r="G1450" t="s">
        <v>23</v>
      </c>
      <c r="H1450">
        <v>40</v>
      </c>
      <c r="I1450" s="12" t="s">
        <v>24</v>
      </c>
      <c r="J1450" s="12" t="s">
        <v>51</v>
      </c>
      <c r="K1450" s="12" t="s">
        <v>73</v>
      </c>
      <c r="L1450" s="12" t="s">
        <v>543</v>
      </c>
      <c r="M1450" s="12" t="s">
        <v>28</v>
      </c>
      <c r="N1450" s="14">
        <v>0.23</v>
      </c>
      <c r="O1450" s="23">
        <v>892.28</v>
      </c>
      <c r="P1450">
        <v>152.91999999999999</v>
      </c>
      <c r="Q1450" s="12" t="str" cm="1">
        <f t="array" ref="Q1450:R1450">VLOOKUP(E1450,store[],{3,5},FALSE)</f>
        <v>West</v>
      </c>
      <c r="R1450" t="str">
        <v>Online</v>
      </c>
      <c r="S1450" s="4">
        <f t="shared" si="22"/>
        <v>3568.2</v>
      </c>
    </row>
    <row r="1451" spans="1:19">
      <c r="A1451" t="s">
        <v>2243</v>
      </c>
      <c r="B1451" s="3">
        <v>45494</v>
      </c>
      <c r="C1451" t="s">
        <v>358</v>
      </c>
      <c r="D1451" t="s">
        <v>234</v>
      </c>
      <c r="E1451" t="s">
        <v>66</v>
      </c>
      <c r="F1451">
        <v>2</v>
      </c>
      <c r="G1451" t="s">
        <v>23</v>
      </c>
      <c r="H1451">
        <v>38</v>
      </c>
      <c r="I1451" s="12" t="s">
        <v>24</v>
      </c>
      <c r="J1451" s="12" t="s">
        <v>360</v>
      </c>
      <c r="K1451" s="12" t="s">
        <v>52</v>
      </c>
      <c r="L1451" s="12" t="s">
        <v>236</v>
      </c>
      <c r="M1451" s="12" t="s">
        <v>75</v>
      </c>
      <c r="N1451" s="14">
        <v>0.17</v>
      </c>
      <c r="O1451" s="23">
        <v>164.23</v>
      </c>
      <c r="P1451">
        <v>298.86</v>
      </c>
      <c r="Q1451" s="12" t="str" cm="1">
        <f t="array" ref="Q1451:R1451">VLOOKUP(E1451,store[],{3,5},FALSE)</f>
        <v>South</v>
      </c>
      <c r="R1451" t="str">
        <v>Online</v>
      </c>
      <c r="S1451" s="4">
        <f t="shared" si="22"/>
        <v>328.12</v>
      </c>
    </row>
    <row r="1452" spans="1:19">
      <c r="A1452" t="s">
        <v>2244</v>
      </c>
      <c r="B1452" s="3">
        <v>45305</v>
      </c>
      <c r="C1452" t="s">
        <v>1226</v>
      </c>
      <c r="D1452" t="s">
        <v>810</v>
      </c>
      <c r="E1452" t="s">
        <v>66</v>
      </c>
      <c r="F1452">
        <v>1</v>
      </c>
      <c r="G1452" t="s">
        <v>50</v>
      </c>
      <c r="H1452">
        <v>60</v>
      </c>
      <c r="I1452" s="12" t="s">
        <v>34</v>
      </c>
      <c r="J1452" s="12" t="s">
        <v>231</v>
      </c>
      <c r="K1452" s="12" t="s">
        <v>73</v>
      </c>
      <c r="L1452" s="12" t="s">
        <v>811</v>
      </c>
      <c r="M1452" s="12" t="s">
        <v>28</v>
      </c>
      <c r="N1452" s="14">
        <v>0.12</v>
      </c>
      <c r="O1452" s="23">
        <v>484.23</v>
      </c>
      <c r="P1452">
        <v>495.72</v>
      </c>
      <c r="Q1452" s="12" t="str" cm="1">
        <f t="array" ref="Q1452:R1452">VLOOKUP(E1452,store[],{3,5},FALSE)</f>
        <v>South</v>
      </c>
      <c r="R1452" t="str">
        <v>Online</v>
      </c>
      <c r="S1452" s="4">
        <f t="shared" si="22"/>
        <v>484.11</v>
      </c>
    </row>
    <row r="1453" spans="1:19">
      <c r="A1453" t="s">
        <v>2245</v>
      </c>
      <c r="B1453" s="3">
        <v>45383</v>
      </c>
      <c r="C1453" t="s">
        <v>1483</v>
      </c>
      <c r="D1453" t="s">
        <v>487</v>
      </c>
      <c r="E1453" t="s">
        <v>160</v>
      </c>
      <c r="F1453">
        <v>3</v>
      </c>
      <c r="G1453" t="s">
        <v>50</v>
      </c>
      <c r="H1453">
        <v>24</v>
      </c>
      <c r="I1453" s="12" t="s">
        <v>24</v>
      </c>
      <c r="J1453" s="12" t="s">
        <v>609</v>
      </c>
      <c r="K1453" s="12" t="s">
        <v>73</v>
      </c>
      <c r="L1453" s="12" t="s">
        <v>488</v>
      </c>
      <c r="M1453" s="12" t="s">
        <v>75</v>
      </c>
      <c r="N1453" s="14">
        <v>0.22</v>
      </c>
      <c r="O1453" s="23">
        <v>341.51</v>
      </c>
      <c r="P1453">
        <v>382.22</v>
      </c>
      <c r="Q1453" s="12" t="str" cm="1">
        <f t="array" ref="Q1453:R1453">VLOOKUP(E1453,store[],{3,5},FALSE)</f>
        <v>East</v>
      </c>
      <c r="R1453" t="str">
        <v>Flagship</v>
      </c>
      <c r="S1453" s="4">
        <f t="shared" si="22"/>
        <v>1023.87</v>
      </c>
    </row>
    <row r="1454" spans="1:19">
      <c r="A1454" t="s">
        <v>2246</v>
      </c>
      <c r="B1454" s="3">
        <v>45788</v>
      </c>
      <c r="C1454" t="s">
        <v>1653</v>
      </c>
      <c r="D1454" t="s">
        <v>187</v>
      </c>
      <c r="E1454" t="s">
        <v>149</v>
      </c>
      <c r="F1454">
        <v>3</v>
      </c>
      <c r="G1454" t="s">
        <v>33</v>
      </c>
      <c r="H1454">
        <v>27</v>
      </c>
      <c r="I1454" s="12" t="s">
        <v>24</v>
      </c>
      <c r="J1454" s="12" t="s">
        <v>356</v>
      </c>
      <c r="K1454" s="12" t="s">
        <v>60</v>
      </c>
      <c r="L1454" s="12" t="s">
        <v>189</v>
      </c>
      <c r="M1454" s="12" t="s">
        <v>37</v>
      </c>
      <c r="N1454" s="14">
        <v>0.11</v>
      </c>
      <c r="O1454" s="23">
        <v>758.87</v>
      </c>
      <c r="P1454">
        <v>431.67</v>
      </c>
      <c r="Q1454" s="12" t="str" cm="1">
        <f t="array" ref="Q1454:R1454">VLOOKUP(E1454,store[],{3,5},FALSE)</f>
        <v>East</v>
      </c>
      <c r="R1454" t="str">
        <v>Flagship</v>
      </c>
      <c r="S1454" s="4">
        <f t="shared" si="22"/>
        <v>2276.2800000000002</v>
      </c>
    </row>
    <row r="1455" spans="1:19">
      <c r="A1455" t="s">
        <v>2247</v>
      </c>
      <c r="B1455" s="3">
        <v>45855</v>
      </c>
      <c r="C1455" t="s">
        <v>264</v>
      </c>
      <c r="D1455" t="s">
        <v>71</v>
      </c>
      <c r="E1455" t="s">
        <v>208</v>
      </c>
      <c r="F1455">
        <v>3</v>
      </c>
      <c r="G1455" t="s">
        <v>23</v>
      </c>
      <c r="H1455">
        <v>21</v>
      </c>
      <c r="I1455" s="12" t="s">
        <v>34</v>
      </c>
      <c r="J1455" s="12" t="s">
        <v>214</v>
      </c>
      <c r="K1455" s="12" t="s">
        <v>26</v>
      </c>
      <c r="L1455" s="12" t="s">
        <v>74</v>
      </c>
      <c r="M1455" s="12" t="s">
        <v>75</v>
      </c>
      <c r="N1455" s="14">
        <v>0.17</v>
      </c>
      <c r="O1455" s="23">
        <v>560.52</v>
      </c>
      <c r="P1455">
        <v>461.47</v>
      </c>
      <c r="Q1455" s="12" t="str" cm="1">
        <f t="array" ref="Q1455:R1455">VLOOKUP(E1455,store[],{3,5},FALSE)</f>
        <v>North</v>
      </c>
      <c r="R1455" t="str">
        <v>Online</v>
      </c>
      <c r="S1455" s="4">
        <f t="shared" si="22"/>
        <v>1681.05</v>
      </c>
    </row>
    <row r="1456" spans="1:19">
      <c r="A1456" t="s">
        <v>2248</v>
      </c>
      <c r="B1456" s="3">
        <v>45533</v>
      </c>
      <c r="C1456" t="s">
        <v>1397</v>
      </c>
      <c r="D1456" t="s">
        <v>1259</v>
      </c>
      <c r="E1456" t="s">
        <v>32</v>
      </c>
      <c r="F1456">
        <v>2</v>
      </c>
      <c r="G1456" t="s">
        <v>23</v>
      </c>
      <c r="H1456">
        <v>25</v>
      </c>
      <c r="I1456" s="12" t="s">
        <v>34</v>
      </c>
      <c r="J1456" s="12" t="s">
        <v>761</v>
      </c>
      <c r="K1456" s="12" t="s">
        <v>73</v>
      </c>
      <c r="L1456" s="12" t="s">
        <v>1260</v>
      </c>
      <c r="M1456" s="12" t="s">
        <v>130</v>
      </c>
      <c r="N1456" s="14">
        <v>0.19</v>
      </c>
      <c r="O1456" s="23">
        <v>977.18</v>
      </c>
      <c r="P1456">
        <v>358.47</v>
      </c>
      <c r="Q1456" s="12" t="str" cm="1">
        <f t="array" ref="Q1456:R1456">VLOOKUP(E1456,store[],{3,5},FALSE)</f>
        <v>North</v>
      </c>
      <c r="R1456" t="str">
        <v>Flagship</v>
      </c>
      <c r="S1456" s="4">
        <f t="shared" si="22"/>
        <v>1953.98</v>
      </c>
    </row>
    <row r="1457" spans="1:19">
      <c r="A1457" t="s">
        <v>2249</v>
      </c>
      <c r="B1457" s="3">
        <v>45763</v>
      </c>
      <c r="C1457" t="s">
        <v>2250</v>
      </c>
      <c r="D1457" t="s">
        <v>226</v>
      </c>
      <c r="E1457" t="s">
        <v>98</v>
      </c>
      <c r="F1457">
        <v>4</v>
      </c>
      <c r="G1457" t="s">
        <v>23</v>
      </c>
      <c r="H1457">
        <v>42</v>
      </c>
      <c r="I1457" s="12" t="s">
        <v>34</v>
      </c>
      <c r="J1457" s="12" t="s">
        <v>498</v>
      </c>
      <c r="K1457" s="12" t="s">
        <v>73</v>
      </c>
      <c r="L1457" s="12" t="s">
        <v>228</v>
      </c>
      <c r="M1457" s="12" t="s">
        <v>46</v>
      </c>
      <c r="N1457" s="14">
        <v>0.08</v>
      </c>
      <c r="O1457" s="23">
        <v>761.35</v>
      </c>
      <c r="P1457">
        <v>337.42</v>
      </c>
      <c r="Q1457" s="12" t="str" cm="1">
        <f t="array" ref="Q1457:R1457">VLOOKUP(E1457,store[],{3,5},FALSE)</f>
        <v>South</v>
      </c>
      <c r="R1457" t="str">
        <v>Outlet</v>
      </c>
      <c r="S1457" s="4">
        <f t="shared" si="22"/>
        <v>3045.08</v>
      </c>
    </row>
    <row r="1458" spans="1:19">
      <c r="A1458" t="s">
        <v>2251</v>
      </c>
      <c r="B1458" s="3">
        <v>45900</v>
      </c>
      <c r="C1458" t="s">
        <v>1913</v>
      </c>
      <c r="D1458" t="s">
        <v>178</v>
      </c>
      <c r="E1458" t="s">
        <v>160</v>
      </c>
      <c r="F1458">
        <v>2</v>
      </c>
      <c r="G1458" t="s">
        <v>50</v>
      </c>
      <c r="H1458">
        <v>43</v>
      </c>
      <c r="I1458" s="12" t="s">
        <v>34</v>
      </c>
      <c r="J1458" s="12" t="s">
        <v>410</v>
      </c>
      <c r="K1458" s="12" t="s">
        <v>60</v>
      </c>
      <c r="L1458" s="12" t="s">
        <v>180</v>
      </c>
      <c r="M1458" s="12" t="s">
        <v>37</v>
      </c>
      <c r="N1458" s="14">
        <v>0.02</v>
      </c>
      <c r="O1458" s="23">
        <v>947.56</v>
      </c>
      <c r="P1458">
        <v>349.17</v>
      </c>
      <c r="Q1458" s="12" t="str" cm="1">
        <f t="array" ref="Q1458:R1458">VLOOKUP(E1458,store[],{3,5},FALSE)</f>
        <v>East</v>
      </c>
      <c r="R1458" t="str">
        <v>Flagship</v>
      </c>
      <c r="S1458" s="4">
        <f t="shared" si="22"/>
        <v>1895.08</v>
      </c>
    </row>
    <row r="1459" spans="1:19">
      <c r="A1459" t="s">
        <v>2252</v>
      </c>
      <c r="B1459" s="3">
        <v>45943</v>
      </c>
      <c r="C1459" t="s">
        <v>2253</v>
      </c>
      <c r="D1459" t="s">
        <v>159</v>
      </c>
      <c r="E1459" t="s">
        <v>160</v>
      </c>
      <c r="F1459">
        <v>4</v>
      </c>
      <c r="G1459" t="s">
        <v>23</v>
      </c>
      <c r="H1459">
        <v>40</v>
      </c>
      <c r="I1459" s="12" t="s">
        <v>24</v>
      </c>
      <c r="J1459" s="12" t="s">
        <v>356</v>
      </c>
      <c r="K1459" s="12" t="s">
        <v>52</v>
      </c>
      <c r="L1459" s="12" t="s">
        <v>162</v>
      </c>
      <c r="M1459" s="12" t="s">
        <v>37</v>
      </c>
      <c r="N1459" s="14">
        <v>0.04</v>
      </c>
      <c r="O1459" s="23">
        <v>975.47</v>
      </c>
      <c r="P1459">
        <v>253.33</v>
      </c>
      <c r="Q1459" s="12" t="str" cm="1">
        <f t="array" ref="Q1459:R1459">VLOOKUP(E1459,store[],{3,5},FALSE)</f>
        <v>East</v>
      </c>
      <c r="R1459" t="str">
        <v>Flagship</v>
      </c>
      <c r="S1459" s="4">
        <f t="shared" si="22"/>
        <v>3901.72</v>
      </c>
    </row>
    <row r="1460" spans="1:19">
      <c r="A1460" t="s">
        <v>2254</v>
      </c>
      <c r="B1460" s="3">
        <v>45448</v>
      </c>
      <c r="C1460" t="s">
        <v>1062</v>
      </c>
      <c r="D1460" t="s">
        <v>197</v>
      </c>
      <c r="E1460" t="s">
        <v>127</v>
      </c>
      <c r="F1460">
        <v>3</v>
      </c>
      <c r="G1460" t="s">
        <v>50</v>
      </c>
      <c r="H1460">
        <v>41</v>
      </c>
      <c r="I1460" s="12" t="s">
        <v>34</v>
      </c>
      <c r="J1460" s="12" t="s">
        <v>333</v>
      </c>
      <c r="K1460" s="12" t="s">
        <v>52</v>
      </c>
      <c r="L1460" s="12" t="s">
        <v>200</v>
      </c>
      <c r="M1460" s="12" t="s">
        <v>37</v>
      </c>
      <c r="N1460" s="14">
        <v>0.23</v>
      </c>
      <c r="O1460" s="23">
        <v>769.06</v>
      </c>
      <c r="P1460">
        <v>242.23</v>
      </c>
      <c r="Q1460" s="12" t="str" cm="1">
        <f t="array" ref="Q1460:R1460">VLOOKUP(E1460,store[],{3,5},FALSE)</f>
        <v>South</v>
      </c>
      <c r="R1460" t="str">
        <v>Flagship</v>
      </c>
      <c r="S1460" s="4">
        <f t="shared" si="22"/>
        <v>2306.4899999999998</v>
      </c>
    </row>
    <row r="1461" spans="1:19">
      <c r="A1461" t="s">
        <v>2255</v>
      </c>
      <c r="B1461" s="3">
        <v>45929</v>
      </c>
      <c r="C1461" t="s">
        <v>1367</v>
      </c>
      <c r="D1461" t="s">
        <v>104</v>
      </c>
      <c r="E1461" t="s">
        <v>198</v>
      </c>
      <c r="F1461">
        <v>3</v>
      </c>
      <c r="G1461" t="s">
        <v>23</v>
      </c>
      <c r="H1461">
        <v>22</v>
      </c>
      <c r="I1461" s="12" t="s">
        <v>34</v>
      </c>
      <c r="J1461" s="12" t="s">
        <v>35</v>
      </c>
      <c r="K1461" s="12" t="s">
        <v>73</v>
      </c>
      <c r="L1461" s="12" t="s">
        <v>107</v>
      </c>
      <c r="M1461" s="12" t="s">
        <v>37</v>
      </c>
      <c r="N1461" s="14">
        <v>0.23</v>
      </c>
      <c r="O1461" s="23">
        <v>824.75</v>
      </c>
      <c r="P1461">
        <v>326.06</v>
      </c>
      <c r="Q1461" s="12" t="str" cm="1">
        <f t="array" ref="Q1461:R1461">VLOOKUP(E1461,store[],{3,5},FALSE)</f>
        <v>South</v>
      </c>
      <c r="R1461" t="str">
        <v>Outlet</v>
      </c>
      <c r="S1461" s="4">
        <f t="shared" si="22"/>
        <v>2473.56</v>
      </c>
    </row>
    <row r="1462" spans="1:19">
      <c r="A1462" t="s">
        <v>2256</v>
      </c>
      <c r="B1462" s="3">
        <v>45478</v>
      </c>
      <c r="C1462" t="s">
        <v>535</v>
      </c>
      <c r="D1462" t="s">
        <v>741</v>
      </c>
      <c r="E1462" t="s">
        <v>72</v>
      </c>
      <c r="F1462">
        <v>2</v>
      </c>
      <c r="G1462" t="s">
        <v>33</v>
      </c>
      <c r="H1462">
        <v>51</v>
      </c>
      <c r="I1462" s="12" t="s">
        <v>34</v>
      </c>
      <c r="J1462" s="12" t="s">
        <v>99</v>
      </c>
      <c r="K1462" s="12" t="s">
        <v>52</v>
      </c>
      <c r="L1462" s="12" t="s">
        <v>742</v>
      </c>
      <c r="M1462" s="12" t="s">
        <v>75</v>
      </c>
      <c r="N1462" s="14">
        <v>0.11</v>
      </c>
      <c r="O1462" s="23">
        <v>821.35</v>
      </c>
      <c r="P1462">
        <v>243.7</v>
      </c>
      <c r="Q1462" s="12" t="str" cm="1">
        <f t="array" ref="Q1462:R1462">VLOOKUP(E1462,store[],{3,5},FALSE)</f>
        <v>South</v>
      </c>
      <c r="R1462" t="str">
        <v>Online</v>
      </c>
      <c r="S1462" s="4">
        <f t="shared" si="22"/>
        <v>1642.48</v>
      </c>
    </row>
    <row r="1463" spans="1:19">
      <c r="A1463" t="s">
        <v>2257</v>
      </c>
      <c r="B1463" s="3">
        <v>45723</v>
      </c>
      <c r="C1463" t="s">
        <v>558</v>
      </c>
      <c r="D1463" t="s">
        <v>197</v>
      </c>
      <c r="E1463" t="s">
        <v>168</v>
      </c>
      <c r="F1463">
        <v>1</v>
      </c>
      <c r="G1463" t="s">
        <v>33</v>
      </c>
      <c r="H1463">
        <v>18</v>
      </c>
      <c r="I1463" s="12" t="s">
        <v>34</v>
      </c>
      <c r="J1463" s="12" t="s">
        <v>378</v>
      </c>
      <c r="K1463" s="12" t="s">
        <v>26</v>
      </c>
      <c r="L1463" s="12" t="s">
        <v>200</v>
      </c>
      <c r="M1463" s="12" t="s">
        <v>37</v>
      </c>
      <c r="N1463" s="14">
        <v>0.06</v>
      </c>
      <c r="O1463" s="23">
        <v>120.57</v>
      </c>
      <c r="P1463">
        <v>242.23</v>
      </c>
      <c r="Q1463" s="12" t="str" cm="1">
        <f t="array" ref="Q1463:R1463">VLOOKUP(E1463,store[],{3,5},FALSE)</f>
        <v>East</v>
      </c>
      <c r="R1463" t="str">
        <v>Online</v>
      </c>
      <c r="S1463" s="4">
        <f t="shared" si="22"/>
        <v>120.51</v>
      </c>
    </row>
    <row r="1464" spans="1:19">
      <c r="A1464" t="s">
        <v>2258</v>
      </c>
      <c r="B1464" s="3">
        <v>45240</v>
      </c>
      <c r="C1464" t="s">
        <v>254</v>
      </c>
      <c r="D1464" t="s">
        <v>287</v>
      </c>
      <c r="E1464" t="s">
        <v>105</v>
      </c>
      <c r="F1464">
        <v>1</v>
      </c>
      <c r="G1464" t="s">
        <v>33</v>
      </c>
      <c r="H1464">
        <v>37</v>
      </c>
      <c r="I1464" s="12" t="s">
        <v>24</v>
      </c>
      <c r="J1464" s="12" t="s">
        <v>256</v>
      </c>
      <c r="K1464" s="12" t="s">
        <v>52</v>
      </c>
      <c r="L1464" s="12" t="s">
        <v>288</v>
      </c>
      <c r="M1464" s="12" t="s">
        <v>46</v>
      </c>
      <c r="N1464" s="14">
        <v>0.26</v>
      </c>
      <c r="O1464" s="23">
        <v>122.27</v>
      </c>
      <c r="P1464">
        <v>183.04</v>
      </c>
      <c r="Q1464" s="12" t="str" cm="1">
        <f t="array" ref="Q1464:R1464">VLOOKUP(E1464,store[],{3,5},FALSE)</f>
        <v>North</v>
      </c>
      <c r="R1464" t="str">
        <v>Flagship</v>
      </c>
      <c r="S1464" s="4">
        <f t="shared" si="22"/>
        <v>122.01</v>
      </c>
    </row>
    <row r="1465" spans="1:19">
      <c r="A1465" t="s">
        <v>2259</v>
      </c>
      <c r="B1465" s="3">
        <v>45890</v>
      </c>
      <c r="C1465" t="s">
        <v>658</v>
      </c>
      <c r="D1465" t="s">
        <v>246</v>
      </c>
      <c r="E1465" t="s">
        <v>198</v>
      </c>
      <c r="F1465">
        <v>2</v>
      </c>
      <c r="G1465" t="s">
        <v>23</v>
      </c>
      <c r="H1465">
        <v>18</v>
      </c>
      <c r="I1465" s="12" t="s">
        <v>24</v>
      </c>
      <c r="J1465" s="12" t="s">
        <v>80</v>
      </c>
      <c r="K1465" s="12" t="s">
        <v>26</v>
      </c>
      <c r="L1465" s="12" t="s">
        <v>247</v>
      </c>
      <c r="M1465" s="12" t="s">
        <v>37</v>
      </c>
      <c r="N1465" s="14">
        <v>0.11</v>
      </c>
      <c r="O1465" s="23">
        <v>182.89</v>
      </c>
      <c r="P1465">
        <v>322.41000000000003</v>
      </c>
      <c r="Q1465" s="12" t="str" cm="1">
        <f t="array" ref="Q1465:R1465">VLOOKUP(E1465,store[],{3,5},FALSE)</f>
        <v>South</v>
      </c>
      <c r="R1465" t="str">
        <v>Outlet</v>
      </c>
      <c r="S1465" s="4">
        <f t="shared" si="22"/>
        <v>365.56</v>
      </c>
    </row>
    <row r="1466" spans="1:19">
      <c r="A1466" t="s">
        <v>2260</v>
      </c>
      <c r="B1466" s="3">
        <v>45796</v>
      </c>
      <c r="C1466" t="s">
        <v>674</v>
      </c>
      <c r="D1466" t="s">
        <v>381</v>
      </c>
      <c r="E1466" t="s">
        <v>72</v>
      </c>
      <c r="F1466">
        <v>1</v>
      </c>
      <c r="G1466" t="s">
        <v>33</v>
      </c>
      <c r="H1466">
        <v>21</v>
      </c>
      <c r="I1466" s="12" t="s">
        <v>34</v>
      </c>
      <c r="J1466" s="12" t="s">
        <v>214</v>
      </c>
      <c r="K1466" s="12" t="s">
        <v>52</v>
      </c>
      <c r="L1466" s="12" t="s">
        <v>382</v>
      </c>
      <c r="M1466" s="12" t="s">
        <v>130</v>
      </c>
      <c r="N1466" s="14">
        <v>0.23</v>
      </c>
      <c r="O1466" s="23">
        <v>695.26</v>
      </c>
      <c r="P1466">
        <v>167.34</v>
      </c>
      <c r="Q1466" s="12" t="str" cm="1">
        <f t="array" ref="Q1466:R1466">VLOOKUP(E1466,store[],{3,5},FALSE)</f>
        <v>South</v>
      </c>
      <c r="R1466" t="str">
        <v>Online</v>
      </c>
      <c r="S1466" s="4">
        <f t="shared" si="22"/>
        <v>695.03</v>
      </c>
    </row>
    <row r="1467" spans="1:19">
      <c r="A1467" t="s">
        <v>2261</v>
      </c>
      <c r="B1467" s="3">
        <v>45895</v>
      </c>
      <c r="C1467" t="s">
        <v>910</v>
      </c>
      <c r="D1467" t="s">
        <v>255</v>
      </c>
      <c r="E1467" t="s">
        <v>179</v>
      </c>
      <c r="F1467">
        <v>2</v>
      </c>
      <c r="G1467" t="s">
        <v>50</v>
      </c>
      <c r="H1467">
        <v>31</v>
      </c>
      <c r="I1467" s="12" t="s">
        <v>24</v>
      </c>
      <c r="J1467" s="12" t="s">
        <v>410</v>
      </c>
      <c r="K1467" s="12" t="s">
        <v>346</v>
      </c>
      <c r="L1467" s="12" t="s">
        <v>257</v>
      </c>
      <c r="M1467" s="12" t="s">
        <v>75</v>
      </c>
      <c r="N1467" s="14">
        <v>0.17</v>
      </c>
      <c r="O1467" s="23">
        <v>408.8</v>
      </c>
      <c r="P1467">
        <v>218.48</v>
      </c>
      <c r="Q1467" s="12" t="str" cm="1">
        <f t="array" ref="Q1467:R1467">VLOOKUP(E1467,store[],{3,5},FALSE)</f>
        <v>East</v>
      </c>
      <c r="R1467" t="str">
        <v>Online</v>
      </c>
      <c r="S1467" s="4">
        <f t="shared" si="22"/>
        <v>817.26</v>
      </c>
    </row>
    <row r="1468" spans="1:19">
      <c r="A1468" t="s">
        <v>2262</v>
      </c>
      <c r="B1468" s="3">
        <v>45676</v>
      </c>
      <c r="C1468" t="s">
        <v>2263</v>
      </c>
      <c r="D1468" t="s">
        <v>42</v>
      </c>
      <c r="E1468" t="s">
        <v>43</v>
      </c>
      <c r="F1468">
        <v>3</v>
      </c>
      <c r="G1468" t="s">
        <v>23</v>
      </c>
      <c r="H1468">
        <v>54</v>
      </c>
      <c r="I1468" s="12" t="s">
        <v>24</v>
      </c>
      <c r="J1468" s="12" t="s">
        <v>444</v>
      </c>
      <c r="K1468" s="12" t="s">
        <v>26</v>
      </c>
      <c r="L1468" s="12" t="s">
        <v>45</v>
      </c>
      <c r="M1468" s="12" t="s">
        <v>46</v>
      </c>
      <c r="N1468" s="14">
        <v>0.12</v>
      </c>
      <c r="O1468" s="23">
        <v>512.15</v>
      </c>
      <c r="P1468">
        <v>43.29</v>
      </c>
      <c r="Q1468" s="12" t="str" cm="1">
        <f t="array" ref="Q1468:R1468">VLOOKUP(E1468,store[],{3,5},FALSE)</f>
        <v>West</v>
      </c>
      <c r="R1468" t="str">
        <v>Online</v>
      </c>
      <c r="S1468" s="4">
        <f t="shared" si="22"/>
        <v>1536.09</v>
      </c>
    </row>
    <row r="1469" spans="1:19">
      <c r="A1469" t="s">
        <v>2264</v>
      </c>
      <c r="B1469" s="3">
        <v>45568</v>
      </c>
      <c r="C1469" t="s">
        <v>20</v>
      </c>
      <c r="D1469" t="s">
        <v>810</v>
      </c>
      <c r="E1469" t="s">
        <v>43</v>
      </c>
      <c r="F1469">
        <v>3</v>
      </c>
      <c r="G1469" t="s">
        <v>33</v>
      </c>
      <c r="H1469">
        <v>55</v>
      </c>
      <c r="I1469" s="12" t="s">
        <v>24</v>
      </c>
      <c r="J1469" s="12" t="s">
        <v>25</v>
      </c>
      <c r="K1469" s="12" t="s">
        <v>26</v>
      </c>
      <c r="L1469" s="12" t="s">
        <v>811</v>
      </c>
      <c r="M1469" s="12" t="s">
        <v>28</v>
      </c>
      <c r="N1469" s="14">
        <v>0.15</v>
      </c>
      <c r="O1469" s="23">
        <v>136.4</v>
      </c>
      <c r="P1469">
        <v>495.72</v>
      </c>
      <c r="Q1469" s="12" t="str" cm="1">
        <f t="array" ref="Q1469:R1469">VLOOKUP(E1469,store[],{3,5},FALSE)</f>
        <v>West</v>
      </c>
      <c r="R1469" t="str">
        <v>Online</v>
      </c>
      <c r="S1469" s="4">
        <f t="shared" si="22"/>
        <v>408.75</v>
      </c>
    </row>
    <row r="1470" spans="1:19">
      <c r="A1470" t="s">
        <v>2265</v>
      </c>
      <c r="B1470" s="3">
        <v>45272</v>
      </c>
      <c r="C1470" t="s">
        <v>595</v>
      </c>
      <c r="D1470" t="s">
        <v>887</v>
      </c>
      <c r="E1470" t="s">
        <v>22</v>
      </c>
      <c r="F1470">
        <v>2</v>
      </c>
      <c r="G1470" t="s">
        <v>50</v>
      </c>
      <c r="H1470">
        <v>56</v>
      </c>
      <c r="I1470" s="12" t="s">
        <v>24</v>
      </c>
      <c r="J1470" s="12" t="s">
        <v>218</v>
      </c>
      <c r="K1470" s="12" t="s">
        <v>52</v>
      </c>
      <c r="L1470" s="12" t="s">
        <v>888</v>
      </c>
      <c r="M1470" s="12" t="s">
        <v>46</v>
      </c>
      <c r="N1470" s="14">
        <v>0.04</v>
      </c>
      <c r="O1470" s="23">
        <v>42.51</v>
      </c>
      <c r="P1470">
        <v>312.8</v>
      </c>
      <c r="Q1470" s="12" t="str" cm="1">
        <f t="array" ref="Q1470:R1470">VLOOKUP(E1470,store[],{3,5},FALSE)</f>
        <v>North</v>
      </c>
      <c r="R1470" t="str">
        <v>Outlet</v>
      </c>
      <c r="S1470" s="4">
        <f t="shared" si="22"/>
        <v>84.94</v>
      </c>
    </row>
    <row r="1471" spans="1:19">
      <c r="A1471" t="s">
        <v>2266</v>
      </c>
      <c r="B1471" s="3">
        <v>45718</v>
      </c>
      <c r="C1471" t="s">
        <v>1908</v>
      </c>
      <c r="D1471" t="s">
        <v>213</v>
      </c>
      <c r="E1471" t="s">
        <v>66</v>
      </c>
      <c r="F1471">
        <v>3</v>
      </c>
      <c r="G1471" t="s">
        <v>33</v>
      </c>
      <c r="H1471">
        <v>32</v>
      </c>
      <c r="I1471" s="12" t="s">
        <v>24</v>
      </c>
      <c r="J1471" s="12" t="s">
        <v>333</v>
      </c>
      <c r="K1471" s="12" t="s">
        <v>60</v>
      </c>
      <c r="L1471" s="12" t="s">
        <v>215</v>
      </c>
      <c r="M1471" s="12" t="s">
        <v>130</v>
      </c>
      <c r="N1471" s="14">
        <v>0.12</v>
      </c>
      <c r="O1471" s="23">
        <v>582.1</v>
      </c>
      <c r="P1471">
        <v>158.13999999999999</v>
      </c>
      <c r="Q1471" s="12" t="str" cm="1">
        <f t="array" ref="Q1471:R1471">VLOOKUP(E1471,store[],{3,5},FALSE)</f>
        <v>South</v>
      </c>
      <c r="R1471" t="str">
        <v>Online</v>
      </c>
      <c r="S1471" s="4">
        <f t="shared" si="22"/>
        <v>1745.94</v>
      </c>
    </row>
    <row r="1472" spans="1:19">
      <c r="A1472" t="s">
        <v>2267</v>
      </c>
      <c r="B1472" s="3">
        <v>45356</v>
      </c>
      <c r="C1472" t="s">
        <v>785</v>
      </c>
      <c r="D1472" t="s">
        <v>542</v>
      </c>
      <c r="E1472" t="s">
        <v>32</v>
      </c>
      <c r="F1472">
        <v>4</v>
      </c>
      <c r="G1472" t="s">
        <v>50</v>
      </c>
      <c r="H1472">
        <v>47</v>
      </c>
      <c r="I1472" s="12" t="s">
        <v>34</v>
      </c>
      <c r="J1472" s="12" t="s">
        <v>204</v>
      </c>
      <c r="K1472" s="12" t="s">
        <v>26</v>
      </c>
      <c r="L1472" s="12" t="s">
        <v>543</v>
      </c>
      <c r="M1472" s="12" t="s">
        <v>28</v>
      </c>
      <c r="N1472" s="14">
        <v>0</v>
      </c>
      <c r="O1472" s="23">
        <v>461.52</v>
      </c>
      <c r="P1472">
        <v>152.91999999999999</v>
      </c>
      <c r="Q1472" s="12" t="str" cm="1">
        <f t="array" ref="Q1472:R1472">VLOOKUP(E1472,store[],{3,5},FALSE)</f>
        <v>North</v>
      </c>
      <c r="R1472" t="str">
        <v>Flagship</v>
      </c>
      <c r="S1472" s="4">
        <f t="shared" si="22"/>
        <v>1846.08</v>
      </c>
    </row>
    <row r="1473" spans="1:19">
      <c r="A1473" t="s">
        <v>2268</v>
      </c>
      <c r="B1473" s="3">
        <v>45552</v>
      </c>
      <c r="C1473" t="s">
        <v>500</v>
      </c>
      <c r="D1473" t="s">
        <v>226</v>
      </c>
      <c r="E1473" t="s">
        <v>272</v>
      </c>
      <c r="F1473">
        <v>1</v>
      </c>
      <c r="G1473" t="s">
        <v>23</v>
      </c>
      <c r="H1473">
        <v>56</v>
      </c>
      <c r="I1473" s="12" t="s">
        <v>24</v>
      </c>
      <c r="J1473" s="12" t="s">
        <v>308</v>
      </c>
      <c r="K1473" s="12" t="s">
        <v>73</v>
      </c>
      <c r="L1473" s="12" t="s">
        <v>228</v>
      </c>
      <c r="M1473" s="12" t="s">
        <v>46</v>
      </c>
      <c r="N1473" s="14">
        <v>0.03</v>
      </c>
      <c r="O1473" s="23">
        <v>558.41999999999996</v>
      </c>
      <c r="P1473">
        <v>337.42</v>
      </c>
      <c r="Q1473" s="12" t="str" cm="1">
        <f t="array" ref="Q1473:R1473">VLOOKUP(E1473,store[],{3,5},FALSE)</f>
        <v>South</v>
      </c>
      <c r="R1473" t="str">
        <v>Online</v>
      </c>
      <c r="S1473" s="4">
        <f t="shared" si="22"/>
        <v>558.39</v>
      </c>
    </row>
    <row r="1474" spans="1:19">
      <c r="A1474" t="s">
        <v>2269</v>
      </c>
      <c r="B1474" s="3">
        <v>45288</v>
      </c>
      <c r="C1474" t="s">
        <v>823</v>
      </c>
      <c r="D1474" t="s">
        <v>173</v>
      </c>
      <c r="E1474" t="s">
        <v>160</v>
      </c>
      <c r="F1474">
        <v>4</v>
      </c>
      <c r="G1474" t="s">
        <v>33</v>
      </c>
      <c r="H1474">
        <v>50</v>
      </c>
      <c r="I1474" s="12" t="s">
        <v>24</v>
      </c>
      <c r="J1474" s="12" t="s">
        <v>378</v>
      </c>
      <c r="K1474" s="12" t="s">
        <v>73</v>
      </c>
      <c r="L1474" s="12" t="s">
        <v>174</v>
      </c>
      <c r="M1474" s="12" t="s">
        <v>46</v>
      </c>
      <c r="N1474" s="14">
        <v>0.12</v>
      </c>
      <c r="O1474" s="23">
        <v>700.98</v>
      </c>
      <c r="P1474">
        <v>115.82</v>
      </c>
      <c r="Q1474" s="12" t="str" cm="1">
        <f t="array" ref="Q1474:R1474">VLOOKUP(E1474,store[],{3,5},FALSE)</f>
        <v>East</v>
      </c>
      <c r="R1474" t="str">
        <v>Flagship</v>
      </c>
      <c r="S1474" s="4">
        <f t="shared" ref="S1474:S1537" si="23">(O1474-N1474)*F1474</f>
        <v>2803.44</v>
      </c>
    </row>
    <row r="1475" spans="1:19">
      <c r="A1475" t="s">
        <v>2270</v>
      </c>
      <c r="B1475" s="3">
        <v>45605</v>
      </c>
      <c r="C1475" t="s">
        <v>558</v>
      </c>
      <c r="D1475" t="s">
        <v>462</v>
      </c>
      <c r="E1475" t="s">
        <v>160</v>
      </c>
      <c r="F1475">
        <v>2</v>
      </c>
      <c r="G1475" t="s">
        <v>50</v>
      </c>
      <c r="H1475">
        <v>18</v>
      </c>
      <c r="I1475" s="12" t="s">
        <v>34</v>
      </c>
      <c r="J1475" s="12" t="s">
        <v>378</v>
      </c>
      <c r="K1475" s="12" t="s">
        <v>26</v>
      </c>
      <c r="L1475" s="12" t="s">
        <v>464</v>
      </c>
      <c r="M1475" s="12" t="s">
        <v>130</v>
      </c>
      <c r="N1475" s="14">
        <v>0.08</v>
      </c>
      <c r="O1475" s="23">
        <v>227.97</v>
      </c>
      <c r="P1475">
        <v>119.57</v>
      </c>
      <c r="Q1475" s="12" t="str" cm="1">
        <f t="array" ref="Q1475:R1475">VLOOKUP(E1475,store[],{3,5},FALSE)</f>
        <v>East</v>
      </c>
      <c r="R1475" t="str">
        <v>Flagship</v>
      </c>
      <c r="S1475" s="4">
        <f t="shared" si="23"/>
        <v>455.78</v>
      </c>
    </row>
    <row r="1476" spans="1:19">
      <c r="A1476" t="s">
        <v>2271</v>
      </c>
      <c r="B1476" s="3">
        <v>45516</v>
      </c>
      <c r="C1476" t="s">
        <v>1510</v>
      </c>
      <c r="D1476" t="s">
        <v>104</v>
      </c>
      <c r="E1476" t="s">
        <v>272</v>
      </c>
      <c r="F1476">
        <v>4</v>
      </c>
      <c r="G1476" t="s">
        <v>33</v>
      </c>
      <c r="H1476">
        <v>32</v>
      </c>
      <c r="I1476" s="12" t="s">
        <v>34</v>
      </c>
      <c r="J1476" s="12" t="s">
        <v>345</v>
      </c>
      <c r="K1476" s="12" t="s">
        <v>52</v>
      </c>
      <c r="L1476" s="12" t="s">
        <v>107</v>
      </c>
      <c r="M1476" s="12" t="s">
        <v>37</v>
      </c>
      <c r="N1476" s="14">
        <v>0.2</v>
      </c>
      <c r="O1476" s="23">
        <v>278.70999999999998</v>
      </c>
      <c r="P1476">
        <v>326.06</v>
      </c>
      <c r="Q1476" s="12" t="str" cm="1">
        <f t="array" ref="Q1476:R1476">VLOOKUP(E1476,store[],{3,5},FALSE)</f>
        <v>South</v>
      </c>
      <c r="R1476" t="str">
        <v>Online</v>
      </c>
      <c r="S1476" s="4">
        <f t="shared" si="23"/>
        <v>1114.04</v>
      </c>
    </row>
    <row r="1477" spans="1:19">
      <c r="A1477" t="s">
        <v>2272</v>
      </c>
      <c r="B1477" s="3">
        <v>45379</v>
      </c>
      <c r="C1477" t="s">
        <v>1591</v>
      </c>
      <c r="D1477" t="s">
        <v>85</v>
      </c>
      <c r="E1477" t="s">
        <v>43</v>
      </c>
      <c r="F1477">
        <v>2</v>
      </c>
      <c r="G1477" t="s">
        <v>33</v>
      </c>
      <c r="H1477">
        <v>32</v>
      </c>
      <c r="I1477" s="12" t="s">
        <v>34</v>
      </c>
      <c r="J1477" s="12" t="s">
        <v>169</v>
      </c>
      <c r="K1477" s="12" t="s">
        <v>60</v>
      </c>
      <c r="L1477" s="12" t="s">
        <v>86</v>
      </c>
      <c r="M1477" s="12" t="s">
        <v>75</v>
      </c>
      <c r="N1477" s="14">
        <v>0.05</v>
      </c>
      <c r="O1477" s="23">
        <v>916.12</v>
      </c>
      <c r="P1477">
        <v>201.41</v>
      </c>
      <c r="Q1477" s="12" t="str" cm="1">
        <f t="array" ref="Q1477:R1477">VLOOKUP(E1477,store[],{3,5},FALSE)</f>
        <v>West</v>
      </c>
      <c r="R1477" t="str">
        <v>Online</v>
      </c>
      <c r="S1477" s="4">
        <f t="shared" si="23"/>
        <v>1832.14</v>
      </c>
    </row>
    <row r="1478" spans="1:19">
      <c r="A1478" t="s">
        <v>2273</v>
      </c>
      <c r="B1478" s="3">
        <v>45567</v>
      </c>
      <c r="C1478" t="s">
        <v>893</v>
      </c>
      <c r="D1478" t="s">
        <v>234</v>
      </c>
      <c r="E1478" t="s">
        <v>208</v>
      </c>
      <c r="F1478">
        <v>4</v>
      </c>
      <c r="G1478" t="s">
        <v>33</v>
      </c>
      <c r="H1478">
        <v>62</v>
      </c>
      <c r="I1478" s="12" t="s">
        <v>34</v>
      </c>
      <c r="J1478" s="12" t="s">
        <v>235</v>
      </c>
      <c r="K1478" s="12" t="s">
        <v>73</v>
      </c>
      <c r="L1478" s="12" t="s">
        <v>236</v>
      </c>
      <c r="M1478" s="12" t="s">
        <v>75</v>
      </c>
      <c r="N1478" s="14">
        <v>0.22</v>
      </c>
      <c r="O1478" s="23">
        <v>228.98</v>
      </c>
      <c r="P1478">
        <v>298.86</v>
      </c>
      <c r="Q1478" s="12" t="str" cm="1">
        <f t="array" ref="Q1478:R1478">VLOOKUP(E1478,store[],{3,5},FALSE)</f>
        <v>North</v>
      </c>
      <c r="R1478" t="str">
        <v>Online</v>
      </c>
      <c r="S1478" s="4">
        <f t="shared" si="23"/>
        <v>915.04</v>
      </c>
    </row>
    <row r="1479" spans="1:19">
      <c r="A1479" t="s">
        <v>2274</v>
      </c>
      <c r="B1479" s="3">
        <v>45510</v>
      </c>
      <c r="C1479" t="s">
        <v>880</v>
      </c>
      <c r="D1479" t="s">
        <v>287</v>
      </c>
      <c r="E1479" t="s">
        <v>122</v>
      </c>
      <c r="F1479">
        <v>4</v>
      </c>
      <c r="G1479" t="s">
        <v>33</v>
      </c>
      <c r="H1479">
        <v>43</v>
      </c>
      <c r="I1479" s="12" t="s">
        <v>34</v>
      </c>
      <c r="J1479" s="12" t="s">
        <v>333</v>
      </c>
      <c r="K1479" s="12" t="s">
        <v>26</v>
      </c>
      <c r="L1479" s="12" t="s">
        <v>288</v>
      </c>
      <c r="M1479" s="12" t="s">
        <v>46</v>
      </c>
      <c r="N1479" s="14">
        <v>0.09</v>
      </c>
      <c r="O1479" s="23">
        <v>904.82</v>
      </c>
      <c r="P1479">
        <v>183.04</v>
      </c>
      <c r="Q1479" s="12" t="str" cm="1">
        <f t="array" ref="Q1479:R1479">VLOOKUP(E1479,store[],{3,5},FALSE)</f>
        <v>North</v>
      </c>
      <c r="R1479" t="str">
        <v>Flagship</v>
      </c>
      <c r="S1479" s="4">
        <f t="shared" si="23"/>
        <v>3618.92</v>
      </c>
    </row>
    <row r="1480" spans="1:19">
      <c r="A1480" t="s">
        <v>2275</v>
      </c>
      <c r="B1480" s="3">
        <v>45806</v>
      </c>
      <c r="C1480" t="s">
        <v>613</v>
      </c>
      <c r="D1480" t="s">
        <v>250</v>
      </c>
      <c r="E1480" t="s">
        <v>272</v>
      </c>
      <c r="F1480">
        <v>1</v>
      </c>
      <c r="G1480" t="s">
        <v>33</v>
      </c>
      <c r="H1480">
        <v>34</v>
      </c>
      <c r="I1480" s="12" t="s">
        <v>34</v>
      </c>
      <c r="J1480" s="12" t="s">
        <v>251</v>
      </c>
      <c r="K1480" s="12" t="s">
        <v>52</v>
      </c>
      <c r="L1480" s="12" t="s">
        <v>252</v>
      </c>
      <c r="M1480" s="12" t="s">
        <v>130</v>
      </c>
      <c r="N1480" s="14">
        <v>0.1</v>
      </c>
      <c r="O1480" s="23">
        <v>588.61</v>
      </c>
      <c r="P1480">
        <v>248.82191780821901</v>
      </c>
      <c r="Q1480" s="12" t="str" cm="1">
        <f t="array" ref="Q1480:R1480">VLOOKUP(E1480,store[],{3,5},FALSE)</f>
        <v>South</v>
      </c>
      <c r="R1480" t="str">
        <v>Online</v>
      </c>
      <c r="S1480" s="4">
        <f t="shared" si="23"/>
        <v>588.51</v>
      </c>
    </row>
    <row r="1481" spans="1:19">
      <c r="A1481" t="s">
        <v>2276</v>
      </c>
      <c r="B1481" s="3">
        <v>45240</v>
      </c>
      <c r="C1481" t="s">
        <v>529</v>
      </c>
      <c r="D1481" t="s">
        <v>89</v>
      </c>
      <c r="E1481" t="s">
        <v>22</v>
      </c>
      <c r="F1481">
        <v>4</v>
      </c>
      <c r="G1481" t="s">
        <v>23</v>
      </c>
      <c r="H1481">
        <v>51</v>
      </c>
      <c r="I1481" s="12" t="s">
        <v>24</v>
      </c>
      <c r="J1481" s="12" t="s">
        <v>222</v>
      </c>
      <c r="K1481" s="12" t="s">
        <v>26</v>
      </c>
      <c r="L1481" s="12" t="s">
        <v>92</v>
      </c>
      <c r="M1481" s="12" t="s">
        <v>75</v>
      </c>
      <c r="N1481" s="14">
        <v>0.02</v>
      </c>
      <c r="O1481" s="23">
        <v>695.97</v>
      </c>
      <c r="P1481">
        <v>179.77</v>
      </c>
      <c r="Q1481" s="12" t="str" cm="1">
        <f t="array" ref="Q1481:R1481">VLOOKUP(E1481,store[],{3,5},FALSE)</f>
        <v>North</v>
      </c>
      <c r="R1481" t="str">
        <v>Outlet</v>
      </c>
      <c r="S1481" s="4">
        <f t="shared" si="23"/>
        <v>2783.8</v>
      </c>
    </row>
    <row r="1482" spans="1:19">
      <c r="A1482" t="s">
        <v>2277</v>
      </c>
      <c r="B1482" s="3">
        <v>45309</v>
      </c>
      <c r="C1482" t="s">
        <v>1842</v>
      </c>
      <c r="D1482" t="s">
        <v>21</v>
      </c>
      <c r="E1482" t="s">
        <v>272</v>
      </c>
      <c r="F1482">
        <v>2</v>
      </c>
      <c r="G1482" t="s">
        <v>33</v>
      </c>
      <c r="H1482">
        <v>50</v>
      </c>
      <c r="I1482" s="12" t="s">
        <v>24</v>
      </c>
      <c r="J1482" s="12" t="s">
        <v>498</v>
      </c>
      <c r="K1482" s="12" t="s">
        <v>26</v>
      </c>
      <c r="L1482" s="12" t="s">
        <v>27</v>
      </c>
      <c r="M1482" s="12" t="s">
        <v>28</v>
      </c>
      <c r="N1482" s="14">
        <v>0.08</v>
      </c>
      <c r="O1482" s="23">
        <v>181.42</v>
      </c>
      <c r="P1482">
        <v>245.98</v>
      </c>
      <c r="Q1482" s="12" t="str" cm="1">
        <f t="array" ref="Q1482:R1482">VLOOKUP(E1482,store[],{3,5},FALSE)</f>
        <v>South</v>
      </c>
      <c r="R1482" t="str">
        <v>Online</v>
      </c>
      <c r="S1482" s="4">
        <f t="shared" si="23"/>
        <v>362.68</v>
      </c>
    </row>
    <row r="1483" spans="1:19">
      <c r="A1483" t="s">
        <v>2278</v>
      </c>
      <c r="B1483" s="3">
        <v>45375</v>
      </c>
      <c r="C1483" t="s">
        <v>740</v>
      </c>
      <c r="D1483" t="s">
        <v>21</v>
      </c>
      <c r="E1483" t="s">
        <v>149</v>
      </c>
      <c r="F1483">
        <v>1</v>
      </c>
      <c r="G1483" t="s">
        <v>50</v>
      </c>
      <c r="H1483">
        <v>52</v>
      </c>
      <c r="I1483" s="12" t="s">
        <v>34</v>
      </c>
      <c r="J1483" s="12" t="s">
        <v>609</v>
      </c>
      <c r="K1483" s="12" t="s">
        <v>60</v>
      </c>
      <c r="L1483" s="12" t="s">
        <v>27</v>
      </c>
      <c r="M1483" s="12" t="s">
        <v>28</v>
      </c>
      <c r="N1483" s="14">
        <v>0.28999999999999998</v>
      </c>
      <c r="O1483" s="23">
        <v>439.55</v>
      </c>
      <c r="P1483">
        <v>245.98</v>
      </c>
      <c r="Q1483" s="12" t="str" cm="1">
        <f t="array" ref="Q1483:R1483">VLOOKUP(E1483,store[],{3,5},FALSE)</f>
        <v>East</v>
      </c>
      <c r="R1483" t="str">
        <v>Flagship</v>
      </c>
      <c r="S1483" s="4">
        <f t="shared" si="23"/>
        <v>439.26</v>
      </c>
    </row>
    <row r="1484" spans="1:19">
      <c r="A1484" t="s">
        <v>2279</v>
      </c>
      <c r="B1484" s="3">
        <v>45733</v>
      </c>
      <c r="C1484" t="s">
        <v>1037</v>
      </c>
      <c r="D1484" t="s">
        <v>564</v>
      </c>
      <c r="E1484" t="s">
        <v>160</v>
      </c>
      <c r="F1484">
        <v>3</v>
      </c>
      <c r="G1484" t="s">
        <v>50</v>
      </c>
      <c r="H1484">
        <v>30</v>
      </c>
      <c r="I1484" s="12" t="s">
        <v>24</v>
      </c>
      <c r="J1484" s="12" t="s">
        <v>99</v>
      </c>
      <c r="K1484" s="12" t="s">
        <v>73</v>
      </c>
      <c r="L1484" s="12" t="s">
        <v>565</v>
      </c>
      <c r="M1484" s="12" t="s">
        <v>75</v>
      </c>
      <c r="N1484" s="14">
        <v>0.27</v>
      </c>
      <c r="O1484" s="23">
        <v>471.27</v>
      </c>
      <c r="P1484">
        <v>81.75</v>
      </c>
      <c r="Q1484" s="12" t="str" cm="1">
        <f t="array" ref="Q1484:R1484">VLOOKUP(E1484,store[],{3,5},FALSE)</f>
        <v>East</v>
      </c>
      <c r="R1484" t="str">
        <v>Flagship</v>
      </c>
      <c r="S1484" s="4">
        <f t="shared" si="23"/>
        <v>1413</v>
      </c>
    </row>
    <row r="1485" spans="1:19">
      <c r="A1485" t="s">
        <v>2280</v>
      </c>
      <c r="B1485" s="3">
        <v>45435</v>
      </c>
      <c r="C1485" t="s">
        <v>754</v>
      </c>
      <c r="D1485" t="s">
        <v>57</v>
      </c>
      <c r="E1485" t="s">
        <v>208</v>
      </c>
      <c r="F1485">
        <v>1</v>
      </c>
      <c r="G1485" t="s">
        <v>23</v>
      </c>
      <c r="H1485">
        <v>34</v>
      </c>
      <c r="I1485" s="12" t="s">
        <v>24</v>
      </c>
      <c r="J1485" s="12" t="s">
        <v>218</v>
      </c>
      <c r="K1485" s="12" t="s">
        <v>73</v>
      </c>
      <c r="L1485" s="12" t="s">
        <v>61</v>
      </c>
      <c r="M1485" s="12" t="s">
        <v>46</v>
      </c>
      <c r="N1485" s="14">
        <v>0.1</v>
      </c>
      <c r="O1485" s="23">
        <v>758.89</v>
      </c>
      <c r="P1485">
        <v>17.309999999999999</v>
      </c>
      <c r="Q1485" s="12" t="str" cm="1">
        <f t="array" ref="Q1485:R1485">VLOOKUP(E1485,store[],{3,5},FALSE)</f>
        <v>North</v>
      </c>
      <c r="R1485" t="str">
        <v>Online</v>
      </c>
      <c r="S1485" s="4">
        <f t="shared" si="23"/>
        <v>758.79</v>
      </c>
    </row>
    <row r="1486" spans="1:19">
      <c r="A1486" t="s">
        <v>2281</v>
      </c>
      <c r="B1486" s="3">
        <v>45864</v>
      </c>
      <c r="C1486" t="s">
        <v>598</v>
      </c>
      <c r="D1486" t="s">
        <v>1126</v>
      </c>
      <c r="E1486" t="s">
        <v>122</v>
      </c>
      <c r="F1486">
        <v>4</v>
      </c>
      <c r="G1486" t="s">
        <v>50</v>
      </c>
      <c r="H1486">
        <v>46</v>
      </c>
      <c r="I1486" s="12" t="s">
        <v>34</v>
      </c>
      <c r="J1486" s="12" t="s">
        <v>498</v>
      </c>
      <c r="K1486" s="12" t="s">
        <v>73</v>
      </c>
      <c r="L1486" s="12" t="s">
        <v>1127</v>
      </c>
      <c r="M1486" s="12" t="s">
        <v>28</v>
      </c>
      <c r="N1486" s="14">
        <v>0.19</v>
      </c>
      <c r="O1486" s="23">
        <v>918.1</v>
      </c>
      <c r="P1486">
        <v>60.65</v>
      </c>
      <c r="Q1486" s="12" t="str" cm="1">
        <f t="array" ref="Q1486:R1486">VLOOKUP(E1486,store[],{3,5},FALSE)</f>
        <v>North</v>
      </c>
      <c r="R1486" t="str">
        <v>Flagship</v>
      </c>
      <c r="S1486" s="4">
        <f t="shared" si="23"/>
        <v>3671.64</v>
      </c>
    </row>
    <row r="1487" spans="1:19">
      <c r="A1487" t="s">
        <v>2282</v>
      </c>
      <c r="B1487" s="3">
        <v>45569</v>
      </c>
      <c r="C1487" t="s">
        <v>1591</v>
      </c>
      <c r="D1487" t="s">
        <v>242</v>
      </c>
      <c r="E1487" t="s">
        <v>272</v>
      </c>
      <c r="F1487">
        <v>1</v>
      </c>
      <c r="G1487" t="s">
        <v>50</v>
      </c>
      <c r="H1487">
        <v>32</v>
      </c>
      <c r="I1487" s="12" t="s">
        <v>34</v>
      </c>
      <c r="J1487" s="12" t="s">
        <v>169</v>
      </c>
      <c r="K1487" s="12" t="s">
        <v>60</v>
      </c>
      <c r="L1487" s="12" t="s">
        <v>243</v>
      </c>
      <c r="M1487" s="12" t="s">
        <v>46</v>
      </c>
      <c r="N1487" s="14">
        <v>0.05</v>
      </c>
      <c r="O1487" s="23">
        <v>861.5</v>
      </c>
      <c r="P1487">
        <v>358.47</v>
      </c>
      <c r="Q1487" s="12" t="str" cm="1">
        <f t="array" ref="Q1487:R1487">VLOOKUP(E1487,store[],{3,5},FALSE)</f>
        <v>South</v>
      </c>
      <c r="R1487" t="str">
        <v>Online</v>
      </c>
      <c r="S1487" s="4">
        <f t="shared" si="23"/>
        <v>861.45</v>
      </c>
    </row>
    <row r="1488" spans="1:19">
      <c r="A1488" t="s">
        <v>2283</v>
      </c>
      <c r="B1488" s="3">
        <v>45664</v>
      </c>
      <c r="C1488" t="s">
        <v>617</v>
      </c>
      <c r="D1488" t="s">
        <v>443</v>
      </c>
      <c r="E1488" t="s">
        <v>98</v>
      </c>
      <c r="F1488">
        <v>1</v>
      </c>
      <c r="G1488" t="s">
        <v>50</v>
      </c>
      <c r="H1488">
        <v>34</v>
      </c>
      <c r="I1488" s="12" t="s">
        <v>34</v>
      </c>
      <c r="J1488" s="12" t="s">
        <v>356</v>
      </c>
      <c r="K1488" s="12" t="s">
        <v>60</v>
      </c>
      <c r="L1488" s="12" t="s">
        <v>445</v>
      </c>
      <c r="M1488" s="12" t="s">
        <v>28</v>
      </c>
      <c r="N1488" s="14">
        <v>0.26</v>
      </c>
      <c r="O1488" s="23">
        <v>588.29999999999995</v>
      </c>
      <c r="P1488">
        <v>484.62</v>
      </c>
      <c r="Q1488" s="12" t="str" cm="1">
        <f t="array" ref="Q1488:R1488">VLOOKUP(E1488,store[],{3,5},FALSE)</f>
        <v>South</v>
      </c>
      <c r="R1488" t="str">
        <v>Outlet</v>
      </c>
      <c r="S1488" s="4">
        <f t="shared" si="23"/>
        <v>588.04</v>
      </c>
    </row>
    <row r="1489" spans="1:19">
      <c r="A1489" t="s">
        <v>2284</v>
      </c>
      <c r="B1489" s="3">
        <v>45645</v>
      </c>
      <c r="C1489" t="s">
        <v>617</v>
      </c>
      <c r="D1489" t="s">
        <v>564</v>
      </c>
      <c r="E1489" t="s">
        <v>66</v>
      </c>
      <c r="F1489">
        <v>1</v>
      </c>
      <c r="G1489" t="s">
        <v>33</v>
      </c>
      <c r="H1489">
        <v>34</v>
      </c>
      <c r="I1489" s="12" t="s">
        <v>34</v>
      </c>
      <c r="J1489" s="12" t="s">
        <v>356</v>
      </c>
      <c r="K1489" s="12" t="s">
        <v>60</v>
      </c>
      <c r="L1489" s="12" t="s">
        <v>565</v>
      </c>
      <c r="M1489" s="12" t="s">
        <v>75</v>
      </c>
      <c r="N1489" s="14">
        <v>0.05</v>
      </c>
      <c r="O1489" s="23">
        <v>917.26</v>
      </c>
      <c r="P1489">
        <v>81.75</v>
      </c>
      <c r="Q1489" s="12" t="str" cm="1">
        <f t="array" ref="Q1489:R1489">VLOOKUP(E1489,store[],{3,5},FALSE)</f>
        <v>South</v>
      </c>
      <c r="R1489" t="str">
        <v>Online</v>
      </c>
      <c r="S1489" s="4">
        <f t="shared" si="23"/>
        <v>917.21</v>
      </c>
    </row>
    <row r="1490" spans="1:19">
      <c r="A1490" t="s">
        <v>2285</v>
      </c>
      <c r="B1490" s="3">
        <v>45449</v>
      </c>
      <c r="C1490" t="s">
        <v>1161</v>
      </c>
      <c r="D1490" t="s">
        <v>887</v>
      </c>
      <c r="E1490" t="s">
        <v>160</v>
      </c>
      <c r="F1490">
        <v>4</v>
      </c>
      <c r="G1490" t="s">
        <v>33</v>
      </c>
      <c r="H1490">
        <v>59</v>
      </c>
      <c r="I1490" s="12" t="s">
        <v>24</v>
      </c>
      <c r="J1490" s="12" t="s">
        <v>356</v>
      </c>
      <c r="K1490" s="12" t="s">
        <v>60</v>
      </c>
      <c r="L1490" s="12" t="s">
        <v>888</v>
      </c>
      <c r="M1490" s="12" t="s">
        <v>46</v>
      </c>
      <c r="N1490" s="14">
        <v>0.11</v>
      </c>
      <c r="O1490" s="23">
        <v>96.78</v>
      </c>
      <c r="P1490">
        <v>312.8</v>
      </c>
      <c r="Q1490" s="12" t="str" cm="1">
        <f t="array" ref="Q1490:R1490">VLOOKUP(E1490,store[],{3,5},FALSE)</f>
        <v>East</v>
      </c>
      <c r="R1490" t="str">
        <v>Flagship</v>
      </c>
      <c r="S1490" s="4">
        <f t="shared" si="23"/>
        <v>386.68</v>
      </c>
    </row>
    <row r="1491" spans="1:19">
      <c r="A1491" t="s">
        <v>2286</v>
      </c>
      <c r="B1491" s="3">
        <v>45629</v>
      </c>
      <c r="C1491" t="s">
        <v>615</v>
      </c>
      <c r="D1491" t="s">
        <v>567</v>
      </c>
      <c r="E1491" t="s">
        <v>72</v>
      </c>
      <c r="F1491">
        <v>3</v>
      </c>
      <c r="G1491" t="s">
        <v>50</v>
      </c>
      <c r="H1491">
        <v>59</v>
      </c>
      <c r="I1491" s="12" t="s">
        <v>24</v>
      </c>
      <c r="J1491" s="12" t="s">
        <v>345</v>
      </c>
      <c r="K1491" s="12" t="s">
        <v>26</v>
      </c>
      <c r="L1491" s="12" t="s">
        <v>568</v>
      </c>
      <c r="M1491" s="12" t="s">
        <v>28</v>
      </c>
      <c r="N1491" s="14">
        <v>0.16</v>
      </c>
      <c r="O1491" s="23">
        <v>199.41</v>
      </c>
      <c r="P1491">
        <v>38.76</v>
      </c>
      <c r="Q1491" s="12" t="str" cm="1">
        <f t="array" ref="Q1491:R1491">VLOOKUP(E1491,store[],{3,5},FALSE)</f>
        <v>South</v>
      </c>
      <c r="R1491" t="str">
        <v>Online</v>
      </c>
      <c r="S1491" s="4">
        <f t="shared" si="23"/>
        <v>597.75</v>
      </c>
    </row>
    <row r="1492" spans="1:19">
      <c r="A1492" t="s">
        <v>2287</v>
      </c>
      <c r="B1492" s="3">
        <v>45739</v>
      </c>
      <c r="C1492" t="s">
        <v>353</v>
      </c>
      <c r="D1492" t="s">
        <v>420</v>
      </c>
      <c r="E1492" t="s">
        <v>127</v>
      </c>
      <c r="F1492">
        <v>1</v>
      </c>
      <c r="G1492" t="s">
        <v>23</v>
      </c>
      <c r="H1492">
        <v>46</v>
      </c>
      <c r="I1492" s="12" t="s">
        <v>34</v>
      </c>
      <c r="J1492" s="12" t="s">
        <v>204</v>
      </c>
      <c r="K1492" s="12" t="s">
        <v>52</v>
      </c>
      <c r="L1492" s="12" t="s">
        <v>421</v>
      </c>
      <c r="M1492" s="12" t="s">
        <v>28</v>
      </c>
      <c r="N1492" s="14">
        <v>0.25</v>
      </c>
      <c r="O1492" s="23">
        <v>687.91</v>
      </c>
      <c r="P1492">
        <v>434.84</v>
      </c>
      <c r="Q1492" s="12" t="str" cm="1">
        <f t="array" ref="Q1492:R1492">VLOOKUP(E1492,store[],{3,5},FALSE)</f>
        <v>South</v>
      </c>
      <c r="R1492" t="str">
        <v>Flagship</v>
      </c>
      <c r="S1492" s="4">
        <f t="shared" si="23"/>
        <v>687.66</v>
      </c>
    </row>
    <row r="1493" spans="1:19">
      <c r="A1493" t="s">
        <v>2288</v>
      </c>
      <c r="B1493" s="3">
        <v>45849</v>
      </c>
      <c r="C1493" t="s">
        <v>1004</v>
      </c>
      <c r="D1493" t="s">
        <v>368</v>
      </c>
      <c r="E1493" t="s">
        <v>198</v>
      </c>
      <c r="F1493">
        <v>3</v>
      </c>
      <c r="G1493" t="s">
        <v>33</v>
      </c>
      <c r="H1493">
        <v>55</v>
      </c>
      <c r="I1493" s="12" t="s">
        <v>34</v>
      </c>
      <c r="J1493" s="12" t="s">
        <v>209</v>
      </c>
      <c r="K1493" s="12" t="s">
        <v>26</v>
      </c>
      <c r="L1493" s="12" t="s">
        <v>369</v>
      </c>
      <c r="M1493" s="12" t="s">
        <v>46</v>
      </c>
      <c r="N1493" s="14">
        <v>0.09</v>
      </c>
      <c r="O1493" s="23">
        <v>769.62</v>
      </c>
      <c r="P1493">
        <v>214.32</v>
      </c>
      <c r="Q1493" s="12" t="str" cm="1">
        <f t="array" ref="Q1493:R1493">VLOOKUP(E1493,store[],{3,5},FALSE)</f>
        <v>South</v>
      </c>
      <c r="R1493" t="str">
        <v>Outlet</v>
      </c>
      <c r="S1493" s="4">
        <f t="shared" si="23"/>
        <v>2308.59</v>
      </c>
    </row>
    <row r="1494" spans="1:19">
      <c r="A1494" t="s">
        <v>2289</v>
      </c>
      <c r="B1494" s="3">
        <v>45230</v>
      </c>
      <c r="C1494" t="s">
        <v>855</v>
      </c>
      <c r="D1494" t="s">
        <v>634</v>
      </c>
      <c r="E1494" t="s">
        <v>22</v>
      </c>
      <c r="F1494">
        <v>1</v>
      </c>
      <c r="G1494" t="s">
        <v>23</v>
      </c>
      <c r="H1494">
        <v>50</v>
      </c>
      <c r="I1494" s="12" t="s">
        <v>34</v>
      </c>
      <c r="J1494" s="12" t="s">
        <v>463</v>
      </c>
      <c r="K1494" s="12" t="s">
        <v>73</v>
      </c>
      <c r="L1494" s="12" t="s">
        <v>635</v>
      </c>
      <c r="M1494" s="12" t="s">
        <v>130</v>
      </c>
      <c r="N1494" s="14">
        <v>0.27</v>
      </c>
      <c r="O1494" s="23">
        <v>492.05</v>
      </c>
      <c r="P1494">
        <v>306.45999999999998</v>
      </c>
      <c r="Q1494" s="12" t="str" cm="1">
        <f t="array" ref="Q1494:R1494">VLOOKUP(E1494,store[],{3,5},FALSE)</f>
        <v>North</v>
      </c>
      <c r="R1494" t="str">
        <v>Outlet</v>
      </c>
      <c r="S1494" s="4">
        <f t="shared" si="23"/>
        <v>491.78</v>
      </c>
    </row>
    <row r="1495" spans="1:19">
      <c r="A1495" t="s">
        <v>2290</v>
      </c>
      <c r="B1495" s="3">
        <v>45292</v>
      </c>
      <c r="C1495" t="s">
        <v>923</v>
      </c>
      <c r="D1495" t="s">
        <v>377</v>
      </c>
      <c r="E1495" t="s">
        <v>208</v>
      </c>
      <c r="F1495">
        <v>2</v>
      </c>
      <c r="G1495" t="s">
        <v>33</v>
      </c>
      <c r="H1495">
        <v>64</v>
      </c>
      <c r="I1495" s="12" t="s">
        <v>24</v>
      </c>
      <c r="J1495" s="12" t="s">
        <v>360</v>
      </c>
      <c r="K1495" s="12" t="s">
        <v>60</v>
      </c>
      <c r="L1495" s="12" t="s">
        <v>379</v>
      </c>
      <c r="M1495" s="12" t="s">
        <v>28</v>
      </c>
      <c r="N1495" s="14">
        <v>0</v>
      </c>
      <c r="O1495" s="23">
        <v>428.55</v>
      </c>
      <c r="P1495">
        <v>144.53</v>
      </c>
      <c r="Q1495" s="12" t="str" cm="1">
        <f t="array" ref="Q1495:R1495">VLOOKUP(E1495,store[],{3,5},FALSE)</f>
        <v>North</v>
      </c>
      <c r="R1495" t="str">
        <v>Online</v>
      </c>
      <c r="S1495" s="4">
        <f t="shared" si="23"/>
        <v>857.1</v>
      </c>
    </row>
    <row r="1496" spans="1:19">
      <c r="A1496" t="s">
        <v>2291</v>
      </c>
      <c r="B1496" s="3">
        <v>45251</v>
      </c>
      <c r="C1496" t="s">
        <v>1073</v>
      </c>
      <c r="D1496" t="s">
        <v>234</v>
      </c>
      <c r="E1496" t="s">
        <v>122</v>
      </c>
      <c r="F1496">
        <v>4</v>
      </c>
      <c r="G1496" t="s">
        <v>23</v>
      </c>
      <c r="H1496">
        <v>32</v>
      </c>
      <c r="I1496" s="12" t="s">
        <v>34</v>
      </c>
      <c r="J1496" s="12" t="s">
        <v>336</v>
      </c>
      <c r="K1496" s="12" t="s">
        <v>73</v>
      </c>
      <c r="L1496" s="12" t="s">
        <v>236</v>
      </c>
      <c r="M1496" s="12" t="s">
        <v>75</v>
      </c>
      <c r="N1496" s="14">
        <v>0.12</v>
      </c>
      <c r="O1496" s="23">
        <v>316.18</v>
      </c>
      <c r="P1496">
        <v>298.86</v>
      </c>
      <c r="Q1496" s="12" t="str" cm="1">
        <f t="array" ref="Q1496:R1496">VLOOKUP(E1496,store[],{3,5},FALSE)</f>
        <v>North</v>
      </c>
      <c r="R1496" t="str">
        <v>Flagship</v>
      </c>
      <c r="S1496" s="4">
        <f t="shared" si="23"/>
        <v>1264.24</v>
      </c>
    </row>
    <row r="1497" spans="1:19">
      <c r="A1497" t="s">
        <v>2292</v>
      </c>
      <c r="B1497" s="3">
        <v>45555</v>
      </c>
      <c r="C1497" t="s">
        <v>355</v>
      </c>
      <c r="D1497" t="s">
        <v>197</v>
      </c>
      <c r="E1497" t="s">
        <v>22</v>
      </c>
      <c r="F1497">
        <v>3</v>
      </c>
      <c r="G1497" t="s">
        <v>33</v>
      </c>
      <c r="H1497">
        <v>29</v>
      </c>
      <c r="I1497" s="12" t="s">
        <v>34</v>
      </c>
      <c r="J1497" s="12" t="s">
        <v>356</v>
      </c>
      <c r="K1497" s="12" t="s">
        <v>73</v>
      </c>
      <c r="L1497" s="12" t="s">
        <v>200</v>
      </c>
      <c r="M1497" s="12" t="s">
        <v>37</v>
      </c>
      <c r="N1497" s="14">
        <v>0.15</v>
      </c>
      <c r="O1497" s="23">
        <v>162.16999999999999</v>
      </c>
      <c r="P1497">
        <v>242.23</v>
      </c>
      <c r="Q1497" s="12" t="str" cm="1">
        <f t="array" ref="Q1497:R1497">VLOOKUP(E1497,store[],{3,5},FALSE)</f>
        <v>North</v>
      </c>
      <c r="R1497" t="str">
        <v>Outlet</v>
      </c>
      <c r="S1497" s="4">
        <f t="shared" si="23"/>
        <v>486.06</v>
      </c>
    </row>
    <row r="1498" spans="1:19">
      <c r="A1498" t="s">
        <v>2293</v>
      </c>
      <c r="B1498" s="3">
        <v>45385</v>
      </c>
      <c r="C1498" t="s">
        <v>2294</v>
      </c>
      <c r="D1498" t="s">
        <v>634</v>
      </c>
      <c r="E1498" t="s">
        <v>22</v>
      </c>
      <c r="F1498">
        <v>3</v>
      </c>
      <c r="G1498" t="s">
        <v>33</v>
      </c>
      <c r="H1498">
        <v>38</v>
      </c>
      <c r="I1498" s="12" t="s">
        <v>34</v>
      </c>
      <c r="J1498" s="12" t="s">
        <v>111</v>
      </c>
      <c r="K1498" s="12" t="s">
        <v>73</v>
      </c>
      <c r="L1498" s="12" t="s">
        <v>635</v>
      </c>
      <c r="M1498" s="12" t="s">
        <v>130</v>
      </c>
      <c r="N1498" s="14">
        <v>0.04</v>
      </c>
      <c r="O1498" s="23">
        <v>698.14</v>
      </c>
      <c r="P1498">
        <v>306.45999999999998</v>
      </c>
      <c r="Q1498" s="12" t="str" cm="1">
        <f t="array" ref="Q1498:R1498">VLOOKUP(E1498,store[],{3,5},FALSE)</f>
        <v>North</v>
      </c>
      <c r="R1498" t="str">
        <v>Outlet</v>
      </c>
      <c r="S1498" s="4">
        <f t="shared" si="23"/>
        <v>2094.3000000000002</v>
      </c>
    </row>
    <row r="1499" spans="1:19">
      <c r="A1499" t="s">
        <v>2295</v>
      </c>
      <c r="B1499" s="3">
        <v>45787</v>
      </c>
      <c r="C1499" t="s">
        <v>1806</v>
      </c>
      <c r="D1499" t="s">
        <v>31</v>
      </c>
      <c r="E1499" t="s">
        <v>160</v>
      </c>
      <c r="F1499">
        <v>1</v>
      </c>
      <c r="G1499" t="s">
        <v>50</v>
      </c>
      <c r="H1499">
        <v>20</v>
      </c>
      <c r="I1499" s="12" t="s">
        <v>24</v>
      </c>
      <c r="J1499" s="12" t="s">
        <v>35</v>
      </c>
      <c r="K1499" s="12" t="s">
        <v>60</v>
      </c>
      <c r="L1499" s="12" t="s">
        <v>36</v>
      </c>
      <c r="M1499" s="12" t="s">
        <v>37</v>
      </c>
      <c r="N1499" s="14">
        <v>7.0000000000000007E-2</v>
      </c>
      <c r="O1499" s="23">
        <v>478.08</v>
      </c>
      <c r="P1499">
        <v>403.71</v>
      </c>
      <c r="Q1499" s="12" t="str" cm="1">
        <f t="array" ref="Q1499:R1499">VLOOKUP(E1499,store[],{3,5},FALSE)</f>
        <v>East</v>
      </c>
      <c r="R1499" t="str">
        <v>Flagship</v>
      </c>
      <c r="S1499" s="4">
        <f t="shared" si="23"/>
        <v>478.01</v>
      </c>
    </row>
    <row r="1500" spans="1:19">
      <c r="A1500" t="s">
        <v>2296</v>
      </c>
      <c r="B1500" s="3">
        <v>45822</v>
      </c>
      <c r="C1500" t="s">
        <v>968</v>
      </c>
      <c r="D1500" t="s">
        <v>57</v>
      </c>
      <c r="E1500" t="s">
        <v>66</v>
      </c>
      <c r="F1500">
        <v>2</v>
      </c>
      <c r="G1500" t="s">
        <v>33</v>
      </c>
      <c r="H1500">
        <v>54</v>
      </c>
      <c r="I1500" s="12" t="s">
        <v>24</v>
      </c>
      <c r="J1500" s="12" t="s">
        <v>378</v>
      </c>
      <c r="K1500" s="12" t="s">
        <v>52</v>
      </c>
      <c r="L1500" s="12" t="s">
        <v>61</v>
      </c>
      <c r="M1500" s="12" t="s">
        <v>46</v>
      </c>
      <c r="N1500" s="14">
        <v>0.2</v>
      </c>
      <c r="O1500" s="23">
        <v>958.64</v>
      </c>
      <c r="P1500">
        <v>17.309999999999999</v>
      </c>
      <c r="Q1500" s="12" t="str" cm="1">
        <f t="array" ref="Q1500:R1500">VLOOKUP(E1500,store[],{3,5},FALSE)</f>
        <v>South</v>
      </c>
      <c r="R1500" t="str">
        <v>Online</v>
      </c>
      <c r="S1500" s="4">
        <f t="shared" si="23"/>
        <v>1916.88</v>
      </c>
    </row>
    <row r="1501" spans="1:19">
      <c r="A1501" t="s">
        <v>2297</v>
      </c>
      <c r="B1501" s="3">
        <v>45590</v>
      </c>
      <c r="C1501" t="s">
        <v>88</v>
      </c>
      <c r="D1501" t="s">
        <v>745</v>
      </c>
      <c r="E1501" t="s">
        <v>208</v>
      </c>
      <c r="F1501">
        <v>2</v>
      </c>
      <c r="G1501" t="s">
        <v>50</v>
      </c>
      <c r="H1501">
        <v>45</v>
      </c>
      <c r="I1501" s="12" t="s">
        <v>34</v>
      </c>
      <c r="J1501" s="12" t="s">
        <v>91</v>
      </c>
      <c r="K1501" s="12" t="s">
        <v>52</v>
      </c>
      <c r="L1501" s="12" t="s">
        <v>746</v>
      </c>
      <c r="M1501" s="12" t="s">
        <v>28</v>
      </c>
      <c r="N1501" s="14">
        <v>7.0000000000000007E-2</v>
      </c>
      <c r="O1501" s="23">
        <v>581.19000000000005</v>
      </c>
      <c r="P1501">
        <v>313.26</v>
      </c>
      <c r="Q1501" s="12" t="str" cm="1">
        <f t="array" ref="Q1501:R1501">VLOOKUP(E1501,store[],{3,5},FALSE)</f>
        <v>North</v>
      </c>
      <c r="R1501" t="str">
        <v>Online</v>
      </c>
      <c r="S1501" s="4">
        <f t="shared" si="23"/>
        <v>1162.24</v>
      </c>
    </row>
    <row r="1502" spans="1:19">
      <c r="A1502" t="s">
        <v>2298</v>
      </c>
      <c r="B1502" s="3">
        <v>45618</v>
      </c>
      <c r="C1502" t="s">
        <v>2075</v>
      </c>
      <c r="D1502" t="s">
        <v>85</v>
      </c>
      <c r="E1502" t="s">
        <v>272</v>
      </c>
      <c r="F1502">
        <v>1</v>
      </c>
      <c r="G1502" t="s">
        <v>33</v>
      </c>
      <c r="H1502">
        <v>27</v>
      </c>
      <c r="I1502" s="12" t="s">
        <v>34</v>
      </c>
      <c r="J1502" s="12" t="s">
        <v>209</v>
      </c>
      <c r="K1502" s="12" t="s">
        <v>60</v>
      </c>
      <c r="L1502" s="12" t="s">
        <v>86</v>
      </c>
      <c r="M1502" s="12" t="s">
        <v>75</v>
      </c>
      <c r="N1502" s="14">
        <v>0.16</v>
      </c>
      <c r="O1502" s="23">
        <v>736.54</v>
      </c>
      <c r="P1502">
        <v>201.41</v>
      </c>
      <c r="Q1502" s="12" t="str" cm="1">
        <f t="array" ref="Q1502:R1502">VLOOKUP(E1502,store[],{3,5},FALSE)</f>
        <v>South</v>
      </c>
      <c r="R1502" t="str">
        <v>Online</v>
      </c>
      <c r="S1502" s="4">
        <f t="shared" si="23"/>
        <v>736.38</v>
      </c>
    </row>
    <row r="1503" spans="1:19">
      <c r="A1503" t="s">
        <v>2299</v>
      </c>
      <c r="B1503" s="3">
        <v>45586</v>
      </c>
      <c r="C1503" t="s">
        <v>535</v>
      </c>
      <c r="D1503" t="s">
        <v>134</v>
      </c>
      <c r="E1503" t="s">
        <v>122</v>
      </c>
      <c r="F1503">
        <v>1</v>
      </c>
      <c r="G1503" t="s">
        <v>23</v>
      </c>
      <c r="H1503">
        <v>51</v>
      </c>
      <c r="I1503" s="12" t="s">
        <v>34</v>
      </c>
      <c r="J1503" s="12" t="s">
        <v>99</v>
      </c>
      <c r="K1503" s="12" t="s">
        <v>52</v>
      </c>
      <c r="L1503" s="12" t="s">
        <v>136</v>
      </c>
      <c r="M1503" s="12" t="s">
        <v>28</v>
      </c>
      <c r="N1503" s="14">
        <v>0.28000000000000003</v>
      </c>
      <c r="O1503" s="23">
        <v>524</v>
      </c>
      <c r="P1503">
        <v>240.63</v>
      </c>
      <c r="Q1503" s="12" t="str" cm="1">
        <f t="array" ref="Q1503:R1503">VLOOKUP(E1503,store[],{3,5},FALSE)</f>
        <v>North</v>
      </c>
      <c r="R1503" t="str">
        <v>Flagship</v>
      </c>
      <c r="S1503" s="4">
        <f t="shared" si="23"/>
        <v>523.72</v>
      </c>
    </row>
    <row r="1504" spans="1:19">
      <c r="A1504" t="s">
        <v>2300</v>
      </c>
      <c r="B1504" s="3">
        <v>45548</v>
      </c>
      <c r="C1504" t="s">
        <v>1199</v>
      </c>
      <c r="D1504" t="s">
        <v>567</v>
      </c>
      <c r="E1504" t="s">
        <v>22</v>
      </c>
      <c r="F1504">
        <v>4</v>
      </c>
      <c r="G1504" t="s">
        <v>50</v>
      </c>
      <c r="H1504">
        <v>55</v>
      </c>
      <c r="I1504" s="12" t="s">
        <v>34</v>
      </c>
      <c r="J1504" s="12" t="s">
        <v>308</v>
      </c>
      <c r="K1504" s="12" t="s">
        <v>52</v>
      </c>
      <c r="L1504" s="12" t="s">
        <v>568</v>
      </c>
      <c r="M1504" s="12" t="s">
        <v>28</v>
      </c>
      <c r="N1504" s="14">
        <v>0.28000000000000003</v>
      </c>
      <c r="O1504" s="23">
        <v>566.09</v>
      </c>
      <c r="P1504">
        <v>38.76</v>
      </c>
      <c r="Q1504" s="12" t="str" cm="1">
        <f t="array" ref="Q1504:R1504">VLOOKUP(E1504,store[],{3,5},FALSE)</f>
        <v>North</v>
      </c>
      <c r="R1504" t="str">
        <v>Outlet</v>
      </c>
      <c r="S1504" s="4">
        <f t="shared" si="23"/>
        <v>2263.2399999999998</v>
      </c>
    </row>
    <row r="1505" spans="1:19">
      <c r="A1505" t="s">
        <v>2301</v>
      </c>
      <c r="B1505" s="3">
        <v>45772</v>
      </c>
      <c r="C1505" t="s">
        <v>1591</v>
      </c>
      <c r="D1505" t="s">
        <v>279</v>
      </c>
      <c r="E1505" t="s">
        <v>168</v>
      </c>
      <c r="F1505">
        <v>1</v>
      </c>
      <c r="G1505" t="s">
        <v>23</v>
      </c>
      <c r="H1505">
        <v>32</v>
      </c>
      <c r="I1505" s="12" t="s">
        <v>34</v>
      </c>
      <c r="J1505" s="12" t="s">
        <v>169</v>
      </c>
      <c r="K1505" s="12" t="s">
        <v>60</v>
      </c>
      <c r="L1505" s="12" t="s">
        <v>280</v>
      </c>
      <c r="M1505" s="12" t="s">
        <v>75</v>
      </c>
      <c r="N1505" s="14">
        <v>0.09</v>
      </c>
      <c r="O1505" s="23">
        <v>251.99</v>
      </c>
      <c r="P1505">
        <v>123.46</v>
      </c>
      <c r="Q1505" s="12" t="str" cm="1">
        <f t="array" ref="Q1505:R1505">VLOOKUP(E1505,store[],{3,5},FALSE)</f>
        <v>East</v>
      </c>
      <c r="R1505" t="str">
        <v>Online</v>
      </c>
      <c r="S1505" s="4">
        <f t="shared" si="23"/>
        <v>251.9</v>
      </c>
    </row>
    <row r="1506" spans="1:19">
      <c r="A1506" t="s">
        <v>2302</v>
      </c>
      <c r="B1506" s="3">
        <v>45361</v>
      </c>
      <c r="C1506" t="s">
        <v>358</v>
      </c>
      <c r="D1506" t="s">
        <v>377</v>
      </c>
      <c r="E1506" t="s">
        <v>135</v>
      </c>
      <c r="F1506">
        <v>1</v>
      </c>
      <c r="G1506" t="s">
        <v>50</v>
      </c>
      <c r="H1506">
        <v>38</v>
      </c>
      <c r="I1506" s="12" t="s">
        <v>24</v>
      </c>
      <c r="J1506" s="12" t="s">
        <v>360</v>
      </c>
      <c r="K1506" s="12" t="s">
        <v>52</v>
      </c>
      <c r="L1506" s="12" t="s">
        <v>379</v>
      </c>
      <c r="M1506" s="12" t="s">
        <v>28</v>
      </c>
      <c r="N1506" s="14">
        <v>0.27</v>
      </c>
      <c r="O1506" s="23">
        <v>259.2</v>
      </c>
      <c r="P1506">
        <v>144.53</v>
      </c>
      <c r="Q1506" s="12" t="str" cm="1">
        <f t="array" ref="Q1506:R1506">VLOOKUP(E1506,store[],{3,5},FALSE)</f>
        <v>East</v>
      </c>
      <c r="R1506" t="str">
        <v>Online</v>
      </c>
      <c r="S1506" s="4">
        <f t="shared" si="23"/>
        <v>258.93</v>
      </c>
    </row>
    <row r="1507" spans="1:19">
      <c r="A1507" t="s">
        <v>2303</v>
      </c>
      <c r="B1507" s="3">
        <v>45235</v>
      </c>
      <c r="C1507" t="s">
        <v>1416</v>
      </c>
      <c r="D1507" t="s">
        <v>57</v>
      </c>
      <c r="E1507" t="s">
        <v>122</v>
      </c>
      <c r="F1507">
        <v>1</v>
      </c>
      <c r="G1507" t="s">
        <v>33</v>
      </c>
      <c r="H1507">
        <v>35</v>
      </c>
      <c r="I1507" s="12" t="s">
        <v>24</v>
      </c>
      <c r="J1507" s="12" t="s">
        <v>169</v>
      </c>
      <c r="K1507" s="12" t="s">
        <v>60</v>
      </c>
      <c r="L1507" s="12" t="s">
        <v>61</v>
      </c>
      <c r="M1507" s="12" t="s">
        <v>46</v>
      </c>
      <c r="N1507" s="14">
        <v>0.26</v>
      </c>
      <c r="O1507" s="23">
        <v>935.66</v>
      </c>
      <c r="P1507">
        <v>17.309999999999999</v>
      </c>
      <c r="Q1507" s="12" t="str" cm="1">
        <f t="array" ref="Q1507:R1507">VLOOKUP(E1507,store[],{3,5},FALSE)</f>
        <v>North</v>
      </c>
      <c r="R1507" t="str">
        <v>Flagship</v>
      </c>
      <c r="S1507" s="4">
        <f t="shared" si="23"/>
        <v>935.4</v>
      </c>
    </row>
    <row r="1508" spans="1:19">
      <c r="A1508" t="s">
        <v>2304</v>
      </c>
      <c r="B1508" s="3">
        <v>45864</v>
      </c>
      <c r="C1508" t="s">
        <v>956</v>
      </c>
      <c r="D1508" t="s">
        <v>487</v>
      </c>
      <c r="E1508" t="s">
        <v>43</v>
      </c>
      <c r="F1508">
        <v>4</v>
      </c>
      <c r="G1508" t="s">
        <v>23</v>
      </c>
      <c r="H1508">
        <v>19</v>
      </c>
      <c r="I1508" s="12" t="s">
        <v>24</v>
      </c>
      <c r="J1508" s="12" t="s">
        <v>410</v>
      </c>
      <c r="K1508" s="12" t="s">
        <v>26</v>
      </c>
      <c r="L1508" s="12" t="s">
        <v>488</v>
      </c>
      <c r="M1508" s="12" t="s">
        <v>75</v>
      </c>
      <c r="N1508" s="14">
        <v>0.02</v>
      </c>
      <c r="O1508" s="23">
        <v>480.75</v>
      </c>
      <c r="P1508">
        <v>382.22</v>
      </c>
      <c r="Q1508" s="12" t="str" cm="1">
        <f t="array" ref="Q1508:R1508">VLOOKUP(E1508,store[],{3,5},FALSE)</f>
        <v>West</v>
      </c>
      <c r="R1508" t="str">
        <v>Online</v>
      </c>
      <c r="S1508" s="4">
        <f t="shared" si="23"/>
        <v>1922.92</v>
      </c>
    </row>
    <row r="1509" spans="1:19">
      <c r="A1509" t="s">
        <v>2305</v>
      </c>
      <c r="B1509" s="3">
        <v>45681</v>
      </c>
      <c r="C1509" t="s">
        <v>423</v>
      </c>
      <c r="D1509" t="s">
        <v>630</v>
      </c>
      <c r="E1509" t="s">
        <v>122</v>
      </c>
      <c r="F1509">
        <v>2</v>
      </c>
      <c r="G1509" t="s">
        <v>50</v>
      </c>
      <c r="H1509">
        <v>20</v>
      </c>
      <c r="I1509" s="12" t="s">
        <v>34</v>
      </c>
      <c r="J1509" s="12" t="s">
        <v>35</v>
      </c>
      <c r="K1509" s="12" t="s">
        <v>52</v>
      </c>
      <c r="L1509" s="12" t="s">
        <v>631</v>
      </c>
      <c r="M1509" s="12" t="s">
        <v>28</v>
      </c>
      <c r="N1509" s="14">
        <v>0.01</v>
      </c>
      <c r="O1509" s="23">
        <v>457.83</v>
      </c>
      <c r="P1509">
        <v>285.54000000000002</v>
      </c>
      <c r="Q1509" s="12" t="str" cm="1">
        <f t="array" ref="Q1509:R1509">VLOOKUP(E1509,store[],{3,5},FALSE)</f>
        <v>North</v>
      </c>
      <c r="R1509" t="str">
        <v>Flagship</v>
      </c>
      <c r="S1509" s="4">
        <f t="shared" si="23"/>
        <v>915.64</v>
      </c>
    </row>
    <row r="1510" spans="1:19">
      <c r="A1510" t="s">
        <v>2306</v>
      </c>
      <c r="B1510" s="3">
        <v>45905</v>
      </c>
      <c r="C1510" t="s">
        <v>504</v>
      </c>
      <c r="D1510" t="s">
        <v>505</v>
      </c>
      <c r="E1510" t="s">
        <v>98</v>
      </c>
      <c r="F1510">
        <v>1</v>
      </c>
      <c r="G1510" t="s">
        <v>23</v>
      </c>
      <c r="H1510">
        <v>39</v>
      </c>
      <c r="I1510" s="12" t="s">
        <v>34</v>
      </c>
      <c r="J1510" s="12" t="s">
        <v>360</v>
      </c>
      <c r="K1510" s="12" t="s">
        <v>60</v>
      </c>
      <c r="L1510" s="12" t="s">
        <v>506</v>
      </c>
      <c r="M1510" s="12" t="s">
        <v>37</v>
      </c>
      <c r="N1510" s="14">
        <v>0.28000000000000003</v>
      </c>
      <c r="O1510" s="23">
        <v>994.63</v>
      </c>
      <c r="P1510">
        <v>177.98</v>
      </c>
      <c r="Q1510" s="12" t="str" cm="1">
        <f t="array" ref="Q1510:R1510">VLOOKUP(E1510,store[],{3,5},FALSE)</f>
        <v>South</v>
      </c>
      <c r="R1510" t="str">
        <v>Outlet</v>
      </c>
      <c r="S1510" s="4">
        <f t="shared" si="23"/>
        <v>994.35</v>
      </c>
    </row>
    <row r="1511" spans="1:19">
      <c r="A1511" t="s">
        <v>2307</v>
      </c>
      <c r="B1511" s="3">
        <v>45765</v>
      </c>
      <c r="C1511" t="s">
        <v>1685</v>
      </c>
      <c r="D1511" t="s">
        <v>453</v>
      </c>
      <c r="E1511" t="s">
        <v>90</v>
      </c>
      <c r="F1511">
        <v>3</v>
      </c>
      <c r="G1511" t="s">
        <v>50</v>
      </c>
      <c r="H1511">
        <v>57</v>
      </c>
      <c r="I1511" s="12" t="s">
        <v>34</v>
      </c>
      <c r="J1511" s="12" t="s">
        <v>209</v>
      </c>
      <c r="K1511" s="12" t="s">
        <v>52</v>
      </c>
      <c r="L1511" s="12" t="s">
        <v>454</v>
      </c>
      <c r="M1511" s="12" t="s">
        <v>37</v>
      </c>
      <c r="N1511" s="14">
        <v>0.3</v>
      </c>
      <c r="O1511" s="23">
        <v>65.569999999999993</v>
      </c>
      <c r="P1511">
        <v>340.14</v>
      </c>
      <c r="Q1511" s="12" t="str" cm="1">
        <f t="array" ref="Q1511:R1511">VLOOKUP(E1511,store[],{3,5},FALSE)</f>
        <v>East</v>
      </c>
      <c r="R1511" t="str">
        <v>Flagship</v>
      </c>
      <c r="S1511" s="4">
        <f t="shared" si="23"/>
        <v>195.81</v>
      </c>
    </row>
    <row r="1512" spans="1:19">
      <c r="A1512" t="s">
        <v>2308</v>
      </c>
      <c r="B1512" s="3">
        <v>45821</v>
      </c>
      <c r="C1512" t="s">
        <v>1155</v>
      </c>
      <c r="D1512" t="s">
        <v>714</v>
      </c>
      <c r="E1512" t="s">
        <v>32</v>
      </c>
      <c r="F1512">
        <v>3</v>
      </c>
      <c r="G1512" t="s">
        <v>33</v>
      </c>
      <c r="H1512">
        <v>41</v>
      </c>
      <c r="I1512" s="12" t="s">
        <v>34</v>
      </c>
      <c r="J1512" s="12" t="s">
        <v>256</v>
      </c>
      <c r="K1512" s="12" t="s">
        <v>52</v>
      </c>
      <c r="L1512" s="12" t="s">
        <v>715</v>
      </c>
      <c r="M1512" s="12" t="s">
        <v>130</v>
      </c>
      <c r="N1512" s="14">
        <v>0.28000000000000003</v>
      </c>
      <c r="O1512" s="23">
        <v>622.98</v>
      </c>
      <c r="P1512">
        <v>113.83</v>
      </c>
      <c r="Q1512" s="12" t="str" cm="1">
        <f t="array" ref="Q1512:R1512">VLOOKUP(E1512,store[],{3,5},FALSE)</f>
        <v>North</v>
      </c>
      <c r="R1512" t="str">
        <v>Flagship</v>
      </c>
      <c r="S1512" s="4">
        <f t="shared" si="23"/>
        <v>1868.1</v>
      </c>
    </row>
    <row r="1513" spans="1:19">
      <c r="A1513" t="s">
        <v>2309</v>
      </c>
      <c r="B1513" s="3">
        <v>45691</v>
      </c>
      <c r="C1513" t="s">
        <v>2310</v>
      </c>
      <c r="D1513" t="s">
        <v>564</v>
      </c>
      <c r="E1513" t="s">
        <v>149</v>
      </c>
      <c r="F1513">
        <v>1</v>
      </c>
      <c r="G1513" t="s">
        <v>33</v>
      </c>
      <c r="H1513">
        <v>48</v>
      </c>
      <c r="I1513" s="12" t="s">
        <v>24</v>
      </c>
      <c r="J1513" s="12" t="s">
        <v>373</v>
      </c>
      <c r="K1513" s="12" t="s">
        <v>52</v>
      </c>
      <c r="L1513" s="12" t="s">
        <v>565</v>
      </c>
      <c r="M1513" s="12" t="s">
        <v>75</v>
      </c>
      <c r="N1513" s="14">
        <v>0.13</v>
      </c>
      <c r="O1513" s="23">
        <v>170.68</v>
      </c>
      <c r="P1513">
        <v>81.75</v>
      </c>
      <c r="Q1513" s="12" t="str" cm="1">
        <f t="array" ref="Q1513:R1513">VLOOKUP(E1513,store[],{3,5},FALSE)</f>
        <v>East</v>
      </c>
      <c r="R1513" t="str">
        <v>Flagship</v>
      </c>
      <c r="S1513" s="4">
        <f t="shared" si="23"/>
        <v>170.55</v>
      </c>
    </row>
    <row r="1514" spans="1:19">
      <c r="A1514" t="s">
        <v>2311</v>
      </c>
      <c r="B1514" s="3">
        <v>45860</v>
      </c>
      <c r="C1514" t="s">
        <v>701</v>
      </c>
      <c r="D1514" t="s">
        <v>645</v>
      </c>
      <c r="E1514" t="s">
        <v>43</v>
      </c>
      <c r="F1514">
        <v>4</v>
      </c>
      <c r="G1514" t="s">
        <v>23</v>
      </c>
      <c r="H1514">
        <v>30</v>
      </c>
      <c r="I1514" s="12" t="s">
        <v>34</v>
      </c>
      <c r="J1514" s="12" t="s">
        <v>378</v>
      </c>
      <c r="K1514" s="12" t="s">
        <v>52</v>
      </c>
      <c r="L1514" s="12" t="s">
        <v>646</v>
      </c>
      <c r="M1514" s="12" t="s">
        <v>75</v>
      </c>
      <c r="N1514" s="14">
        <v>0.08</v>
      </c>
      <c r="O1514" s="23">
        <v>797.83</v>
      </c>
      <c r="P1514">
        <v>218.86</v>
      </c>
      <c r="Q1514" s="12" t="str" cm="1">
        <f t="array" ref="Q1514:R1514">VLOOKUP(E1514,store[],{3,5},FALSE)</f>
        <v>West</v>
      </c>
      <c r="R1514" t="str">
        <v>Online</v>
      </c>
      <c r="S1514" s="4">
        <f t="shared" si="23"/>
        <v>3191</v>
      </c>
    </row>
    <row r="1515" spans="1:19">
      <c r="A1515" t="s">
        <v>2312</v>
      </c>
      <c r="B1515" s="3">
        <v>45922</v>
      </c>
      <c r="C1515" t="s">
        <v>1047</v>
      </c>
      <c r="D1515" t="s">
        <v>868</v>
      </c>
      <c r="E1515" t="s">
        <v>117</v>
      </c>
      <c r="F1515">
        <v>1</v>
      </c>
      <c r="G1515" t="s">
        <v>23</v>
      </c>
      <c r="H1515">
        <v>24</v>
      </c>
      <c r="I1515" s="12" t="s">
        <v>24</v>
      </c>
      <c r="J1515" s="12" t="s">
        <v>444</v>
      </c>
      <c r="K1515" s="12" t="s">
        <v>26</v>
      </c>
      <c r="L1515" s="12" t="s">
        <v>869</v>
      </c>
      <c r="M1515" s="12" t="s">
        <v>130</v>
      </c>
      <c r="N1515" s="14">
        <v>0.12</v>
      </c>
      <c r="O1515" s="23">
        <v>372.75</v>
      </c>
      <c r="P1515">
        <v>254.62086956521699</v>
      </c>
      <c r="Q1515" s="12" t="str" cm="1">
        <f t="array" ref="Q1515:R1515">VLOOKUP(E1515,store[],{3,5},FALSE)</f>
        <v>West</v>
      </c>
      <c r="R1515" t="str">
        <v>Flagship</v>
      </c>
      <c r="S1515" s="4">
        <f t="shared" si="23"/>
        <v>372.63</v>
      </c>
    </row>
    <row r="1516" spans="1:19">
      <c r="A1516" t="s">
        <v>2313</v>
      </c>
      <c r="B1516" s="3">
        <v>45477</v>
      </c>
      <c r="C1516" t="s">
        <v>158</v>
      </c>
      <c r="D1516" t="s">
        <v>698</v>
      </c>
      <c r="E1516" t="s">
        <v>72</v>
      </c>
      <c r="F1516">
        <v>1</v>
      </c>
      <c r="G1516" t="s">
        <v>33</v>
      </c>
      <c r="H1516">
        <v>25</v>
      </c>
      <c r="I1516" s="12" t="s">
        <v>34</v>
      </c>
      <c r="J1516" s="12" t="s">
        <v>161</v>
      </c>
      <c r="K1516" s="12" t="s">
        <v>60</v>
      </c>
      <c r="L1516" s="12" t="s">
        <v>699</v>
      </c>
      <c r="M1516" s="12" t="s">
        <v>28</v>
      </c>
      <c r="N1516" s="14">
        <v>0.05</v>
      </c>
      <c r="O1516" s="23">
        <v>994.18</v>
      </c>
      <c r="P1516">
        <v>103.45</v>
      </c>
      <c r="Q1516" s="12" t="str" cm="1">
        <f t="array" ref="Q1516:R1516">VLOOKUP(E1516,store[],{3,5},FALSE)</f>
        <v>South</v>
      </c>
      <c r="R1516" t="str">
        <v>Online</v>
      </c>
      <c r="S1516" s="4">
        <f t="shared" si="23"/>
        <v>994.13</v>
      </c>
    </row>
    <row r="1517" spans="1:19">
      <c r="A1517" t="s">
        <v>2314</v>
      </c>
      <c r="B1517" s="3">
        <v>45504</v>
      </c>
      <c r="C1517" t="s">
        <v>1064</v>
      </c>
      <c r="D1517" t="s">
        <v>291</v>
      </c>
      <c r="E1517" t="s">
        <v>149</v>
      </c>
      <c r="F1517">
        <v>1</v>
      </c>
      <c r="G1517" t="s">
        <v>23</v>
      </c>
      <c r="H1517">
        <v>42</v>
      </c>
      <c r="I1517" s="12" t="s">
        <v>34</v>
      </c>
      <c r="J1517" s="12" t="s">
        <v>333</v>
      </c>
      <c r="K1517" s="12" t="s">
        <v>52</v>
      </c>
      <c r="L1517" s="12" t="s">
        <v>292</v>
      </c>
      <c r="M1517" s="12" t="s">
        <v>28</v>
      </c>
      <c r="N1517" s="14">
        <v>7.0000000000000007E-2</v>
      </c>
      <c r="O1517" s="23">
        <v>136.12</v>
      </c>
      <c r="P1517">
        <v>131.51</v>
      </c>
      <c r="Q1517" s="12" t="str" cm="1">
        <f t="array" ref="Q1517:R1517">VLOOKUP(E1517,store[],{3,5},FALSE)</f>
        <v>East</v>
      </c>
      <c r="R1517" t="str">
        <v>Flagship</v>
      </c>
      <c r="S1517" s="4">
        <f t="shared" si="23"/>
        <v>136.05000000000001</v>
      </c>
    </row>
    <row r="1518" spans="1:19">
      <c r="A1518" t="s">
        <v>2315</v>
      </c>
      <c r="B1518" s="3">
        <v>45862</v>
      </c>
      <c r="C1518" t="s">
        <v>1997</v>
      </c>
      <c r="D1518" t="s">
        <v>282</v>
      </c>
      <c r="E1518" t="s">
        <v>160</v>
      </c>
      <c r="F1518">
        <v>3</v>
      </c>
      <c r="G1518" t="s">
        <v>33</v>
      </c>
      <c r="H1518">
        <v>64</v>
      </c>
      <c r="I1518" s="12" t="s">
        <v>34</v>
      </c>
      <c r="J1518" s="12" t="s">
        <v>44</v>
      </c>
      <c r="K1518" s="12" t="s">
        <v>73</v>
      </c>
      <c r="L1518" s="12" t="s">
        <v>283</v>
      </c>
      <c r="M1518" s="12" t="s">
        <v>28</v>
      </c>
      <c r="N1518" s="14">
        <v>0.17</v>
      </c>
      <c r="O1518" s="23">
        <v>634.45000000000005</v>
      </c>
      <c r="P1518">
        <v>212.26</v>
      </c>
      <c r="Q1518" s="12" t="str" cm="1">
        <f t="array" ref="Q1518:R1518">VLOOKUP(E1518,store[],{3,5},FALSE)</f>
        <v>East</v>
      </c>
      <c r="R1518" t="str">
        <v>Flagship</v>
      </c>
      <c r="S1518" s="4">
        <f t="shared" si="23"/>
        <v>1902.84</v>
      </c>
    </row>
    <row r="1519" spans="1:19">
      <c r="A1519" t="s">
        <v>2316</v>
      </c>
      <c r="B1519" s="3">
        <v>45579</v>
      </c>
      <c r="C1519" t="s">
        <v>508</v>
      </c>
      <c r="D1519" t="s">
        <v>779</v>
      </c>
      <c r="E1519" t="s">
        <v>90</v>
      </c>
      <c r="F1519">
        <v>4</v>
      </c>
      <c r="G1519" t="s">
        <v>23</v>
      </c>
      <c r="H1519">
        <v>62</v>
      </c>
      <c r="I1519" s="12" t="s">
        <v>34</v>
      </c>
      <c r="J1519" s="12" t="s">
        <v>510</v>
      </c>
      <c r="K1519" s="12" t="s">
        <v>73</v>
      </c>
      <c r="L1519" s="12" t="s">
        <v>780</v>
      </c>
      <c r="M1519" s="12" t="s">
        <v>46</v>
      </c>
      <c r="N1519" s="14">
        <v>0.05</v>
      </c>
      <c r="O1519" s="23">
        <v>179.62</v>
      </c>
      <c r="P1519">
        <v>299.11</v>
      </c>
      <c r="Q1519" s="12" t="str" cm="1">
        <f t="array" ref="Q1519:R1519">VLOOKUP(E1519,store[],{3,5},FALSE)</f>
        <v>East</v>
      </c>
      <c r="R1519" t="str">
        <v>Flagship</v>
      </c>
      <c r="S1519" s="4">
        <f t="shared" si="23"/>
        <v>718.28</v>
      </c>
    </row>
    <row r="1520" spans="1:19">
      <c r="A1520" t="s">
        <v>2317</v>
      </c>
      <c r="B1520" s="3">
        <v>45658</v>
      </c>
      <c r="C1520" t="s">
        <v>541</v>
      </c>
      <c r="D1520" t="s">
        <v>291</v>
      </c>
      <c r="E1520" t="s">
        <v>160</v>
      </c>
      <c r="F1520">
        <v>4</v>
      </c>
      <c r="G1520" t="s">
        <v>33</v>
      </c>
      <c r="H1520">
        <v>29</v>
      </c>
      <c r="I1520" s="12" t="s">
        <v>24</v>
      </c>
      <c r="J1520" s="12" t="s">
        <v>111</v>
      </c>
      <c r="K1520" s="12" t="s">
        <v>52</v>
      </c>
      <c r="L1520" s="12" t="s">
        <v>292</v>
      </c>
      <c r="M1520" s="12" t="s">
        <v>28</v>
      </c>
      <c r="N1520" s="14">
        <v>0.16</v>
      </c>
      <c r="O1520" s="23">
        <v>558.83000000000004</v>
      </c>
      <c r="P1520">
        <v>131.51</v>
      </c>
      <c r="Q1520" s="12" t="str" cm="1">
        <f t="array" ref="Q1520:R1520">VLOOKUP(E1520,store[],{3,5},FALSE)</f>
        <v>East</v>
      </c>
      <c r="R1520" t="str">
        <v>Flagship</v>
      </c>
      <c r="S1520" s="4">
        <f t="shared" si="23"/>
        <v>2234.6799999999998</v>
      </c>
    </row>
    <row r="1521" spans="1:19">
      <c r="A1521" t="s">
        <v>2318</v>
      </c>
      <c r="B1521" s="3">
        <v>45664</v>
      </c>
      <c r="C1521" t="s">
        <v>527</v>
      </c>
      <c r="D1521" t="s">
        <v>242</v>
      </c>
      <c r="E1521" t="s">
        <v>179</v>
      </c>
      <c r="F1521">
        <v>2</v>
      </c>
      <c r="G1521" t="s">
        <v>50</v>
      </c>
      <c r="H1521">
        <v>44</v>
      </c>
      <c r="I1521" s="12" t="s">
        <v>34</v>
      </c>
      <c r="J1521" s="12" t="s">
        <v>260</v>
      </c>
      <c r="K1521" s="12" t="s">
        <v>52</v>
      </c>
      <c r="L1521" s="12" t="s">
        <v>243</v>
      </c>
      <c r="M1521" s="12" t="s">
        <v>46</v>
      </c>
      <c r="N1521" s="14">
        <v>0.25</v>
      </c>
      <c r="O1521" s="23">
        <v>859.74</v>
      </c>
      <c r="P1521">
        <v>358.47</v>
      </c>
      <c r="Q1521" s="12" t="str" cm="1">
        <f t="array" ref="Q1521:R1521">VLOOKUP(E1521,store[],{3,5},FALSE)</f>
        <v>East</v>
      </c>
      <c r="R1521" t="str">
        <v>Online</v>
      </c>
      <c r="S1521" s="4">
        <f t="shared" si="23"/>
        <v>1718.98</v>
      </c>
    </row>
    <row r="1522" spans="1:19">
      <c r="A1522" t="s">
        <v>2319</v>
      </c>
      <c r="B1522" s="3">
        <v>45936</v>
      </c>
      <c r="C1522" t="s">
        <v>2320</v>
      </c>
      <c r="D1522" t="s">
        <v>134</v>
      </c>
      <c r="E1522" t="s">
        <v>117</v>
      </c>
      <c r="F1522">
        <v>3</v>
      </c>
      <c r="G1522" t="s">
        <v>50</v>
      </c>
      <c r="H1522">
        <v>53</v>
      </c>
      <c r="I1522" s="12" t="s">
        <v>34</v>
      </c>
      <c r="J1522" s="12" t="s">
        <v>67</v>
      </c>
      <c r="K1522" s="12" t="s">
        <v>73</v>
      </c>
      <c r="L1522" s="12" t="s">
        <v>136</v>
      </c>
      <c r="M1522" s="12" t="s">
        <v>28</v>
      </c>
      <c r="N1522" s="14">
        <v>0.06</v>
      </c>
      <c r="O1522" s="23">
        <v>578.47</v>
      </c>
      <c r="P1522">
        <v>240.63</v>
      </c>
      <c r="Q1522" s="12" t="str" cm="1">
        <f t="array" ref="Q1522:R1522">VLOOKUP(E1522,store[],{3,5},FALSE)</f>
        <v>West</v>
      </c>
      <c r="R1522" t="str">
        <v>Flagship</v>
      </c>
      <c r="S1522" s="4">
        <f t="shared" si="23"/>
        <v>1735.23</v>
      </c>
    </row>
    <row r="1523" spans="1:19">
      <c r="A1523" t="s">
        <v>2321</v>
      </c>
      <c r="B1523" s="3">
        <v>45344</v>
      </c>
      <c r="C1523" t="s">
        <v>1348</v>
      </c>
      <c r="D1523" t="s">
        <v>279</v>
      </c>
      <c r="E1523" t="s">
        <v>208</v>
      </c>
      <c r="F1523">
        <v>1</v>
      </c>
      <c r="G1523" t="s">
        <v>50</v>
      </c>
      <c r="H1523">
        <v>56</v>
      </c>
      <c r="I1523" s="12" t="s">
        <v>34</v>
      </c>
      <c r="J1523" s="12" t="s">
        <v>510</v>
      </c>
      <c r="K1523" s="12" t="s">
        <v>73</v>
      </c>
      <c r="L1523" s="12" t="s">
        <v>280</v>
      </c>
      <c r="M1523" s="12" t="s">
        <v>75</v>
      </c>
      <c r="N1523" s="14">
        <v>0.11</v>
      </c>
      <c r="O1523" s="23">
        <v>440.48</v>
      </c>
      <c r="P1523">
        <v>123.46</v>
      </c>
      <c r="Q1523" s="12" t="str" cm="1">
        <f t="array" ref="Q1523:R1523">VLOOKUP(E1523,store[],{3,5},FALSE)</f>
        <v>North</v>
      </c>
      <c r="R1523" t="str">
        <v>Online</v>
      </c>
      <c r="S1523" s="4">
        <f t="shared" si="23"/>
        <v>440.37</v>
      </c>
    </row>
    <row r="1524" spans="1:19">
      <c r="A1524" t="s">
        <v>2322</v>
      </c>
      <c r="B1524" s="3">
        <v>45329</v>
      </c>
      <c r="C1524" t="s">
        <v>70</v>
      </c>
      <c r="D1524" t="s">
        <v>226</v>
      </c>
      <c r="E1524" t="s">
        <v>135</v>
      </c>
      <c r="F1524">
        <v>2</v>
      </c>
      <c r="G1524" t="s">
        <v>33</v>
      </c>
      <c r="H1524">
        <v>24</v>
      </c>
      <c r="I1524" s="12" t="s">
        <v>34</v>
      </c>
      <c r="J1524" s="12" t="s">
        <v>44</v>
      </c>
      <c r="K1524" s="12" t="s">
        <v>73</v>
      </c>
      <c r="L1524" s="12" t="s">
        <v>228</v>
      </c>
      <c r="M1524" s="12" t="s">
        <v>46</v>
      </c>
      <c r="N1524" s="14">
        <v>0.05</v>
      </c>
      <c r="O1524" s="23">
        <v>303.67</v>
      </c>
      <c r="P1524">
        <v>337.42</v>
      </c>
      <c r="Q1524" s="12" t="str" cm="1">
        <f t="array" ref="Q1524:R1524">VLOOKUP(E1524,store[],{3,5},FALSE)</f>
        <v>East</v>
      </c>
      <c r="R1524" t="str">
        <v>Online</v>
      </c>
      <c r="S1524" s="4">
        <f t="shared" si="23"/>
        <v>607.24</v>
      </c>
    </row>
    <row r="1525" spans="1:19">
      <c r="A1525" t="s">
        <v>2323</v>
      </c>
      <c r="B1525" s="3">
        <v>45895</v>
      </c>
      <c r="C1525" t="s">
        <v>1324</v>
      </c>
      <c r="D1525" t="s">
        <v>31</v>
      </c>
      <c r="E1525" t="s">
        <v>98</v>
      </c>
      <c r="F1525">
        <v>2</v>
      </c>
      <c r="G1525" t="s">
        <v>50</v>
      </c>
      <c r="H1525">
        <v>58</v>
      </c>
      <c r="I1525" s="12" t="s">
        <v>34</v>
      </c>
      <c r="J1525" s="12" t="s">
        <v>609</v>
      </c>
      <c r="K1525" s="12" t="s">
        <v>60</v>
      </c>
      <c r="L1525" s="12" t="s">
        <v>36</v>
      </c>
      <c r="M1525" s="12" t="s">
        <v>37</v>
      </c>
      <c r="N1525" s="14">
        <v>0.22</v>
      </c>
      <c r="O1525" s="23">
        <v>611.21</v>
      </c>
      <c r="P1525">
        <v>403.71</v>
      </c>
      <c r="Q1525" s="12" t="str" cm="1">
        <f t="array" ref="Q1525:R1525">VLOOKUP(E1525,store[],{3,5},FALSE)</f>
        <v>South</v>
      </c>
      <c r="R1525" t="str">
        <v>Outlet</v>
      </c>
      <c r="S1525" s="4">
        <f t="shared" si="23"/>
        <v>1221.98</v>
      </c>
    </row>
    <row r="1526" spans="1:19">
      <c r="A1526" t="s">
        <v>2324</v>
      </c>
      <c r="B1526" s="3">
        <v>45239</v>
      </c>
      <c r="C1526" t="s">
        <v>1269</v>
      </c>
      <c r="D1526" t="s">
        <v>104</v>
      </c>
      <c r="E1526" t="s">
        <v>122</v>
      </c>
      <c r="F1526">
        <v>2</v>
      </c>
      <c r="G1526" t="s">
        <v>33</v>
      </c>
      <c r="H1526">
        <v>37</v>
      </c>
      <c r="I1526" s="12" t="s">
        <v>34</v>
      </c>
      <c r="J1526" s="12" t="s">
        <v>333</v>
      </c>
      <c r="K1526" s="12" t="s">
        <v>52</v>
      </c>
      <c r="L1526" s="12" t="s">
        <v>107</v>
      </c>
      <c r="M1526" s="12" t="s">
        <v>37</v>
      </c>
      <c r="N1526" s="14">
        <v>0.26</v>
      </c>
      <c r="O1526" s="23">
        <v>768.08</v>
      </c>
      <c r="P1526">
        <v>326.06</v>
      </c>
      <c r="Q1526" s="12" t="str" cm="1">
        <f t="array" ref="Q1526:R1526">VLOOKUP(E1526,store[],{3,5},FALSE)</f>
        <v>North</v>
      </c>
      <c r="R1526" t="str">
        <v>Flagship</v>
      </c>
      <c r="S1526" s="4">
        <f t="shared" si="23"/>
        <v>1535.64</v>
      </c>
    </row>
    <row r="1527" spans="1:19">
      <c r="A1527" t="s">
        <v>2325</v>
      </c>
      <c r="B1527" s="3">
        <v>45296</v>
      </c>
      <c r="C1527" t="s">
        <v>994</v>
      </c>
      <c r="D1527" t="s">
        <v>250</v>
      </c>
      <c r="E1527" t="s">
        <v>160</v>
      </c>
      <c r="F1527">
        <v>1</v>
      </c>
      <c r="G1527" t="s">
        <v>23</v>
      </c>
      <c r="H1527">
        <v>28</v>
      </c>
      <c r="I1527" s="12" t="s">
        <v>34</v>
      </c>
      <c r="J1527" s="12" t="s">
        <v>356</v>
      </c>
      <c r="K1527" s="12" t="s">
        <v>73</v>
      </c>
      <c r="L1527" s="12" t="s">
        <v>252</v>
      </c>
      <c r="M1527" s="12" t="s">
        <v>130</v>
      </c>
      <c r="N1527" s="14">
        <v>0.24</v>
      </c>
      <c r="O1527" s="23">
        <v>616.82000000000005</v>
      </c>
      <c r="P1527">
        <v>248.82191780821901</v>
      </c>
      <c r="Q1527" s="12" t="str" cm="1">
        <f t="array" ref="Q1527:R1527">VLOOKUP(E1527,store[],{3,5},FALSE)</f>
        <v>East</v>
      </c>
      <c r="R1527" t="str">
        <v>Flagship</v>
      </c>
      <c r="S1527" s="4">
        <f t="shared" si="23"/>
        <v>616.58000000000004</v>
      </c>
    </row>
    <row r="1528" spans="1:19">
      <c r="A1528" t="s">
        <v>2326</v>
      </c>
      <c r="B1528" s="3">
        <v>45672</v>
      </c>
      <c r="C1528" t="s">
        <v>392</v>
      </c>
      <c r="D1528" t="s">
        <v>295</v>
      </c>
      <c r="E1528" t="s">
        <v>160</v>
      </c>
      <c r="F1528">
        <v>1</v>
      </c>
      <c r="G1528" t="s">
        <v>50</v>
      </c>
      <c r="H1528">
        <v>18</v>
      </c>
      <c r="I1528" s="12" t="s">
        <v>24</v>
      </c>
      <c r="J1528" s="12" t="s">
        <v>161</v>
      </c>
      <c r="K1528" s="12" t="s">
        <v>52</v>
      </c>
      <c r="L1528" s="12" t="s">
        <v>296</v>
      </c>
      <c r="M1528" s="12" t="s">
        <v>37</v>
      </c>
      <c r="N1528" s="14">
        <v>0.18</v>
      </c>
      <c r="O1528" s="23">
        <v>470.34</v>
      </c>
      <c r="P1528">
        <v>38.520000000000003</v>
      </c>
      <c r="Q1528" s="12" t="str" cm="1">
        <f t="array" ref="Q1528:R1528">VLOOKUP(E1528,store[],{3,5},FALSE)</f>
        <v>East</v>
      </c>
      <c r="R1528" t="str">
        <v>Flagship</v>
      </c>
      <c r="S1528" s="4">
        <f t="shared" si="23"/>
        <v>470.16</v>
      </c>
    </row>
    <row r="1529" spans="1:19">
      <c r="A1529" t="s">
        <v>2327</v>
      </c>
      <c r="B1529" s="3">
        <v>45499</v>
      </c>
      <c r="C1529" t="s">
        <v>785</v>
      </c>
      <c r="D1529" t="s">
        <v>207</v>
      </c>
      <c r="E1529" t="s">
        <v>43</v>
      </c>
      <c r="F1529">
        <v>2</v>
      </c>
      <c r="G1529" t="s">
        <v>33</v>
      </c>
      <c r="H1529">
        <v>47</v>
      </c>
      <c r="I1529" s="12" t="s">
        <v>34</v>
      </c>
      <c r="J1529" s="12" t="s">
        <v>204</v>
      </c>
      <c r="K1529" s="12" t="s">
        <v>26</v>
      </c>
      <c r="L1529" s="12" t="s">
        <v>210</v>
      </c>
      <c r="M1529" s="12" t="s">
        <v>130</v>
      </c>
      <c r="N1529" s="14">
        <v>0.12</v>
      </c>
      <c r="O1529" s="23">
        <v>616.36</v>
      </c>
      <c r="P1529">
        <v>386.56</v>
      </c>
      <c r="Q1529" s="12" t="str" cm="1">
        <f t="array" ref="Q1529:R1529">VLOOKUP(E1529,store[],{3,5},FALSE)</f>
        <v>West</v>
      </c>
      <c r="R1529" t="str">
        <v>Online</v>
      </c>
      <c r="S1529" s="4">
        <f t="shared" si="23"/>
        <v>1232.48</v>
      </c>
    </row>
    <row r="1530" spans="1:19">
      <c r="A1530" t="s">
        <v>2328</v>
      </c>
      <c r="B1530" s="3">
        <v>45434</v>
      </c>
      <c r="C1530" t="s">
        <v>752</v>
      </c>
      <c r="D1530" t="s">
        <v>414</v>
      </c>
      <c r="E1530" t="s">
        <v>127</v>
      </c>
      <c r="F1530">
        <v>3</v>
      </c>
      <c r="G1530" t="s">
        <v>33</v>
      </c>
      <c r="H1530">
        <v>53</v>
      </c>
      <c r="I1530" s="12" t="s">
        <v>24</v>
      </c>
      <c r="J1530" s="12" t="s">
        <v>235</v>
      </c>
      <c r="K1530" s="12" t="s">
        <v>73</v>
      </c>
      <c r="L1530" s="12" t="s">
        <v>415</v>
      </c>
      <c r="M1530" s="12" t="s">
        <v>130</v>
      </c>
      <c r="N1530" s="14">
        <v>0.18</v>
      </c>
      <c r="O1530" s="23">
        <v>657.24</v>
      </c>
      <c r="P1530">
        <v>364.67</v>
      </c>
      <c r="Q1530" s="12" t="str" cm="1">
        <f t="array" ref="Q1530:R1530">VLOOKUP(E1530,store[],{3,5},FALSE)</f>
        <v>South</v>
      </c>
      <c r="R1530" t="str">
        <v>Flagship</v>
      </c>
      <c r="S1530" s="4">
        <f t="shared" si="23"/>
        <v>1971.18</v>
      </c>
    </row>
    <row r="1531" spans="1:19">
      <c r="A1531" t="s">
        <v>2329</v>
      </c>
      <c r="B1531" s="3">
        <v>45893</v>
      </c>
      <c r="C1531" t="s">
        <v>900</v>
      </c>
      <c r="D1531" t="s">
        <v>745</v>
      </c>
      <c r="E1531" t="s">
        <v>135</v>
      </c>
      <c r="F1531">
        <v>2</v>
      </c>
      <c r="G1531" t="s">
        <v>33</v>
      </c>
      <c r="H1531">
        <v>27</v>
      </c>
      <c r="I1531" s="12" t="s">
        <v>34</v>
      </c>
      <c r="J1531" s="12" t="s">
        <v>336</v>
      </c>
      <c r="K1531" s="12" t="s">
        <v>52</v>
      </c>
      <c r="L1531" s="12" t="s">
        <v>746</v>
      </c>
      <c r="M1531" s="12" t="s">
        <v>28</v>
      </c>
      <c r="N1531" s="14">
        <v>0.04</v>
      </c>
      <c r="O1531" s="23">
        <v>392.45</v>
      </c>
      <c r="P1531">
        <v>313.26</v>
      </c>
      <c r="Q1531" s="12" t="str" cm="1">
        <f t="array" ref="Q1531:R1531">VLOOKUP(E1531,store[],{3,5},FALSE)</f>
        <v>East</v>
      </c>
      <c r="R1531" t="str">
        <v>Online</v>
      </c>
      <c r="S1531" s="4">
        <f t="shared" si="23"/>
        <v>784.82</v>
      </c>
    </row>
    <row r="1532" spans="1:19">
      <c r="A1532" t="s">
        <v>2330</v>
      </c>
      <c r="B1532" s="3">
        <v>45346</v>
      </c>
      <c r="C1532" t="s">
        <v>1685</v>
      </c>
      <c r="D1532" t="s">
        <v>295</v>
      </c>
      <c r="E1532" t="s">
        <v>98</v>
      </c>
      <c r="F1532">
        <v>3</v>
      </c>
      <c r="G1532" t="s">
        <v>50</v>
      </c>
      <c r="H1532">
        <v>57</v>
      </c>
      <c r="I1532" s="12" t="s">
        <v>34</v>
      </c>
      <c r="J1532" s="12" t="s">
        <v>209</v>
      </c>
      <c r="K1532" s="12" t="s">
        <v>52</v>
      </c>
      <c r="L1532" s="12" t="s">
        <v>296</v>
      </c>
      <c r="M1532" s="12" t="s">
        <v>37</v>
      </c>
      <c r="N1532" s="14">
        <v>0.01</v>
      </c>
      <c r="O1532" s="23">
        <v>62.03</v>
      </c>
      <c r="P1532">
        <v>38.520000000000003</v>
      </c>
      <c r="Q1532" s="12" t="str" cm="1">
        <f t="array" ref="Q1532:R1532">VLOOKUP(E1532,store[],{3,5},FALSE)</f>
        <v>South</v>
      </c>
      <c r="R1532" t="str">
        <v>Outlet</v>
      </c>
      <c r="S1532" s="4">
        <f t="shared" si="23"/>
        <v>186.06</v>
      </c>
    </row>
    <row r="1533" spans="1:19">
      <c r="A1533" t="s">
        <v>2331</v>
      </c>
      <c r="B1533" s="3">
        <v>45613</v>
      </c>
      <c r="C1533" t="s">
        <v>1175</v>
      </c>
      <c r="D1533" t="s">
        <v>1259</v>
      </c>
      <c r="E1533" t="s">
        <v>22</v>
      </c>
      <c r="F1533">
        <v>4</v>
      </c>
      <c r="G1533" t="s">
        <v>33</v>
      </c>
      <c r="H1533">
        <v>44</v>
      </c>
      <c r="I1533" s="12" t="s">
        <v>34</v>
      </c>
      <c r="J1533" s="12" t="s">
        <v>51</v>
      </c>
      <c r="K1533" s="12" t="s">
        <v>52</v>
      </c>
      <c r="L1533" s="12" t="s">
        <v>1260</v>
      </c>
      <c r="M1533" s="12" t="s">
        <v>130</v>
      </c>
      <c r="N1533" s="14">
        <v>0.25</v>
      </c>
      <c r="O1533" s="23">
        <v>933.73</v>
      </c>
      <c r="P1533">
        <v>358.47</v>
      </c>
      <c r="Q1533" s="12" t="str" cm="1">
        <f t="array" ref="Q1533:R1533">VLOOKUP(E1533,store[],{3,5},FALSE)</f>
        <v>North</v>
      </c>
      <c r="R1533" t="str">
        <v>Outlet</v>
      </c>
      <c r="S1533" s="4">
        <f t="shared" si="23"/>
        <v>3733.92</v>
      </c>
    </row>
    <row r="1534" spans="1:19">
      <c r="A1534" t="s">
        <v>2332</v>
      </c>
      <c r="B1534" s="3">
        <v>45928</v>
      </c>
      <c r="C1534" t="s">
        <v>1803</v>
      </c>
      <c r="D1534" t="s">
        <v>462</v>
      </c>
      <c r="E1534" t="s">
        <v>117</v>
      </c>
      <c r="F1534">
        <v>3</v>
      </c>
      <c r="G1534" t="s">
        <v>33</v>
      </c>
      <c r="H1534">
        <v>60</v>
      </c>
      <c r="I1534" s="12" t="s">
        <v>34</v>
      </c>
      <c r="J1534" s="12" t="s">
        <v>106</v>
      </c>
      <c r="K1534" s="12" t="s">
        <v>26</v>
      </c>
      <c r="L1534" s="12" t="s">
        <v>464</v>
      </c>
      <c r="M1534" s="12" t="s">
        <v>130</v>
      </c>
      <c r="N1534" s="14">
        <v>0.14000000000000001</v>
      </c>
      <c r="O1534" s="23">
        <v>615.30999999999995</v>
      </c>
      <c r="P1534">
        <v>119.57</v>
      </c>
      <c r="Q1534" s="12" t="str" cm="1">
        <f t="array" ref="Q1534:R1534">VLOOKUP(E1534,store[],{3,5},FALSE)</f>
        <v>West</v>
      </c>
      <c r="R1534" t="str">
        <v>Flagship</v>
      </c>
      <c r="S1534" s="4">
        <f t="shared" si="23"/>
        <v>1845.51</v>
      </c>
    </row>
    <row r="1535" spans="1:19">
      <c r="A1535" t="s">
        <v>2333</v>
      </c>
      <c r="B1535" s="3">
        <v>45619</v>
      </c>
      <c r="C1535" t="s">
        <v>591</v>
      </c>
      <c r="D1535" t="s">
        <v>57</v>
      </c>
      <c r="E1535" t="s">
        <v>160</v>
      </c>
      <c r="F1535">
        <v>4</v>
      </c>
      <c r="G1535" t="s">
        <v>50</v>
      </c>
      <c r="H1535">
        <v>37</v>
      </c>
      <c r="I1535" s="12" t="s">
        <v>34</v>
      </c>
      <c r="J1535" s="12" t="s">
        <v>193</v>
      </c>
      <c r="K1535" s="12" t="s">
        <v>26</v>
      </c>
      <c r="L1535" s="12" t="s">
        <v>61</v>
      </c>
      <c r="M1535" s="12" t="s">
        <v>46</v>
      </c>
      <c r="N1535" s="14">
        <v>0.22</v>
      </c>
      <c r="O1535" s="23">
        <v>790.38</v>
      </c>
      <c r="P1535">
        <v>17.309999999999999</v>
      </c>
      <c r="Q1535" s="12" t="str" cm="1">
        <f t="array" ref="Q1535:R1535">VLOOKUP(E1535,store[],{3,5},FALSE)</f>
        <v>East</v>
      </c>
      <c r="R1535" t="str">
        <v>Flagship</v>
      </c>
      <c r="S1535" s="4">
        <f t="shared" si="23"/>
        <v>3160.64</v>
      </c>
    </row>
    <row r="1536" spans="1:19">
      <c r="A1536" t="s">
        <v>2334</v>
      </c>
      <c r="B1536" s="3">
        <v>45533</v>
      </c>
      <c r="C1536" t="s">
        <v>326</v>
      </c>
      <c r="D1536" t="s">
        <v>57</v>
      </c>
      <c r="E1536" t="s">
        <v>32</v>
      </c>
      <c r="F1536">
        <v>2</v>
      </c>
      <c r="G1536" t="s">
        <v>33</v>
      </c>
      <c r="H1536">
        <v>45</v>
      </c>
      <c r="I1536" s="12" t="s">
        <v>34</v>
      </c>
      <c r="J1536" s="12" t="s">
        <v>227</v>
      </c>
      <c r="K1536" s="12" t="s">
        <v>60</v>
      </c>
      <c r="L1536" s="12" t="s">
        <v>61</v>
      </c>
      <c r="M1536" s="12" t="s">
        <v>46</v>
      </c>
      <c r="N1536" s="14">
        <v>0.08</v>
      </c>
      <c r="O1536" s="23">
        <v>102.85</v>
      </c>
      <c r="P1536">
        <v>17.309999999999999</v>
      </c>
      <c r="Q1536" s="12" t="str" cm="1">
        <f t="array" ref="Q1536:R1536">VLOOKUP(E1536,store[],{3,5},FALSE)</f>
        <v>North</v>
      </c>
      <c r="R1536" t="str">
        <v>Flagship</v>
      </c>
      <c r="S1536" s="4">
        <f t="shared" si="23"/>
        <v>205.54</v>
      </c>
    </row>
    <row r="1537" spans="1:19">
      <c r="A1537" t="s">
        <v>2335</v>
      </c>
      <c r="B1537" s="3">
        <v>45781</v>
      </c>
      <c r="C1537" t="s">
        <v>1004</v>
      </c>
      <c r="D1537" t="s">
        <v>555</v>
      </c>
      <c r="E1537" t="s">
        <v>117</v>
      </c>
      <c r="F1537">
        <v>3</v>
      </c>
      <c r="G1537" t="s">
        <v>33</v>
      </c>
      <c r="H1537">
        <v>55</v>
      </c>
      <c r="I1537" s="12" t="s">
        <v>34</v>
      </c>
      <c r="J1537" s="12" t="s">
        <v>209</v>
      </c>
      <c r="K1537" s="12" t="s">
        <v>26</v>
      </c>
      <c r="L1537" s="12" t="s">
        <v>556</v>
      </c>
      <c r="M1537" s="12" t="s">
        <v>37</v>
      </c>
      <c r="N1537" s="14">
        <v>0.27</v>
      </c>
      <c r="O1537" s="23">
        <v>866.78</v>
      </c>
      <c r="P1537">
        <v>449.4</v>
      </c>
      <c r="Q1537" s="12" t="str" cm="1">
        <f t="array" ref="Q1537:R1537">VLOOKUP(E1537,store[],{3,5},FALSE)</f>
        <v>West</v>
      </c>
      <c r="R1537" t="str">
        <v>Flagship</v>
      </c>
      <c r="S1537" s="4">
        <f t="shared" si="23"/>
        <v>2599.5300000000002</v>
      </c>
    </row>
    <row r="1538" spans="1:19">
      <c r="A1538" t="s">
        <v>2336</v>
      </c>
      <c r="B1538" s="3">
        <v>45378</v>
      </c>
      <c r="C1538" t="s">
        <v>968</v>
      </c>
      <c r="D1538" t="s">
        <v>267</v>
      </c>
      <c r="E1538" t="s">
        <v>117</v>
      </c>
      <c r="F1538">
        <v>3</v>
      </c>
      <c r="G1538" t="s">
        <v>33</v>
      </c>
      <c r="H1538">
        <v>54</v>
      </c>
      <c r="I1538" s="12" t="s">
        <v>24</v>
      </c>
      <c r="J1538" s="12" t="s">
        <v>378</v>
      </c>
      <c r="K1538" s="12" t="s">
        <v>52</v>
      </c>
      <c r="L1538" s="12" t="s">
        <v>268</v>
      </c>
      <c r="M1538" s="12" t="s">
        <v>75</v>
      </c>
      <c r="N1538" s="14">
        <v>0.27</v>
      </c>
      <c r="O1538" s="23">
        <v>392.84</v>
      </c>
      <c r="P1538">
        <v>325.26</v>
      </c>
      <c r="Q1538" s="12" t="str" cm="1">
        <f t="array" ref="Q1538:R1538">VLOOKUP(E1538,store[],{3,5},FALSE)</f>
        <v>West</v>
      </c>
      <c r="R1538" t="str">
        <v>Flagship</v>
      </c>
      <c r="S1538" s="4">
        <f t="shared" ref="S1538:S1601" si="24">(O1538-N1538)*F1538</f>
        <v>1177.71</v>
      </c>
    </row>
    <row r="1539" spans="1:19">
      <c r="A1539" t="s">
        <v>2337</v>
      </c>
      <c r="B1539" s="3">
        <v>45688</v>
      </c>
      <c r="C1539" t="s">
        <v>648</v>
      </c>
      <c r="D1539" t="s">
        <v>810</v>
      </c>
      <c r="E1539" t="s">
        <v>58</v>
      </c>
      <c r="F1539">
        <v>2</v>
      </c>
      <c r="G1539" t="s">
        <v>33</v>
      </c>
      <c r="H1539">
        <v>64</v>
      </c>
      <c r="I1539" s="12" t="s">
        <v>34</v>
      </c>
      <c r="J1539" s="12" t="s">
        <v>256</v>
      </c>
      <c r="K1539" s="12" t="s">
        <v>52</v>
      </c>
      <c r="L1539" s="12" t="s">
        <v>811</v>
      </c>
      <c r="M1539" s="12" t="s">
        <v>28</v>
      </c>
      <c r="N1539" s="14">
        <v>0.19</v>
      </c>
      <c r="O1539" s="23">
        <v>753.1</v>
      </c>
      <c r="P1539">
        <v>495.72</v>
      </c>
      <c r="Q1539" s="12" t="str" cm="1">
        <f t="array" ref="Q1539:R1539">VLOOKUP(E1539,store[],{3,5},FALSE)</f>
        <v>North</v>
      </c>
      <c r="R1539" t="str">
        <v>Outlet</v>
      </c>
      <c r="S1539" s="4">
        <f t="shared" si="24"/>
        <v>1505.82</v>
      </c>
    </row>
    <row r="1540" spans="1:19">
      <c r="A1540" t="s">
        <v>2338</v>
      </c>
      <c r="B1540" s="3">
        <v>45927</v>
      </c>
      <c r="C1540" t="s">
        <v>355</v>
      </c>
      <c r="D1540" t="s">
        <v>420</v>
      </c>
      <c r="E1540" t="s">
        <v>32</v>
      </c>
      <c r="F1540">
        <v>2</v>
      </c>
      <c r="G1540" t="s">
        <v>33</v>
      </c>
      <c r="H1540">
        <v>29</v>
      </c>
      <c r="I1540" s="12" t="s">
        <v>34</v>
      </c>
      <c r="J1540" s="12" t="s">
        <v>356</v>
      </c>
      <c r="K1540" s="12" t="s">
        <v>73</v>
      </c>
      <c r="L1540" s="12" t="s">
        <v>421</v>
      </c>
      <c r="M1540" s="12" t="s">
        <v>28</v>
      </c>
      <c r="N1540" s="14">
        <v>0.1</v>
      </c>
      <c r="O1540" s="23">
        <v>700.91</v>
      </c>
      <c r="P1540">
        <v>434.84</v>
      </c>
      <c r="Q1540" s="12" t="str" cm="1">
        <f t="array" ref="Q1540:R1540">VLOOKUP(E1540,store[],{3,5},FALSE)</f>
        <v>North</v>
      </c>
      <c r="R1540" t="str">
        <v>Flagship</v>
      </c>
      <c r="S1540" s="4">
        <f t="shared" si="24"/>
        <v>1401.62</v>
      </c>
    </row>
    <row r="1541" spans="1:19">
      <c r="A1541" t="s">
        <v>2339</v>
      </c>
      <c r="B1541" s="3">
        <v>45775</v>
      </c>
      <c r="C1541" t="s">
        <v>245</v>
      </c>
      <c r="D1541" t="s">
        <v>65</v>
      </c>
      <c r="E1541" t="s">
        <v>208</v>
      </c>
      <c r="F1541">
        <v>4</v>
      </c>
      <c r="G1541" t="s">
        <v>33</v>
      </c>
      <c r="H1541">
        <v>39</v>
      </c>
      <c r="I1541" s="12" t="s">
        <v>34</v>
      </c>
      <c r="J1541" s="12" t="s">
        <v>106</v>
      </c>
      <c r="K1541" s="12" t="s">
        <v>26</v>
      </c>
      <c r="L1541" s="12" t="s">
        <v>68</v>
      </c>
      <c r="M1541" s="12" t="s">
        <v>37</v>
      </c>
      <c r="N1541" s="14">
        <v>0.11</v>
      </c>
      <c r="O1541" s="23">
        <v>935.98</v>
      </c>
      <c r="P1541">
        <v>465.34</v>
      </c>
      <c r="Q1541" s="12" t="str" cm="1">
        <f t="array" ref="Q1541:R1541">VLOOKUP(E1541,store[],{3,5},FALSE)</f>
        <v>North</v>
      </c>
      <c r="R1541" t="str">
        <v>Online</v>
      </c>
      <c r="S1541" s="4">
        <f t="shared" si="24"/>
        <v>3743.48</v>
      </c>
    </row>
    <row r="1542" spans="1:19">
      <c r="A1542" t="s">
        <v>2340</v>
      </c>
      <c r="B1542" s="3">
        <v>45849</v>
      </c>
      <c r="C1542" t="s">
        <v>598</v>
      </c>
      <c r="D1542" t="s">
        <v>49</v>
      </c>
      <c r="E1542" t="s">
        <v>117</v>
      </c>
      <c r="F1542">
        <v>1</v>
      </c>
      <c r="G1542" t="s">
        <v>23</v>
      </c>
      <c r="H1542">
        <v>46</v>
      </c>
      <c r="I1542" s="12" t="s">
        <v>34</v>
      </c>
      <c r="J1542" s="12" t="s">
        <v>498</v>
      </c>
      <c r="K1542" s="12" t="s">
        <v>73</v>
      </c>
      <c r="L1542" s="12" t="s">
        <v>53</v>
      </c>
      <c r="M1542" s="12" t="s">
        <v>37</v>
      </c>
      <c r="N1542" s="14">
        <v>7.0000000000000007E-2</v>
      </c>
      <c r="O1542" s="23">
        <v>539.9</v>
      </c>
      <c r="P1542">
        <v>392.89</v>
      </c>
      <c r="Q1542" s="12" t="str" cm="1">
        <f t="array" ref="Q1542:R1542">VLOOKUP(E1542,store[],{3,5},FALSE)</f>
        <v>West</v>
      </c>
      <c r="R1542" t="str">
        <v>Flagship</v>
      </c>
      <c r="S1542" s="4">
        <f t="shared" si="24"/>
        <v>539.83000000000004</v>
      </c>
    </row>
    <row r="1543" spans="1:19">
      <c r="A1543" t="s">
        <v>2341</v>
      </c>
      <c r="B1543" s="3">
        <v>45573</v>
      </c>
      <c r="C1543" t="s">
        <v>527</v>
      </c>
      <c r="D1543" t="s">
        <v>295</v>
      </c>
      <c r="E1543" t="s">
        <v>179</v>
      </c>
      <c r="F1543">
        <v>1</v>
      </c>
      <c r="G1543" t="s">
        <v>33</v>
      </c>
      <c r="H1543">
        <v>44</v>
      </c>
      <c r="I1543" s="12" t="s">
        <v>34</v>
      </c>
      <c r="J1543" s="12" t="s">
        <v>260</v>
      </c>
      <c r="K1543" s="12" t="s">
        <v>52</v>
      </c>
      <c r="L1543" s="12" t="s">
        <v>296</v>
      </c>
      <c r="M1543" s="12" t="s">
        <v>37</v>
      </c>
      <c r="N1543" s="14">
        <v>0.14000000000000001</v>
      </c>
      <c r="O1543" s="23">
        <v>312.81</v>
      </c>
      <c r="P1543">
        <v>38.520000000000003</v>
      </c>
      <c r="Q1543" s="12" t="str" cm="1">
        <f t="array" ref="Q1543:R1543">VLOOKUP(E1543,store[],{3,5},FALSE)</f>
        <v>East</v>
      </c>
      <c r="R1543" t="str">
        <v>Online</v>
      </c>
      <c r="S1543" s="4">
        <f t="shared" si="24"/>
        <v>312.67</v>
      </c>
    </row>
    <row r="1544" spans="1:19">
      <c r="A1544" t="s">
        <v>2342</v>
      </c>
      <c r="B1544" s="3">
        <v>45356</v>
      </c>
      <c r="C1544" t="s">
        <v>1734</v>
      </c>
      <c r="D1544" t="s">
        <v>505</v>
      </c>
      <c r="E1544" t="s">
        <v>66</v>
      </c>
      <c r="F1544">
        <v>3</v>
      </c>
      <c r="G1544" t="s">
        <v>50</v>
      </c>
      <c r="H1544">
        <v>41</v>
      </c>
      <c r="I1544" s="12" t="s">
        <v>34</v>
      </c>
      <c r="J1544" s="12" t="s">
        <v>161</v>
      </c>
      <c r="K1544" s="12" t="s">
        <v>26</v>
      </c>
      <c r="L1544" s="12" t="s">
        <v>506</v>
      </c>
      <c r="M1544" s="12" t="s">
        <v>37</v>
      </c>
      <c r="N1544" s="14">
        <v>0.28999999999999998</v>
      </c>
      <c r="O1544" s="23">
        <v>855.96</v>
      </c>
      <c r="P1544">
        <v>177.98</v>
      </c>
      <c r="Q1544" s="12" t="str" cm="1">
        <f t="array" ref="Q1544:R1544">VLOOKUP(E1544,store[],{3,5},FALSE)</f>
        <v>South</v>
      </c>
      <c r="R1544" t="str">
        <v>Online</v>
      </c>
      <c r="S1544" s="4">
        <f t="shared" si="24"/>
        <v>2567.0100000000002</v>
      </c>
    </row>
    <row r="1545" spans="1:19">
      <c r="A1545" t="s">
        <v>2343</v>
      </c>
      <c r="B1545" s="3">
        <v>45326</v>
      </c>
      <c r="C1545" t="s">
        <v>1453</v>
      </c>
      <c r="D1545" t="s">
        <v>389</v>
      </c>
      <c r="E1545" t="s">
        <v>272</v>
      </c>
      <c r="F1545">
        <v>3</v>
      </c>
      <c r="G1545" t="s">
        <v>50</v>
      </c>
      <c r="H1545">
        <v>20</v>
      </c>
      <c r="I1545" s="12" t="s">
        <v>24</v>
      </c>
      <c r="J1545" s="12" t="s">
        <v>91</v>
      </c>
      <c r="K1545" s="12" t="s">
        <v>26</v>
      </c>
      <c r="L1545" s="12" t="s">
        <v>390</v>
      </c>
      <c r="M1545" s="12" t="s">
        <v>130</v>
      </c>
      <c r="N1545" s="14">
        <v>0.01</v>
      </c>
      <c r="O1545" s="23">
        <v>305</v>
      </c>
      <c r="P1545">
        <v>342.56</v>
      </c>
      <c r="Q1545" s="12" t="str" cm="1">
        <f t="array" ref="Q1545:R1545">VLOOKUP(E1545,store[],{3,5},FALSE)</f>
        <v>South</v>
      </c>
      <c r="R1545" t="str">
        <v>Online</v>
      </c>
      <c r="S1545" s="4">
        <f t="shared" si="24"/>
        <v>914.97</v>
      </c>
    </row>
    <row r="1546" spans="1:19">
      <c r="A1546" t="s">
        <v>2344</v>
      </c>
      <c r="B1546" s="3">
        <v>45361</v>
      </c>
      <c r="C1546" t="s">
        <v>843</v>
      </c>
      <c r="D1546" t="s">
        <v>85</v>
      </c>
      <c r="E1546" t="s">
        <v>208</v>
      </c>
      <c r="F1546">
        <v>3</v>
      </c>
      <c r="G1546" t="s">
        <v>23</v>
      </c>
      <c r="H1546">
        <v>45</v>
      </c>
      <c r="I1546" s="12" t="s">
        <v>24</v>
      </c>
      <c r="J1546" s="12" t="s">
        <v>35</v>
      </c>
      <c r="K1546" s="12" t="s">
        <v>73</v>
      </c>
      <c r="L1546" s="12" t="s">
        <v>86</v>
      </c>
      <c r="M1546" s="12" t="s">
        <v>75</v>
      </c>
      <c r="N1546" s="14">
        <v>0.19</v>
      </c>
      <c r="O1546" s="23">
        <v>831.15</v>
      </c>
      <c r="P1546">
        <v>201.41</v>
      </c>
      <c r="Q1546" s="12" t="str" cm="1">
        <f t="array" ref="Q1546:R1546">VLOOKUP(E1546,store[],{3,5},FALSE)</f>
        <v>North</v>
      </c>
      <c r="R1546" t="str">
        <v>Online</v>
      </c>
      <c r="S1546" s="4">
        <f t="shared" si="24"/>
        <v>2492.88</v>
      </c>
    </row>
    <row r="1547" spans="1:19">
      <c r="A1547" t="s">
        <v>2345</v>
      </c>
      <c r="B1547" s="3">
        <v>45926</v>
      </c>
      <c r="C1547" t="s">
        <v>2346</v>
      </c>
      <c r="D1547" t="s">
        <v>1259</v>
      </c>
      <c r="E1547" t="s">
        <v>22</v>
      </c>
      <c r="F1547">
        <v>2</v>
      </c>
      <c r="G1547" t="s">
        <v>50</v>
      </c>
      <c r="H1547">
        <v>28</v>
      </c>
      <c r="I1547" s="12" t="s">
        <v>34</v>
      </c>
      <c r="J1547" s="12" t="s">
        <v>204</v>
      </c>
      <c r="K1547" s="12" t="s">
        <v>73</v>
      </c>
      <c r="L1547" s="12" t="s">
        <v>1260</v>
      </c>
      <c r="M1547" s="12" t="s">
        <v>130</v>
      </c>
      <c r="N1547" s="14">
        <v>0.24</v>
      </c>
      <c r="O1547" s="23">
        <v>644.97</v>
      </c>
      <c r="P1547">
        <v>358.47</v>
      </c>
      <c r="Q1547" s="12" t="str" cm="1">
        <f t="array" ref="Q1547:R1547">VLOOKUP(E1547,store[],{3,5},FALSE)</f>
        <v>North</v>
      </c>
      <c r="R1547" t="str">
        <v>Outlet</v>
      </c>
      <c r="S1547" s="4">
        <f t="shared" si="24"/>
        <v>1289.46</v>
      </c>
    </row>
    <row r="1548" spans="1:19">
      <c r="A1548" t="s">
        <v>2347</v>
      </c>
      <c r="B1548" s="3">
        <v>45839</v>
      </c>
      <c r="C1548" t="s">
        <v>294</v>
      </c>
      <c r="D1548" t="s">
        <v>110</v>
      </c>
      <c r="E1548" t="s">
        <v>105</v>
      </c>
      <c r="F1548">
        <v>1</v>
      </c>
      <c r="G1548" t="s">
        <v>23</v>
      </c>
      <c r="H1548">
        <v>62</v>
      </c>
      <c r="I1548" s="12" t="s">
        <v>34</v>
      </c>
      <c r="J1548" s="12" t="s">
        <v>161</v>
      </c>
      <c r="K1548" s="12" t="s">
        <v>52</v>
      </c>
      <c r="L1548" s="12" t="s">
        <v>112</v>
      </c>
      <c r="M1548" s="12" t="s">
        <v>28</v>
      </c>
      <c r="N1548" s="14">
        <v>0.09</v>
      </c>
      <c r="O1548" s="23">
        <v>149.56</v>
      </c>
      <c r="P1548">
        <v>131.24</v>
      </c>
      <c r="Q1548" s="12" t="str" cm="1">
        <f t="array" ref="Q1548:R1548">VLOOKUP(E1548,store[],{3,5},FALSE)</f>
        <v>North</v>
      </c>
      <c r="R1548" t="str">
        <v>Flagship</v>
      </c>
      <c r="S1548" s="4">
        <f t="shared" si="24"/>
        <v>149.47</v>
      </c>
    </row>
    <row r="1549" spans="1:19">
      <c r="A1549" t="s">
        <v>2348</v>
      </c>
      <c r="B1549" s="3">
        <v>45434</v>
      </c>
      <c r="C1549" t="s">
        <v>2349</v>
      </c>
      <c r="D1549" t="s">
        <v>159</v>
      </c>
      <c r="E1549" t="s">
        <v>135</v>
      </c>
      <c r="F1549">
        <v>1</v>
      </c>
      <c r="G1549" t="s">
        <v>33</v>
      </c>
      <c r="H1549">
        <v>42</v>
      </c>
      <c r="I1549" s="12" t="s">
        <v>24</v>
      </c>
      <c r="J1549" s="12" t="s">
        <v>80</v>
      </c>
      <c r="K1549" s="12" t="s">
        <v>60</v>
      </c>
      <c r="L1549" s="12" t="s">
        <v>162</v>
      </c>
      <c r="M1549" s="12" t="s">
        <v>37</v>
      </c>
      <c r="N1549" s="14">
        <v>0.03</v>
      </c>
      <c r="O1549" s="23">
        <v>661.77</v>
      </c>
      <c r="P1549">
        <v>253.33</v>
      </c>
      <c r="Q1549" s="12" t="str" cm="1">
        <f t="array" ref="Q1549:R1549">VLOOKUP(E1549,store[],{3,5},FALSE)</f>
        <v>East</v>
      </c>
      <c r="R1549" t="str">
        <v>Online</v>
      </c>
      <c r="S1549" s="4">
        <f t="shared" si="24"/>
        <v>661.74</v>
      </c>
    </row>
    <row r="1550" spans="1:19">
      <c r="A1550" t="s">
        <v>2350</v>
      </c>
      <c r="B1550" s="3">
        <v>45819</v>
      </c>
      <c r="C1550" t="s">
        <v>589</v>
      </c>
      <c r="D1550" t="s">
        <v>242</v>
      </c>
      <c r="E1550" t="s">
        <v>66</v>
      </c>
      <c r="F1550">
        <v>3</v>
      </c>
      <c r="G1550" t="s">
        <v>23</v>
      </c>
      <c r="H1550">
        <v>38</v>
      </c>
      <c r="I1550" s="12" t="s">
        <v>24</v>
      </c>
      <c r="J1550" s="12" t="s">
        <v>214</v>
      </c>
      <c r="K1550" s="12" t="s">
        <v>73</v>
      </c>
      <c r="L1550" s="12" t="s">
        <v>243</v>
      </c>
      <c r="M1550" s="12" t="s">
        <v>46</v>
      </c>
      <c r="N1550" s="14">
        <v>0.17</v>
      </c>
      <c r="O1550" s="23">
        <v>99.67</v>
      </c>
      <c r="P1550">
        <v>358.47</v>
      </c>
      <c r="Q1550" s="12" t="str" cm="1">
        <f t="array" ref="Q1550:R1550">VLOOKUP(E1550,store[],{3,5},FALSE)</f>
        <v>South</v>
      </c>
      <c r="R1550" t="str">
        <v>Online</v>
      </c>
      <c r="S1550" s="4">
        <f t="shared" si="24"/>
        <v>298.5</v>
      </c>
    </row>
    <row r="1551" spans="1:19">
      <c r="A1551" t="s">
        <v>2351</v>
      </c>
      <c r="B1551" s="3">
        <v>45553</v>
      </c>
      <c r="C1551" t="s">
        <v>358</v>
      </c>
      <c r="D1551" t="s">
        <v>661</v>
      </c>
      <c r="E1551" t="s">
        <v>105</v>
      </c>
      <c r="F1551">
        <v>3</v>
      </c>
      <c r="G1551" t="s">
        <v>50</v>
      </c>
      <c r="H1551">
        <v>38</v>
      </c>
      <c r="I1551" s="12" t="s">
        <v>24</v>
      </c>
      <c r="J1551" s="12" t="s">
        <v>360</v>
      </c>
      <c r="K1551" s="12" t="s">
        <v>52</v>
      </c>
      <c r="L1551" s="12" t="s">
        <v>662</v>
      </c>
      <c r="M1551" s="12" t="s">
        <v>37</v>
      </c>
      <c r="N1551" s="14">
        <v>0.26</v>
      </c>
      <c r="O1551" s="23">
        <v>103.66</v>
      </c>
      <c r="P1551">
        <v>86.42</v>
      </c>
      <c r="Q1551" s="12" t="str" cm="1">
        <f t="array" ref="Q1551:R1551">VLOOKUP(E1551,store[],{3,5},FALSE)</f>
        <v>North</v>
      </c>
      <c r="R1551" t="str">
        <v>Flagship</v>
      </c>
      <c r="S1551" s="4">
        <f t="shared" si="24"/>
        <v>310.2</v>
      </c>
    </row>
    <row r="1552" spans="1:19">
      <c r="A1552" t="s">
        <v>2352</v>
      </c>
      <c r="B1552" s="3">
        <v>45258</v>
      </c>
      <c r="C1552" t="s">
        <v>1790</v>
      </c>
      <c r="D1552" t="s">
        <v>295</v>
      </c>
      <c r="E1552" t="s">
        <v>198</v>
      </c>
      <c r="F1552">
        <v>4</v>
      </c>
      <c r="G1552" t="s">
        <v>23</v>
      </c>
      <c r="H1552">
        <v>61</v>
      </c>
      <c r="I1552" s="12" t="s">
        <v>24</v>
      </c>
      <c r="J1552" s="12" t="s">
        <v>345</v>
      </c>
      <c r="K1552" s="12" t="s">
        <v>26</v>
      </c>
      <c r="L1552" s="12" t="s">
        <v>296</v>
      </c>
      <c r="M1552" s="12" t="s">
        <v>37</v>
      </c>
      <c r="N1552" s="14">
        <v>0.22</v>
      </c>
      <c r="O1552" s="23">
        <v>54.4</v>
      </c>
      <c r="P1552">
        <v>38.520000000000003</v>
      </c>
      <c r="Q1552" s="12" t="str" cm="1">
        <f t="array" ref="Q1552:R1552">VLOOKUP(E1552,store[],{3,5},FALSE)</f>
        <v>South</v>
      </c>
      <c r="R1552" t="str">
        <v>Outlet</v>
      </c>
      <c r="S1552" s="4">
        <f t="shared" si="24"/>
        <v>216.72</v>
      </c>
    </row>
    <row r="1553" spans="1:19">
      <c r="A1553" t="s">
        <v>2353</v>
      </c>
      <c r="B1553" s="3">
        <v>45435</v>
      </c>
      <c r="C1553" t="s">
        <v>806</v>
      </c>
      <c r="D1553" t="s">
        <v>814</v>
      </c>
      <c r="E1553" t="s">
        <v>98</v>
      </c>
      <c r="F1553">
        <v>1</v>
      </c>
      <c r="G1553" t="s">
        <v>23</v>
      </c>
      <c r="H1553">
        <v>23</v>
      </c>
      <c r="I1553" s="12" t="s">
        <v>24</v>
      </c>
      <c r="J1553" s="12" t="s">
        <v>336</v>
      </c>
      <c r="K1553" s="12" t="s">
        <v>52</v>
      </c>
      <c r="L1553" s="12" t="s">
        <v>815</v>
      </c>
      <c r="M1553" s="12" t="s">
        <v>75</v>
      </c>
      <c r="N1553" s="14">
        <v>0.2</v>
      </c>
      <c r="O1553" s="23">
        <v>46.66</v>
      </c>
      <c r="P1553">
        <v>388.46</v>
      </c>
      <c r="Q1553" s="12" t="str" cm="1">
        <f t="array" ref="Q1553:R1553">VLOOKUP(E1553,store[],{3,5},FALSE)</f>
        <v>South</v>
      </c>
      <c r="R1553" t="str">
        <v>Outlet</v>
      </c>
      <c r="S1553" s="4">
        <f t="shared" si="24"/>
        <v>46.46</v>
      </c>
    </row>
    <row r="1554" spans="1:19">
      <c r="A1554" t="s">
        <v>2354</v>
      </c>
      <c r="B1554" s="3">
        <v>45447</v>
      </c>
      <c r="C1554" t="s">
        <v>355</v>
      </c>
      <c r="D1554" t="s">
        <v>575</v>
      </c>
      <c r="E1554" t="s">
        <v>272</v>
      </c>
      <c r="F1554">
        <v>4</v>
      </c>
      <c r="G1554" t="s">
        <v>23</v>
      </c>
      <c r="H1554">
        <v>29</v>
      </c>
      <c r="I1554" s="12" t="s">
        <v>34</v>
      </c>
      <c r="J1554" s="12" t="s">
        <v>356</v>
      </c>
      <c r="K1554" s="12" t="s">
        <v>73</v>
      </c>
      <c r="L1554" s="12" t="s">
        <v>576</v>
      </c>
      <c r="M1554" s="12" t="s">
        <v>28</v>
      </c>
      <c r="N1554" s="14">
        <v>0.28999999999999998</v>
      </c>
      <c r="O1554" s="23">
        <v>871.2</v>
      </c>
      <c r="P1554">
        <v>107.06</v>
      </c>
      <c r="Q1554" s="12" t="str" cm="1">
        <f t="array" ref="Q1554:R1554">VLOOKUP(E1554,store[],{3,5},FALSE)</f>
        <v>South</v>
      </c>
      <c r="R1554" t="str">
        <v>Online</v>
      </c>
      <c r="S1554" s="4">
        <f t="shared" si="24"/>
        <v>3483.64</v>
      </c>
    </row>
    <row r="1555" spans="1:19">
      <c r="A1555" t="s">
        <v>2355</v>
      </c>
      <c r="B1555" s="3">
        <v>45724</v>
      </c>
      <c r="C1555" t="s">
        <v>997</v>
      </c>
      <c r="D1555" t="s">
        <v>928</v>
      </c>
      <c r="E1555" t="s">
        <v>98</v>
      </c>
      <c r="F1555">
        <v>4</v>
      </c>
      <c r="G1555" t="s">
        <v>33</v>
      </c>
      <c r="H1555">
        <v>34</v>
      </c>
      <c r="I1555" s="12" t="s">
        <v>34</v>
      </c>
      <c r="J1555" s="12" t="s">
        <v>106</v>
      </c>
      <c r="K1555" s="12" t="s">
        <v>26</v>
      </c>
      <c r="L1555" s="12" t="s">
        <v>929</v>
      </c>
      <c r="M1555" s="12" t="s">
        <v>130</v>
      </c>
      <c r="N1555" s="14">
        <v>0.16</v>
      </c>
      <c r="O1555" s="23">
        <v>317.11</v>
      </c>
      <c r="P1555">
        <v>245.77831168831199</v>
      </c>
      <c r="Q1555" s="12" t="str" cm="1">
        <f t="array" ref="Q1555:R1555">VLOOKUP(E1555,store[],{3,5},FALSE)</f>
        <v>South</v>
      </c>
      <c r="R1555" t="str">
        <v>Outlet</v>
      </c>
      <c r="S1555" s="4">
        <f t="shared" si="24"/>
        <v>1267.8</v>
      </c>
    </row>
    <row r="1556" spans="1:19">
      <c r="A1556" t="s">
        <v>2356</v>
      </c>
      <c r="B1556" s="3">
        <v>45338</v>
      </c>
      <c r="C1556" t="s">
        <v>2235</v>
      </c>
      <c r="D1556" t="s">
        <v>425</v>
      </c>
      <c r="E1556" t="s">
        <v>149</v>
      </c>
      <c r="F1556">
        <v>2</v>
      </c>
      <c r="G1556" t="s">
        <v>33</v>
      </c>
      <c r="H1556">
        <v>24</v>
      </c>
      <c r="I1556" s="12" t="s">
        <v>34</v>
      </c>
      <c r="J1556" s="12" t="s">
        <v>118</v>
      </c>
      <c r="K1556" s="12" t="s">
        <v>52</v>
      </c>
      <c r="L1556" s="12" t="s">
        <v>426</v>
      </c>
      <c r="M1556" s="12" t="s">
        <v>130</v>
      </c>
      <c r="N1556" s="14">
        <v>0.09</v>
      </c>
      <c r="O1556" s="23">
        <v>388.34</v>
      </c>
      <c r="P1556">
        <v>174.02</v>
      </c>
      <c r="Q1556" s="12" t="str" cm="1">
        <f t="array" ref="Q1556:R1556">VLOOKUP(E1556,store[],{3,5},FALSE)</f>
        <v>East</v>
      </c>
      <c r="R1556" t="str">
        <v>Flagship</v>
      </c>
      <c r="S1556" s="4">
        <f t="shared" si="24"/>
        <v>776.5</v>
      </c>
    </row>
    <row r="1557" spans="1:19">
      <c r="A1557" t="s">
        <v>2357</v>
      </c>
      <c r="B1557" s="3">
        <v>45252</v>
      </c>
      <c r="C1557" t="s">
        <v>562</v>
      </c>
      <c r="D1557" t="s">
        <v>271</v>
      </c>
      <c r="E1557" t="s">
        <v>179</v>
      </c>
      <c r="F1557">
        <v>4</v>
      </c>
      <c r="G1557" t="s">
        <v>23</v>
      </c>
      <c r="H1557">
        <v>54</v>
      </c>
      <c r="I1557" s="12" t="s">
        <v>24</v>
      </c>
      <c r="J1557" s="12" t="s">
        <v>231</v>
      </c>
      <c r="K1557" s="12" t="s">
        <v>52</v>
      </c>
      <c r="L1557" s="12" t="s">
        <v>273</v>
      </c>
      <c r="M1557" s="12" t="s">
        <v>75</v>
      </c>
      <c r="N1557" s="14">
        <v>0.15</v>
      </c>
      <c r="O1557" s="23">
        <v>998.2</v>
      </c>
      <c r="P1557">
        <v>19.52</v>
      </c>
      <c r="Q1557" s="12" t="str" cm="1">
        <f t="array" ref="Q1557:R1557">VLOOKUP(E1557,store[],{3,5},FALSE)</f>
        <v>East</v>
      </c>
      <c r="R1557" t="str">
        <v>Online</v>
      </c>
      <c r="S1557" s="4">
        <f t="shared" si="24"/>
        <v>3992.2</v>
      </c>
    </row>
    <row r="1558" spans="1:19">
      <c r="A1558" t="s">
        <v>2358</v>
      </c>
      <c r="B1558" s="3">
        <v>45606</v>
      </c>
      <c r="C1558" t="s">
        <v>56</v>
      </c>
      <c r="D1558" t="s">
        <v>126</v>
      </c>
      <c r="E1558" t="s">
        <v>90</v>
      </c>
      <c r="F1558">
        <v>1</v>
      </c>
      <c r="G1558" t="s">
        <v>50</v>
      </c>
      <c r="H1558">
        <v>28</v>
      </c>
      <c r="I1558" s="12" t="s">
        <v>24</v>
      </c>
      <c r="J1558" s="12" t="s">
        <v>59</v>
      </c>
      <c r="K1558" s="12" t="s">
        <v>60</v>
      </c>
      <c r="L1558" s="12" t="s">
        <v>129</v>
      </c>
      <c r="M1558" s="12" t="s">
        <v>130</v>
      </c>
      <c r="N1558" s="14">
        <v>0.01</v>
      </c>
      <c r="O1558" s="23">
        <v>887.38</v>
      </c>
      <c r="P1558">
        <v>223.43</v>
      </c>
      <c r="Q1558" s="12" t="str" cm="1">
        <f t="array" ref="Q1558:R1558">VLOOKUP(E1558,store[],{3,5},FALSE)</f>
        <v>East</v>
      </c>
      <c r="R1558" t="str">
        <v>Flagship</v>
      </c>
      <c r="S1558" s="4">
        <f t="shared" si="24"/>
        <v>887.37</v>
      </c>
    </row>
    <row r="1559" spans="1:19">
      <c r="A1559" t="s">
        <v>2359</v>
      </c>
      <c r="B1559" s="3">
        <v>45524</v>
      </c>
      <c r="C1559" t="s">
        <v>794</v>
      </c>
      <c r="D1559" t="s">
        <v>786</v>
      </c>
      <c r="E1559" t="s">
        <v>208</v>
      </c>
      <c r="F1559">
        <v>4</v>
      </c>
      <c r="G1559" t="s">
        <v>23</v>
      </c>
      <c r="H1559">
        <v>47</v>
      </c>
      <c r="I1559" s="12" t="s">
        <v>34</v>
      </c>
      <c r="J1559" s="12" t="s">
        <v>373</v>
      </c>
      <c r="K1559" s="12" t="s">
        <v>60</v>
      </c>
      <c r="L1559" s="12" t="s">
        <v>787</v>
      </c>
      <c r="M1559" s="12" t="s">
        <v>130</v>
      </c>
      <c r="N1559" s="14">
        <v>0.28000000000000003</v>
      </c>
      <c r="O1559" s="23">
        <v>332.97</v>
      </c>
      <c r="P1559">
        <v>353.47</v>
      </c>
      <c r="Q1559" s="12" t="str" cm="1">
        <f t="array" ref="Q1559:R1559">VLOOKUP(E1559,store[],{3,5},FALSE)</f>
        <v>North</v>
      </c>
      <c r="R1559" t="str">
        <v>Online</v>
      </c>
      <c r="S1559" s="4">
        <f t="shared" si="24"/>
        <v>1330.76</v>
      </c>
    </row>
    <row r="1560" spans="1:19">
      <c r="A1560" t="s">
        <v>2360</v>
      </c>
      <c r="B1560" s="3">
        <v>45934</v>
      </c>
      <c r="C1560" t="s">
        <v>2097</v>
      </c>
      <c r="D1560" t="s">
        <v>381</v>
      </c>
      <c r="E1560" t="s">
        <v>90</v>
      </c>
      <c r="F1560">
        <v>2</v>
      </c>
      <c r="G1560" t="s">
        <v>50</v>
      </c>
      <c r="H1560">
        <v>36</v>
      </c>
      <c r="I1560" s="12" t="s">
        <v>34</v>
      </c>
      <c r="J1560" s="12" t="s">
        <v>169</v>
      </c>
      <c r="K1560" s="12" t="s">
        <v>26</v>
      </c>
      <c r="L1560" s="12" t="s">
        <v>382</v>
      </c>
      <c r="M1560" s="12" t="s">
        <v>130</v>
      </c>
      <c r="N1560" s="14">
        <v>0.09</v>
      </c>
      <c r="O1560" s="23">
        <v>157.91</v>
      </c>
      <c r="P1560">
        <v>167.34</v>
      </c>
      <c r="Q1560" s="12" t="str" cm="1">
        <f t="array" ref="Q1560:R1560">VLOOKUP(E1560,store[],{3,5},FALSE)</f>
        <v>East</v>
      </c>
      <c r="R1560" t="str">
        <v>Flagship</v>
      </c>
      <c r="S1560" s="4">
        <f t="shared" si="24"/>
        <v>315.64</v>
      </c>
    </row>
    <row r="1561" spans="1:19">
      <c r="A1561" t="s">
        <v>2361</v>
      </c>
      <c r="B1561" s="3">
        <v>45539</v>
      </c>
      <c r="C1561" t="s">
        <v>1564</v>
      </c>
      <c r="D1561" t="s">
        <v>173</v>
      </c>
      <c r="E1561" t="s">
        <v>160</v>
      </c>
      <c r="F1561">
        <v>1</v>
      </c>
      <c r="G1561" t="s">
        <v>23</v>
      </c>
      <c r="H1561">
        <v>54</v>
      </c>
      <c r="I1561" s="12" t="s">
        <v>24</v>
      </c>
      <c r="J1561" s="12" t="s">
        <v>498</v>
      </c>
      <c r="K1561" s="12" t="s">
        <v>73</v>
      </c>
      <c r="L1561" s="12" t="s">
        <v>174</v>
      </c>
      <c r="M1561" s="12" t="s">
        <v>46</v>
      </c>
      <c r="N1561" s="14">
        <v>0.11</v>
      </c>
      <c r="O1561" s="23">
        <v>548.15</v>
      </c>
      <c r="P1561">
        <v>115.82</v>
      </c>
      <c r="Q1561" s="12" t="str" cm="1">
        <f t="array" ref="Q1561:R1561">VLOOKUP(E1561,store[],{3,5},FALSE)</f>
        <v>East</v>
      </c>
      <c r="R1561" t="str">
        <v>Flagship</v>
      </c>
      <c r="S1561" s="4">
        <f t="shared" si="24"/>
        <v>548.04</v>
      </c>
    </row>
    <row r="1562" spans="1:19">
      <c r="A1562" t="s">
        <v>2362</v>
      </c>
      <c r="B1562" s="3">
        <v>45555</v>
      </c>
      <c r="C1562" t="s">
        <v>771</v>
      </c>
      <c r="D1562" t="s">
        <v>505</v>
      </c>
      <c r="E1562" t="s">
        <v>122</v>
      </c>
      <c r="F1562">
        <v>1</v>
      </c>
      <c r="G1562" t="s">
        <v>23</v>
      </c>
      <c r="H1562">
        <v>50</v>
      </c>
      <c r="I1562" s="12" t="s">
        <v>34</v>
      </c>
      <c r="J1562" s="12" t="s">
        <v>193</v>
      </c>
      <c r="K1562" s="12" t="s">
        <v>52</v>
      </c>
      <c r="L1562" s="12" t="s">
        <v>506</v>
      </c>
      <c r="M1562" s="12" t="s">
        <v>37</v>
      </c>
      <c r="N1562" s="14">
        <v>0.04</v>
      </c>
      <c r="O1562" s="23">
        <v>135.13</v>
      </c>
      <c r="P1562">
        <v>177.98</v>
      </c>
      <c r="Q1562" s="12" t="str" cm="1">
        <f t="array" ref="Q1562:R1562">VLOOKUP(E1562,store[],{3,5},FALSE)</f>
        <v>North</v>
      </c>
      <c r="R1562" t="str">
        <v>Flagship</v>
      </c>
      <c r="S1562" s="4">
        <f t="shared" si="24"/>
        <v>135.09</v>
      </c>
    </row>
    <row r="1563" spans="1:19">
      <c r="A1563" t="s">
        <v>2363</v>
      </c>
      <c r="B1563" s="3">
        <v>45281</v>
      </c>
      <c r="C1563" t="s">
        <v>785</v>
      </c>
      <c r="D1563" t="s">
        <v>71</v>
      </c>
      <c r="E1563" t="s">
        <v>22</v>
      </c>
      <c r="F1563">
        <v>3</v>
      </c>
      <c r="G1563" t="s">
        <v>23</v>
      </c>
      <c r="H1563">
        <v>47</v>
      </c>
      <c r="I1563" s="12" t="s">
        <v>34</v>
      </c>
      <c r="J1563" s="12" t="s">
        <v>204</v>
      </c>
      <c r="K1563" s="12" t="s">
        <v>26</v>
      </c>
      <c r="L1563" s="12" t="s">
        <v>74</v>
      </c>
      <c r="M1563" s="12" t="s">
        <v>75</v>
      </c>
      <c r="N1563" s="14">
        <v>0.19</v>
      </c>
      <c r="O1563" s="23">
        <v>579.26</v>
      </c>
      <c r="P1563">
        <v>461.47</v>
      </c>
      <c r="Q1563" s="12" t="str" cm="1">
        <f t="array" ref="Q1563:R1563">VLOOKUP(E1563,store[],{3,5},FALSE)</f>
        <v>North</v>
      </c>
      <c r="R1563" t="str">
        <v>Outlet</v>
      </c>
      <c r="S1563" s="4">
        <f t="shared" si="24"/>
        <v>1737.21</v>
      </c>
    </row>
    <row r="1564" spans="1:19">
      <c r="A1564" t="s">
        <v>2364</v>
      </c>
      <c r="B1564" s="3">
        <v>45582</v>
      </c>
      <c r="C1564" t="s">
        <v>1218</v>
      </c>
      <c r="D1564" t="s">
        <v>377</v>
      </c>
      <c r="E1564" t="s">
        <v>90</v>
      </c>
      <c r="F1564">
        <v>1</v>
      </c>
      <c r="G1564" t="s">
        <v>23</v>
      </c>
      <c r="H1564">
        <v>50</v>
      </c>
      <c r="I1564" s="12" t="s">
        <v>24</v>
      </c>
      <c r="J1564" s="12" t="s">
        <v>761</v>
      </c>
      <c r="K1564" s="12" t="s">
        <v>52</v>
      </c>
      <c r="L1564" s="12" t="s">
        <v>379</v>
      </c>
      <c r="M1564" s="12" t="s">
        <v>28</v>
      </c>
      <c r="N1564" s="14">
        <v>0.25</v>
      </c>
      <c r="O1564" s="23">
        <v>465.63</v>
      </c>
      <c r="P1564">
        <v>144.53</v>
      </c>
      <c r="Q1564" s="12" t="str" cm="1">
        <f t="array" ref="Q1564:R1564">VLOOKUP(E1564,store[],{3,5},FALSE)</f>
        <v>East</v>
      </c>
      <c r="R1564" t="str">
        <v>Flagship</v>
      </c>
      <c r="S1564" s="4">
        <f t="shared" si="24"/>
        <v>465.38</v>
      </c>
    </row>
    <row r="1565" spans="1:19">
      <c r="A1565" t="s">
        <v>2365</v>
      </c>
      <c r="B1565" s="3">
        <v>45372</v>
      </c>
      <c r="C1565" t="s">
        <v>857</v>
      </c>
      <c r="D1565" t="s">
        <v>49</v>
      </c>
      <c r="E1565" t="s">
        <v>117</v>
      </c>
      <c r="F1565">
        <v>2</v>
      </c>
      <c r="G1565" t="s">
        <v>50</v>
      </c>
      <c r="H1565">
        <v>54</v>
      </c>
      <c r="I1565" s="12" t="s">
        <v>34</v>
      </c>
      <c r="J1565" s="12" t="s">
        <v>99</v>
      </c>
      <c r="K1565" s="12" t="s">
        <v>60</v>
      </c>
      <c r="L1565" s="12" t="s">
        <v>53</v>
      </c>
      <c r="M1565" s="12" t="s">
        <v>37</v>
      </c>
      <c r="N1565" s="14">
        <v>0.08</v>
      </c>
      <c r="O1565" s="23">
        <v>675.61</v>
      </c>
      <c r="P1565">
        <v>392.89</v>
      </c>
      <c r="Q1565" s="12" t="str" cm="1">
        <f t="array" ref="Q1565:R1565">VLOOKUP(E1565,store[],{3,5},FALSE)</f>
        <v>West</v>
      </c>
      <c r="R1565" t="str">
        <v>Flagship</v>
      </c>
      <c r="S1565" s="4">
        <f t="shared" si="24"/>
        <v>1351.06</v>
      </c>
    </row>
    <row r="1566" spans="1:19">
      <c r="A1566" t="s">
        <v>2366</v>
      </c>
      <c r="B1566" s="3">
        <v>45458</v>
      </c>
      <c r="C1566" t="s">
        <v>298</v>
      </c>
      <c r="D1566" t="s">
        <v>89</v>
      </c>
      <c r="E1566" t="s">
        <v>179</v>
      </c>
      <c r="F1566">
        <v>1</v>
      </c>
      <c r="G1566" t="s">
        <v>33</v>
      </c>
      <c r="H1566">
        <v>46</v>
      </c>
      <c r="I1566" s="12" t="s">
        <v>24</v>
      </c>
      <c r="J1566" s="12" t="s">
        <v>199</v>
      </c>
      <c r="K1566" s="12" t="s">
        <v>52</v>
      </c>
      <c r="L1566" s="12" t="s">
        <v>92</v>
      </c>
      <c r="M1566" s="12" t="s">
        <v>75</v>
      </c>
      <c r="N1566" s="14">
        <v>0.08</v>
      </c>
      <c r="O1566" s="23">
        <v>718.99</v>
      </c>
      <c r="P1566">
        <v>179.77</v>
      </c>
      <c r="Q1566" s="12" t="str" cm="1">
        <f t="array" ref="Q1566:R1566">VLOOKUP(E1566,store[],{3,5},FALSE)</f>
        <v>East</v>
      </c>
      <c r="R1566" t="str">
        <v>Online</v>
      </c>
      <c r="S1566" s="4">
        <f t="shared" si="24"/>
        <v>718.91</v>
      </c>
    </row>
    <row r="1567" spans="1:19">
      <c r="A1567" t="s">
        <v>2367</v>
      </c>
      <c r="B1567" s="3">
        <v>45943</v>
      </c>
      <c r="C1567" t="s">
        <v>1343</v>
      </c>
      <c r="D1567" t="s">
        <v>480</v>
      </c>
      <c r="E1567" t="s">
        <v>168</v>
      </c>
      <c r="F1567">
        <v>2</v>
      </c>
      <c r="G1567" t="s">
        <v>50</v>
      </c>
      <c r="H1567">
        <v>30</v>
      </c>
      <c r="I1567" s="12" t="s">
        <v>24</v>
      </c>
      <c r="J1567" s="12" t="s">
        <v>440</v>
      </c>
      <c r="K1567" s="12" t="s">
        <v>73</v>
      </c>
      <c r="L1567" s="12" t="s">
        <v>481</v>
      </c>
      <c r="M1567" s="12" t="s">
        <v>75</v>
      </c>
      <c r="N1567" s="14">
        <v>0.2</v>
      </c>
      <c r="O1567" s="23">
        <v>675.65</v>
      </c>
      <c r="P1567">
        <v>48.01</v>
      </c>
      <c r="Q1567" s="12" t="str" cm="1">
        <f t="array" ref="Q1567:R1567">VLOOKUP(E1567,store[],{3,5},FALSE)</f>
        <v>East</v>
      </c>
      <c r="R1567" t="str">
        <v>Online</v>
      </c>
      <c r="S1567" s="4">
        <f t="shared" si="24"/>
        <v>1350.9</v>
      </c>
    </row>
    <row r="1568" spans="1:19">
      <c r="A1568" t="s">
        <v>2368</v>
      </c>
      <c r="B1568" s="3">
        <v>45374</v>
      </c>
      <c r="C1568" t="s">
        <v>1324</v>
      </c>
      <c r="D1568" t="s">
        <v>1126</v>
      </c>
      <c r="E1568" t="s">
        <v>122</v>
      </c>
      <c r="F1568">
        <v>4</v>
      </c>
      <c r="G1568" t="s">
        <v>23</v>
      </c>
      <c r="H1568">
        <v>58</v>
      </c>
      <c r="I1568" s="12" t="s">
        <v>34</v>
      </c>
      <c r="J1568" s="12" t="s">
        <v>609</v>
      </c>
      <c r="K1568" s="12" t="s">
        <v>60</v>
      </c>
      <c r="L1568" s="12" t="s">
        <v>1127</v>
      </c>
      <c r="M1568" s="12" t="s">
        <v>28</v>
      </c>
      <c r="N1568" s="14">
        <v>0.1</v>
      </c>
      <c r="O1568" s="23">
        <v>284.24</v>
      </c>
      <c r="P1568">
        <v>60.65</v>
      </c>
      <c r="Q1568" s="12" t="str" cm="1">
        <f t="array" ref="Q1568:R1568">VLOOKUP(E1568,store[],{3,5},FALSE)</f>
        <v>North</v>
      </c>
      <c r="R1568" t="str">
        <v>Flagship</v>
      </c>
      <c r="S1568" s="4">
        <f t="shared" si="24"/>
        <v>1136.56</v>
      </c>
    </row>
    <row r="1569" spans="1:19">
      <c r="A1569" t="s">
        <v>2369</v>
      </c>
      <c r="B1569" s="3">
        <v>45374</v>
      </c>
      <c r="C1569" t="s">
        <v>186</v>
      </c>
      <c r="D1569" t="s">
        <v>389</v>
      </c>
      <c r="E1569" t="s">
        <v>22</v>
      </c>
      <c r="F1569">
        <v>1</v>
      </c>
      <c r="G1569" t="s">
        <v>33</v>
      </c>
      <c r="H1569">
        <v>42</v>
      </c>
      <c r="I1569" s="12" t="s">
        <v>34</v>
      </c>
      <c r="J1569" s="12" t="s">
        <v>188</v>
      </c>
      <c r="K1569" s="12" t="s">
        <v>52</v>
      </c>
      <c r="L1569" s="12" t="s">
        <v>390</v>
      </c>
      <c r="M1569" s="12" t="s">
        <v>130</v>
      </c>
      <c r="N1569" s="14">
        <v>0.18</v>
      </c>
      <c r="O1569" s="23">
        <v>94.26</v>
      </c>
      <c r="P1569">
        <v>342.56</v>
      </c>
      <c r="Q1569" s="12" t="str" cm="1">
        <f t="array" ref="Q1569:R1569">VLOOKUP(E1569,store[],{3,5},FALSE)</f>
        <v>North</v>
      </c>
      <c r="R1569" t="str">
        <v>Outlet</v>
      </c>
      <c r="S1569" s="4">
        <f t="shared" si="24"/>
        <v>94.08</v>
      </c>
    </row>
    <row r="1570" spans="1:19">
      <c r="A1570" t="s">
        <v>2370</v>
      </c>
      <c r="B1570" s="3">
        <v>45789</v>
      </c>
      <c r="C1570" t="s">
        <v>298</v>
      </c>
      <c r="D1570" t="s">
        <v>887</v>
      </c>
      <c r="E1570" t="s">
        <v>168</v>
      </c>
      <c r="F1570">
        <v>4</v>
      </c>
      <c r="G1570" t="s">
        <v>50</v>
      </c>
      <c r="H1570">
        <v>46</v>
      </c>
      <c r="I1570" s="12" t="s">
        <v>24</v>
      </c>
      <c r="J1570" s="12" t="s">
        <v>199</v>
      </c>
      <c r="K1570" s="12" t="s">
        <v>52</v>
      </c>
      <c r="L1570" s="12" t="s">
        <v>888</v>
      </c>
      <c r="M1570" s="12" t="s">
        <v>46</v>
      </c>
      <c r="N1570" s="14">
        <v>0.28999999999999998</v>
      </c>
      <c r="O1570" s="23">
        <v>458.58</v>
      </c>
      <c r="P1570">
        <v>312.8</v>
      </c>
      <c r="Q1570" s="12" t="str" cm="1">
        <f t="array" ref="Q1570:R1570">VLOOKUP(E1570,store[],{3,5},FALSE)</f>
        <v>East</v>
      </c>
      <c r="R1570" t="str">
        <v>Online</v>
      </c>
      <c r="S1570" s="4">
        <f t="shared" si="24"/>
        <v>1833.16</v>
      </c>
    </row>
    <row r="1571" spans="1:19">
      <c r="A1571" t="s">
        <v>2371</v>
      </c>
      <c r="B1571" s="3">
        <v>45452</v>
      </c>
      <c r="C1571" t="s">
        <v>529</v>
      </c>
      <c r="D1571" t="s">
        <v>134</v>
      </c>
      <c r="E1571" t="s">
        <v>168</v>
      </c>
      <c r="F1571">
        <v>4</v>
      </c>
      <c r="G1571" t="s">
        <v>50</v>
      </c>
      <c r="H1571">
        <v>51</v>
      </c>
      <c r="I1571" s="12" t="s">
        <v>24</v>
      </c>
      <c r="J1571" s="12" t="s">
        <v>222</v>
      </c>
      <c r="K1571" s="12" t="s">
        <v>26</v>
      </c>
      <c r="L1571" s="12" t="s">
        <v>136</v>
      </c>
      <c r="M1571" s="12" t="s">
        <v>28</v>
      </c>
      <c r="N1571" s="14">
        <v>0.05</v>
      </c>
      <c r="O1571" s="23">
        <v>704.49</v>
      </c>
      <c r="P1571">
        <v>240.63</v>
      </c>
      <c r="Q1571" s="12" t="str" cm="1">
        <f t="array" ref="Q1571:R1571">VLOOKUP(E1571,store[],{3,5},FALSE)</f>
        <v>East</v>
      </c>
      <c r="R1571" t="str">
        <v>Online</v>
      </c>
      <c r="S1571" s="4">
        <f t="shared" si="24"/>
        <v>2817.76</v>
      </c>
    </row>
    <row r="1572" spans="1:19">
      <c r="A1572" t="s">
        <v>2372</v>
      </c>
      <c r="B1572" s="3">
        <v>45284</v>
      </c>
      <c r="C1572" t="s">
        <v>1183</v>
      </c>
      <c r="D1572" t="s">
        <v>139</v>
      </c>
      <c r="E1572" t="s">
        <v>135</v>
      </c>
      <c r="F1572">
        <v>4</v>
      </c>
      <c r="G1572" t="s">
        <v>33</v>
      </c>
      <c r="H1572">
        <v>48</v>
      </c>
      <c r="I1572" s="12" t="s">
        <v>34</v>
      </c>
      <c r="J1572" s="12" t="s">
        <v>251</v>
      </c>
      <c r="K1572" s="12" t="s">
        <v>26</v>
      </c>
      <c r="L1572" s="12" t="s">
        <v>141</v>
      </c>
      <c r="M1572" s="12" t="s">
        <v>75</v>
      </c>
      <c r="N1572" s="14">
        <v>0.26</v>
      </c>
      <c r="O1572" s="23">
        <v>822.32</v>
      </c>
      <c r="P1572">
        <v>250.02157142857101</v>
      </c>
      <c r="Q1572" s="12" t="str" cm="1">
        <f t="array" ref="Q1572:R1572">VLOOKUP(E1572,store[],{3,5},FALSE)</f>
        <v>East</v>
      </c>
      <c r="R1572" t="str">
        <v>Online</v>
      </c>
      <c r="S1572" s="4">
        <f t="shared" si="24"/>
        <v>3288.24</v>
      </c>
    </row>
    <row r="1573" spans="1:19">
      <c r="A1573" t="s">
        <v>2373</v>
      </c>
      <c r="B1573" s="3">
        <v>45325</v>
      </c>
      <c r="C1573" t="s">
        <v>1685</v>
      </c>
      <c r="D1573" t="s">
        <v>414</v>
      </c>
      <c r="E1573" t="s">
        <v>149</v>
      </c>
      <c r="F1573">
        <v>4</v>
      </c>
      <c r="G1573" t="s">
        <v>50</v>
      </c>
      <c r="H1573">
        <v>57</v>
      </c>
      <c r="I1573" s="12" t="s">
        <v>34</v>
      </c>
      <c r="J1573" s="12" t="s">
        <v>209</v>
      </c>
      <c r="K1573" s="12" t="s">
        <v>52</v>
      </c>
      <c r="L1573" s="12" t="s">
        <v>415</v>
      </c>
      <c r="M1573" s="12" t="s">
        <v>130</v>
      </c>
      <c r="N1573" s="14">
        <v>0.13</v>
      </c>
      <c r="O1573" s="23">
        <v>785.41</v>
      </c>
      <c r="P1573">
        <v>364.67</v>
      </c>
      <c r="Q1573" s="12" t="str" cm="1">
        <f t="array" ref="Q1573:R1573">VLOOKUP(E1573,store[],{3,5},FALSE)</f>
        <v>East</v>
      </c>
      <c r="R1573" t="str">
        <v>Flagship</v>
      </c>
      <c r="S1573" s="4">
        <f t="shared" si="24"/>
        <v>3141.12</v>
      </c>
    </row>
    <row r="1574" spans="1:19">
      <c r="A1574" t="s">
        <v>2374</v>
      </c>
      <c r="B1574" s="3">
        <v>45465</v>
      </c>
      <c r="C1574" t="s">
        <v>727</v>
      </c>
      <c r="D1574" t="s">
        <v>104</v>
      </c>
      <c r="E1574" t="s">
        <v>98</v>
      </c>
      <c r="F1574">
        <v>1</v>
      </c>
      <c r="G1574" t="s">
        <v>33</v>
      </c>
      <c r="H1574">
        <v>41</v>
      </c>
      <c r="I1574" s="12" t="s">
        <v>24</v>
      </c>
      <c r="J1574" s="12" t="s">
        <v>609</v>
      </c>
      <c r="K1574" s="12" t="s">
        <v>60</v>
      </c>
      <c r="L1574" s="12" t="s">
        <v>107</v>
      </c>
      <c r="M1574" s="12" t="s">
        <v>37</v>
      </c>
      <c r="N1574" s="14">
        <v>0.11</v>
      </c>
      <c r="O1574" s="23">
        <v>405.8</v>
      </c>
      <c r="P1574">
        <v>326.06</v>
      </c>
      <c r="Q1574" s="12" t="str" cm="1">
        <f t="array" ref="Q1574:R1574">VLOOKUP(E1574,store[],{3,5},FALSE)</f>
        <v>South</v>
      </c>
      <c r="R1574" t="str">
        <v>Outlet</v>
      </c>
      <c r="S1574" s="4">
        <f t="shared" si="24"/>
        <v>405.69</v>
      </c>
    </row>
    <row r="1575" spans="1:19">
      <c r="A1575" t="s">
        <v>2375</v>
      </c>
      <c r="B1575" s="3">
        <v>45612</v>
      </c>
      <c r="C1575" t="s">
        <v>778</v>
      </c>
      <c r="D1575" t="s">
        <v>372</v>
      </c>
      <c r="E1575" t="s">
        <v>127</v>
      </c>
      <c r="F1575">
        <v>2</v>
      </c>
      <c r="G1575" t="s">
        <v>33</v>
      </c>
      <c r="H1575">
        <v>51</v>
      </c>
      <c r="I1575" s="12" t="s">
        <v>34</v>
      </c>
      <c r="J1575" s="12" t="s">
        <v>161</v>
      </c>
      <c r="K1575" s="12" t="s">
        <v>60</v>
      </c>
      <c r="L1575" s="12" t="s">
        <v>374</v>
      </c>
      <c r="M1575" s="12" t="s">
        <v>130</v>
      </c>
      <c r="N1575" s="14">
        <v>0.1</v>
      </c>
      <c r="O1575" s="23">
        <v>976.83</v>
      </c>
      <c r="P1575">
        <v>438.25</v>
      </c>
      <c r="Q1575" s="12" t="str" cm="1">
        <f t="array" ref="Q1575:R1575">VLOOKUP(E1575,store[],{3,5},FALSE)</f>
        <v>South</v>
      </c>
      <c r="R1575" t="str">
        <v>Flagship</v>
      </c>
      <c r="S1575" s="4">
        <f t="shared" si="24"/>
        <v>1953.46</v>
      </c>
    </row>
    <row r="1576" spans="1:19">
      <c r="A1576" t="s">
        <v>2376</v>
      </c>
      <c r="B1576" s="3">
        <v>45472</v>
      </c>
      <c r="C1576" t="s">
        <v>349</v>
      </c>
      <c r="D1576" t="s">
        <v>779</v>
      </c>
      <c r="E1576" t="s">
        <v>198</v>
      </c>
      <c r="F1576">
        <v>1</v>
      </c>
      <c r="G1576" t="s">
        <v>23</v>
      </c>
      <c r="H1576">
        <v>23</v>
      </c>
      <c r="I1576" s="12" t="s">
        <v>24</v>
      </c>
      <c r="J1576" s="12" t="s">
        <v>231</v>
      </c>
      <c r="K1576" s="12" t="s">
        <v>73</v>
      </c>
      <c r="L1576" s="12" t="s">
        <v>780</v>
      </c>
      <c r="M1576" s="12" t="s">
        <v>46</v>
      </c>
      <c r="N1576" s="14">
        <v>0.06</v>
      </c>
      <c r="O1576" s="23">
        <v>644.15</v>
      </c>
      <c r="P1576">
        <v>299.11</v>
      </c>
      <c r="Q1576" s="12" t="str" cm="1">
        <f t="array" ref="Q1576:R1576">VLOOKUP(E1576,store[],{3,5},FALSE)</f>
        <v>South</v>
      </c>
      <c r="R1576" t="str">
        <v>Outlet</v>
      </c>
      <c r="S1576" s="4">
        <f t="shared" si="24"/>
        <v>644.09</v>
      </c>
    </row>
    <row r="1577" spans="1:19">
      <c r="A1577" t="s">
        <v>2377</v>
      </c>
      <c r="B1577" s="3">
        <v>45897</v>
      </c>
      <c r="C1577" t="s">
        <v>525</v>
      </c>
      <c r="D1577" t="s">
        <v>178</v>
      </c>
      <c r="E1577" t="s">
        <v>149</v>
      </c>
      <c r="F1577">
        <v>1</v>
      </c>
      <c r="G1577" t="s">
        <v>33</v>
      </c>
      <c r="H1577">
        <v>40</v>
      </c>
      <c r="I1577" s="12" t="s">
        <v>34</v>
      </c>
      <c r="J1577" s="12" t="s">
        <v>256</v>
      </c>
      <c r="K1577" s="12" t="s">
        <v>73</v>
      </c>
      <c r="L1577" s="12" t="s">
        <v>180</v>
      </c>
      <c r="M1577" s="12" t="s">
        <v>37</v>
      </c>
      <c r="N1577" s="14">
        <v>0.23</v>
      </c>
      <c r="O1577" s="23">
        <v>470.55</v>
      </c>
      <c r="P1577">
        <v>349.17</v>
      </c>
      <c r="Q1577" s="12" t="str" cm="1">
        <f t="array" ref="Q1577:R1577">VLOOKUP(E1577,store[],{3,5},FALSE)</f>
        <v>East</v>
      </c>
      <c r="R1577" t="str">
        <v>Flagship</v>
      </c>
      <c r="S1577" s="4">
        <f t="shared" si="24"/>
        <v>470.32</v>
      </c>
    </row>
    <row r="1578" spans="1:19">
      <c r="A1578" t="s">
        <v>2378</v>
      </c>
      <c r="B1578" s="3">
        <v>45241</v>
      </c>
      <c r="C1578" t="s">
        <v>615</v>
      </c>
      <c r="D1578" t="s">
        <v>645</v>
      </c>
      <c r="E1578" t="s">
        <v>179</v>
      </c>
      <c r="F1578">
        <v>3</v>
      </c>
      <c r="G1578" t="s">
        <v>50</v>
      </c>
      <c r="H1578">
        <v>59</v>
      </c>
      <c r="I1578" s="12" t="s">
        <v>24</v>
      </c>
      <c r="J1578" s="12" t="s">
        <v>345</v>
      </c>
      <c r="K1578" s="12" t="s">
        <v>26</v>
      </c>
      <c r="L1578" s="12" t="s">
        <v>646</v>
      </c>
      <c r="M1578" s="12" t="s">
        <v>75</v>
      </c>
      <c r="N1578" s="14">
        <v>0.19</v>
      </c>
      <c r="O1578" s="23">
        <v>598.82000000000005</v>
      </c>
      <c r="P1578">
        <v>218.86</v>
      </c>
      <c r="Q1578" s="12" t="str" cm="1">
        <f t="array" ref="Q1578:R1578">VLOOKUP(E1578,store[],{3,5},FALSE)</f>
        <v>East</v>
      </c>
      <c r="R1578" t="str">
        <v>Online</v>
      </c>
      <c r="S1578" s="4">
        <f t="shared" si="24"/>
        <v>1795.89</v>
      </c>
    </row>
    <row r="1579" spans="1:19">
      <c r="A1579" t="s">
        <v>2379</v>
      </c>
      <c r="B1579" s="3">
        <v>45851</v>
      </c>
      <c r="C1579" t="s">
        <v>789</v>
      </c>
      <c r="D1579" t="s">
        <v>291</v>
      </c>
      <c r="E1579" t="s">
        <v>208</v>
      </c>
      <c r="F1579">
        <v>4</v>
      </c>
      <c r="G1579" t="s">
        <v>23</v>
      </c>
      <c r="H1579">
        <v>29</v>
      </c>
      <c r="I1579" s="12" t="s">
        <v>24</v>
      </c>
      <c r="J1579" s="12" t="s">
        <v>410</v>
      </c>
      <c r="K1579" s="12" t="s">
        <v>26</v>
      </c>
      <c r="L1579" s="12" t="s">
        <v>292</v>
      </c>
      <c r="M1579" s="12" t="s">
        <v>28</v>
      </c>
      <c r="N1579" s="14">
        <v>0.12</v>
      </c>
      <c r="O1579" s="23">
        <v>659.17</v>
      </c>
      <c r="P1579">
        <v>131.51</v>
      </c>
      <c r="Q1579" s="12" t="str" cm="1">
        <f t="array" ref="Q1579:R1579">VLOOKUP(E1579,store[],{3,5},FALSE)</f>
        <v>North</v>
      </c>
      <c r="R1579" t="str">
        <v>Online</v>
      </c>
      <c r="S1579" s="4">
        <f t="shared" si="24"/>
        <v>2636.2</v>
      </c>
    </row>
    <row r="1580" spans="1:19">
      <c r="A1580" t="s">
        <v>2380</v>
      </c>
      <c r="B1580" s="3">
        <v>45572</v>
      </c>
      <c r="C1580" t="s">
        <v>923</v>
      </c>
      <c r="D1580" t="s">
        <v>381</v>
      </c>
      <c r="E1580" t="s">
        <v>105</v>
      </c>
      <c r="F1580">
        <v>2</v>
      </c>
      <c r="G1580" t="s">
        <v>23</v>
      </c>
      <c r="H1580">
        <v>64</v>
      </c>
      <c r="I1580" s="12" t="s">
        <v>24</v>
      </c>
      <c r="J1580" s="12" t="s">
        <v>360</v>
      </c>
      <c r="K1580" s="12" t="s">
        <v>60</v>
      </c>
      <c r="L1580" s="12" t="s">
        <v>382</v>
      </c>
      <c r="M1580" s="12" t="s">
        <v>130</v>
      </c>
      <c r="N1580" s="14">
        <v>0.25</v>
      </c>
      <c r="O1580" s="23">
        <v>216.02</v>
      </c>
      <c r="P1580">
        <v>167.34</v>
      </c>
      <c r="Q1580" s="12" t="str" cm="1">
        <f t="array" ref="Q1580:R1580">VLOOKUP(E1580,store[],{3,5},FALSE)</f>
        <v>North</v>
      </c>
      <c r="R1580" t="str">
        <v>Flagship</v>
      </c>
      <c r="S1580" s="4">
        <f t="shared" si="24"/>
        <v>431.54</v>
      </c>
    </row>
    <row r="1581" spans="1:19">
      <c r="A1581" t="s">
        <v>2381</v>
      </c>
      <c r="B1581" s="3">
        <v>45774</v>
      </c>
      <c r="C1581" t="s">
        <v>1997</v>
      </c>
      <c r="D1581" t="s">
        <v>311</v>
      </c>
      <c r="E1581" t="s">
        <v>168</v>
      </c>
      <c r="F1581">
        <v>2</v>
      </c>
      <c r="G1581" t="s">
        <v>33</v>
      </c>
      <c r="H1581">
        <v>64</v>
      </c>
      <c r="I1581" s="12" t="s">
        <v>34</v>
      </c>
      <c r="J1581" s="12" t="s">
        <v>44</v>
      </c>
      <c r="K1581" s="12" t="s">
        <v>73</v>
      </c>
      <c r="L1581" s="12" t="s">
        <v>312</v>
      </c>
      <c r="M1581" s="12" t="s">
        <v>28</v>
      </c>
      <c r="N1581" s="14">
        <v>0.02</v>
      </c>
      <c r="O1581" s="23">
        <v>613.47</v>
      </c>
      <c r="P1581">
        <v>204.39</v>
      </c>
      <c r="Q1581" s="12" t="str" cm="1">
        <f t="array" ref="Q1581:R1581">VLOOKUP(E1581,store[],{3,5},FALSE)</f>
        <v>East</v>
      </c>
      <c r="R1581" t="str">
        <v>Online</v>
      </c>
      <c r="S1581" s="4">
        <f t="shared" si="24"/>
        <v>1226.9000000000001</v>
      </c>
    </row>
    <row r="1582" spans="1:19">
      <c r="A1582" t="s">
        <v>2382</v>
      </c>
      <c r="B1582" s="3">
        <v>45921</v>
      </c>
      <c r="C1582" t="s">
        <v>1047</v>
      </c>
      <c r="D1582" t="s">
        <v>714</v>
      </c>
      <c r="E1582" t="s">
        <v>208</v>
      </c>
      <c r="F1582">
        <v>2</v>
      </c>
      <c r="G1582" t="s">
        <v>33</v>
      </c>
      <c r="H1582">
        <v>24</v>
      </c>
      <c r="I1582" s="12" t="s">
        <v>24</v>
      </c>
      <c r="J1582" s="12" t="s">
        <v>444</v>
      </c>
      <c r="K1582" s="12" t="s">
        <v>26</v>
      </c>
      <c r="L1582" s="12" t="s">
        <v>715</v>
      </c>
      <c r="M1582" s="12" t="s">
        <v>130</v>
      </c>
      <c r="N1582" s="14">
        <v>0.11</v>
      </c>
      <c r="O1582" s="23">
        <v>485.17</v>
      </c>
      <c r="P1582">
        <v>113.83</v>
      </c>
      <c r="Q1582" s="12" t="str" cm="1">
        <f t="array" ref="Q1582:R1582">VLOOKUP(E1582,store[],{3,5},FALSE)</f>
        <v>North</v>
      </c>
      <c r="R1582" t="str">
        <v>Online</v>
      </c>
      <c r="S1582" s="4">
        <f t="shared" si="24"/>
        <v>970.12</v>
      </c>
    </row>
    <row r="1583" spans="1:19">
      <c r="A1583" t="s">
        <v>2383</v>
      </c>
      <c r="B1583" s="3">
        <v>45268</v>
      </c>
      <c r="C1583" t="s">
        <v>560</v>
      </c>
      <c r="D1583" t="s">
        <v>381</v>
      </c>
      <c r="E1583" t="s">
        <v>168</v>
      </c>
      <c r="F1583">
        <v>1</v>
      </c>
      <c r="G1583" t="s">
        <v>33</v>
      </c>
      <c r="H1583">
        <v>56</v>
      </c>
      <c r="I1583" s="12" t="s">
        <v>34</v>
      </c>
      <c r="J1583" s="12" t="s">
        <v>59</v>
      </c>
      <c r="K1583" s="12" t="s">
        <v>73</v>
      </c>
      <c r="L1583" s="12" t="s">
        <v>382</v>
      </c>
      <c r="M1583" s="12" t="s">
        <v>130</v>
      </c>
      <c r="N1583" s="14">
        <v>0.2</v>
      </c>
      <c r="O1583" s="23">
        <v>209.7</v>
      </c>
      <c r="P1583">
        <v>167.34</v>
      </c>
      <c r="Q1583" s="12" t="str" cm="1">
        <f t="array" ref="Q1583:R1583">VLOOKUP(E1583,store[],{3,5},FALSE)</f>
        <v>East</v>
      </c>
      <c r="R1583" t="str">
        <v>Online</v>
      </c>
      <c r="S1583" s="4">
        <f t="shared" si="24"/>
        <v>209.5</v>
      </c>
    </row>
    <row r="1584" spans="1:19">
      <c r="A1584" t="s">
        <v>2384</v>
      </c>
      <c r="B1584" s="3">
        <v>45402</v>
      </c>
      <c r="C1584" t="s">
        <v>803</v>
      </c>
      <c r="D1584" t="s">
        <v>603</v>
      </c>
      <c r="E1584" t="s">
        <v>90</v>
      </c>
      <c r="F1584">
        <v>1</v>
      </c>
      <c r="G1584" t="s">
        <v>23</v>
      </c>
      <c r="H1584">
        <v>58</v>
      </c>
      <c r="I1584" s="12" t="s">
        <v>34</v>
      </c>
      <c r="J1584" s="12" t="s">
        <v>67</v>
      </c>
      <c r="K1584" s="12" t="s">
        <v>26</v>
      </c>
      <c r="L1584" s="12" t="s">
        <v>604</v>
      </c>
      <c r="M1584" s="12" t="s">
        <v>75</v>
      </c>
      <c r="N1584" s="14">
        <v>0.15</v>
      </c>
      <c r="O1584" s="23">
        <v>681.47</v>
      </c>
      <c r="P1584">
        <v>447.43</v>
      </c>
      <c r="Q1584" s="12" t="str" cm="1">
        <f t="array" ref="Q1584:R1584">VLOOKUP(E1584,store[],{3,5},FALSE)</f>
        <v>East</v>
      </c>
      <c r="R1584" t="str">
        <v>Flagship</v>
      </c>
      <c r="S1584" s="4">
        <f t="shared" si="24"/>
        <v>681.32</v>
      </c>
    </row>
    <row r="1585" spans="1:19">
      <c r="A1585" t="s">
        <v>2385</v>
      </c>
      <c r="B1585" s="3">
        <v>45667</v>
      </c>
      <c r="C1585" t="s">
        <v>1341</v>
      </c>
      <c r="D1585" t="s">
        <v>49</v>
      </c>
      <c r="E1585" t="s">
        <v>32</v>
      </c>
      <c r="F1585">
        <v>2</v>
      </c>
      <c r="G1585" t="s">
        <v>23</v>
      </c>
      <c r="H1585">
        <v>60</v>
      </c>
      <c r="I1585" s="12" t="s">
        <v>24</v>
      </c>
      <c r="J1585" s="12" t="s">
        <v>188</v>
      </c>
      <c r="K1585" s="12" t="s">
        <v>60</v>
      </c>
      <c r="L1585" s="12" t="s">
        <v>53</v>
      </c>
      <c r="M1585" s="12" t="s">
        <v>37</v>
      </c>
      <c r="N1585" s="14">
        <v>0.1</v>
      </c>
      <c r="O1585" s="23">
        <v>877.21</v>
      </c>
      <c r="P1585">
        <v>392.89</v>
      </c>
      <c r="Q1585" s="12" t="str" cm="1">
        <f t="array" ref="Q1585:R1585">VLOOKUP(E1585,store[],{3,5},FALSE)</f>
        <v>North</v>
      </c>
      <c r="R1585" t="str">
        <v>Flagship</v>
      </c>
      <c r="S1585" s="4">
        <f t="shared" si="24"/>
        <v>1754.22</v>
      </c>
    </row>
    <row r="1586" spans="1:19">
      <c r="A1586" t="s">
        <v>2386</v>
      </c>
      <c r="B1586" s="3">
        <v>45902</v>
      </c>
      <c r="C1586" t="s">
        <v>2387</v>
      </c>
      <c r="D1586" t="s">
        <v>267</v>
      </c>
      <c r="E1586" t="s">
        <v>58</v>
      </c>
      <c r="F1586">
        <v>2</v>
      </c>
      <c r="G1586" t="s">
        <v>33</v>
      </c>
      <c r="H1586">
        <v>25</v>
      </c>
      <c r="I1586" s="12" t="s">
        <v>24</v>
      </c>
      <c r="J1586" s="12" t="s">
        <v>333</v>
      </c>
      <c r="K1586" s="12" t="s">
        <v>52</v>
      </c>
      <c r="L1586" s="12" t="s">
        <v>268</v>
      </c>
      <c r="M1586" s="12" t="s">
        <v>75</v>
      </c>
      <c r="N1586" s="14">
        <v>0.21</v>
      </c>
      <c r="O1586" s="23">
        <v>479.77</v>
      </c>
      <c r="P1586">
        <v>325.26</v>
      </c>
      <c r="Q1586" s="12" t="str" cm="1">
        <f t="array" ref="Q1586:R1586">VLOOKUP(E1586,store[],{3,5},FALSE)</f>
        <v>North</v>
      </c>
      <c r="R1586" t="str">
        <v>Outlet</v>
      </c>
      <c r="S1586" s="4">
        <f t="shared" si="24"/>
        <v>959.12</v>
      </c>
    </row>
    <row r="1587" spans="1:19">
      <c r="A1587" t="s">
        <v>2388</v>
      </c>
      <c r="B1587" s="3">
        <v>45589</v>
      </c>
      <c r="C1587" t="s">
        <v>886</v>
      </c>
      <c r="D1587" t="s">
        <v>359</v>
      </c>
      <c r="E1587" t="s">
        <v>122</v>
      </c>
      <c r="F1587">
        <v>1</v>
      </c>
      <c r="G1587" t="s">
        <v>50</v>
      </c>
      <c r="H1587">
        <v>54</v>
      </c>
      <c r="I1587" s="12" t="s">
        <v>24</v>
      </c>
      <c r="J1587" s="12" t="s">
        <v>25</v>
      </c>
      <c r="K1587" s="12" t="s">
        <v>73</v>
      </c>
      <c r="L1587" s="12" t="s">
        <v>361</v>
      </c>
      <c r="M1587" s="12" t="s">
        <v>46</v>
      </c>
      <c r="N1587" s="14">
        <v>0</v>
      </c>
      <c r="O1587" s="23">
        <v>140.72</v>
      </c>
      <c r="P1587">
        <v>289.359375</v>
      </c>
      <c r="Q1587" s="12" t="str" cm="1">
        <f t="array" ref="Q1587:R1587">VLOOKUP(E1587,store[],{3,5},FALSE)</f>
        <v>North</v>
      </c>
      <c r="R1587" t="str">
        <v>Flagship</v>
      </c>
      <c r="S1587" s="4">
        <f t="shared" si="24"/>
        <v>140.72</v>
      </c>
    </row>
    <row r="1588" spans="1:19">
      <c r="A1588" t="s">
        <v>2389</v>
      </c>
      <c r="B1588" s="3">
        <v>45668</v>
      </c>
      <c r="C1588" t="s">
        <v>910</v>
      </c>
      <c r="D1588" t="s">
        <v>314</v>
      </c>
      <c r="E1588" t="s">
        <v>179</v>
      </c>
      <c r="F1588">
        <v>2</v>
      </c>
      <c r="G1588" t="s">
        <v>33</v>
      </c>
      <c r="H1588">
        <v>31</v>
      </c>
      <c r="I1588" s="12" t="s">
        <v>24</v>
      </c>
      <c r="J1588" s="12" t="s">
        <v>410</v>
      </c>
      <c r="K1588" s="12" t="s">
        <v>346</v>
      </c>
      <c r="L1588" s="12" t="s">
        <v>315</v>
      </c>
      <c r="M1588" s="12" t="s">
        <v>28</v>
      </c>
      <c r="N1588" s="14">
        <v>0.23</v>
      </c>
      <c r="O1588" s="23">
        <v>764.25</v>
      </c>
      <c r="P1588">
        <v>21.34</v>
      </c>
      <c r="Q1588" s="12" t="str" cm="1">
        <f t="array" ref="Q1588:R1588">VLOOKUP(E1588,store[],{3,5},FALSE)</f>
        <v>East</v>
      </c>
      <c r="R1588" t="str">
        <v>Online</v>
      </c>
      <c r="S1588" s="4">
        <f t="shared" si="24"/>
        <v>1528.04</v>
      </c>
    </row>
    <row r="1589" spans="1:19">
      <c r="A1589" t="s">
        <v>2390</v>
      </c>
      <c r="B1589" s="3">
        <v>45300</v>
      </c>
      <c r="C1589" t="s">
        <v>904</v>
      </c>
      <c r="D1589" t="s">
        <v>359</v>
      </c>
      <c r="E1589" t="s">
        <v>58</v>
      </c>
      <c r="F1589">
        <v>3</v>
      </c>
      <c r="G1589" t="s">
        <v>33</v>
      </c>
      <c r="H1589">
        <v>35</v>
      </c>
      <c r="I1589" s="12" t="s">
        <v>24</v>
      </c>
      <c r="J1589" s="12" t="s">
        <v>222</v>
      </c>
      <c r="K1589" s="12" t="s">
        <v>52</v>
      </c>
      <c r="L1589" s="12" t="s">
        <v>361</v>
      </c>
      <c r="M1589" s="12" t="s">
        <v>46</v>
      </c>
      <c r="N1589" s="14">
        <v>0.28999999999999998</v>
      </c>
      <c r="O1589" s="23">
        <v>107.8</v>
      </c>
      <c r="P1589">
        <v>289.359375</v>
      </c>
      <c r="Q1589" s="12" t="str" cm="1">
        <f t="array" ref="Q1589:R1589">VLOOKUP(E1589,store[],{3,5},FALSE)</f>
        <v>North</v>
      </c>
      <c r="R1589" t="str">
        <v>Outlet</v>
      </c>
      <c r="S1589" s="4">
        <f t="shared" si="24"/>
        <v>322.52999999999997</v>
      </c>
    </row>
    <row r="1590" spans="1:19">
      <c r="A1590" t="s">
        <v>2391</v>
      </c>
      <c r="B1590" s="3">
        <v>45757</v>
      </c>
      <c r="C1590" t="s">
        <v>1256</v>
      </c>
      <c r="D1590" t="s">
        <v>443</v>
      </c>
      <c r="E1590" t="s">
        <v>43</v>
      </c>
      <c r="F1590">
        <v>4</v>
      </c>
      <c r="G1590" t="s">
        <v>33</v>
      </c>
      <c r="H1590">
        <v>49</v>
      </c>
      <c r="I1590" s="12" t="s">
        <v>34</v>
      </c>
      <c r="J1590" s="12" t="s">
        <v>444</v>
      </c>
      <c r="K1590" s="12" t="s">
        <v>52</v>
      </c>
      <c r="L1590" s="12" t="s">
        <v>445</v>
      </c>
      <c r="M1590" s="12" t="s">
        <v>28</v>
      </c>
      <c r="N1590" s="14">
        <v>7.0000000000000007E-2</v>
      </c>
      <c r="O1590" s="23">
        <v>565.37</v>
      </c>
      <c r="P1590">
        <v>484.62</v>
      </c>
      <c r="Q1590" s="12" t="str" cm="1">
        <f t="array" ref="Q1590:R1590">VLOOKUP(E1590,store[],{3,5},FALSE)</f>
        <v>West</v>
      </c>
      <c r="R1590" t="str">
        <v>Online</v>
      </c>
      <c r="S1590" s="4">
        <f t="shared" si="24"/>
        <v>2261.1999999999998</v>
      </c>
    </row>
    <row r="1591" spans="1:19">
      <c r="A1591" t="s">
        <v>2392</v>
      </c>
      <c r="B1591" s="3">
        <v>45235</v>
      </c>
      <c r="C1591" t="s">
        <v>900</v>
      </c>
      <c r="D1591" t="s">
        <v>126</v>
      </c>
      <c r="E1591" t="s">
        <v>72</v>
      </c>
      <c r="F1591">
        <v>3</v>
      </c>
      <c r="G1591" t="s">
        <v>23</v>
      </c>
      <c r="H1591">
        <v>27</v>
      </c>
      <c r="I1591" s="12" t="s">
        <v>34</v>
      </c>
      <c r="J1591" s="12" t="s">
        <v>336</v>
      </c>
      <c r="K1591" s="12" t="s">
        <v>52</v>
      </c>
      <c r="L1591" s="12" t="s">
        <v>129</v>
      </c>
      <c r="M1591" s="12" t="s">
        <v>130</v>
      </c>
      <c r="N1591" s="14">
        <v>0.26</v>
      </c>
      <c r="O1591" s="23">
        <v>811.45</v>
      </c>
      <c r="P1591">
        <v>223.43</v>
      </c>
      <c r="Q1591" s="12" t="str" cm="1">
        <f t="array" ref="Q1591:R1591">VLOOKUP(E1591,store[],{3,5},FALSE)</f>
        <v>South</v>
      </c>
      <c r="R1591" t="str">
        <v>Online</v>
      </c>
      <c r="S1591" s="4">
        <f t="shared" si="24"/>
        <v>2433.5700000000002</v>
      </c>
    </row>
    <row r="1592" spans="1:19">
      <c r="A1592" t="s">
        <v>2393</v>
      </c>
      <c r="B1592" s="3">
        <v>45749</v>
      </c>
      <c r="C1592" t="s">
        <v>1326</v>
      </c>
      <c r="D1592" t="s">
        <v>89</v>
      </c>
      <c r="E1592" t="s">
        <v>135</v>
      </c>
      <c r="F1592">
        <v>4</v>
      </c>
      <c r="G1592" t="s">
        <v>33</v>
      </c>
      <c r="H1592">
        <v>48</v>
      </c>
      <c r="I1592" s="12" t="s">
        <v>34</v>
      </c>
      <c r="J1592" s="12" t="s">
        <v>204</v>
      </c>
      <c r="K1592" s="12" t="s">
        <v>73</v>
      </c>
      <c r="L1592" s="12" t="s">
        <v>92</v>
      </c>
      <c r="M1592" s="12" t="s">
        <v>75</v>
      </c>
      <c r="N1592" s="14">
        <v>0.11</v>
      </c>
      <c r="O1592" s="23">
        <v>62.25</v>
      </c>
      <c r="P1592">
        <v>179.77</v>
      </c>
      <c r="Q1592" s="12" t="str" cm="1">
        <f t="array" ref="Q1592:R1592">VLOOKUP(E1592,store[],{3,5},FALSE)</f>
        <v>East</v>
      </c>
      <c r="R1592" t="str">
        <v>Online</v>
      </c>
      <c r="S1592" s="4">
        <f t="shared" si="24"/>
        <v>248.56</v>
      </c>
    </row>
    <row r="1593" spans="1:19">
      <c r="A1593" t="s">
        <v>2394</v>
      </c>
      <c r="B1593" s="3">
        <v>45807</v>
      </c>
      <c r="C1593" t="s">
        <v>2395</v>
      </c>
      <c r="D1593" t="s">
        <v>1126</v>
      </c>
      <c r="E1593" t="s">
        <v>168</v>
      </c>
      <c r="F1593">
        <v>1</v>
      </c>
      <c r="G1593" t="s">
        <v>23</v>
      </c>
      <c r="H1593">
        <v>59</v>
      </c>
      <c r="I1593" s="12" t="s">
        <v>34</v>
      </c>
      <c r="J1593" s="12" t="s">
        <v>227</v>
      </c>
      <c r="K1593" s="12" t="s">
        <v>73</v>
      </c>
      <c r="L1593" s="12" t="s">
        <v>1127</v>
      </c>
      <c r="M1593" s="12" t="s">
        <v>28</v>
      </c>
      <c r="N1593" s="14">
        <v>0.03</v>
      </c>
      <c r="O1593" s="23">
        <v>749.78</v>
      </c>
      <c r="P1593">
        <v>60.65</v>
      </c>
      <c r="Q1593" s="12" t="str" cm="1">
        <f t="array" ref="Q1593:R1593">VLOOKUP(E1593,store[],{3,5},FALSE)</f>
        <v>East</v>
      </c>
      <c r="R1593" t="str">
        <v>Online</v>
      </c>
      <c r="S1593" s="4">
        <f t="shared" si="24"/>
        <v>749.75</v>
      </c>
    </row>
    <row r="1594" spans="1:19">
      <c r="A1594" t="s">
        <v>2396</v>
      </c>
      <c r="B1594" s="3">
        <v>45496</v>
      </c>
      <c r="C1594" t="s">
        <v>1497</v>
      </c>
      <c r="D1594" t="s">
        <v>57</v>
      </c>
      <c r="E1594" t="s">
        <v>58</v>
      </c>
      <c r="F1594">
        <v>3</v>
      </c>
      <c r="G1594" t="s">
        <v>50</v>
      </c>
      <c r="H1594">
        <v>26</v>
      </c>
      <c r="I1594" s="12" t="s">
        <v>24</v>
      </c>
      <c r="J1594" s="12" t="s">
        <v>106</v>
      </c>
      <c r="K1594" s="12" t="s">
        <v>60</v>
      </c>
      <c r="L1594" s="12" t="s">
        <v>61</v>
      </c>
      <c r="M1594" s="12" t="s">
        <v>46</v>
      </c>
      <c r="N1594" s="14">
        <v>7.0000000000000007E-2</v>
      </c>
      <c r="O1594" s="23">
        <v>630.28</v>
      </c>
      <c r="P1594">
        <v>17.309999999999999</v>
      </c>
      <c r="Q1594" s="12" t="str" cm="1">
        <f t="array" ref="Q1594:R1594">VLOOKUP(E1594,store[],{3,5},FALSE)</f>
        <v>North</v>
      </c>
      <c r="R1594" t="str">
        <v>Outlet</v>
      </c>
      <c r="S1594" s="4">
        <f t="shared" si="24"/>
        <v>1890.63</v>
      </c>
    </row>
    <row r="1595" spans="1:19">
      <c r="A1595" t="s">
        <v>2397</v>
      </c>
      <c r="B1595" s="3">
        <v>45355</v>
      </c>
      <c r="C1595" t="s">
        <v>394</v>
      </c>
      <c r="D1595" t="s">
        <v>271</v>
      </c>
      <c r="E1595" t="s">
        <v>117</v>
      </c>
      <c r="F1595">
        <v>1</v>
      </c>
      <c r="G1595" t="s">
        <v>23</v>
      </c>
      <c r="H1595">
        <v>46</v>
      </c>
      <c r="I1595" s="12" t="s">
        <v>24</v>
      </c>
      <c r="J1595" s="12" t="s">
        <v>59</v>
      </c>
      <c r="K1595" s="12" t="s">
        <v>73</v>
      </c>
      <c r="L1595" s="12" t="s">
        <v>273</v>
      </c>
      <c r="M1595" s="12" t="s">
        <v>75</v>
      </c>
      <c r="N1595" s="14">
        <v>0.17</v>
      </c>
      <c r="O1595" s="23">
        <v>101.84</v>
      </c>
      <c r="P1595">
        <v>19.52</v>
      </c>
      <c r="Q1595" s="12" t="str" cm="1">
        <f t="array" ref="Q1595:R1595">VLOOKUP(E1595,store[],{3,5},FALSE)</f>
        <v>West</v>
      </c>
      <c r="R1595" t="str">
        <v>Flagship</v>
      </c>
      <c r="S1595" s="4">
        <f t="shared" si="24"/>
        <v>101.67</v>
      </c>
    </row>
    <row r="1596" spans="1:19">
      <c r="A1596" t="s">
        <v>2398</v>
      </c>
      <c r="B1596" s="3">
        <v>45256</v>
      </c>
      <c r="C1596" t="s">
        <v>1348</v>
      </c>
      <c r="D1596" t="s">
        <v>97</v>
      </c>
      <c r="E1596" t="s">
        <v>160</v>
      </c>
      <c r="F1596">
        <v>4</v>
      </c>
      <c r="G1596" t="s">
        <v>50</v>
      </c>
      <c r="H1596">
        <v>56</v>
      </c>
      <c r="I1596" s="12" t="s">
        <v>34</v>
      </c>
      <c r="J1596" s="12" t="s">
        <v>510</v>
      </c>
      <c r="K1596" s="12" t="s">
        <v>73</v>
      </c>
      <c r="L1596" s="12" t="s">
        <v>100</v>
      </c>
      <c r="M1596" s="12" t="s">
        <v>28</v>
      </c>
      <c r="N1596" s="14">
        <v>0.16</v>
      </c>
      <c r="O1596" s="23">
        <v>641.45000000000005</v>
      </c>
      <c r="P1596">
        <v>166.06</v>
      </c>
      <c r="Q1596" s="12" t="str" cm="1">
        <f t="array" ref="Q1596:R1596">VLOOKUP(E1596,store[],{3,5},FALSE)</f>
        <v>East</v>
      </c>
      <c r="R1596" t="str">
        <v>Flagship</v>
      </c>
      <c r="S1596" s="4">
        <f t="shared" si="24"/>
        <v>2565.16</v>
      </c>
    </row>
    <row r="1597" spans="1:19">
      <c r="A1597" t="s">
        <v>2399</v>
      </c>
      <c r="B1597" s="3">
        <v>45849</v>
      </c>
      <c r="C1597" t="s">
        <v>756</v>
      </c>
      <c r="D1597" t="s">
        <v>159</v>
      </c>
      <c r="E1597" t="s">
        <v>105</v>
      </c>
      <c r="F1597">
        <v>1</v>
      </c>
      <c r="G1597" t="s">
        <v>33</v>
      </c>
      <c r="H1597">
        <v>42</v>
      </c>
      <c r="I1597" s="12" t="s">
        <v>24</v>
      </c>
      <c r="J1597" s="12" t="s">
        <v>111</v>
      </c>
      <c r="K1597" s="12" t="s">
        <v>52</v>
      </c>
      <c r="L1597" s="12" t="s">
        <v>162</v>
      </c>
      <c r="M1597" s="12" t="s">
        <v>37</v>
      </c>
      <c r="N1597" s="14">
        <v>0.23</v>
      </c>
      <c r="O1597" s="23">
        <v>135.87</v>
      </c>
      <c r="P1597">
        <v>253.33</v>
      </c>
      <c r="Q1597" s="12" t="str" cm="1">
        <f t="array" ref="Q1597:R1597">VLOOKUP(E1597,store[],{3,5},FALSE)</f>
        <v>North</v>
      </c>
      <c r="R1597" t="str">
        <v>Flagship</v>
      </c>
      <c r="S1597" s="4">
        <f t="shared" si="24"/>
        <v>135.63999999999999</v>
      </c>
    </row>
    <row r="1598" spans="1:19">
      <c r="A1598" t="s">
        <v>2400</v>
      </c>
      <c r="B1598" s="3">
        <v>45344</v>
      </c>
      <c r="C1598" t="s">
        <v>294</v>
      </c>
      <c r="D1598" t="s">
        <v>279</v>
      </c>
      <c r="E1598" t="s">
        <v>179</v>
      </c>
      <c r="F1598">
        <v>1</v>
      </c>
      <c r="G1598" t="s">
        <v>33</v>
      </c>
      <c r="H1598">
        <v>62</v>
      </c>
      <c r="I1598" s="12" t="s">
        <v>34</v>
      </c>
      <c r="J1598" s="12" t="s">
        <v>161</v>
      </c>
      <c r="K1598" s="12" t="s">
        <v>52</v>
      </c>
      <c r="L1598" s="12" t="s">
        <v>280</v>
      </c>
      <c r="M1598" s="12" t="s">
        <v>75</v>
      </c>
      <c r="N1598" s="14">
        <v>0.01</v>
      </c>
      <c r="O1598" s="23">
        <v>388.35</v>
      </c>
      <c r="P1598">
        <v>123.46</v>
      </c>
      <c r="Q1598" s="12" t="str" cm="1">
        <f t="array" ref="Q1598:R1598">VLOOKUP(E1598,store[],{3,5},FALSE)</f>
        <v>East</v>
      </c>
      <c r="R1598" t="str">
        <v>Online</v>
      </c>
      <c r="S1598" s="4">
        <f t="shared" si="24"/>
        <v>388.34</v>
      </c>
    </row>
    <row r="1599" spans="1:19">
      <c r="A1599" t="s">
        <v>2401</v>
      </c>
      <c r="B1599" s="3">
        <v>45367</v>
      </c>
      <c r="C1599" t="s">
        <v>1367</v>
      </c>
      <c r="D1599" t="s">
        <v>340</v>
      </c>
      <c r="E1599" t="s">
        <v>127</v>
      </c>
      <c r="F1599">
        <v>2</v>
      </c>
      <c r="G1599" t="s">
        <v>33</v>
      </c>
      <c r="H1599">
        <v>22</v>
      </c>
      <c r="I1599" s="12" t="s">
        <v>34</v>
      </c>
      <c r="J1599" s="12" t="s">
        <v>35</v>
      </c>
      <c r="K1599" s="12" t="s">
        <v>73</v>
      </c>
      <c r="L1599" s="12" t="s">
        <v>341</v>
      </c>
      <c r="M1599" s="12" t="s">
        <v>28</v>
      </c>
      <c r="N1599" s="14">
        <v>0.3</v>
      </c>
      <c r="O1599" s="23">
        <v>999.08</v>
      </c>
      <c r="P1599">
        <v>135.61000000000001</v>
      </c>
      <c r="Q1599" s="12" t="str" cm="1">
        <f t="array" ref="Q1599:R1599">VLOOKUP(E1599,store[],{3,5},FALSE)</f>
        <v>South</v>
      </c>
      <c r="R1599" t="str">
        <v>Flagship</v>
      </c>
      <c r="S1599" s="4">
        <f t="shared" si="24"/>
        <v>1997.56</v>
      </c>
    </row>
    <row r="1600" spans="1:19">
      <c r="A1600" t="s">
        <v>2402</v>
      </c>
      <c r="B1600" s="3">
        <v>45887</v>
      </c>
      <c r="C1600" t="s">
        <v>658</v>
      </c>
      <c r="D1600" t="s">
        <v>340</v>
      </c>
      <c r="E1600" t="s">
        <v>32</v>
      </c>
      <c r="F1600">
        <v>3</v>
      </c>
      <c r="G1600" t="s">
        <v>50</v>
      </c>
      <c r="H1600">
        <v>18</v>
      </c>
      <c r="I1600" s="12" t="s">
        <v>24</v>
      </c>
      <c r="J1600" s="12" t="s">
        <v>80</v>
      </c>
      <c r="K1600" s="12" t="s">
        <v>26</v>
      </c>
      <c r="L1600" s="12" t="s">
        <v>341</v>
      </c>
      <c r="M1600" s="12" t="s">
        <v>28</v>
      </c>
      <c r="N1600" s="14">
        <v>0.08</v>
      </c>
      <c r="O1600" s="23">
        <v>453.19</v>
      </c>
      <c r="P1600">
        <v>135.61000000000001</v>
      </c>
      <c r="Q1600" s="12" t="str" cm="1">
        <f t="array" ref="Q1600:R1600">VLOOKUP(E1600,store[],{3,5},FALSE)</f>
        <v>North</v>
      </c>
      <c r="R1600" t="str">
        <v>Flagship</v>
      </c>
      <c r="S1600" s="4">
        <f t="shared" si="24"/>
        <v>1359.33</v>
      </c>
    </row>
    <row r="1601" spans="1:19">
      <c r="A1601" t="s">
        <v>2403</v>
      </c>
      <c r="B1601" s="3">
        <v>45567</v>
      </c>
      <c r="C1601" t="s">
        <v>1190</v>
      </c>
      <c r="D1601" t="s">
        <v>429</v>
      </c>
      <c r="E1601" t="s">
        <v>168</v>
      </c>
      <c r="F1601">
        <v>2</v>
      </c>
      <c r="G1601" t="s">
        <v>50</v>
      </c>
      <c r="H1601">
        <v>28</v>
      </c>
      <c r="I1601" s="12" t="s">
        <v>34</v>
      </c>
      <c r="J1601" s="12" t="s">
        <v>373</v>
      </c>
      <c r="K1601" s="12" t="s">
        <v>73</v>
      </c>
      <c r="L1601" s="12" t="s">
        <v>430</v>
      </c>
      <c r="M1601" s="12" t="s">
        <v>75</v>
      </c>
      <c r="N1601" s="14">
        <v>0.15</v>
      </c>
      <c r="O1601" s="23">
        <v>61.31</v>
      </c>
      <c r="P1601">
        <v>143.43</v>
      </c>
      <c r="Q1601" s="12" t="str" cm="1">
        <f t="array" ref="Q1601:R1601">VLOOKUP(E1601,store[],{3,5},FALSE)</f>
        <v>East</v>
      </c>
      <c r="R1601" t="str">
        <v>Online</v>
      </c>
      <c r="S1601" s="4">
        <f t="shared" si="24"/>
        <v>122.32</v>
      </c>
    </row>
    <row r="1602" spans="1:19">
      <c r="A1602" t="s">
        <v>2404</v>
      </c>
      <c r="B1602" s="3">
        <v>45223</v>
      </c>
      <c r="C1602" t="s">
        <v>1455</v>
      </c>
      <c r="D1602" t="s">
        <v>630</v>
      </c>
      <c r="E1602" t="s">
        <v>168</v>
      </c>
      <c r="F1602">
        <v>2</v>
      </c>
      <c r="G1602" t="s">
        <v>23</v>
      </c>
      <c r="H1602">
        <v>30</v>
      </c>
      <c r="I1602" s="12" t="s">
        <v>34</v>
      </c>
      <c r="J1602" s="12" t="s">
        <v>440</v>
      </c>
      <c r="K1602" s="12" t="s">
        <v>73</v>
      </c>
      <c r="L1602" s="12" t="s">
        <v>631</v>
      </c>
      <c r="M1602" s="12" t="s">
        <v>28</v>
      </c>
      <c r="N1602" s="14">
        <v>0.23</v>
      </c>
      <c r="O1602" s="23">
        <v>870.13</v>
      </c>
      <c r="P1602">
        <v>285.54000000000002</v>
      </c>
      <c r="Q1602" s="12" t="str" cm="1">
        <f t="array" ref="Q1602:R1602">VLOOKUP(E1602,store[],{3,5},FALSE)</f>
        <v>East</v>
      </c>
      <c r="R1602" t="str">
        <v>Online</v>
      </c>
      <c r="S1602" s="4">
        <f t="shared" ref="S1602:S1665" si="25">(O1602-N1602)*F1602</f>
        <v>1739.8</v>
      </c>
    </row>
    <row r="1603" spans="1:19">
      <c r="A1603" t="s">
        <v>2405</v>
      </c>
      <c r="B1603" s="3">
        <v>45664</v>
      </c>
      <c r="C1603" t="s">
        <v>468</v>
      </c>
      <c r="D1603" t="s">
        <v>65</v>
      </c>
      <c r="E1603" t="s">
        <v>135</v>
      </c>
      <c r="F1603">
        <v>1</v>
      </c>
      <c r="G1603" t="s">
        <v>33</v>
      </c>
      <c r="H1603">
        <v>58</v>
      </c>
      <c r="I1603" s="12" t="s">
        <v>24</v>
      </c>
      <c r="J1603" s="12" t="s">
        <v>235</v>
      </c>
      <c r="K1603" s="12" t="s">
        <v>60</v>
      </c>
      <c r="L1603" s="12" t="s">
        <v>68</v>
      </c>
      <c r="M1603" s="12" t="s">
        <v>37</v>
      </c>
      <c r="N1603" s="14">
        <v>0.11</v>
      </c>
      <c r="O1603" s="23">
        <v>336.51</v>
      </c>
      <c r="P1603">
        <v>465.34</v>
      </c>
      <c r="Q1603" s="12" t="str" cm="1">
        <f t="array" ref="Q1603:R1603">VLOOKUP(E1603,store[],{3,5},FALSE)</f>
        <v>East</v>
      </c>
      <c r="R1603" t="str">
        <v>Online</v>
      </c>
      <c r="S1603" s="4">
        <f t="shared" si="25"/>
        <v>336.4</v>
      </c>
    </row>
    <row r="1604" spans="1:19">
      <c r="A1604" t="s">
        <v>2406</v>
      </c>
      <c r="B1604" s="3">
        <v>45313</v>
      </c>
      <c r="C1604" t="s">
        <v>1029</v>
      </c>
      <c r="D1604" t="s">
        <v>178</v>
      </c>
      <c r="E1604" t="s">
        <v>90</v>
      </c>
      <c r="F1604">
        <v>1</v>
      </c>
      <c r="G1604" t="s">
        <v>50</v>
      </c>
      <c r="H1604">
        <v>60</v>
      </c>
      <c r="I1604" s="12" t="s">
        <v>24</v>
      </c>
      <c r="J1604" s="12" t="s">
        <v>161</v>
      </c>
      <c r="K1604" s="12" t="s">
        <v>73</v>
      </c>
      <c r="L1604" s="12" t="s">
        <v>180</v>
      </c>
      <c r="M1604" s="12" t="s">
        <v>37</v>
      </c>
      <c r="N1604" s="14">
        <v>0.26</v>
      </c>
      <c r="O1604" s="23">
        <v>305.70999999999998</v>
      </c>
      <c r="P1604">
        <v>349.17</v>
      </c>
      <c r="Q1604" s="12" t="str" cm="1">
        <f t="array" ref="Q1604:R1604">VLOOKUP(E1604,store[],{3,5},FALSE)</f>
        <v>East</v>
      </c>
      <c r="R1604" t="str">
        <v>Flagship</v>
      </c>
      <c r="S1604" s="4">
        <f t="shared" si="25"/>
        <v>305.45</v>
      </c>
    </row>
    <row r="1605" spans="1:19">
      <c r="A1605" t="s">
        <v>2407</v>
      </c>
      <c r="B1605" s="3">
        <v>45224</v>
      </c>
      <c r="C1605" t="s">
        <v>1609</v>
      </c>
      <c r="D1605" t="s">
        <v>234</v>
      </c>
      <c r="E1605" t="s">
        <v>160</v>
      </c>
      <c r="F1605">
        <v>2</v>
      </c>
      <c r="G1605" t="s">
        <v>50</v>
      </c>
      <c r="H1605">
        <v>62</v>
      </c>
      <c r="I1605" s="12" t="s">
        <v>24</v>
      </c>
      <c r="J1605" s="12" t="s">
        <v>218</v>
      </c>
      <c r="K1605" s="12" t="s">
        <v>52</v>
      </c>
      <c r="L1605" s="12" t="s">
        <v>236</v>
      </c>
      <c r="M1605" s="12" t="s">
        <v>75</v>
      </c>
      <c r="N1605" s="14">
        <v>0.28999999999999998</v>
      </c>
      <c r="O1605" s="23">
        <v>635.39</v>
      </c>
      <c r="P1605">
        <v>298.86</v>
      </c>
      <c r="Q1605" s="12" t="str" cm="1">
        <f t="array" ref="Q1605:R1605">VLOOKUP(E1605,store[],{3,5},FALSE)</f>
        <v>East</v>
      </c>
      <c r="R1605" t="str">
        <v>Flagship</v>
      </c>
      <c r="S1605" s="4">
        <f t="shared" si="25"/>
        <v>1270.2</v>
      </c>
    </row>
    <row r="1606" spans="1:19">
      <c r="A1606" t="s">
        <v>2408</v>
      </c>
      <c r="B1606" s="3">
        <v>45491</v>
      </c>
      <c r="C1606" t="s">
        <v>64</v>
      </c>
      <c r="D1606" t="s">
        <v>603</v>
      </c>
      <c r="E1606" t="s">
        <v>135</v>
      </c>
      <c r="F1606">
        <v>2</v>
      </c>
      <c r="G1606" t="s">
        <v>50</v>
      </c>
      <c r="H1606">
        <v>18</v>
      </c>
      <c r="I1606" s="12" t="s">
        <v>34</v>
      </c>
      <c r="J1606" s="12" t="s">
        <v>67</v>
      </c>
      <c r="K1606" s="12" t="s">
        <v>52</v>
      </c>
      <c r="L1606" s="12" t="s">
        <v>604</v>
      </c>
      <c r="M1606" s="12" t="s">
        <v>75</v>
      </c>
      <c r="N1606" s="14">
        <v>0.23</v>
      </c>
      <c r="O1606" s="23">
        <v>253.87</v>
      </c>
      <c r="P1606">
        <v>447.43</v>
      </c>
      <c r="Q1606" s="12" t="str" cm="1">
        <f t="array" ref="Q1606:R1606">VLOOKUP(E1606,store[],{3,5},FALSE)</f>
        <v>East</v>
      </c>
      <c r="R1606" t="str">
        <v>Online</v>
      </c>
      <c r="S1606" s="4">
        <f t="shared" si="25"/>
        <v>507.28</v>
      </c>
    </row>
    <row r="1607" spans="1:19">
      <c r="A1607" t="s">
        <v>2409</v>
      </c>
      <c r="B1607" s="3">
        <v>45472</v>
      </c>
      <c r="C1607" t="s">
        <v>799</v>
      </c>
      <c r="D1607" t="s">
        <v>49</v>
      </c>
      <c r="E1607" t="s">
        <v>32</v>
      </c>
      <c r="F1607">
        <v>3</v>
      </c>
      <c r="G1607" t="s">
        <v>50</v>
      </c>
      <c r="H1607">
        <v>32</v>
      </c>
      <c r="I1607" s="12" t="s">
        <v>24</v>
      </c>
      <c r="J1607" s="12" t="s">
        <v>463</v>
      </c>
      <c r="K1607" s="12" t="s">
        <v>73</v>
      </c>
      <c r="L1607" s="12" t="s">
        <v>53</v>
      </c>
      <c r="M1607" s="12" t="s">
        <v>37</v>
      </c>
      <c r="N1607" s="14">
        <v>0.17</v>
      </c>
      <c r="O1607" s="23">
        <v>915.81</v>
      </c>
      <c r="P1607">
        <v>392.89</v>
      </c>
      <c r="Q1607" s="12" t="str" cm="1">
        <f t="array" ref="Q1607:R1607">VLOOKUP(E1607,store[],{3,5},FALSE)</f>
        <v>North</v>
      </c>
      <c r="R1607" t="str">
        <v>Flagship</v>
      </c>
      <c r="S1607" s="4">
        <f t="shared" si="25"/>
        <v>2746.92</v>
      </c>
    </row>
    <row r="1608" spans="1:19">
      <c r="A1608" t="s">
        <v>2410</v>
      </c>
      <c r="B1608" s="3">
        <v>45795</v>
      </c>
      <c r="C1608" t="s">
        <v>771</v>
      </c>
      <c r="D1608" t="s">
        <v>449</v>
      </c>
      <c r="E1608" t="s">
        <v>43</v>
      </c>
      <c r="F1608">
        <v>3</v>
      </c>
      <c r="G1608" t="s">
        <v>23</v>
      </c>
      <c r="H1608">
        <v>50</v>
      </c>
      <c r="I1608" s="12" t="s">
        <v>34</v>
      </c>
      <c r="J1608" s="12" t="s">
        <v>193</v>
      </c>
      <c r="K1608" s="12" t="s">
        <v>52</v>
      </c>
      <c r="L1608" s="12" t="s">
        <v>450</v>
      </c>
      <c r="M1608" s="12" t="s">
        <v>37</v>
      </c>
      <c r="N1608" s="14">
        <v>0.02</v>
      </c>
      <c r="O1608" s="23">
        <v>779.5</v>
      </c>
      <c r="P1608">
        <v>450.71</v>
      </c>
      <c r="Q1608" s="12" t="str" cm="1">
        <f t="array" ref="Q1608:R1608">VLOOKUP(E1608,store[],{3,5},FALSE)</f>
        <v>West</v>
      </c>
      <c r="R1608" t="str">
        <v>Online</v>
      </c>
      <c r="S1608" s="4">
        <f t="shared" si="25"/>
        <v>2338.44</v>
      </c>
    </row>
    <row r="1609" spans="1:19">
      <c r="A1609" t="s">
        <v>2411</v>
      </c>
      <c r="B1609" s="3">
        <v>45470</v>
      </c>
      <c r="C1609" t="s">
        <v>956</v>
      </c>
      <c r="D1609" t="s">
        <v>698</v>
      </c>
      <c r="E1609" t="s">
        <v>117</v>
      </c>
      <c r="F1609">
        <v>2</v>
      </c>
      <c r="G1609" t="s">
        <v>23</v>
      </c>
      <c r="H1609">
        <v>19</v>
      </c>
      <c r="I1609" s="12" t="s">
        <v>24</v>
      </c>
      <c r="J1609" s="12" t="s">
        <v>410</v>
      </c>
      <c r="K1609" s="12" t="s">
        <v>26</v>
      </c>
      <c r="L1609" s="12" t="s">
        <v>699</v>
      </c>
      <c r="M1609" s="12" t="s">
        <v>28</v>
      </c>
      <c r="N1609" s="14">
        <v>0.26</v>
      </c>
      <c r="O1609" s="23">
        <v>780.57</v>
      </c>
      <c r="P1609">
        <v>103.45</v>
      </c>
      <c r="Q1609" s="12" t="str" cm="1">
        <f t="array" ref="Q1609:R1609">VLOOKUP(E1609,store[],{3,5},FALSE)</f>
        <v>West</v>
      </c>
      <c r="R1609" t="str">
        <v>Flagship</v>
      </c>
      <c r="S1609" s="4">
        <f t="shared" si="25"/>
        <v>1560.62</v>
      </c>
    </row>
    <row r="1610" spans="1:19">
      <c r="A1610" t="s">
        <v>2412</v>
      </c>
      <c r="B1610" s="3">
        <v>45390</v>
      </c>
      <c r="C1610" t="s">
        <v>1017</v>
      </c>
      <c r="D1610" t="s">
        <v>1126</v>
      </c>
      <c r="E1610" t="s">
        <v>135</v>
      </c>
      <c r="F1610">
        <v>1</v>
      </c>
      <c r="G1610" t="s">
        <v>23</v>
      </c>
      <c r="H1610">
        <v>27</v>
      </c>
      <c r="I1610" s="12" t="s">
        <v>34</v>
      </c>
      <c r="J1610" s="12" t="s">
        <v>457</v>
      </c>
      <c r="K1610" s="12" t="s">
        <v>60</v>
      </c>
      <c r="L1610" s="12" t="s">
        <v>1127</v>
      </c>
      <c r="M1610" s="12" t="s">
        <v>28</v>
      </c>
      <c r="N1610" s="14">
        <v>0</v>
      </c>
      <c r="O1610" s="23">
        <v>511.35</v>
      </c>
      <c r="P1610">
        <v>60.65</v>
      </c>
      <c r="Q1610" s="12" t="str" cm="1">
        <f t="array" ref="Q1610:R1610">VLOOKUP(E1610,store[],{3,5},FALSE)</f>
        <v>East</v>
      </c>
      <c r="R1610" t="str">
        <v>Online</v>
      </c>
      <c r="S1610" s="4">
        <f t="shared" si="25"/>
        <v>511.35</v>
      </c>
    </row>
    <row r="1611" spans="1:19">
      <c r="A1611" t="s">
        <v>2413</v>
      </c>
      <c r="B1611" s="3">
        <v>45803</v>
      </c>
      <c r="C1611" t="s">
        <v>70</v>
      </c>
      <c r="D1611" t="s">
        <v>21</v>
      </c>
      <c r="E1611" t="s">
        <v>22</v>
      </c>
      <c r="F1611">
        <v>4</v>
      </c>
      <c r="G1611" t="s">
        <v>50</v>
      </c>
      <c r="H1611">
        <v>24</v>
      </c>
      <c r="I1611" s="12" t="s">
        <v>34</v>
      </c>
      <c r="J1611" s="12" t="s">
        <v>44</v>
      </c>
      <c r="K1611" s="12" t="s">
        <v>73</v>
      </c>
      <c r="L1611" s="12" t="s">
        <v>27</v>
      </c>
      <c r="M1611" s="12" t="s">
        <v>28</v>
      </c>
      <c r="N1611" s="14">
        <v>0.28999999999999998</v>
      </c>
      <c r="O1611" s="23">
        <v>44.07</v>
      </c>
      <c r="P1611">
        <v>245.98</v>
      </c>
      <c r="Q1611" s="12" t="str" cm="1">
        <f t="array" ref="Q1611:R1611">VLOOKUP(E1611,store[],{3,5},FALSE)</f>
        <v>North</v>
      </c>
      <c r="R1611" t="str">
        <v>Outlet</v>
      </c>
      <c r="S1611" s="4">
        <f t="shared" si="25"/>
        <v>175.12</v>
      </c>
    </row>
    <row r="1612" spans="1:19">
      <c r="A1612" t="s">
        <v>2414</v>
      </c>
      <c r="B1612" s="3">
        <v>45320</v>
      </c>
      <c r="C1612" t="s">
        <v>1095</v>
      </c>
      <c r="D1612" t="s">
        <v>167</v>
      </c>
      <c r="E1612" t="s">
        <v>272</v>
      </c>
      <c r="F1612">
        <v>2</v>
      </c>
      <c r="G1612" t="s">
        <v>23</v>
      </c>
      <c r="H1612">
        <v>45</v>
      </c>
      <c r="I1612" s="12" t="s">
        <v>34</v>
      </c>
      <c r="J1612" s="12" t="s">
        <v>510</v>
      </c>
      <c r="K1612" s="12" t="s">
        <v>52</v>
      </c>
      <c r="L1612" s="12" t="s">
        <v>170</v>
      </c>
      <c r="M1612" s="12" t="s">
        <v>130</v>
      </c>
      <c r="N1612" s="14">
        <v>0.15</v>
      </c>
      <c r="O1612" s="23">
        <v>895.92</v>
      </c>
      <c r="P1612">
        <v>218.22</v>
      </c>
      <c r="Q1612" s="12" t="str" cm="1">
        <f t="array" ref="Q1612:R1612">VLOOKUP(E1612,store[],{3,5},FALSE)</f>
        <v>South</v>
      </c>
      <c r="R1612" t="str">
        <v>Online</v>
      </c>
      <c r="S1612" s="4">
        <f t="shared" si="25"/>
        <v>1791.54</v>
      </c>
    </row>
    <row r="1613" spans="1:19">
      <c r="A1613" t="s">
        <v>2415</v>
      </c>
      <c r="B1613" s="3">
        <v>45619</v>
      </c>
      <c r="C1613" t="s">
        <v>1691</v>
      </c>
      <c r="D1613" t="s">
        <v>207</v>
      </c>
      <c r="E1613" t="s">
        <v>198</v>
      </c>
      <c r="F1613">
        <v>4</v>
      </c>
      <c r="G1613" t="s">
        <v>50</v>
      </c>
      <c r="H1613">
        <v>64</v>
      </c>
      <c r="I1613" s="12" t="s">
        <v>24</v>
      </c>
      <c r="J1613" s="12" t="s">
        <v>91</v>
      </c>
      <c r="K1613" s="12" t="s">
        <v>52</v>
      </c>
      <c r="L1613" s="12" t="s">
        <v>210</v>
      </c>
      <c r="M1613" s="12" t="s">
        <v>130</v>
      </c>
      <c r="N1613" s="14">
        <v>0.22</v>
      </c>
      <c r="O1613" s="23">
        <v>456.32</v>
      </c>
      <c r="P1613">
        <v>386.56</v>
      </c>
      <c r="Q1613" s="12" t="str" cm="1">
        <f t="array" ref="Q1613:R1613">VLOOKUP(E1613,store[],{3,5},FALSE)</f>
        <v>South</v>
      </c>
      <c r="R1613" t="str">
        <v>Outlet</v>
      </c>
      <c r="S1613" s="4">
        <f t="shared" si="25"/>
        <v>1824.4</v>
      </c>
    </row>
    <row r="1614" spans="1:19">
      <c r="A1614" t="s">
        <v>2416</v>
      </c>
      <c r="B1614" s="3">
        <v>45777</v>
      </c>
      <c r="C1614" t="s">
        <v>278</v>
      </c>
      <c r="D1614" t="s">
        <v>116</v>
      </c>
      <c r="E1614" t="s">
        <v>90</v>
      </c>
      <c r="F1614">
        <v>1</v>
      </c>
      <c r="G1614" t="s">
        <v>50</v>
      </c>
      <c r="H1614">
        <v>60</v>
      </c>
      <c r="I1614" s="12" t="s">
        <v>24</v>
      </c>
      <c r="J1614" s="12" t="s">
        <v>256</v>
      </c>
      <c r="K1614" s="12" t="s">
        <v>73</v>
      </c>
      <c r="L1614" s="12" t="s">
        <v>119</v>
      </c>
      <c r="M1614" s="12" t="s">
        <v>37</v>
      </c>
      <c r="N1614" s="14">
        <v>0.28999999999999998</v>
      </c>
      <c r="O1614" s="23">
        <v>905.5</v>
      </c>
      <c r="P1614">
        <v>419.28</v>
      </c>
      <c r="Q1614" s="12" t="str" cm="1">
        <f t="array" ref="Q1614:R1614">VLOOKUP(E1614,store[],{3,5},FALSE)</f>
        <v>East</v>
      </c>
      <c r="R1614" t="str">
        <v>Flagship</v>
      </c>
      <c r="S1614" s="4">
        <f t="shared" si="25"/>
        <v>905.21</v>
      </c>
    </row>
    <row r="1615" spans="1:19">
      <c r="A1615" t="s">
        <v>2417</v>
      </c>
      <c r="B1615" s="3">
        <v>45523</v>
      </c>
      <c r="C1615" t="s">
        <v>1193</v>
      </c>
      <c r="D1615" t="s">
        <v>226</v>
      </c>
      <c r="E1615" t="s">
        <v>149</v>
      </c>
      <c r="F1615">
        <v>3</v>
      </c>
      <c r="G1615" t="s">
        <v>23</v>
      </c>
      <c r="H1615">
        <v>52</v>
      </c>
      <c r="I1615" s="12" t="s">
        <v>24</v>
      </c>
      <c r="J1615" s="12" t="s">
        <v>498</v>
      </c>
      <c r="K1615" s="12" t="s">
        <v>52</v>
      </c>
      <c r="L1615" s="12" t="s">
        <v>228</v>
      </c>
      <c r="M1615" s="12" t="s">
        <v>46</v>
      </c>
      <c r="N1615" s="14">
        <v>0.08</v>
      </c>
      <c r="O1615" s="23">
        <v>63.19</v>
      </c>
      <c r="P1615">
        <v>337.42</v>
      </c>
      <c r="Q1615" s="12" t="str" cm="1">
        <f t="array" ref="Q1615:R1615">VLOOKUP(E1615,store[],{3,5},FALSE)</f>
        <v>East</v>
      </c>
      <c r="R1615" t="str">
        <v>Flagship</v>
      </c>
      <c r="S1615" s="4">
        <f t="shared" si="25"/>
        <v>189.33</v>
      </c>
    </row>
    <row r="1616" spans="1:19">
      <c r="A1616" t="s">
        <v>2418</v>
      </c>
      <c r="B1616" s="3">
        <v>45628</v>
      </c>
      <c r="C1616" t="s">
        <v>1000</v>
      </c>
      <c r="D1616" t="s">
        <v>79</v>
      </c>
      <c r="E1616" t="s">
        <v>66</v>
      </c>
      <c r="F1616">
        <v>3</v>
      </c>
      <c r="G1616" t="s">
        <v>33</v>
      </c>
      <c r="H1616">
        <v>61</v>
      </c>
      <c r="I1616" s="12" t="s">
        <v>34</v>
      </c>
      <c r="J1616" s="12" t="s">
        <v>932</v>
      </c>
      <c r="K1616" s="12" t="s">
        <v>26</v>
      </c>
      <c r="L1616" s="12" t="s">
        <v>81</v>
      </c>
      <c r="M1616" s="12" t="s">
        <v>75</v>
      </c>
      <c r="N1616" s="14">
        <v>0.06</v>
      </c>
      <c r="O1616" s="23">
        <v>687.66</v>
      </c>
      <c r="P1616">
        <v>138.05000000000001</v>
      </c>
      <c r="Q1616" s="12" t="str" cm="1">
        <f t="array" ref="Q1616:R1616">VLOOKUP(E1616,store[],{3,5},FALSE)</f>
        <v>South</v>
      </c>
      <c r="R1616" t="str">
        <v>Online</v>
      </c>
      <c r="S1616" s="4">
        <f t="shared" si="25"/>
        <v>2062.8000000000002</v>
      </c>
    </row>
    <row r="1617" spans="1:19">
      <c r="A1617" t="s">
        <v>2419</v>
      </c>
      <c r="B1617" s="3">
        <v>45742</v>
      </c>
      <c r="C1617" t="s">
        <v>785</v>
      </c>
      <c r="D1617" t="s">
        <v>159</v>
      </c>
      <c r="E1617" t="s">
        <v>127</v>
      </c>
      <c r="F1617">
        <v>4</v>
      </c>
      <c r="G1617" t="s">
        <v>33</v>
      </c>
      <c r="H1617">
        <v>47</v>
      </c>
      <c r="I1617" s="12" t="s">
        <v>34</v>
      </c>
      <c r="J1617" s="12" t="s">
        <v>204</v>
      </c>
      <c r="K1617" s="12" t="s">
        <v>26</v>
      </c>
      <c r="L1617" s="12" t="s">
        <v>162</v>
      </c>
      <c r="M1617" s="12" t="s">
        <v>37</v>
      </c>
      <c r="N1617" s="14">
        <v>0.12</v>
      </c>
      <c r="O1617" s="23">
        <v>639.05999999999995</v>
      </c>
      <c r="P1617">
        <v>253.33</v>
      </c>
      <c r="Q1617" s="12" t="str" cm="1">
        <f t="array" ref="Q1617:R1617">VLOOKUP(E1617,store[],{3,5},FALSE)</f>
        <v>South</v>
      </c>
      <c r="R1617" t="str">
        <v>Flagship</v>
      </c>
      <c r="S1617" s="4">
        <f t="shared" si="25"/>
        <v>2555.7600000000002</v>
      </c>
    </row>
    <row r="1618" spans="1:19">
      <c r="A1618" t="s">
        <v>2420</v>
      </c>
      <c r="B1618" s="3">
        <v>45456</v>
      </c>
      <c r="C1618" t="s">
        <v>468</v>
      </c>
      <c r="D1618" t="s">
        <v>368</v>
      </c>
      <c r="E1618" t="s">
        <v>66</v>
      </c>
      <c r="F1618">
        <v>1</v>
      </c>
      <c r="G1618" t="s">
        <v>50</v>
      </c>
      <c r="H1618">
        <v>58</v>
      </c>
      <c r="I1618" s="12" t="s">
        <v>24</v>
      </c>
      <c r="J1618" s="12" t="s">
        <v>235</v>
      </c>
      <c r="K1618" s="12" t="s">
        <v>60</v>
      </c>
      <c r="L1618" s="12" t="s">
        <v>369</v>
      </c>
      <c r="M1618" s="12" t="s">
        <v>46</v>
      </c>
      <c r="N1618" s="14">
        <v>0.04</v>
      </c>
      <c r="O1618" s="23">
        <v>475.15</v>
      </c>
      <c r="P1618">
        <v>214.32</v>
      </c>
      <c r="Q1618" s="12" t="str" cm="1">
        <f t="array" ref="Q1618:R1618">VLOOKUP(E1618,store[],{3,5},FALSE)</f>
        <v>South</v>
      </c>
      <c r="R1618" t="str">
        <v>Online</v>
      </c>
      <c r="S1618" s="4">
        <f t="shared" si="25"/>
        <v>475.11</v>
      </c>
    </row>
    <row r="1619" spans="1:19">
      <c r="A1619" t="s">
        <v>2421</v>
      </c>
      <c r="B1619" s="3">
        <v>45534</v>
      </c>
      <c r="C1619" t="s">
        <v>1551</v>
      </c>
      <c r="D1619" t="s">
        <v>275</v>
      </c>
      <c r="E1619" t="s">
        <v>179</v>
      </c>
      <c r="F1619">
        <v>1</v>
      </c>
      <c r="G1619" t="s">
        <v>50</v>
      </c>
      <c r="H1619">
        <v>21</v>
      </c>
      <c r="I1619" s="12" t="s">
        <v>24</v>
      </c>
      <c r="J1619" s="12" t="s">
        <v>161</v>
      </c>
      <c r="K1619" s="12" t="s">
        <v>73</v>
      </c>
      <c r="L1619" s="12" t="s">
        <v>276</v>
      </c>
      <c r="M1619" s="12" t="s">
        <v>28</v>
      </c>
      <c r="N1619" s="14">
        <v>0.08</v>
      </c>
      <c r="O1619" s="23">
        <v>62.38</v>
      </c>
      <c r="P1619">
        <v>167.12</v>
      </c>
      <c r="Q1619" s="12" t="str" cm="1">
        <f t="array" ref="Q1619:R1619">VLOOKUP(E1619,store[],{3,5},FALSE)</f>
        <v>East</v>
      </c>
      <c r="R1619" t="str">
        <v>Online</v>
      </c>
      <c r="S1619" s="4">
        <f t="shared" si="25"/>
        <v>62.3</v>
      </c>
    </row>
    <row r="1620" spans="1:19">
      <c r="A1620" t="s">
        <v>2422</v>
      </c>
      <c r="B1620" s="3">
        <v>45375</v>
      </c>
      <c r="C1620" t="s">
        <v>1354</v>
      </c>
      <c r="D1620" t="s">
        <v>65</v>
      </c>
      <c r="E1620" t="s">
        <v>66</v>
      </c>
      <c r="F1620">
        <v>1</v>
      </c>
      <c r="G1620" t="s">
        <v>50</v>
      </c>
      <c r="H1620">
        <v>38</v>
      </c>
      <c r="I1620" s="12" t="s">
        <v>24</v>
      </c>
      <c r="J1620" s="12" t="s">
        <v>440</v>
      </c>
      <c r="K1620" s="12" t="s">
        <v>60</v>
      </c>
      <c r="L1620" s="12" t="s">
        <v>68</v>
      </c>
      <c r="M1620" s="12" t="s">
        <v>37</v>
      </c>
      <c r="N1620" s="14">
        <v>0.2</v>
      </c>
      <c r="O1620" s="23">
        <v>977.02</v>
      </c>
      <c r="P1620">
        <v>465.34</v>
      </c>
      <c r="Q1620" s="12" t="str" cm="1">
        <f t="array" ref="Q1620:R1620">VLOOKUP(E1620,store[],{3,5},FALSE)</f>
        <v>South</v>
      </c>
      <c r="R1620" t="str">
        <v>Online</v>
      </c>
      <c r="S1620" s="4">
        <f t="shared" si="25"/>
        <v>976.82</v>
      </c>
    </row>
    <row r="1621" spans="1:19">
      <c r="A1621" t="s">
        <v>2423</v>
      </c>
      <c r="B1621" s="3">
        <v>45546</v>
      </c>
      <c r="C1621" t="s">
        <v>2424</v>
      </c>
      <c r="D1621" t="s">
        <v>359</v>
      </c>
      <c r="E1621" t="s">
        <v>72</v>
      </c>
      <c r="F1621">
        <v>2</v>
      </c>
      <c r="G1621" t="s">
        <v>23</v>
      </c>
      <c r="H1621">
        <v>58</v>
      </c>
      <c r="I1621" s="12" t="s">
        <v>24</v>
      </c>
      <c r="J1621" s="12" t="s">
        <v>491</v>
      </c>
      <c r="K1621" s="12" t="s">
        <v>73</v>
      </c>
      <c r="L1621" s="12" t="s">
        <v>361</v>
      </c>
      <c r="M1621" s="12" t="s">
        <v>46</v>
      </c>
      <c r="N1621" s="14">
        <v>0.25</v>
      </c>
      <c r="O1621" s="23">
        <v>898.81</v>
      </c>
      <c r="P1621">
        <v>289.359375</v>
      </c>
      <c r="Q1621" s="12" t="str" cm="1">
        <f t="array" ref="Q1621:R1621">VLOOKUP(E1621,store[],{3,5},FALSE)</f>
        <v>South</v>
      </c>
      <c r="R1621" t="str">
        <v>Online</v>
      </c>
      <c r="S1621" s="4">
        <f t="shared" si="25"/>
        <v>1797.12</v>
      </c>
    </row>
    <row r="1622" spans="1:19">
      <c r="A1622" t="s">
        <v>2425</v>
      </c>
      <c r="B1622" s="3">
        <v>45769</v>
      </c>
      <c r="C1622" t="s">
        <v>1397</v>
      </c>
      <c r="D1622" t="s">
        <v>509</v>
      </c>
      <c r="E1622" t="s">
        <v>22</v>
      </c>
      <c r="F1622">
        <v>2</v>
      </c>
      <c r="G1622" t="s">
        <v>23</v>
      </c>
      <c r="H1622">
        <v>25</v>
      </c>
      <c r="I1622" s="12" t="s">
        <v>34</v>
      </c>
      <c r="J1622" s="12" t="s">
        <v>761</v>
      </c>
      <c r="K1622" s="12" t="s">
        <v>73</v>
      </c>
      <c r="L1622" s="12" t="s">
        <v>511</v>
      </c>
      <c r="M1622" s="12" t="s">
        <v>28</v>
      </c>
      <c r="N1622" s="14">
        <v>0.28000000000000003</v>
      </c>
      <c r="O1622" s="23">
        <v>422.13</v>
      </c>
      <c r="P1622">
        <v>30.62</v>
      </c>
      <c r="Q1622" s="12" t="str" cm="1">
        <f t="array" ref="Q1622:R1622">VLOOKUP(E1622,store[],{3,5},FALSE)</f>
        <v>North</v>
      </c>
      <c r="R1622" t="str">
        <v>Outlet</v>
      </c>
      <c r="S1622" s="4">
        <f t="shared" si="25"/>
        <v>843.7</v>
      </c>
    </row>
    <row r="1623" spans="1:19">
      <c r="A1623" t="s">
        <v>2426</v>
      </c>
      <c r="B1623" s="3">
        <v>45524</v>
      </c>
      <c r="C1623" t="s">
        <v>1000</v>
      </c>
      <c r="D1623" t="s">
        <v>116</v>
      </c>
      <c r="E1623" t="s">
        <v>272</v>
      </c>
      <c r="F1623">
        <v>1</v>
      </c>
      <c r="G1623" t="s">
        <v>50</v>
      </c>
      <c r="H1623">
        <v>61</v>
      </c>
      <c r="I1623" s="12" t="s">
        <v>34</v>
      </c>
      <c r="J1623" s="12" t="s">
        <v>932</v>
      </c>
      <c r="K1623" s="12" t="s">
        <v>26</v>
      </c>
      <c r="L1623" s="12" t="s">
        <v>119</v>
      </c>
      <c r="M1623" s="12" t="s">
        <v>37</v>
      </c>
      <c r="N1623" s="14">
        <v>0.03</v>
      </c>
      <c r="O1623" s="23">
        <v>324.56</v>
      </c>
      <c r="P1623">
        <v>419.28</v>
      </c>
      <c r="Q1623" s="12" t="str" cm="1">
        <f t="array" ref="Q1623:R1623">VLOOKUP(E1623,store[],{3,5},FALSE)</f>
        <v>South</v>
      </c>
      <c r="R1623" t="str">
        <v>Online</v>
      </c>
      <c r="S1623" s="4">
        <f t="shared" si="25"/>
        <v>324.52999999999997</v>
      </c>
    </row>
    <row r="1624" spans="1:19">
      <c r="A1624" t="s">
        <v>2427</v>
      </c>
      <c r="B1624" s="3">
        <v>45531</v>
      </c>
      <c r="C1624" t="s">
        <v>843</v>
      </c>
      <c r="D1624" t="s">
        <v>564</v>
      </c>
      <c r="E1624" t="s">
        <v>117</v>
      </c>
      <c r="F1624">
        <v>4</v>
      </c>
      <c r="G1624" t="s">
        <v>33</v>
      </c>
      <c r="H1624">
        <v>45</v>
      </c>
      <c r="I1624" s="12" t="s">
        <v>24</v>
      </c>
      <c r="J1624" s="12" t="s">
        <v>35</v>
      </c>
      <c r="K1624" s="12" t="s">
        <v>73</v>
      </c>
      <c r="L1624" s="12" t="s">
        <v>565</v>
      </c>
      <c r="M1624" s="12" t="s">
        <v>75</v>
      </c>
      <c r="N1624" s="14">
        <v>0.26</v>
      </c>
      <c r="O1624" s="23">
        <v>570.38</v>
      </c>
      <c r="P1624">
        <v>81.75</v>
      </c>
      <c r="Q1624" s="12" t="str" cm="1">
        <f t="array" ref="Q1624:R1624">VLOOKUP(E1624,store[],{3,5},FALSE)</f>
        <v>West</v>
      </c>
      <c r="R1624" t="str">
        <v>Flagship</v>
      </c>
      <c r="S1624" s="4">
        <f t="shared" si="25"/>
        <v>2280.48</v>
      </c>
    </row>
    <row r="1625" spans="1:19">
      <c r="A1625" t="s">
        <v>2428</v>
      </c>
      <c r="B1625" s="3">
        <v>45479</v>
      </c>
      <c r="C1625" t="s">
        <v>570</v>
      </c>
      <c r="D1625" t="s">
        <v>116</v>
      </c>
      <c r="E1625" t="s">
        <v>122</v>
      </c>
      <c r="F1625">
        <v>2</v>
      </c>
      <c r="G1625" t="s">
        <v>33</v>
      </c>
      <c r="H1625">
        <v>43</v>
      </c>
      <c r="I1625" s="12" t="s">
        <v>34</v>
      </c>
      <c r="J1625" s="12" t="s">
        <v>440</v>
      </c>
      <c r="K1625" s="12" t="s">
        <v>73</v>
      </c>
      <c r="L1625" s="12" t="s">
        <v>119</v>
      </c>
      <c r="M1625" s="12" t="s">
        <v>37</v>
      </c>
      <c r="N1625" s="14">
        <v>0.11</v>
      </c>
      <c r="O1625" s="23">
        <v>223.73</v>
      </c>
      <c r="P1625">
        <v>419.28</v>
      </c>
      <c r="Q1625" s="12" t="str" cm="1">
        <f t="array" ref="Q1625:R1625">VLOOKUP(E1625,store[],{3,5},FALSE)</f>
        <v>North</v>
      </c>
      <c r="R1625" t="str">
        <v>Flagship</v>
      </c>
      <c r="S1625" s="4">
        <f t="shared" si="25"/>
        <v>447.24</v>
      </c>
    </row>
    <row r="1626" spans="1:19">
      <c r="A1626" t="s">
        <v>2429</v>
      </c>
      <c r="B1626" s="3">
        <v>45868</v>
      </c>
      <c r="C1626" t="s">
        <v>1397</v>
      </c>
      <c r="D1626" t="s">
        <v>400</v>
      </c>
      <c r="E1626" t="s">
        <v>117</v>
      </c>
      <c r="F1626">
        <v>4</v>
      </c>
      <c r="G1626" t="s">
        <v>23</v>
      </c>
      <c r="H1626">
        <v>25</v>
      </c>
      <c r="I1626" s="12" t="s">
        <v>34</v>
      </c>
      <c r="J1626" s="12" t="s">
        <v>761</v>
      </c>
      <c r="K1626" s="12" t="s">
        <v>73</v>
      </c>
      <c r="L1626" s="12" t="s">
        <v>401</v>
      </c>
      <c r="M1626" s="12" t="s">
        <v>75</v>
      </c>
      <c r="N1626" s="14">
        <v>0.11</v>
      </c>
      <c r="O1626" s="23">
        <v>164.93</v>
      </c>
      <c r="P1626">
        <v>176.07</v>
      </c>
      <c r="Q1626" s="12" t="str" cm="1">
        <f t="array" ref="Q1626:R1626">VLOOKUP(E1626,store[],{3,5},FALSE)</f>
        <v>West</v>
      </c>
      <c r="R1626" t="str">
        <v>Flagship</v>
      </c>
      <c r="S1626" s="4">
        <f t="shared" si="25"/>
        <v>659.28</v>
      </c>
    </row>
    <row r="1627" spans="1:19">
      <c r="A1627" t="s">
        <v>2430</v>
      </c>
      <c r="B1627" s="3">
        <v>45569</v>
      </c>
      <c r="C1627" t="s">
        <v>1734</v>
      </c>
      <c r="D1627" t="s">
        <v>65</v>
      </c>
      <c r="E1627" t="s">
        <v>66</v>
      </c>
      <c r="F1627">
        <v>3</v>
      </c>
      <c r="G1627" t="s">
        <v>50</v>
      </c>
      <c r="H1627">
        <v>41</v>
      </c>
      <c r="I1627" s="12" t="s">
        <v>34</v>
      </c>
      <c r="J1627" s="12" t="s">
        <v>161</v>
      </c>
      <c r="K1627" s="12" t="s">
        <v>26</v>
      </c>
      <c r="L1627" s="12" t="s">
        <v>68</v>
      </c>
      <c r="M1627" s="12" t="s">
        <v>37</v>
      </c>
      <c r="N1627" s="14">
        <v>0.28000000000000003</v>
      </c>
      <c r="O1627" s="23">
        <v>326.66000000000003</v>
      </c>
      <c r="P1627">
        <v>465.34</v>
      </c>
      <c r="Q1627" s="12" t="str" cm="1">
        <f t="array" ref="Q1627:R1627">VLOOKUP(E1627,store[],{3,5},FALSE)</f>
        <v>South</v>
      </c>
      <c r="R1627" t="str">
        <v>Online</v>
      </c>
      <c r="S1627" s="4">
        <f t="shared" si="25"/>
        <v>979.14</v>
      </c>
    </row>
    <row r="1628" spans="1:19">
      <c r="A1628" t="s">
        <v>2431</v>
      </c>
      <c r="B1628" s="3">
        <v>45382</v>
      </c>
      <c r="C1628" t="s">
        <v>432</v>
      </c>
      <c r="D1628" t="s">
        <v>389</v>
      </c>
      <c r="E1628" t="s">
        <v>122</v>
      </c>
      <c r="F1628">
        <v>2</v>
      </c>
      <c r="G1628" t="s">
        <v>33</v>
      </c>
      <c r="H1628">
        <v>23</v>
      </c>
      <c r="I1628" s="12" t="s">
        <v>34</v>
      </c>
      <c r="J1628" s="12" t="s">
        <v>169</v>
      </c>
      <c r="K1628" s="12" t="s">
        <v>60</v>
      </c>
      <c r="L1628" s="12" t="s">
        <v>390</v>
      </c>
      <c r="M1628" s="12" t="s">
        <v>130</v>
      </c>
      <c r="N1628" s="14">
        <v>0.17</v>
      </c>
      <c r="O1628" s="23">
        <v>462.93</v>
      </c>
      <c r="P1628">
        <v>342.56</v>
      </c>
      <c r="Q1628" s="12" t="str" cm="1">
        <f t="array" ref="Q1628:R1628">VLOOKUP(E1628,store[],{3,5},FALSE)</f>
        <v>North</v>
      </c>
      <c r="R1628" t="str">
        <v>Flagship</v>
      </c>
      <c r="S1628" s="4">
        <f t="shared" si="25"/>
        <v>925.52</v>
      </c>
    </row>
    <row r="1629" spans="1:19">
      <c r="A1629" t="s">
        <v>2432</v>
      </c>
      <c r="B1629" s="3">
        <v>45885</v>
      </c>
      <c r="C1629" t="s">
        <v>1256</v>
      </c>
      <c r="D1629" t="s">
        <v>768</v>
      </c>
      <c r="E1629" t="s">
        <v>117</v>
      </c>
      <c r="F1629">
        <v>3</v>
      </c>
      <c r="G1629" t="s">
        <v>23</v>
      </c>
      <c r="H1629">
        <v>49</v>
      </c>
      <c r="I1629" s="12" t="s">
        <v>34</v>
      </c>
      <c r="J1629" s="12" t="s">
        <v>444</v>
      </c>
      <c r="K1629" s="12" t="s">
        <v>52</v>
      </c>
      <c r="L1629" s="12" t="s">
        <v>769</v>
      </c>
      <c r="M1629" s="12" t="s">
        <v>37</v>
      </c>
      <c r="N1629" s="14">
        <v>0.04</v>
      </c>
      <c r="O1629" s="23">
        <v>60.26</v>
      </c>
      <c r="P1629">
        <v>112.42</v>
      </c>
      <c r="Q1629" s="12" t="str" cm="1">
        <f t="array" ref="Q1629:R1629">VLOOKUP(E1629,store[],{3,5},FALSE)</f>
        <v>West</v>
      </c>
      <c r="R1629" t="str">
        <v>Flagship</v>
      </c>
      <c r="S1629" s="4">
        <f t="shared" si="25"/>
        <v>180.66</v>
      </c>
    </row>
    <row r="1630" spans="1:19">
      <c r="A1630" t="s">
        <v>2433</v>
      </c>
      <c r="B1630" s="3">
        <v>45829</v>
      </c>
      <c r="C1630" t="s">
        <v>1060</v>
      </c>
      <c r="D1630" t="s">
        <v>116</v>
      </c>
      <c r="E1630" t="s">
        <v>127</v>
      </c>
      <c r="F1630">
        <v>3</v>
      </c>
      <c r="G1630" t="s">
        <v>50</v>
      </c>
      <c r="H1630">
        <v>61</v>
      </c>
      <c r="I1630" s="12" t="s">
        <v>34</v>
      </c>
      <c r="J1630" s="12" t="s">
        <v>222</v>
      </c>
      <c r="K1630" s="12" t="s">
        <v>26</v>
      </c>
      <c r="L1630" s="12" t="s">
        <v>119</v>
      </c>
      <c r="M1630" s="12" t="s">
        <v>37</v>
      </c>
      <c r="N1630" s="14">
        <v>0.06</v>
      </c>
      <c r="O1630" s="23">
        <v>109.5</v>
      </c>
      <c r="P1630">
        <v>419.28</v>
      </c>
      <c r="Q1630" s="12" t="str" cm="1">
        <f t="array" ref="Q1630:R1630">VLOOKUP(E1630,store[],{3,5},FALSE)</f>
        <v>South</v>
      </c>
      <c r="R1630" t="str">
        <v>Flagship</v>
      </c>
      <c r="S1630" s="4">
        <f t="shared" si="25"/>
        <v>328.32</v>
      </c>
    </row>
    <row r="1631" spans="1:19">
      <c r="A1631" t="s">
        <v>2434</v>
      </c>
      <c r="B1631" s="3">
        <v>45721</v>
      </c>
      <c r="C1631" t="s">
        <v>633</v>
      </c>
      <c r="D1631" t="s">
        <v>79</v>
      </c>
      <c r="E1631" t="s">
        <v>117</v>
      </c>
      <c r="F1631">
        <v>1</v>
      </c>
      <c r="G1631" t="s">
        <v>50</v>
      </c>
      <c r="H1631">
        <v>20</v>
      </c>
      <c r="I1631" s="12" t="s">
        <v>34</v>
      </c>
      <c r="J1631" s="12" t="s">
        <v>227</v>
      </c>
      <c r="K1631" s="12" t="s">
        <v>26</v>
      </c>
      <c r="L1631" s="12" t="s">
        <v>81</v>
      </c>
      <c r="M1631" s="12" t="s">
        <v>75</v>
      </c>
      <c r="N1631" s="14">
        <v>0.14000000000000001</v>
      </c>
      <c r="O1631" s="23">
        <v>505.83</v>
      </c>
      <c r="P1631">
        <v>138.05000000000001</v>
      </c>
      <c r="Q1631" s="12" t="str" cm="1">
        <f t="array" ref="Q1631:R1631">VLOOKUP(E1631,store[],{3,5},FALSE)</f>
        <v>West</v>
      </c>
      <c r="R1631" t="str">
        <v>Flagship</v>
      </c>
      <c r="S1631" s="4">
        <f t="shared" si="25"/>
        <v>505.69</v>
      </c>
    </row>
    <row r="1632" spans="1:19">
      <c r="A1632" t="s">
        <v>2435</v>
      </c>
      <c r="B1632" s="3">
        <v>45511</v>
      </c>
      <c r="C1632" t="s">
        <v>1083</v>
      </c>
      <c r="D1632" t="s">
        <v>187</v>
      </c>
      <c r="E1632" t="s">
        <v>168</v>
      </c>
      <c r="F1632">
        <v>2</v>
      </c>
      <c r="G1632" t="s">
        <v>33</v>
      </c>
      <c r="H1632">
        <v>21</v>
      </c>
      <c r="I1632" s="12" t="s">
        <v>24</v>
      </c>
      <c r="J1632" s="12" t="s">
        <v>932</v>
      </c>
      <c r="K1632" s="12" t="s">
        <v>73</v>
      </c>
      <c r="L1632" s="12" t="s">
        <v>189</v>
      </c>
      <c r="M1632" s="12" t="s">
        <v>37</v>
      </c>
      <c r="N1632" s="14">
        <v>0.27</v>
      </c>
      <c r="O1632" s="23">
        <v>443.15</v>
      </c>
      <c r="P1632">
        <v>431.67</v>
      </c>
      <c r="Q1632" s="12" t="str" cm="1">
        <f t="array" ref="Q1632:R1632">VLOOKUP(E1632,store[],{3,5},FALSE)</f>
        <v>East</v>
      </c>
      <c r="R1632" t="str">
        <v>Online</v>
      </c>
      <c r="S1632" s="4">
        <f t="shared" si="25"/>
        <v>885.76</v>
      </c>
    </row>
    <row r="1633" spans="1:19">
      <c r="A1633" t="s">
        <v>2436</v>
      </c>
      <c r="B1633" s="3">
        <v>45739</v>
      </c>
      <c r="C1633" t="s">
        <v>1430</v>
      </c>
      <c r="D1633" t="s">
        <v>645</v>
      </c>
      <c r="E1633" t="s">
        <v>66</v>
      </c>
      <c r="F1633">
        <v>2</v>
      </c>
      <c r="G1633" t="s">
        <v>33</v>
      </c>
      <c r="H1633">
        <v>47</v>
      </c>
      <c r="I1633" s="12" t="s">
        <v>34</v>
      </c>
      <c r="J1633" s="12" t="s">
        <v>161</v>
      </c>
      <c r="K1633" s="12" t="s">
        <v>26</v>
      </c>
      <c r="L1633" s="12" t="s">
        <v>646</v>
      </c>
      <c r="M1633" s="12" t="s">
        <v>75</v>
      </c>
      <c r="N1633" s="14">
        <v>0.23</v>
      </c>
      <c r="O1633" s="23">
        <v>784.26</v>
      </c>
      <c r="P1633">
        <v>218.86</v>
      </c>
      <c r="Q1633" s="12" t="str" cm="1">
        <f t="array" ref="Q1633:R1633">VLOOKUP(E1633,store[],{3,5},FALSE)</f>
        <v>South</v>
      </c>
      <c r="R1633" t="str">
        <v>Online</v>
      </c>
      <c r="S1633" s="4">
        <f t="shared" si="25"/>
        <v>1568.06</v>
      </c>
    </row>
    <row r="1634" spans="1:19">
      <c r="A1634" t="s">
        <v>2437</v>
      </c>
      <c r="B1634" s="3">
        <v>45533</v>
      </c>
      <c r="C1634" t="s">
        <v>961</v>
      </c>
      <c r="D1634" t="s">
        <v>104</v>
      </c>
      <c r="E1634" t="s">
        <v>272</v>
      </c>
      <c r="F1634">
        <v>3</v>
      </c>
      <c r="G1634" t="s">
        <v>33</v>
      </c>
      <c r="H1634">
        <v>54</v>
      </c>
      <c r="I1634" s="12" t="s">
        <v>24</v>
      </c>
      <c r="J1634" s="12" t="s">
        <v>932</v>
      </c>
      <c r="K1634" s="12" t="s">
        <v>26</v>
      </c>
      <c r="L1634" s="12" t="s">
        <v>107</v>
      </c>
      <c r="M1634" s="12" t="s">
        <v>37</v>
      </c>
      <c r="N1634" s="14">
        <v>0.17</v>
      </c>
      <c r="O1634" s="23">
        <v>590.30999999999995</v>
      </c>
      <c r="P1634">
        <v>326.06</v>
      </c>
      <c r="Q1634" s="12" t="str" cm="1">
        <f t="array" ref="Q1634:R1634">VLOOKUP(E1634,store[],{3,5},FALSE)</f>
        <v>South</v>
      </c>
      <c r="R1634" t="str">
        <v>Online</v>
      </c>
      <c r="S1634" s="4">
        <f t="shared" si="25"/>
        <v>1770.42</v>
      </c>
    </row>
    <row r="1635" spans="1:19">
      <c r="A1635" t="s">
        <v>2438</v>
      </c>
      <c r="B1635" s="3">
        <v>45553</v>
      </c>
      <c r="C1635" t="s">
        <v>959</v>
      </c>
      <c r="D1635" t="s">
        <v>167</v>
      </c>
      <c r="E1635" t="s">
        <v>117</v>
      </c>
      <c r="F1635">
        <v>1</v>
      </c>
      <c r="G1635" t="s">
        <v>50</v>
      </c>
      <c r="H1635">
        <v>44</v>
      </c>
      <c r="I1635" s="12" t="s">
        <v>34</v>
      </c>
      <c r="J1635" s="12" t="s">
        <v>44</v>
      </c>
      <c r="K1635" s="12" t="s">
        <v>52</v>
      </c>
      <c r="L1635" s="12" t="s">
        <v>170</v>
      </c>
      <c r="M1635" s="12" t="s">
        <v>130</v>
      </c>
      <c r="N1635" s="14">
        <v>0.06</v>
      </c>
      <c r="O1635" s="23">
        <v>696.13</v>
      </c>
      <c r="P1635">
        <v>218.22</v>
      </c>
      <c r="Q1635" s="12" t="str" cm="1">
        <f t="array" ref="Q1635:R1635">VLOOKUP(E1635,store[],{3,5},FALSE)</f>
        <v>West</v>
      </c>
      <c r="R1635" t="str">
        <v>Flagship</v>
      </c>
      <c r="S1635" s="4">
        <f t="shared" si="25"/>
        <v>696.07</v>
      </c>
    </row>
    <row r="1636" spans="1:19">
      <c r="A1636" t="s">
        <v>2439</v>
      </c>
      <c r="B1636" s="3">
        <v>45341</v>
      </c>
      <c r="C1636" t="s">
        <v>923</v>
      </c>
      <c r="D1636" t="s">
        <v>501</v>
      </c>
      <c r="E1636" t="s">
        <v>179</v>
      </c>
      <c r="F1636">
        <v>4</v>
      </c>
      <c r="G1636" t="s">
        <v>23</v>
      </c>
      <c r="H1636">
        <v>64</v>
      </c>
      <c r="I1636" s="12" t="s">
        <v>24</v>
      </c>
      <c r="J1636" s="12" t="s">
        <v>360</v>
      </c>
      <c r="K1636" s="12" t="s">
        <v>60</v>
      </c>
      <c r="L1636" s="12" t="s">
        <v>502</v>
      </c>
      <c r="M1636" s="12" t="s">
        <v>37</v>
      </c>
      <c r="N1636" s="14">
        <v>0.25</v>
      </c>
      <c r="O1636" s="23">
        <v>194.39</v>
      </c>
      <c r="P1636">
        <v>88.49</v>
      </c>
      <c r="Q1636" s="12" t="str" cm="1">
        <f t="array" ref="Q1636:R1636">VLOOKUP(E1636,store[],{3,5},FALSE)</f>
        <v>East</v>
      </c>
      <c r="R1636" t="str">
        <v>Online</v>
      </c>
      <c r="S1636" s="4">
        <f t="shared" si="25"/>
        <v>776.56</v>
      </c>
    </row>
    <row r="1637" spans="1:19">
      <c r="A1637" t="s">
        <v>2440</v>
      </c>
      <c r="B1637" s="3">
        <v>45430</v>
      </c>
      <c r="C1637" t="s">
        <v>1450</v>
      </c>
      <c r="D1637" t="s">
        <v>89</v>
      </c>
      <c r="E1637" t="s">
        <v>105</v>
      </c>
      <c r="F1637">
        <v>1</v>
      </c>
      <c r="G1637" t="s">
        <v>23</v>
      </c>
      <c r="H1637">
        <v>54</v>
      </c>
      <c r="I1637" s="12" t="s">
        <v>24</v>
      </c>
      <c r="J1637" s="12" t="s">
        <v>932</v>
      </c>
      <c r="K1637" s="12" t="s">
        <v>52</v>
      </c>
      <c r="L1637" s="12" t="s">
        <v>92</v>
      </c>
      <c r="M1637" s="12" t="s">
        <v>75</v>
      </c>
      <c r="N1637" s="14">
        <v>0.1</v>
      </c>
      <c r="O1637" s="23">
        <v>339.7</v>
      </c>
      <c r="P1637">
        <v>179.77</v>
      </c>
      <c r="Q1637" s="12" t="str" cm="1">
        <f t="array" ref="Q1637:R1637">VLOOKUP(E1637,store[],{3,5},FALSE)</f>
        <v>North</v>
      </c>
      <c r="R1637" t="str">
        <v>Flagship</v>
      </c>
      <c r="S1637" s="4">
        <f t="shared" si="25"/>
        <v>339.6</v>
      </c>
    </row>
    <row r="1638" spans="1:19">
      <c r="A1638" t="s">
        <v>2441</v>
      </c>
      <c r="B1638" s="3">
        <v>45912</v>
      </c>
      <c r="C1638" t="s">
        <v>1358</v>
      </c>
      <c r="D1638" t="s">
        <v>741</v>
      </c>
      <c r="E1638" t="s">
        <v>149</v>
      </c>
      <c r="F1638">
        <v>4</v>
      </c>
      <c r="G1638" t="s">
        <v>33</v>
      </c>
      <c r="H1638">
        <v>54</v>
      </c>
      <c r="I1638" s="12" t="s">
        <v>24</v>
      </c>
      <c r="J1638" s="12" t="s">
        <v>256</v>
      </c>
      <c r="K1638" s="12" t="s">
        <v>52</v>
      </c>
      <c r="L1638" s="12" t="s">
        <v>742</v>
      </c>
      <c r="M1638" s="12" t="s">
        <v>75</v>
      </c>
      <c r="N1638" s="14">
        <v>0.27</v>
      </c>
      <c r="O1638" s="23">
        <v>463.16</v>
      </c>
      <c r="P1638">
        <v>243.7</v>
      </c>
      <c r="Q1638" s="12" t="str" cm="1">
        <f t="array" ref="Q1638:R1638">VLOOKUP(E1638,store[],{3,5},FALSE)</f>
        <v>East</v>
      </c>
      <c r="R1638" t="str">
        <v>Flagship</v>
      </c>
      <c r="S1638" s="4">
        <f t="shared" si="25"/>
        <v>1851.56</v>
      </c>
    </row>
    <row r="1639" spans="1:19">
      <c r="A1639" t="s">
        <v>2442</v>
      </c>
      <c r="B1639" s="3">
        <v>45709</v>
      </c>
      <c r="C1639" t="s">
        <v>707</v>
      </c>
      <c r="D1639" t="s">
        <v>183</v>
      </c>
      <c r="E1639" t="s">
        <v>168</v>
      </c>
      <c r="F1639">
        <v>2</v>
      </c>
      <c r="G1639" t="s">
        <v>23</v>
      </c>
      <c r="H1639">
        <v>62</v>
      </c>
      <c r="I1639" s="12" t="s">
        <v>34</v>
      </c>
      <c r="J1639" s="12" t="s">
        <v>188</v>
      </c>
      <c r="K1639" s="12" t="s">
        <v>52</v>
      </c>
      <c r="L1639" s="12" t="s">
        <v>184</v>
      </c>
      <c r="M1639" s="12" t="s">
        <v>130</v>
      </c>
      <c r="N1639" s="14">
        <v>0.09</v>
      </c>
      <c r="O1639" s="23">
        <v>824.91</v>
      </c>
      <c r="P1639">
        <v>261</v>
      </c>
      <c r="Q1639" s="12" t="str" cm="1">
        <f t="array" ref="Q1639:R1639">VLOOKUP(E1639,store[],{3,5},FALSE)</f>
        <v>East</v>
      </c>
      <c r="R1639" t="str">
        <v>Online</v>
      </c>
      <c r="S1639" s="4">
        <f t="shared" si="25"/>
        <v>1649.64</v>
      </c>
    </row>
    <row r="1640" spans="1:19">
      <c r="A1640" t="s">
        <v>2443</v>
      </c>
      <c r="B1640" s="3">
        <v>45520</v>
      </c>
      <c r="C1640" t="s">
        <v>266</v>
      </c>
      <c r="D1640" t="s">
        <v>183</v>
      </c>
      <c r="E1640" t="s">
        <v>198</v>
      </c>
      <c r="F1640">
        <v>4</v>
      </c>
      <c r="G1640" t="s">
        <v>23</v>
      </c>
      <c r="H1640">
        <v>29</v>
      </c>
      <c r="I1640" s="12" t="s">
        <v>34</v>
      </c>
      <c r="J1640" s="12" t="s">
        <v>222</v>
      </c>
      <c r="K1640" s="12" t="s">
        <v>26</v>
      </c>
      <c r="L1640" s="12" t="s">
        <v>184</v>
      </c>
      <c r="M1640" s="12" t="s">
        <v>130</v>
      </c>
      <c r="N1640" s="14">
        <v>0.17</v>
      </c>
      <c r="O1640" s="23">
        <v>796.89</v>
      </c>
      <c r="P1640">
        <v>261</v>
      </c>
      <c r="Q1640" s="12" t="str" cm="1">
        <f t="array" ref="Q1640:R1640">VLOOKUP(E1640,store[],{3,5},FALSE)</f>
        <v>South</v>
      </c>
      <c r="R1640" t="str">
        <v>Outlet</v>
      </c>
      <c r="S1640" s="4">
        <f t="shared" si="25"/>
        <v>3186.88</v>
      </c>
    </row>
    <row r="1641" spans="1:19">
      <c r="A1641" t="s">
        <v>2444</v>
      </c>
      <c r="B1641" s="3">
        <v>45478</v>
      </c>
      <c r="C1641" t="s">
        <v>750</v>
      </c>
      <c r="D1641" t="s">
        <v>246</v>
      </c>
      <c r="E1641" t="s">
        <v>32</v>
      </c>
      <c r="F1641">
        <v>3</v>
      </c>
      <c r="G1641" t="s">
        <v>50</v>
      </c>
      <c r="H1641">
        <v>59</v>
      </c>
      <c r="I1641" s="12" t="s">
        <v>34</v>
      </c>
      <c r="J1641" s="12" t="s">
        <v>209</v>
      </c>
      <c r="K1641" s="12" t="s">
        <v>52</v>
      </c>
      <c r="L1641" s="12" t="s">
        <v>247</v>
      </c>
      <c r="M1641" s="12" t="s">
        <v>37</v>
      </c>
      <c r="N1641" s="14">
        <v>0.3</v>
      </c>
      <c r="O1641" s="23">
        <v>543.92999999999995</v>
      </c>
      <c r="P1641">
        <v>322.41000000000003</v>
      </c>
      <c r="Q1641" s="12" t="str" cm="1">
        <f t="array" ref="Q1641:R1641">VLOOKUP(E1641,store[],{3,5},FALSE)</f>
        <v>North</v>
      </c>
      <c r="R1641" t="str">
        <v>Flagship</v>
      </c>
      <c r="S1641" s="4">
        <f t="shared" si="25"/>
        <v>1630.89</v>
      </c>
    </row>
    <row r="1642" spans="1:19">
      <c r="A1642" t="s">
        <v>2445</v>
      </c>
      <c r="B1642" s="3">
        <v>45496</v>
      </c>
      <c r="C1642" t="s">
        <v>1267</v>
      </c>
      <c r="D1642" t="s">
        <v>480</v>
      </c>
      <c r="E1642" t="s">
        <v>66</v>
      </c>
      <c r="F1642">
        <v>2</v>
      </c>
      <c r="G1642" t="s">
        <v>33</v>
      </c>
      <c r="H1642">
        <v>41</v>
      </c>
      <c r="I1642" s="12" t="s">
        <v>34</v>
      </c>
      <c r="J1642" s="12" t="s">
        <v>106</v>
      </c>
      <c r="K1642" s="12" t="s">
        <v>52</v>
      </c>
      <c r="L1642" s="12" t="s">
        <v>481</v>
      </c>
      <c r="M1642" s="12" t="s">
        <v>75</v>
      </c>
      <c r="N1642" s="14">
        <v>0.03</v>
      </c>
      <c r="O1642" s="23">
        <v>44.65</v>
      </c>
      <c r="P1642">
        <v>48.01</v>
      </c>
      <c r="Q1642" s="12" t="str" cm="1">
        <f t="array" ref="Q1642:R1642">VLOOKUP(E1642,store[],{3,5},FALSE)</f>
        <v>South</v>
      </c>
      <c r="R1642" t="str">
        <v>Online</v>
      </c>
      <c r="S1642" s="4">
        <f t="shared" si="25"/>
        <v>89.24</v>
      </c>
    </row>
    <row r="1643" spans="1:19">
      <c r="A1643" t="s">
        <v>2446</v>
      </c>
      <c r="B1643" s="3">
        <v>45742</v>
      </c>
      <c r="C1643" t="s">
        <v>2310</v>
      </c>
      <c r="D1643" t="s">
        <v>71</v>
      </c>
      <c r="E1643" t="s">
        <v>90</v>
      </c>
      <c r="F1643">
        <v>4</v>
      </c>
      <c r="G1643" t="s">
        <v>50</v>
      </c>
      <c r="H1643">
        <v>48</v>
      </c>
      <c r="I1643" s="12" t="s">
        <v>24</v>
      </c>
      <c r="J1643" s="12" t="s">
        <v>373</v>
      </c>
      <c r="K1643" s="12" t="s">
        <v>52</v>
      </c>
      <c r="L1643" s="12" t="s">
        <v>74</v>
      </c>
      <c r="M1643" s="12" t="s">
        <v>75</v>
      </c>
      <c r="N1643" s="14">
        <v>0.06</v>
      </c>
      <c r="O1643" s="23">
        <v>827.39</v>
      </c>
      <c r="P1643">
        <v>461.47</v>
      </c>
      <c r="Q1643" s="12" t="str" cm="1">
        <f t="array" ref="Q1643:R1643">VLOOKUP(E1643,store[],{3,5},FALSE)</f>
        <v>East</v>
      </c>
      <c r="R1643" t="str">
        <v>Flagship</v>
      </c>
      <c r="S1643" s="4">
        <f t="shared" si="25"/>
        <v>3309.32</v>
      </c>
    </row>
    <row r="1644" spans="1:19">
      <c r="A1644" t="s">
        <v>2447</v>
      </c>
      <c r="B1644" s="3">
        <v>45301</v>
      </c>
      <c r="C1644" t="s">
        <v>2448</v>
      </c>
      <c r="D1644" t="s">
        <v>480</v>
      </c>
      <c r="E1644" t="s">
        <v>208</v>
      </c>
      <c r="F1644">
        <v>2</v>
      </c>
      <c r="G1644" t="s">
        <v>33</v>
      </c>
      <c r="H1644">
        <v>60</v>
      </c>
      <c r="I1644" s="12" t="s">
        <v>34</v>
      </c>
      <c r="J1644" s="12" t="s">
        <v>106</v>
      </c>
      <c r="K1644" s="12" t="s">
        <v>26</v>
      </c>
      <c r="L1644" s="12" t="s">
        <v>481</v>
      </c>
      <c r="M1644" s="12" t="s">
        <v>75</v>
      </c>
      <c r="N1644" s="14">
        <v>0.21</v>
      </c>
      <c r="O1644" s="23">
        <v>403.2</v>
      </c>
      <c r="P1644">
        <v>48.01</v>
      </c>
      <c r="Q1644" s="12" t="str" cm="1">
        <f t="array" ref="Q1644:R1644">VLOOKUP(E1644,store[],{3,5},FALSE)</f>
        <v>North</v>
      </c>
      <c r="R1644" t="str">
        <v>Online</v>
      </c>
      <c r="S1644" s="4">
        <f t="shared" si="25"/>
        <v>805.98</v>
      </c>
    </row>
    <row r="1645" spans="1:19">
      <c r="A1645" t="s">
        <v>2449</v>
      </c>
      <c r="B1645" s="3">
        <v>45547</v>
      </c>
      <c r="C1645" t="s">
        <v>827</v>
      </c>
      <c r="D1645" t="s">
        <v>400</v>
      </c>
      <c r="E1645" t="s">
        <v>149</v>
      </c>
      <c r="F1645">
        <v>4</v>
      </c>
      <c r="G1645" t="s">
        <v>33</v>
      </c>
      <c r="H1645">
        <v>60</v>
      </c>
      <c r="I1645" s="12" t="s">
        <v>34</v>
      </c>
      <c r="J1645" s="12" t="s">
        <v>360</v>
      </c>
      <c r="K1645" s="12" t="s">
        <v>52</v>
      </c>
      <c r="L1645" s="12" t="s">
        <v>401</v>
      </c>
      <c r="M1645" s="12" t="s">
        <v>75</v>
      </c>
      <c r="N1645" s="14">
        <v>0.27</v>
      </c>
      <c r="O1645" s="23">
        <v>292.31</v>
      </c>
      <c r="P1645">
        <v>176.07</v>
      </c>
      <c r="Q1645" s="12" t="str" cm="1">
        <f t="array" ref="Q1645:R1645">VLOOKUP(E1645,store[],{3,5},FALSE)</f>
        <v>East</v>
      </c>
      <c r="R1645" t="str">
        <v>Flagship</v>
      </c>
      <c r="S1645" s="4">
        <f t="shared" si="25"/>
        <v>1168.1600000000001</v>
      </c>
    </row>
    <row r="1646" spans="1:19">
      <c r="A1646" t="s">
        <v>2450</v>
      </c>
      <c r="B1646" s="3">
        <v>45806</v>
      </c>
      <c r="C1646" t="s">
        <v>233</v>
      </c>
      <c r="D1646" t="s">
        <v>868</v>
      </c>
      <c r="E1646" t="s">
        <v>168</v>
      </c>
      <c r="F1646">
        <v>1</v>
      </c>
      <c r="G1646" t="s">
        <v>23</v>
      </c>
      <c r="H1646">
        <v>59</v>
      </c>
      <c r="I1646" s="12" t="s">
        <v>34</v>
      </c>
      <c r="J1646" s="12" t="s">
        <v>235</v>
      </c>
      <c r="K1646" s="12" t="s">
        <v>52</v>
      </c>
      <c r="L1646" s="12" t="s">
        <v>869</v>
      </c>
      <c r="M1646" s="12" t="s">
        <v>130</v>
      </c>
      <c r="N1646" s="14">
        <v>0.11</v>
      </c>
      <c r="O1646" s="23">
        <v>948.33</v>
      </c>
      <c r="P1646">
        <v>254.62086956521699</v>
      </c>
      <c r="Q1646" s="12" t="str" cm="1">
        <f t="array" ref="Q1646:R1646">VLOOKUP(E1646,store[],{3,5},FALSE)</f>
        <v>East</v>
      </c>
      <c r="R1646" t="str">
        <v>Online</v>
      </c>
      <c r="S1646" s="4">
        <f t="shared" si="25"/>
        <v>948.22</v>
      </c>
    </row>
    <row r="1647" spans="1:19">
      <c r="A1647" t="s">
        <v>2451</v>
      </c>
      <c r="B1647" s="3">
        <v>45294</v>
      </c>
      <c r="C1647" t="s">
        <v>497</v>
      </c>
      <c r="D1647" t="s">
        <v>104</v>
      </c>
      <c r="E1647" t="s">
        <v>58</v>
      </c>
      <c r="F1647">
        <v>1</v>
      </c>
      <c r="G1647" t="s">
        <v>50</v>
      </c>
      <c r="H1647">
        <v>38</v>
      </c>
      <c r="I1647" s="12" t="s">
        <v>24</v>
      </c>
      <c r="J1647" s="12" t="s">
        <v>498</v>
      </c>
      <c r="K1647" s="12" t="s">
        <v>73</v>
      </c>
      <c r="L1647" s="12" t="s">
        <v>107</v>
      </c>
      <c r="M1647" s="12" t="s">
        <v>37</v>
      </c>
      <c r="N1647" s="14">
        <v>0.17</v>
      </c>
      <c r="O1647" s="23">
        <v>702.27</v>
      </c>
      <c r="P1647">
        <v>326.06</v>
      </c>
      <c r="Q1647" s="12" t="str" cm="1">
        <f t="array" ref="Q1647:R1647">VLOOKUP(E1647,store[],{3,5},FALSE)</f>
        <v>North</v>
      </c>
      <c r="R1647" t="str">
        <v>Outlet</v>
      </c>
      <c r="S1647" s="4">
        <f t="shared" si="25"/>
        <v>702.1</v>
      </c>
    </row>
    <row r="1648" spans="1:19">
      <c r="A1648" t="s">
        <v>2452</v>
      </c>
      <c r="B1648" s="3">
        <v>45875</v>
      </c>
      <c r="C1648" t="s">
        <v>442</v>
      </c>
      <c r="D1648" t="s">
        <v>271</v>
      </c>
      <c r="E1648" t="s">
        <v>22</v>
      </c>
      <c r="F1648">
        <v>2</v>
      </c>
      <c r="G1648" t="s">
        <v>23</v>
      </c>
      <c r="H1648">
        <v>21</v>
      </c>
      <c r="I1648" s="12" t="s">
        <v>24</v>
      </c>
      <c r="J1648" s="12" t="s">
        <v>444</v>
      </c>
      <c r="K1648" s="12" t="s">
        <v>52</v>
      </c>
      <c r="L1648" s="12" t="s">
        <v>273</v>
      </c>
      <c r="M1648" s="12" t="s">
        <v>75</v>
      </c>
      <c r="N1648" s="14">
        <v>0.26</v>
      </c>
      <c r="O1648" s="23">
        <v>379.28</v>
      </c>
      <c r="P1648">
        <v>19.52</v>
      </c>
      <c r="Q1648" s="12" t="str" cm="1">
        <f t="array" ref="Q1648:R1648">VLOOKUP(E1648,store[],{3,5},FALSE)</f>
        <v>North</v>
      </c>
      <c r="R1648" t="str">
        <v>Outlet</v>
      </c>
      <c r="S1648" s="4">
        <f t="shared" si="25"/>
        <v>758.04</v>
      </c>
    </row>
    <row r="1649" spans="1:19">
      <c r="A1649" t="s">
        <v>2453</v>
      </c>
      <c r="B1649" s="3">
        <v>45669</v>
      </c>
      <c r="C1649" t="s">
        <v>2454</v>
      </c>
      <c r="D1649" t="s">
        <v>302</v>
      </c>
      <c r="E1649" t="s">
        <v>90</v>
      </c>
      <c r="F1649">
        <v>4</v>
      </c>
      <c r="G1649" t="s">
        <v>23</v>
      </c>
      <c r="H1649">
        <v>57</v>
      </c>
      <c r="I1649" s="12" t="s">
        <v>34</v>
      </c>
      <c r="J1649" s="12" t="s">
        <v>308</v>
      </c>
      <c r="K1649" s="12" t="s">
        <v>26</v>
      </c>
      <c r="L1649" s="12" t="s">
        <v>303</v>
      </c>
      <c r="M1649" s="12" t="s">
        <v>46</v>
      </c>
      <c r="N1649" s="14">
        <v>0.15</v>
      </c>
      <c r="O1649" s="23">
        <v>92.35</v>
      </c>
      <c r="P1649">
        <v>255.04901960784301</v>
      </c>
      <c r="Q1649" s="12" t="str" cm="1">
        <f t="array" ref="Q1649:R1649">VLOOKUP(E1649,store[],{3,5},FALSE)</f>
        <v>East</v>
      </c>
      <c r="R1649" t="str">
        <v>Flagship</v>
      </c>
      <c r="S1649" s="4">
        <f t="shared" si="25"/>
        <v>368.8</v>
      </c>
    </row>
    <row r="1650" spans="1:19">
      <c r="A1650" t="s">
        <v>2455</v>
      </c>
      <c r="B1650" s="3">
        <v>45606</v>
      </c>
      <c r="C1650" t="s">
        <v>785</v>
      </c>
      <c r="D1650" t="s">
        <v>104</v>
      </c>
      <c r="E1650" t="s">
        <v>208</v>
      </c>
      <c r="F1650">
        <v>4</v>
      </c>
      <c r="G1650" t="s">
        <v>23</v>
      </c>
      <c r="H1650">
        <v>47</v>
      </c>
      <c r="I1650" s="12" t="s">
        <v>34</v>
      </c>
      <c r="J1650" s="12" t="s">
        <v>204</v>
      </c>
      <c r="K1650" s="12" t="s">
        <v>26</v>
      </c>
      <c r="L1650" s="12" t="s">
        <v>107</v>
      </c>
      <c r="M1650" s="12" t="s">
        <v>37</v>
      </c>
      <c r="N1650" s="14">
        <v>0.21</v>
      </c>
      <c r="O1650" s="23">
        <v>721.54</v>
      </c>
      <c r="P1650">
        <v>326.06</v>
      </c>
      <c r="Q1650" s="12" t="str" cm="1">
        <f t="array" ref="Q1650:R1650">VLOOKUP(E1650,store[],{3,5},FALSE)</f>
        <v>North</v>
      </c>
      <c r="R1650" t="str">
        <v>Online</v>
      </c>
      <c r="S1650" s="4">
        <f t="shared" si="25"/>
        <v>2885.32</v>
      </c>
    </row>
    <row r="1651" spans="1:19">
      <c r="A1651" t="s">
        <v>2456</v>
      </c>
      <c r="B1651" s="3">
        <v>45787</v>
      </c>
      <c r="C1651" t="s">
        <v>1042</v>
      </c>
      <c r="D1651" t="s">
        <v>340</v>
      </c>
      <c r="E1651" t="s">
        <v>127</v>
      </c>
      <c r="F1651">
        <v>1</v>
      </c>
      <c r="G1651" t="s">
        <v>23</v>
      </c>
      <c r="H1651">
        <v>37</v>
      </c>
      <c r="I1651" s="12" t="s">
        <v>34</v>
      </c>
      <c r="J1651" s="12" t="s">
        <v>209</v>
      </c>
      <c r="K1651" s="12" t="s">
        <v>26</v>
      </c>
      <c r="L1651" s="12" t="s">
        <v>341</v>
      </c>
      <c r="M1651" s="12" t="s">
        <v>28</v>
      </c>
      <c r="N1651" s="14">
        <v>0.14000000000000001</v>
      </c>
      <c r="O1651" s="23">
        <v>228.69</v>
      </c>
      <c r="P1651">
        <v>135.61000000000001</v>
      </c>
      <c r="Q1651" s="12" t="str" cm="1">
        <f t="array" ref="Q1651:R1651">VLOOKUP(E1651,store[],{3,5},FALSE)</f>
        <v>South</v>
      </c>
      <c r="R1651" t="str">
        <v>Flagship</v>
      </c>
      <c r="S1651" s="4">
        <f t="shared" si="25"/>
        <v>228.55</v>
      </c>
    </row>
    <row r="1652" spans="1:19">
      <c r="A1652" t="s">
        <v>2457</v>
      </c>
      <c r="B1652" s="3">
        <v>45929</v>
      </c>
      <c r="C1652" t="s">
        <v>1453</v>
      </c>
      <c r="D1652" t="s">
        <v>207</v>
      </c>
      <c r="E1652" t="s">
        <v>168</v>
      </c>
      <c r="F1652">
        <v>1</v>
      </c>
      <c r="G1652" t="s">
        <v>33</v>
      </c>
      <c r="H1652">
        <v>20</v>
      </c>
      <c r="I1652" s="12" t="s">
        <v>24</v>
      </c>
      <c r="J1652" s="12" t="s">
        <v>91</v>
      </c>
      <c r="K1652" s="12" t="s">
        <v>26</v>
      </c>
      <c r="L1652" s="12" t="s">
        <v>210</v>
      </c>
      <c r="M1652" s="12" t="s">
        <v>130</v>
      </c>
      <c r="N1652" s="14">
        <v>0.2</v>
      </c>
      <c r="O1652" s="23">
        <v>899.09</v>
      </c>
      <c r="P1652">
        <v>386.56</v>
      </c>
      <c r="Q1652" s="12" t="str" cm="1">
        <f t="array" ref="Q1652:R1652">VLOOKUP(E1652,store[],{3,5},FALSE)</f>
        <v>East</v>
      </c>
      <c r="R1652" t="str">
        <v>Online</v>
      </c>
      <c r="S1652" s="4">
        <f t="shared" si="25"/>
        <v>898.89</v>
      </c>
    </row>
    <row r="1653" spans="1:19">
      <c r="A1653" t="s">
        <v>2458</v>
      </c>
      <c r="B1653" s="3">
        <v>45379</v>
      </c>
      <c r="C1653" t="s">
        <v>1097</v>
      </c>
      <c r="D1653" t="s">
        <v>484</v>
      </c>
      <c r="E1653" t="s">
        <v>43</v>
      </c>
      <c r="F1653">
        <v>4</v>
      </c>
      <c r="G1653" t="s">
        <v>23</v>
      </c>
      <c r="H1653">
        <v>52</v>
      </c>
      <c r="I1653" s="12" t="s">
        <v>34</v>
      </c>
      <c r="J1653" s="12" t="s">
        <v>106</v>
      </c>
      <c r="K1653" s="12" t="s">
        <v>73</v>
      </c>
      <c r="L1653" s="12" t="s">
        <v>485</v>
      </c>
      <c r="M1653" s="12" t="s">
        <v>37</v>
      </c>
      <c r="N1653" s="14">
        <v>0.17</v>
      </c>
      <c r="O1653" s="23">
        <v>195.75</v>
      </c>
      <c r="P1653">
        <v>439.07</v>
      </c>
      <c r="Q1653" s="12" t="str" cm="1">
        <f t="array" ref="Q1653:R1653">VLOOKUP(E1653,store[],{3,5},FALSE)</f>
        <v>West</v>
      </c>
      <c r="R1653" t="str">
        <v>Online</v>
      </c>
      <c r="S1653" s="4">
        <f t="shared" si="25"/>
        <v>782.32</v>
      </c>
    </row>
    <row r="1654" spans="1:19">
      <c r="A1654" t="s">
        <v>2459</v>
      </c>
      <c r="B1654" s="3">
        <v>45532</v>
      </c>
      <c r="C1654" t="s">
        <v>1770</v>
      </c>
      <c r="D1654" t="s">
        <v>317</v>
      </c>
      <c r="E1654" t="s">
        <v>122</v>
      </c>
      <c r="F1654">
        <v>3</v>
      </c>
      <c r="G1654" t="s">
        <v>23</v>
      </c>
      <c r="H1654">
        <v>28</v>
      </c>
      <c r="I1654" s="12" t="s">
        <v>24</v>
      </c>
      <c r="J1654" s="12" t="s">
        <v>256</v>
      </c>
      <c r="K1654" s="12" t="s">
        <v>52</v>
      </c>
      <c r="L1654" s="12" t="s">
        <v>318</v>
      </c>
      <c r="M1654" s="12" t="s">
        <v>37</v>
      </c>
      <c r="N1654" s="14">
        <v>0.24</v>
      </c>
      <c r="O1654" s="23">
        <v>199.13</v>
      </c>
      <c r="P1654">
        <v>377.52</v>
      </c>
      <c r="Q1654" s="12" t="str" cm="1">
        <f t="array" ref="Q1654:R1654">VLOOKUP(E1654,store[],{3,5},FALSE)</f>
        <v>North</v>
      </c>
      <c r="R1654" t="str">
        <v>Flagship</v>
      </c>
      <c r="S1654" s="4">
        <f t="shared" si="25"/>
        <v>596.66999999999996</v>
      </c>
    </row>
    <row r="1655" spans="1:19">
      <c r="A1655" t="s">
        <v>2460</v>
      </c>
      <c r="B1655" s="3">
        <v>45466</v>
      </c>
      <c r="C1655" t="s">
        <v>1155</v>
      </c>
      <c r="D1655" t="s">
        <v>443</v>
      </c>
      <c r="E1655" t="s">
        <v>98</v>
      </c>
      <c r="F1655">
        <v>2</v>
      </c>
      <c r="G1655" t="s">
        <v>23</v>
      </c>
      <c r="H1655">
        <v>41</v>
      </c>
      <c r="I1655" s="12" t="s">
        <v>34</v>
      </c>
      <c r="J1655" s="12" t="s">
        <v>256</v>
      </c>
      <c r="K1655" s="12" t="s">
        <v>52</v>
      </c>
      <c r="L1655" s="12" t="s">
        <v>445</v>
      </c>
      <c r="M1655" s="12" t="s">
        <v>28</v>
      </c>
      <c r="N1655" s="14">
        <v>0.18</v>
      </c>
      <c r="O1655" s="23">
        <v>833.62</v>
      </c>
      <c r="P1655">
        <v>484.62</v>
      </c>
      <c r="Q1655" s="12" t="str" cm="1">
        <f t="array" ref="Q1655:R1655">VLOOKUP(E1655,store[],{3,5},FALSE)</f>
        <v>South</v>
      </c>
      <c r="R1655" t="str">
        <v>Outlet</v>
      </c>
      <c r="S1655" s="4">
        <f t="shared" si="25"/>
        <v>1666.88</v>
      </c>
    </row>
    <row r="1656" spans="1:19">
      <c r="A1656" t="s">
        <v>2461</v>
      </c>
      <c r="B1656" s="3">
        <v>45395</v>
      </c>
      <c r="C1656" t="s">
        <v>799</v>
      </c>
      <c r="D1656" t="s">
        <v>213</v>
      </c>
      <c r="E1656" t="s">
        <v>90</v>
      </c>
      <c r="F1656">
        <v>1</v>
      </c>
      <c r="G1656" t="s">
        <v>23</v>
      </c>
      <c r="H1656">
        <v>32</v>
      </c>
      <c r="I1656" s="12" t="s">
        <v>24</v>
      </c>
      <c r="J1656" s="12" t="s">
        <v>463</v>
      </c>
      <c r="K1656" s="12" t="s">
        <v>73</v>
      </c>
      <c r="L1656" s="12" t="s">
        <v>215</v>
      </c>
      <c r="M1656" s="12" t="s">
        <v>130</v>
      </c>
      <c r="N1656" s="14">
        <v>0.14000000000000001</v>
      </c>
      <c r="O1656" s="23">
        <v>676.26</v>
      </c>
      <c r="P1656">
        <v>158.13999999999999</v>
      </c>
      <c r="Q1656" s="12" t="str" cm="1">
        <f t="array" ref="Q1656:R1656">VLOOKUP(E1656,store[],{3,5},FALSE)</f>
        <v>East</v>
      </c>
      <c r="R1656" t="str">
        <v>Flagship</v>
      </c>
      <c r="S1656" s="4">
        <f t="shared" si="25"/>
        <v>676.12</v>
      </c>
    </row>
    <row r="1657" spans="1:19">
      <c r="A1657" t="s">
        <v>2462</v>
      </c>
      <c r="B1657" s="3">
        <v>45708</v>
      </c>
      <c r="C1657" t="s">
        <v>1183</v>
      </c>
      <c r="D1657" t="s">
        <v>148</v>
      </c>
      <c r="E1657" t="s">
        <v>127</v>
      </c>
      <c r="F1657">
        <v>2</v>
      </c>
      <c r="G1657" t="s">
        <v>23</v>
      </c>
      <c r="H1657">
        <v>48</v>
      </c>
      <c r="I1657" s="12" t="s">
        <v>34</v>
      </c>
      <c r="J1657" s="12" t="s">
        <v>251</v>
      </c>
      <c r="K1657" s="12" t="s">
        <v>26</v>
      </c>
      <c r="L1657" s="12" t="s">
        <v>150</v>
      </c>
      <c r="M1657" s="12" t="s">
        <v>46</v>
      </c>
      <c r="N1657" s="14">
        <v>0.06</v>
      </c>
      <c r="O1657" s="23">
        <v>666.49</v>
      </c>
      <c r="P1657">
        <v>482.75</v>
      </c>
      <c r="Q1657" s="12" t="str" cm="1">
        <f t="array" ref="Q1657:R1657">VLOOKUP(E1657,store[],{3,5},FALSE)</f>
        <v>South</v>
      </c>
      <c r="R1657" t="str">
        <v>Flagship</v>
      </c>
      <c r="S1657" s="4">
        <f t="shared" si="25"/>
        <v>1332.86</v>
      </c>
    </row>
    <row r="1658" spans="1:19">
      <c r="A1658" t="s">
        <v>2463</v>
      </c>
      <c r="B1658" s="3">
        <v>45735</v>
      </c>
      <c r="C1658" t="s">
        <v>2464</v>
      </c>
      <c r="D1658" t="s">
        <v>65</v>
      </c>
      <c r="E1658" t="s">
        <v>72</v>
      </c>
      <c r="F1658">
        <v>3</v>
      </c>
      <c r="G1658" t="s">
        <v>50</v>
      </c>
      <c r="H1658">
        <v>35</v>
      </c>
      <c r="I1658" s="12" t="s">
        <v>24</v>
      </c>
      <c r="J1658" s="12" t="s">
        <v>106</v>
      </c>
      <c r="K1658" s="12" t="s">
        <v>26</v>
      </c>
      <c r="L1658" s="12" t="s">
        <v>68</v>
      </c>
      <c r="M1658" s="12" t="s">
        <v>37</v>
      </c>
      <c r="N1658" s="14">
        <v>0.28000000000000003</v>
      </c>
      <c r="O1658" s="23">
        <v>471.19</v>
      </c>
      <c r="P1658">
        <v>465.34</v>
      </c>
      <c r="Q1658" s="12" t="str" cm="1">
        <f t="array" ref="Q1658:R1658">VLOOKUP(E1658,store[],{3,5},FALSE)</f>
        <v>South</v>
      </c>
      <c r="R1658" t="str">
        <v>Online</v>
      </c>
      <c r="S1658" s="4">
        <f t="shared" si="25"/>
        <v>1412.73</v>
      </c>
    </row>
    <row r="1659" spans="1:19">
      <c r="A1659" t="s">
        <v>2465</v>
      </c>
      <c r="B1659" s="3">
        <v>45237</v>
      </c>
      <c r="C1659" t="s">
        <v>452</v>
      </c>
      <c r="D1659" t="s">
        <v>484</v>
      </c>
      <c r="E1659" t="s">
        <v>22</v>
      </c>
      <c r="F1659">
        <v>4</v>
      </c>
      <c r="G1659" t="s">
        <v>50</v>
      </c>
      <c r="H1659">
        <v>40</v>
      </c>
      <c r="I1659" s="12" t="s">
        <v>24</v>
      </c>
      <c r="J1659" s="12" t="s">
        <v>51</v>
      </c>
      <c r="K1659" s="12" t="s">
        <v>73</v>
      </c>
      <c r="L1659" s="12" t="s">
        <v>485</v>
      </c>
      <c r="M1659" s="12" t="s">
        <v>37</v>
      </c>
      <c r="N1659" s="14">
        <v>0.25</v>
      </c>
      <c r="O1659" s="23">
        <v>555.65</v>
      </c>
      <c r="P1659">
        <v>439.07</v>
      </c>
      <c r="Q1659" s="12" t="str" cm="1">
        <f t="array" ref="Q1659:R1659">VLOOKUP(E1659,store[],{3,5},FALSE)</f>
        <v>North</v>
      </c>
      <c r="R1659" t="str">
        <v>Outlet</v>
      </c>
      <c r="S1659" s="4">
        <f t="shared" si="25"/>
        <v>2221.6</v>
      </c>
    </row>
    <row r="1660" spans="1:19">
      <c r="A1660" t="s">
        <v>2466</v>
      </c>
      <c r="B1660" s="3">
        <v>45282</v>
      </c>
      <c r="C1660" t="s">
        <v>351</v>
      </c>
      <c r="D1660" t="s">
        <v>1126</v>
      </c>
      <c r="E1660" t="s">
        <v>98</v>
      </c>
      <c r="F1660">
        <v>2</v>
      </c>
      <c r="G1660" t="s">
        <v>23</v>
      </c>
      <c r="H1660">
        <v>52</v>
      </c>
      <c r="I1660" s="12" t="s">
        <v>24</v>
      </c>
      <c r="J1660" s="12" t="s">
        <v>188</v>
      </c>
      <c r="K1660" s="12" t="s">
        <v>60</v>
      </c>
      <c r="L1660" s="12" t="s">
        <v>1127</v>
      </c>
      <c r="M1660" s="12" t="s">
        <v>28</v>
      </c>
      <c r="N1660" s="14">
        <v>0.06</v>
      </c>
      <c r="O1660" s="23">
        <v>100.42</v>
      </c>
      <c r="P1660">
        <v>60.65</v>
      </c>
      <c r="Q1660" s="12" t="str" cm="1">
        <f t="array" ref="Q1660:R1660">VLOOKUP(E1660,store[],{3,5},FALSE)</f>
        <v>South</v>
      </c>
      <c r="R1660" t="str">
        <v>Outlet</v>
      </c>
      <c r="S1660" s="4">
        <f t="shared" si="25"/>
        <v>200.72</v>
      </c>
    </row>
    <row r="1661" spans="1:19">
      <c r="A1661" t="s">
        <v>2467</v>
      </c>
      <c r="B1661" s="3">
        <v>45337</v>
      </c>
      <c r="C1661" t="s">
        <v>1000</v>
      </c>
      <c r="D1661" t="s">
        <v>187</v>
      </c>
      <c r="E1661" t="s">
        <v>160</v>
      </c>
      <c r="F1661">
        <v>3</v>
      </c>
      <c r="G1661" t="s">
        <v>50</v>
      </c>
      <c r="H1661">
        <v>61</v>
      </c>
      <c r="I1661" s="12" t="s">
        <v>34</v>
      </c>
      <c r="J1661" s="12" t="s">
        <v>932</v>
      </c>
      <c r="K1661" s="12" t="s">
        <v>26</v>
      </c>
      <c r="L1661" s="12" t="s">
        <v>189</v>
      </c>
      <c r="M1661" s="12" t="s">
        <v>37</v>
      </c>
      <c r="N1661" s="14">
        <v>0.05</v>
      </c>
      <c r="O1661" s="23">
        <v>981.69</v>
      </c>
      <c r="P1661">
        <v>431.67</v>
      </c>
      <c r="Q1661" s="12" t="str" cm="1">
        <f t="array" ref="Q1661:R1661">VLOOKUP(E1661,store[],{3,5},FALSE)</f>
        <v>East</v>
      </c>
      <c r="R1661" t="str">
        <v>Flagship</v>
      </c>
      <c r="S1661" s="4">
        <f t="shared" si="25"/>
        <v>2944.92</v>
      </c>
    </row>
    <row r="1662" spans="1:19">
      <c r="A1662" t="s">
        <v>2468</v>
      </c>
      <c r="B1662" s="3">
        <v>45310</v>
      </c>
      <c r="C1662" t="s">
        <v>388</v>
      </c>
      <c r="D1662" t="s">
        <v>234</v>
      </c>
      <c r="E1662" t="s">
        <v>117</v>
      </c>
      <c r="F1662">
        <v>2</v>
      </c>
      <c r="G1662" t="s">
        <v>50</v>
      </c>
      <c r="H1662">
        <v>62</v>
      </c>
      <c r="I1662" s="12" t="s">
        <v>34</v>
      </c>
      <c r="J1662" s="12" t="s">
        <v>161</v>
      </c>
      <c r="K1662" s="12" t="s">
        <v>73</v>
      </c>
      <c r="L1662" s="12" t="s">
        <v>236</v>
      </c>
      <c r="M1662" s="12" t="s">
        <v>75</v>
      </c>
      <c r="N1662" s="14">
        <v>0.09</v>
      </c>
      <c r="O1662" s="23">
        <v>848.87</v>
      </c>
      <c r="P1662">
        <v>298.86</v>
      </c>
      <c r="Q1662" s="12" t="str" cm="1">
        <f t="array" ref="Q1662:R1662">VLOOKUP(E1662,store[],{3,5},FALSE)</f>
        <v>West</v>
      </c>
      <c r="R1662" t="str">
        <v>Flagship</v>
      </c>
      <c r="S1662" s="4">
        <f t="shared" si="25"/>
        <v>1697.56</v>
      </c>
    </row>
    <row r="1663" spans="1:19">
      <c r="A1663" t="s">
        <v>2469</v>
      </c>
      <c r="B1663" s="3">
        <v>45230</v>
      </c>
      <c r="C1663" t="s">
        <v>1873</v>
      </c>
      <c r="D1663" t="s">
        <v>1259</v>
      </c>
      <c r="E1663" t="s">
        <v>168</v>
      </c>
      <c r="F1663">
        <v>3</v>
      </c>
      <c r="G1663" t="s">
        <v>33</v>
      </c>
      <c r="H1663">
        <v>26</v>
      </c>
      <c r="I1663" s="12" t="s">
        <v>24</v>
      </c>
      <c r="J1663" s="12" t="s">
        <v>510</v>
      </c>
      <c r="K1663" s="12" t="s">
        <v>52</v>
      </c>
      <c r="L1663" s="12" t="s">
        <v>1260</v>
      </c>
      <c r="M1663" s="12" t="s">
        <v>130</v>
      </c>
      <c r="N1663" s="14">
        <v>0</v>
      </c>
      <c r="O1663" s="23">
        <v>582.32000000000005</v>
      </c>
      <c r="P1663">
        <v>358.47</v>
      </c>
      <c r="Q1663" s="12" t="str" cm="1">
        <f t="array" ref="Q1663:R1663">VLOOKUP(E1663,store[],{3,5},FALSE)</f>
        <v>East</v>
      </c>
      <c r="R1663" t="str">
        <v>Online</v>
      </c>
      <c r="S1663" s="4">
        <f t="shared" si="25"/>
        <v>1746.96</v>
      </c>
    </row>
    <row r="1664" spans="1:19">
      <c r="A1664" t="s">
        <v>2470</v>
      </c>
      <c r="B1664" s="3">
        <v>45341</v>
      </c>
      <c r="C1664" t="s">
        <v>527</v>
      </c>
      <c r="D1664" t="s">
        <v>42</v>
      </c>
      <c r="E1664" t="s">
        <v>32</v>
      </c>
      <c r="F1664">
        <v>2</v>
      </c>
      <c r="G1664" t="s">
        <v>50</v>
      </c>
      <c r="H1664">
        <v>44</v>
      </c>
      <c r="I1664" s="12" t="s">
        <v>34</v>
      </c>
      <c r="J1664" s="12" t="s">
        <v>260</v>
      </c>
      <c r="K1664" s="12" t="s">
        <v>52</v>
      </c>
      <c r="L1664" s="12" t="s">
        <v>45</v>
      </c>
      <c r="M1664" s="12" t="s">
        <v>46</v>
      </c>
      <c r="N1664" s="14">
        <v>0.24</v>
      </c>
      <c r="O1664" s="23">
        <v>869.43</v>
      </c>
      <c r="P1664">
        <v>43.29</v>
      </c>
      <c r="Q1664" s="12" t="str" cm="1">
        <f t="array" ref="Q1664:R1664">VLOOKUP(E1664,store[],{3,5},FALSE)</f>
        <v>North</v>
      </c>
      <c r="R1664" t="str">
        <v>Flagship</v>
      </c>
      <c r="S1664" s="4">
        <f t="shared" si="25"/>
        <v>1738.38</v>
      </c>
    </row>
    <row r="1665" spans="1:19">
      <c r="A1665" t="s">
        <v>2471</v>
      </c>
      <c r="B1665" s="3">
        <v>45440</v>
      </c>
      <c r="C1665" t="s">
        <v>2097</v>
      </c>
      <c r="D1665" t="s">
        <v>420</v>
      </c>
      <c r="E1665" t="s">
        <v>72</v>
      </c>
      <c r="F1665">
        <v>1</v>
      </c>
      <c r="G1665" t="s">
        <v>50</v>
      </c>
      <c r="H1665">
        <v>36</v>
      </c>
      <c r="I1665" s="12" t="s">
        <v>34</v>
      </c>
      <c r="J1665" s="12" t="s">
        <v>169</v>
      </c>
      <c r="K1665" s="12" t="s">
        <v>26</v>
      </c>
      <c r="L1665" s="12" t="s">
        <v>421</v>
      </c>
      <c r="M1665" s="12" t="s">
        <v>28</v>
      </c>
      <c r="N1665" s="14">
        <v>0.03</v>
      </c>
      <c r="O1665" s="23">
        <v>62.26</v>
      </c>
      <c r="P1665">
        <v>434.84</v>
      </c>
      <c r="Q1665" s="12" t="str" cm="1">
        <f t="array" ref="Q1665:R1665">VLOOKUP(E1665,store[],{3,5},FALSE)</f>
        <v>South</v>
      </c>
      <c r="R1665" t="str">
        <v>Online</v>
      </c>
      <c r="S1665" s="4">
        <f t="shared" si="25"/>
        <v>62.23</v>
      </c>
    </row>
    <row r="1666" spans="1:19">
      <c r="A1666" t="s">
        <v>2472</v>
      </c>
      <c r="B1666" s="3">
        <v>45798</v>
      </c>
      <c r="C1666" t="s">
        <v>78</v>
      </c>
      <c r="D1666" t="s">
        <v>104</v>
      </c>
      <c r="E1666" t="s">
        <v>98</v>
      </c>
      <c r="F1666">
        <v>3</v>
      </c>
      <c r="G1666" t="s">
        <v>50</v>
      </c>
      <c r="H1666">
        <v>41</v>
      </c>
      <c r="I1666" s="12" t="s">
        <v>34</v>
      </c>
      <c r="J1666" s="12" t="s">
        <v>80</v>
      </c>
      <c r="K1666" s="12" t="s">
        <v>52</v>
      </c>
      <c r="L1666" s="12" t="s">
        <v>107</v>
      </c>
      <c r="M1666" s="12" t="s">
        <v>37</v>
      </c>
      <c r="N1666" s="14">
        <v>0.04</v>
      </c>
      <c r="O1666" s="23">
        <v>343.97</v>
      </c>
      <c r="P1666">
        <v>326.06</v>
      </c>
      <c r="Q1666" s="12" t="str" cm="1">
        <f t="array" ref="Q1666:R1666">VLOOKUP(E1666,store[],{3,5},FALSE)</f>
        <v>South</v>
      </c>
      <c r="R1666" t="str">
        <v>Outlet</v>
      </c>
      <c r="S1666" s="4">
        <f t="shared" ref="S1666:S1729" si="26">(O1666-N1666)*F1666</f>
        <v>1031.79</v>
      </c>
    </row>
    <row r="1667" spans="1:19">
      <c r="A1667" t="s">
        <v>2473</v>
      </c>
      <c r="B1667" s="3">
        <v>45293</v>
      </c>
      <c r="C1667" t="s">
        <v>386</v>
      </c>
      <c r="D1667" t="s">
        <v>97</v>
      </c>
      <c r="E1667" t="s">
        <v>208</v>
      </c>
      <c r="F1667">
        <v>3</v>
      </c>
      <c r="G1667" t="s">
        <v>23</v>
      </c>
      <c r="H1667">
        <v>23</v>
      </c>
      <c r="I1667" s="12" t="s">
        <v>34</v>
      </c>
      <c r="J1667" s="12" t="s">
        <v>373</v>
      </c>
      <c r="K1667" s="12" t="s">
        <v>52</v>
      </c>
      <c r="L1667" s="12" t="s">
        <v>100</v>
      </c>
      <c r="M1667" s="12" t="s">
        <v>28</v>
      </c>
      <c r="N1667" s="14">
        <v>0.11</v>
      </c>
      <c r="O1667" s="23">
        <v>304.67</v>
      </c>
      <c r="P1667">
        <v>166.06</v>
      </c>
      <c r="Q1667" s="12" t="str" cm="1">
        <f t="array" ref="Q1667:R1667">VLOOKUP(E1667,store[],{3,5},FALSE)</f>
        <v>North</v>
      </c>
      <c r="R1667" t="str">
        <v>Online</v>
      </c>
      <c r="S1667" s="4">
        <f t="shared" si="26"/>
        <v>913.68</v>
      </c>
    </row>
    <row r="1668" spans="1:19">
      <c r="A1668" t="s">
        <v>2474</v>
      </c>
      <c r="B1668" s="3">
        <v>45296</v>
      </c>
      <c r="C1668" t="s">
        <v>1152</v>
      </c>
      <c r="D1668" t="s">
        <v>139</v>
      </c>
      <c r="E1668" t="s">
        <v>127</v>
      </c>
      <c r="F1668">
        <v>4</v>
      </c>
      <c r="G1668" t="s">
        <v>33</v>
      </c>
      <c r="H1668">
        <v>63</v>
      </c>
      <c r="I1668" s="12" t="s">
        <v>34</v>
      </c>
      <c r="J1668" s="12" t="s">
        <v>444</v>
      </c>
      <c r="K1668" s="12" t="s">
        <v>52</v>
      </c>
      <c r="L1668" s="12" t="s">
        <v>141</v>
      </c>
      <c r="M1668" s="12" t="s">
        <v>75</v>
      </c>
      <c r="N1668" s="14">
        <v>0.01</v>
      </c>
      <c r="O1668" s="23">
        <v>208.34</v>
      </c>
      <c r="P1668">
        <v>250.02157142857101</v>
      </c>
      <c r="Q1668" s="12" t="str" cm="1">
        <f t="array" ref="Q1668:R1668">VLOOKUP(E1668,store[],{3,5},FALSE)</f>
        <v>South</v>
      </c>
      <c r="R1668" t="str">
        <v>Flagship</v>
      </c>
      <c r="S1668" s="4">
        <f t="shared" si="26"/>
        <v>833.32</v>
      </c>
    </row>
    <row r="1669" spans="1:19">
      <c r="A1669" t="s">
        <v>2475</v>
      </c>
      <c r="B1669" s="3">
        <v>45860</v>
      </c>
      <c r="C1669" t="s">
        <v>794</v>
      </c>
      <c r="D1669" t="s">
        <v>400</v>
      </c>
      <c r="E1669" t="s">
        <v>105</v>
      </c>
      <c r="F1669">
        <v>1</v>
      </c>
      <c r="G1669" t="s">
        <v>50</v>
      </c>
      <c r="H1669">
        <v>47</v>
      </c>
      <c r="I1669" s="12" t="s">
        <v>34</v>
      </c>
      <c r="J1669" s="12" t="s">
        <v>373</v>
      </c>
      <c r="K1669" s="12" t="s">
        <v>60</v>
      </c>
      <c r="L1669" s="12" t="s">
        <v>401</v>
      </c>
      <c r="M1669" s="12" t="s">
        <v>75</v>
      </c>
      <c r="N1669" s="14">
        <v>0.13</v>
      </c>
      <c r="O1669" s="23">
        <v>119.04</v>
      </c>
      <c r="P1669">
        <v>176.07</v>
      </c>
      <c r="Q1669" s="12" t="str" cm="1">
        <f t="array" ref="Q1669:R1669">VLOOKUP(E1669,store[],{3,5},FALSE)</f>
        <v>North</v>
      </c>
      <c r="R1669" t="str">
        <v>Flagship</v>
      </c>
      <c r="S1669" s="4">
        <f t="shared" si="26"/>
        <v>118.91</v>
      </c>
    </row>
    <row r="1670" spans="1:19">
      <c r="A1670" t="s">
        <v>2476</v>
      </c>
      <c r="B1670" s="3">
        <v>45843</v>
      </c>
      <c r="C1670" t="s">
        <v>406</v>
      </c>
      <c r="D1670" t="s">
        <v>275</v>
      </c>
      <c r="E1670" t="s">
        <v>127</v>
      </c>
      <c r="F1670">
        <v>4</v>
      </c>
      <c r="G1670" t="s">
        <v>50</v>
      </c>
      <c r="H1670">
        <v>21</v>
      </c>
      <c r="I1670" s="12" t="s">
        <v>34</v>
      </c>
      <c r="J1670" s="12" t="s">
        <v>51</v>
      </c>
      <c r="K1670" s="12" t="s">
        <v>73</v>
      </c>
      <c r="L1670" s="12" t="s">
        <v>276</v>
      </c>
      <c r="M1670" s="12" t="s">
        <v>28</v>
      </c>
      <c r="N1670" s="14">
        <v>0.06</v>
      </c>
      <c r="O1670" s="23">
        <v>791.65</v>
      </c>
      <c r="P1670">
        <v>167.12</v>
      </c>
      <c r="Q1670" s="12" t="str" cm="1">
        <f t="array" ref="Q1670:R1670">VLOOKUP(E1670,store[],{3,5},FALSE)</f>
        <v>South</v>
      </c>
      <c r="R1670" t="str">
        <v>Flagship</v>
      </c>
      <c r="S1670" s="4">
        <f t="shared" si="26"/>
        <v>3166.36</v>
      </c>
    </row>
    <row r="1671" spans="1:19">
      <c r="A1671" t="s">
        <v>2477</v>
      </c>
      <c r="B1671" s="3">
        <v>45862</v>
      </c>
      <c r="C1671" t="s">
        <v>1526</v>
      </c>
      <c r="D1671" t="s">
        <v>480</v>
      </c>
      <c r="E1671" t="s">
        <v>198</v>
      </c>
      <c r="F1671">
        <v>2</v>
      </c>
      <c r="G1671" t="s">
        <v>23</v>
      </c>
      <c r="H1671">
        <v>55</v>
      </c>
      <c r="I1671" s="12" t="s">
        <v>24</v>
      </c>
      <c r="J1671" s="12" t="s">
        <v>510</v>
      </c>
      <c r="K1671" s="12" t="s">
        <v>73</v>
      </c>
      <c r="L1671" s="12" t="s">
        <v>481</v>
      </c>
      <c r="M1671" s="12" t="s">
        <v>75</v>
      </c>
      <c r="N1671" s="14">
        <v>0.23</v>
      </c>
      <c r="O1671" s="23">
        <v>414.86</v>
      </c>
      <c r="P1671">
        <v>48.01</v>
      </c>
      <c r="Q1671" s="12" t="str" cm="1">
        <f t="array" ref="Q1671:R1671">VLOOKUP(E1671,store[],{3,5},FALSE)</f>
        <v>South</v>
      </c>
      <c r="R1671" t="str">
        <v>Outlet</v>
      </c>
      <c r="S1671" s="4">
        <f t="shared" si="26"/>
        <v>829.26</v>
      </c>
    </row>
    <row r="1672" spans="1:19">
      <c r="A1672" t="s">
        <v>2478</v>
      </c>
      <c r="B1672" s="3">
        <v>45385</v>
      </c>
      <c r="C1672" t="s">
        <v>615</v>
      </c>
      <c r="D1672" t="s">
        <v>340</v>
      </c>
      <c r="E1672" t="s">
        <v>208</v>
      </c>
      <c r="F1672">
        <v>2</v>
      </c>
      <c r="G1672" t="s">
        <v>33</v>
      </c>
      <c r="H1672">
        <v>59</v>
      </c>
      <c r="I1672" s="12" t="s">
        <v>24</v>
      </c>
      <c r="J1672" s="12" t="s">
        <v>345</v>
      </c>
      <c r="K1672" s="12" t="s">
        <v>26</v>
      </c>
      <c r="L1672" s="12" t="s">
        <v>341</v>
      </c>
      <c r="M1672" s="12" t="s">
        <v>28</v>
      </c>
      <c r="N1672" s="14">
        <v>0.28000000000000003</v>
      </c>
      <c r="O1672" s="23">
        <v>960.81</v>
      </c>
      <c r="P1672">
        <v>135.61000000000001</v>
      </c>
      <c r="Q1672" s="12" t="str" cm="1">
        <f t="array" ref="Q1672:R1672">VLOOKUP(E1672,store[],{3,5},FALSE)</f>
        <v>North</v>
      </c>
      <c r="R1672" t="str">
        <v>Online</v>
      </c>
      <c r="S1672" s="4">
        <f t="shared" si="26"/>
        <v>1921.06</v>
      </c>
    </row>
    <row r="1673" spans="1:19">
      <c r="A1673" t="s">
        <v>2479</v>
      </c>
      <c r="B1673" s="3">
        <v>45668</v>
      </c>
      <c r="C1673" t="s">
        <v>1143</v>
      </c>
      <c r="D1673" t="s">
        <v>409</v>
      </c>
      <c r="E1673" t="s">
        <v>72</v>
      </c>
      <c r="F1673">
        <v>4</v>
      </c>
      <c r="G1673" t="s">
        <v>33</v>
      </c>
      <c r="H1673">
        <v>63</v>
      </c>
      <c r="I1673" s="12" t="s">
        <v>34</v>
      </c>
      <c r="J1673" s="12" t="s">
        <v>91</v>
      </c>
      <c r="K1673" s="12" t="s">
        <v>52</v>
      </c>
      <c r="L1673" s="12" t="s">
        <v>411</v>
      </c>
      <c r="M1673" s="12" t="s">
        <v>28</v>
      </c>
      <c r="N1673" s="14">
        <v>0.18</v>
      </c>
      <c r="O1673" s="23">
        <v>943.36</v>
      </c>
      <c r="P1673">
        <v>190.29</v>
      </c>
      <c r="Q1673" s="12" t="str" cm="1">
        <f t="array" ref="Q1673:R1673">VLOOKUP(E1673,store[],{3,5},FALSE)</f>
        <v>South</v>
      </c>
      <c r="R1673" t="str">
        <v>Online</v>
      </c>
      <c r="S1673" s="4">
        <f t="shared" si="26"/>
        <v>3772.72</v>
      </c>
    </row>
    <row r="1674" spans="1:19">
      <c r="A1674" t="s">
        <v>2480</v>
      </c>
      <c r="B1674" s="3">
        <v>45561</v>
      </c>
      <c r="C1674" t="s">
        <v>186</v>
      </c>
      <c r="D1674" t="s">
        <v>414</v>
      </c>
      <c r="E1674" t="s">
        <v>149</v>
      </c>
      <c r="F1674">
        <v>1</v>
      </c>
      <c r="G1674" t="s">
        <v>50</v>
      </c>
      <c r="H1674">
        <v>42</v>
      </c>
      <c r="I1674" s="12" t="s">
        <v>34</v>
      </c>
      <c r="J1674" s="12" t="s">
        <v>188</v>
      </c>
      <c r="K1674" s="12" t="s">
        <v>52</v>
      </c>
      <c r="L1674" s="12" t="s">
        <v>415</v>
      </c>
      <c r="M1674" s="12" t="s">
        <v>130</v>
      </c>
      <c r="N1674" s="14">
        <v>0.26</v>
      </c>
      <c r="O1674" s="23">
        <v>830.42</v>
      </c>
      <c r="P1674">
        <v>364.67</v>
      </c>
      <c r="Q1674" s="12" t="str" cm="1">
        <f t="array" ref="Q1674:R1674">VLOOKUP(E1674,store[],{3,5},FALSE)</f>
        <v>East</v>
      </c>
      <c r="R1674" t="str">
        <v>Flagship</v>
      </c>
      <c r="S1674" s="4">
        <f t="shared" si="26"/>
        <v>830.16</v>
      </c>
    </row>
    <row r="1675" spans="1:19">
      <c r="A1675" t="s">
        <v>2481</v>
      </c>
      <c r="B1675" s="3">
        <v>45637</v>
      </c>
      <c r="C1675" t="s">
        <v>1301</v>
      </c>
      <c r="D1675" t="s">
        <v>178</v>
      </c>
      <c r="E1675" t="s">
        <v>32</v>
      </c>
      <c r="F1675">
        <v>1</v>
      </c>
      <c r="G1675" t="s">
        <v>23</v>
      </c>
      <c r="H1675">
        <v>56</v>
      </c>
      <c r="I1675" s="12" t="s">
        <v>34</v>
      </c>
      <c r="J1675" s="12" t="s">
        <v>609</v>
      </c>
      <c r="K1675" s="12" t="s">
        <v>52</v>
      </c>
      <c r="L1675" s="12" t="s">
        <v>180</v>
      </c>
      <c r="M1675" s="12" t="s">
        <v>37</v>
      </c>
      <c r="N1675" s="14">
        <v>0.19</v>
      </c>
      <c r="O1675" s="23">
        <v>762.55</v>
      </c>
      <c r="P1675">
        <v>349.17</v>
      </c>
      <c r="Q1675" s="12" t="str" cm="1">
        <f t="array" ref="Q1675:R1675">VLOOKUP(E1675,store[],{3,5},FALSE)</f>
        <v>North</v>
      </c>
      <c r="R1675" t="str">
        <v>Flagship</v>
      </c>
      <c r="S1675" s="4">
        <f t="shared" si="26"/>
        <v>762.36</v>
      </c>
    </row>
    <row r="1676" spans="1:19">
      <c r="A1676" t="s">
        <v>2482</v>
      </c>
      <c r="B1676" s="3">
        <v>45839</v>
      </c>
      <c r="C1676" t="s">
        <v>497</v>
      </c>
      <c r="D1676" t="s">
        <v>31</v>
      </c>
      <c r="E1676" t="s">
        <v>160</v>
      </c>
      <c r="F1676">
        <v>2</v>
      </c>
      <c r="G1676" t="s">
        <v>50</v>
      </c>
      <c r="H1676">
        <v>38</v>
      </c>
      <c r="I1676" s="12" t="s">
        <v>24</v>
      </c>
      <c r="J1676" s="12" t="s">
        <v>498</v>
      </c>
      <c r="K1676" s="12" t="s">
        <v>73</v>
      </c>
      <c r="L1676" s="12" t="s">
        <v>36</v>
      </c>
      <c r="M1676" s="12" t="s">
        <v>37</v>
      </c>
      <c r="N1676" s="14">
        <v>0.24</v>
      </c>
      <c r="O1676" s="23">
        <v>464.43</v>
      </c>
      <c r="P1676">
        <v>403.71</v>
      </c>
      <c r="Q1676" s="12" t="str" cm="1">
        <f t="array" ref="Q1676:R1676">VLOOKUP(E1676,store[],{3,5},FALSE)</f>
        <v>East</v>
      </c>
      <c r="R1676" t="str">
        <v>Flagship</v>
      </c>
      <c r="S1676" s="4">
        <f t="shared" si="26"/>
        <v>928.38</v>
      </c>
    </row>
    <row r="1677" spans="1:19">
      <c r="A1677" t="s">
        <v>2483</v>
      </c>
      <c r="B1677" s="3">
        <v>45851</v>
      </c>
      <c r="C1677" t="s">
        <v>70</v>
      </c>
      <c r="D1677" t="s">
        <v>779</v>
      </c>
      <c r="E1677" t="s">
        <v>160</v>
      </c>
      <c r="F1677">
        <v>1</v>
      </c>
      <c r="G1677" t="s">
        <v>33</v>
      </c>
      <c r="H1677">
        <v>24</v>
      </c>
      <c r="I1677" s="12" t="s">
        <v>34</v>
      </c>
      <c r="J1677" s="12" t="s">
        <v>44</v>
      </c>
      <c r="K1677" s="12" t="s">
        <v>73</v>
      </c>
      <c r="L1677" s="12" t="s">
        <v>780</v>
      </c>
      <c r="M1677" s="12" t="s">
        <v>46</v>
      </c>
      <c r="N1677" s="14">
        <v>0.24</v>
      </c>
      <c r="O1677" s="23">
        <v>711.08</v>
      </c>
      <c r="P1677">
        <v>299.11</v>
      </c>
      <c r="Q1677" s="12" t="str" cm="1">
        <f t="array" ref="Q1677:R1677">VLOOKUP(E1677,store[],{3,5},FALSE)</f>
        <v>East</v>
      </c>
      <c r="R1677" t="str">
        <v>Flagship</v>
      </c>
      <c r="S1677" s="4">
        <f t="shared" si="26"/>
        <v>710.84</v>
      </c>
    </row>
    <row r="1678" spans="1:19">
      <c r="A1678" t="s">
        <v>2484</v>
      </c>
      <c r="B1678" s="3">
        <v>45656</v>
      </c>
      <c r="C1678" t="s">
        <v>890</v>
      </c>
      <c r="D1678" t="s">
        <v>344</v>
      </c>
      <c r="E1678" t="s">
        <v>98</v>
      </c>
      <c r="F1678">
        <v>2</v>
      </c>
      <c r="G1678" t="s">
        <v>33</v>
      </c>
      <c r="H1678">
        <v>64</v>
      </c>
      <c r="I1678" s="12" t="s">
        <v>24</v>
      </c>
      <c r="J1678" s="12" t="s">
        <v>59</v>
      </c>
      <c r="K1678" s="12" t="s">
        <v>60</v>
      </c>
      <c r="L1678" s="12" t="s">
        <v>347</v>
      </c>
      <c r="M1678" s="12" t="s">
        <v>28</v>
      </c>
      <c r="N1678" s="14">
        <v>0.16</v>
      </c>
      <c r="O1678" s="23">
        <v>984.96</v>
      </c>
      <c r="P1678">
        <v>318.91000000000003</v>
      </c>
      <c r="Q1678" s="12" t="str" cm="1">
        <f t="array" ref="Q1678:R1678">VLOOKUP(E1678,store[],{3,5},FALSE)</f>
        <v>South</v>
      </c>
      <c r="R1678" t="str">
        <v>Outlet</v>
      </c>
      <c r="S1678" s="4">
        <f t="shared" si="26"/>
        <v>1969.6</v>
      </c>
    </row>
    <row r="1679" spans="1:19">
      <c r="A1679" t="s">
        <v>2485</v>
      </c>
      <c r="B1679" s="3">
        <v>45759</v>
      </c>
      <c r="C1679" t="s">
        <v>497</v>
      </c>
      <c r="D1679" t="s">
        <v>340</v>
      </c>
      <c r="E1679" t="s">
        <v>208</v>
      </c>
      <c r="F1679">
        <v>1</v>
      </c>
      <c r="G1679" t="s">
        <v>50</v>
      </c>
      <c r="H1679">
        <v>38</v>
      </c>
      <c r="I1679" s="12" t="s">
        <v>24</v>
      </c>
      <c r="J1679" s="12" t="s">
        <v>498</v>
      </c>
      <c r="K1679" s="12" t="s">
        <v>73</v>
      </c>
      <c r="L1679" s="12" t="s">
        <v>341</v>
      </c>
      <c r="M1679" s="12" t="s">
        <v>28</v>
      </c>
      <c r="N1679" s="14">
        <v>0.06</v>
      </c>
      <c r="O1679" s="23">
        <v>21.14</v>
      </c>
      <c r="P1679">
        <v>135.61000000000001</v>
      </c>
      <c r="Q1679" s="12" t="str" cm="1">
        <f t="array" ref="Q1679:R1679">VLOOKUP(E1679,store[],{3,5},FALSE)</f>
        <v>North</v>
      </c>
      <c r="R1679" t="str">
        <v>Online</v>
      </c>
      <c r="S1679" s="4">
        <f t="shared" si="26"/>
        <v>21.08</v>
      </c>
    </row>
    <row r="1680" spans="1:19">
      <c r="A1680" t="s">
        <v>2486</v>
      </c>
      <c r="B1680" s="3">
        <v>45679</v>
      </c>
      <c r="C1680" t="s">
        <v>2320</v>
      </c>
      <c r="D1680" t="s">
        <v>187</v>
      </c>
      <c r="E1680" t="s">
        <v>43</v>
      </c>
      <c r="F1680">
        <v>1</v>
      </c>
      <c r="G1680" t="s">
        <v>23</v>
      </c>
      <c r="H1680">
        <v>53</v>
      </c>
      <c r="I1680" s="12" t="s">
        <v>34</v>
      </c>
      <c r="J1680" s="12" t="s">
        <v>67</v>
      </c>
      <c r="K1680" s="12" t="s">
        <v>73</v>
      </c>
      <c r="L1680" s="12" t="s">
        <v>189</v>
      </c>
      <c r="M1680" s="12" t="s">
        <v>37</v>
      </c>
      <c r="N1680" s="14">
        <v>0.16</v>
      </c>
      <c r="O1680" s="23">
        <v>343.03</v>
      </c>
      <c r="P1680">
        <v>431.67</v>
      </c>
      <c r="Q1680" s="12" t="str" cm="1">
        <f t="array" ref="Q1680:R1680">VLOOKUP(E1680,store[],{3,5},FALSE)</f>
        <v>West</v>
      </c>
      <c r="R1680" t="str">
        <v>Online</v>
      </c>
      <c r="S1680" s="4">
        <f t="shared" si="26"/>
        <v>342.87</v>
      </c>
    </row>
    <row r="1681" spans="1:19">
      <c r="A1681" t="s">
        <v>2487</v>
      </c>
      <c r="B1681" s="3">
        <v>45237</v>
      </c>
      <c r="C1681" t="s">
        <v>1495</v>
      </c>
      <c r="D1681" t="s">
        <v>291</v>
      </c>
      <c r="E1681" t="s">
        <v>160</v>
      </c>
      <c r="F1681">
        <v>3</v>
      </c>
      <c r="G1681" t="s">
        <v>50</v>
      </c>
      <c r="H1681">
        <v>32</v>
      </c>
      <c r="I1681" s="12" t="s">
        <v>24</v>
      </c>
      <c r="J1681" s="12" t="s">
        <v>214</v>
      </c>
      <c r="K1681" s="12" t="s">
        <v>52</v>
      </c>
      <c r="L1681" s="12" t="s">
        <v>292</v>
      </c>
      <c r="M1681" s="12" t="s">
        <v>28</v>
      </c>
      <c r="N1681" s="14">
        <v>0.16</v>
      </c>
      <c r="O1681" s="23">
        <v>94.83</v>
      </c>
      <c r="P1681">
        <v>131.51</v>
      </c>
      <c r="Q1681" s="12" t="str" cm="1">
        <f t="array" ref="Q1681:R1681">VLOOKUP(E1681,store[],{3,5},FALSE)</f>
        <v>East</v>
      </c>
      <c r="R1681" t="str">
        <v>Flagship</v>
      </c>
      <c r="S1681" s="4">
        <f t="shared" si="26"/>
        <v>284.01</v>
      </c>
    </row>
    <row r="1682" spans="1:19">
      <c r="A1682" t="s">
        <v>2488</v>
      </c>
      <c r="B1682" s="3">
        <v>45790</v>
      </c>
      <c r="C1682" t="s">
        <v>2010</v>
      </c>
      <c r="D1682" t="s">
        <v>167</v>
      </c>
      <c r="E1682" t="s">
        <v>135</v>
      </c>
      <c r="F1682">
        <v>3</v>
      </c>
      <c r="G1682" t="s">
        <v>33</v>
      </c>
      <c r="H1682">
        <v>43</v>
      </c>
      <c r="I1682" s="12" t="s">
        <v>24</v>
      </c>
      <c r="J1682" s="12" t="s">
        <v>333</v>
      </c>
      <c r="K1682" s="12" t="s">
        <v>346</v>
      </c>
      <c r="L1682" s="12" t="s">
        <v>170</v>
      </c>
      <c r="M1682" s="12" t="s">
        <v>130</v>
      </c>
      <c r="N1682" s="14">
        <v>0.03</v>
      </c>
      <c r="O1682" s="23">
        <v>74.66</v>
      </c>
      <c r="P1682">
        <v>218.22</v>
      </c>
      <c r="Q1682" s="12" t="str" cm="1">
        <f t="array" ref="Q1682:R1682">VLOOKUP(E1682,store[],{3,5},FALSE)</f>
        <v>East</v>
      </c>
      <c r="R1682" t="str">
        <v>Online</v>
      </c>
      <c r="S1682" s="4">
        <f t="shared" si="26"/>
        <v>223.89</v>
      </c>
    </row>
    <row r="1683" spans="1:19">
      <c r="A1683" t="s">
        <v>2489</v>
      </c>
      <c r="B1683" s="3">
        <v>45268</v>
      </c>
      <c r="C1683" t="s">
        <v>760</v>
      </c>
      <c r="D1683" t="s">
        <v>786</v>
      </c>
      <c r="E1683" t="s">
        <v>122</v>
      </c>
      <c r="F1683">
        <v>3</v>
      </c>
      <c r="G1683" t="s">
        <v>50</v>
      </c>
      <c r="H1683">
        <v>29</v>
      </c>
      <c r="I1683" s="12" t="s">
        <v>24</v>
      </c>
      <c r="J1683" s="12" t="s">
        <v>761</v>
      </c>
      <c r="K1683" s="12" t="s">
        <v>60</v>
      </c>
      <c r="L1683" s="12" t="s">
        <v>787</v>
      </c>
      <c r="M1683" s="12" t="s">
        <v>130</v>
      </c>
      <c r="N1683" s="14">
        <v>0.01</v>
      </c>
      <c r="O1683" s="23">
        <v>281.95999999999998</v>
      </c>
      <c r="P1683">
        <v>353.47</v>
      </c>
      <c r="Q1683" s="12" t="str" cm="1">
        <f t="array" ref="Q1683:R1683">VLOOKUP(E1683,store[],{3,5},FALSE)</f>
        <v>North</v>
      </c>
      <c r="R1683" t="str">
        <v>Flagship</v>
      </c>
      <c r="S1683" s="4">
        <f t="shared" si="26"/>
        <v>845.85</v>
      </c>
    </row>
    <row r="1684" spans="1:19">
      <c r="A1684" t="s">
        <v>2490</v>
      </c>
      <c r="B1684" s="3">
        <v>45664</v>
      </c>
      <c r="C1684" t="s">
        <v>2250</v>
      </c>
      <c r="D1684" t="s">
        <v>368</v>
      </c>
      <c r="E1684" t="s">
        <v>160</v>
      </c>
      <c r="F1684">
        <v>4</v>
      </c>
      <c r="G1684" t="s">
        <v>33</v>
      </c>
      <c r="H1684">
        <v>42</v>
      </c>
      <c r="I1684" s="12" t="s">
        <v>34</v>
      </c>
      <c r="J1684" s="12" t="s">
        <v>498</v>
      </c>
      <c r="K1684" s="12" t="s">
        <v>73</v>
      </c>
      <c r="L1684" s="12" t="s">
        <v>369</v>
      </c>
      <c r="M1684" s="12" t="s">
        <v>46</v>
      </c>
      <c r="N1684" s="14">
        <v>0.02</v>
      </c>
      <c r="O1684" s="23">
        <v>622.27</v>
      </c>
      <c r="P1684">
        <v>214.32</v>
      </c>
      <c r="Q1684" s="12" t="str" cm="1">
        <f t="array" ref="Q1684:R1684">VLOOKUP(E1684,store[],{3,5},FALSE)</f>
        <v>East</v>
      </c>
      <c r="R1684" t="str">
        <v>Flagship</v>
      </c>
      <c r="S1684" s="4">
        <f t="shared" si="26"/>
        <v>2489</v>
      </c>
    </row>
    <row r="1685" spans="1:19">
      <c r="A1685" t="s">
        <v>2491</v>
      </c>
      <c r="B1685" s="3">
        <v>45475</v>
      </c>
      <c r="C1685" t="s">
        <v>938</v>
      </c>
      <c r="D1685" t="s">
        <v>786</v>
      </c>
      <c r="E1685" t="s">
        <v>66</v>
      </c>
      <c r="F1685">
        <v>2</v>
      </c>
      <c r="G1685" t="s">
        <v>50</v>
      </c>
      <c r="H1685">
        <v>34</v>
      </c>
      <c r="I1685" s="12" t="s">
        <v>34</v>
      </c>
      <c r="J1685" s="12" t="s">
        <v>44</v>
      </c>
      <c r="K1685" s="12" t="s">
        <v>73</v>
      </c>
      <c r="L1685" s="12" t="s">
        <v>787</v>
      </c>
      <c r="M1685" s="12" t="s">
        <v>130</v>
      </c>
      <c r="N1685" s="14">
        <v>0.28999999999999998</v>
      </c>
      <c r="O1685" s="23">
        <v>78.27</v>
      </c>
      <c r="P1685">
        <v>353.47</v>
      </c>
      <c r="Q1685" s="12" t="str" cm="1">
        <f t="array" ref="Q1685:R1685">VLOOKUP(E1685,store[],{3,5},FALSE)</f>
        <v>South</v>
      </c>
      <c r="R1685" t="str">
        <v>Online</v>
      </c>
      <c r="S1685" s="4">
        <f t="shared" si="26"/>
        <v>155.96</v>
      </c>
    </row>
    <row r="1686" spans="1:19">
      <c r="A1686" t="s">
        <v>2492</v>
      </c>
      <c r="B1686" s="3">
        <v>45845</v>
      </c>
      <c r="C1686" t="s">
        <v>677</v>
      </c>
      <c r="D1686" t="s">
        <v>661</v>
      </c>
      <c r="E1686" t="s">
        <v>149</v>
      </c>
      <c r="F1686">
        <v>4</v>
      </c>
      <c r="G1686" t="s">
        <v>50</v>
      </c>
      <c r="H1686">
        <v>55</v>
      </c>
      <c r="I1686" s="12" t="s">
        <v>34</v>
      </c>
      <c r="J1686" s="12" t="s">
        <v>333</v>
      </c>
      <c r="K1686" s="12" t="s">
        <v>52</v>
      </c>
      <c r="L1686" s="12" t="s">
        <v>662</v>
      </c>
      <c r="M1686" s="12" t="s">
        <v>37</v>
      </c>
      <c r="N1686" s="14">
        <v>0.23</v>
      </c>
      <c r="O1686" s="23">
        <v>676.58</v>
      </c>
      <c r="P1686">
        <v>86.42</v>
      </c>
      <c r="Q1686" s="12" t="str" cm="1">
        <f t="array" ref="Q1686:R1686">VLOOKUP(E1686,store[],{3,5},FALSE)</f>
        <v>East</v>
      </c>
      <c r="R1686" t="str">
        <v>Flagship</v>
      </c>
      <c r="S1686" s="4">
        <f t="shared" si="26"/>
        <v>2705.4</v>
      </c>
    </row>
    <row r="1687" spans="1:19">
      <c r="A1687" t="s">
        <v>2493</v>
      </c>
      <c r="B1687" s="3">
        <v>45446</v>
      </c>
      <c r="C1687" t="s">
        <v>1367</v>
      </c>
      <c r="D1687" t="s">
        <v>311</v>
      </c>
      <c r="E1687" t="s">
        <v>105</v>
      </c>
      <c r="F1687">
        <v>2</v>
      </c>
      <c r="G1687" t="s">
        <v>33</v>
      </c>
      <c r="H1687">
        <v>22</v>
      </c>
      <c r="I1687" s="12" t="s">
        <v>34</v>
      </c>
      <c r="J1687" s="12" t="s">
        <v>35</v>
      </c>
      <c r="K1687" s="12" t="s">
        <v>73</v>
      </c>
      <c r="L1687" s="12" t="s">
        <v>312</v>
      </c>
      <c r="M1687" s="12" t="s">
        <v>28</v>
      </c>
      <c r="N1687" s="14">
        <v>0.04</v>
      </c>
      <c r="O1687" s="23">
        <v>938.6</v>
      </c>
      <c r="P1687">
        <v>204.39</v>
      </c>
      <c r="Q1687" s="12" t="str" cm="1">
        <f t="array" ref="Q1687:R1687">VLOOKUP(E1687,store[],{3,5},FALSE)</f>
        <v>North</v>
      </c>
      <c r="R1687" t="str">
        <v>Flagship</v>
      </c>
      <c r="S1687" s="4">
        <f t="shared" si="26"/>
        <v>1877.12</v>
      </c>
    </row>
    <row r="1688" spans="1:19">
      <c r="A1688" t="s">
        <v>2494</v>
      </c>
      <c r="B1688" s="3">
        <v>45761</v>
      </c>
      <c r="C1688" t="s">
        <v>1453</v>
      </c>
      <c r="D1688" t="s">
        <v>197</v>
      </c>
      <c r="E1688" t="s">
        <v>98</v>
      </c>
      <c r="F1688">
        <v>2</v>
      </c>
      <c r="G1688" t="s">
        <v>23</v>
      </c>
      <c r="H1688">
        <v>20</v>
      </c>
      <c r="I1688" s="12" t="s">
        <v>24</v>
      </c>
      <c r="J1688" s="12" t="s">
        <v>91</v>
      </c>
      <c r="K1688" s="12" t="s">
        <v>26</v>
      </c>
      <c r="L1688" s="12" t="s">
        <v>200</v>
      </c>
      <c r="M1688" s="12" t="s">
        <v>37</v>
      </c>
      <c r="N1688" s="14">
        <v>0.01</v>
      </c>
      <c r="O1688" s="23">
        <v>859.47</v>
      </c>
      <c r="P1688">
        <v>242.23</v>
      </c>
      <c r="Q1688" s="12" t="str" cm="1">
        <f t="array" ref="Q1688:R1688">VLOOKUP(E1688,store[],{3,5},FALSE)</f>
        <v>South</v>
      </c>
      <c r="R1688" t="str">
        <v>Outlet</v>
      </c>
      <c r="S1688" s="4">
        <f t="shared" si="26"/>
        <v>1718.92</v>
      </c>
    </row>
    <row r="1689" spans="1:19">
      <c r="A1689" t="s">
        <v>2495</v>
      </c>
      <c r="B1689" s="3">
        <v>45363</v>
      </c>
      <c r="C1689" t="s">
        <v>1208</v>
      </c>
      <c r="D1689" t="s">
        <v>139</v>
      </c>
      <c r="E1689" t="s">
        <v>98</v>
      </c>
      <c r="F1689">
        <v>3</v>
      </c>
      <c r="G1689" t="s">
        <v>33</v>
      </c>
      <c r="H1689">
        <v>43</v>
      </c>
      <c r="I1689" s="12" t="s">
        <v>34</v>
      </c>
      <c r="J1689" s="12" t="s">
        <v>67</v>
      </c>
      <c r="K1689" s="12" t="s">
        <v>52</v>
      </c>
      <c r="L1689" s="12" t="s">
        <v>141</v>
      </c>
      <c r="M1689" s="12" t="s">
        <v>75</v>
      </c>
      <c r="N1689" s="14">
        <v>0.23</v>
      </c>
      <c r="O1689" s="23">
        <v>672.98</v>
      </c>
      <c r="P1689">
        <v>250.02157142857101</v>
      </c>
      <c r="Q1689" s="12" t="str" cm="1">
        <f t="array" ref="Q1689:R1689">VLOOKUP(E1689,store[],{3,5},FALSE)</f>
        <v>South</v>
      </c>
      <c r="R1689" t="str">
        <v>Outlet</v>
      </c>
      <c r="S1689" s="4">
        <f t="shared" si="26"/>
        <v>2018.25</v>
      </c>
    </row>
    <row r="1690" spans="1:19">
      <c r="A1690" t="s">
        <v>2496</v>
      </c>
      <c r="B1690" s="3">
        <v>45420</v>
      </c>
      <c r="C1690" t="s">
        <v>989</v>
      </c>
      <c r="D1690" t="s">
        <v>71</v>
      </c>
      <c r="E1690" t="s">
        <v>160</v>
      </c>
      <c r="F1690">
        <v>1</v>
      </c>
      <c r="G1690" t="s">
        <v>33</v>
      </c>
      <c r="H1690">
        <v>26</v>
      </c>
      <c r="I1690" s="12" t="s">
        <v>34</v>
      </c>
      <c r="J1690" s="12" t="s">
        <v>51</v>
      </c>
      <c r="K1690" s="12" t="s">
        <v>60</v>
      </c>
      <c r="L1690" s="12" t="s">
        <v>74</v>
      </c>
      <c r="M1690" s="12" t="s">
        <v>75</v>
      </c>
      <c r="N1690" s="14">
        <v>0.28999999999999998</v>
      </c>
      <c r="O1690" s="23">
        <v>75.8</v>
      </c>
      <c r="P1690">
        <v>461.47</v>
      </c>
      <c r="Q1690" s="12" t="str" cm="1">
        <f t="array" ref="Q1690:R1690">VLOOKUP(E1690,store[],{3,5},FALSE)</f>
        <v>East</v>
      </c>
      <c r="R1690" t="str">
        <v>Flagship</v>
      </c>
      <c r="S1690" s="4">
        <f t="shared" si="26"/>
        <v>75.510000000000005</v>
      </c>
    </row>
    <row r="1691" spans="1:19">
      <c r="A1691" t="s">
        <v>2497</v>
      </c>
      <c r="B1691" s="3">
        <v>45536</v>
      </c>
      <c r="C1691" t="s">
        <v>900</v>
      </c>
      <c r="D1691" t="s">
        <v>377</v>
      </c>
      <c r="E1691" t="s">
        <v>122</v>
      </c>
      <c r="F1691">
        <v>4</v>
      </c>
      <c r="G1691" t="s">
        <v>50</v>
      </c>
      <c r="H1691">
        <v>27</v>
      </c>
      <c r="I1691" s="12" t="s">
        <v>34</v>
      </c>
      <c r="J1691" s="12" t="s">
        <v>336</v>
      </c>
      <c r="K1691" s="12" t="s">
        <v>52</v>
      </c>
      <c r="L1691" s="12" t="s">
        <v>379</v>
      </c>
      <c r="M1691" s="12" t="s">
        <v>28</v>
      </c>
      <c r="N1691" s="14">
        <v>0.1</v>
      </c>
      <c r="O1691" s="23">
        <v>742.15</v>
      </c>
      <c r="P1691">
        <v>144.53</v>
      </c>
      <c r="Q1691" s="12" t="str" cm="1">
        <f t="array" ref="Q1691:R1691">VLOOKUP(E1691,store[],{3,5},FALSE)</f>
        <v>North</v>
      </c>
      <c r="R1691" t="str">
        <v>Flagship</v>
      </c>
      <c r="S1691" s="4">
        <f t="shared" si="26"/>
        <v>2968.2</v>
      </c>
    </row>
    <row r="1692" spans="1:19">
      <c r="A1692" t="s">
        <v>2498</v>
      </c>
      <c r="B1692" s="3">
        <v>45445</v>
      </c>
      <c r="C1692" t="s">
        <v>245</v>
      </c>
      <c r="D1692" t="s">
        <v>271</v>
      </c>
      <c r="E1692" t="s">
        <v>66</v>
      </c>
      <c r="F1692">
        <v>1</v>
      </c>
      <c r="G1692" t="s">
        <v>33</v>
      </c>
      <c r="H1692">
        <v>39</v>
      </c>
      <c r="I1692" s="12" t="s">
        <v>34</v>
      </c>
      <c r="J1692" s="12" t="s">
        <v>106</v>
      </c>
      <c r="K1692" s="12" t="s">
        <v>26</v>
      </c>
      <c r="L1692" s="12" t="s">
        <v>273</v>
      </c>
      <c r="M1692" s="12" t="s">
        <v>75</v>
      </c>
      <c r="N1692" s="14">
        <v>0.22</v>
      </c>
      <c r="O1692" s="23">
        <v>637.39</v>
      </c>
      <c r="P1692">
        <v>19.52</v>
      </c>
      <c r="Q1692" s="12" t="str" cm="1">
        <f t="array" ref="Q1692:R1692">VLOOKUP(E1692,store[],{3,5},FALSE)</f>
        <v>South</v>
      </c>
      <c r="R1692" t="str">
        <v>Online</v>
      </c>
      <c r="S1692" s="4">
        <f t="shared" si="26"/>
        <v>637.16999999999996</v>
      </c>
    </row>
    <row r="1693" spans="1:19">
      <c r="A1693" t="s">
        <v>2499</v>
      </c>
      <c r="B1693" s="3">
        <v>45230</v>
      </c>
      <c r="C1693" t="s">
        <v>1007</v>
      </c>
      <c r="D1693" t="s">
        <v>887</v>
      </c>
      <c r="E1693" t="s">
        <v>32</v>
      </c>
      <c r="F1693">
        <v>1</v>
      </c>
      <c r="G1693" t="s">
        <v>23</v>
      </c>
      <c r="H1693">
        <v>40</v>
      </c>
      <c r="I1693" s="12" t="s">
        <v>34</v>
      </c>
      <c r="J1693" s="12" t="s">
        <v>609</v>
      </c>
      <c r="K1693" s="12" t="s">
        <v>73</v>
      </c>
      <c r="L1693" s="12" t="s">
        <v>888</v>
      </c>
      <c r="M1693" s="12" t="s">
        <v>46</v>
      </c>
      <c r="N1693" s="14">
        <v>0.04</v>
      </c>
      <c r="O1693" s="23">
        <v>631</v>
      </c>
      <c r="P1693">
        <v>312.8</v>
      </c>
      <c r="Q1693" s="12" t="str" cm="1">
        <f t="array" ref="Q1693:R1693">VLOOKUP(E1693,store[],{3,5},FALSE)</f>
        <v>North</v>
      </c>
      <c r="R1693" t="str">
        <v>Flagship</v>
      </c>
      <c r="S1693" s="4">
        <f t="shared" si="26"/>
        <v>630.96</v>
      </c>
    </row>
    <row r="1694" spans="1:19">
      <c r="A1694" t="s">
        <v>2500</v>
      </c>
      <c r="B1694" s="3">
        <v>45916</v>
      </c>
      <c r="C1694" t="s">
        <v>2501</v>
      </c>
      <c r="D1694" t="s">
        <v>429</v>
      </c>
      <c r="E1694" t="s">
        <v>22</v>
      </c>
      <c r="F1694">
        <v>4</v>
      </c>
      <c r="G1694" t="s">
        <v>50</v>
      </c>
      <c r="H1694">
        <v>46</v>
      </c>
      <c r="I1694" s="12" t="s">
        <v>24</v>
      </c>
      <c r="J1694" s="12" t="s">
        <v>410</v>
      </c>
      <c r="K1694" s="12" t="s">
        <v>73</v>
      </c>
      <c r="L1694" s="12" t="s">
        <v>430</v>
      </c>
      <c r="M1694" s="12" t="s">
        <v>75</v>
      </c>
      <c r="N1694" s="14">
        <v>0.11</v>
      </c>
      <c r="O1694" s="23">
        <v>983.98</v>
      </c>
      <c r="P1694">
        <v>143.43</v>
      </c>
      <c r="Q1694" s="12" t="str" cm="1">
        <f t="array" ref="Q1694:R1694">VLOOKUP(E1694,store[],{3,5},FALSE)</f>
        <v>North</v>
      </c>
      <c r="R1694" t="str">
        <v>Outlet</v>
      </c>
      <c r="S1694" s="4">
        <f t="shared" si="26"/>
        <v>3935.48</v>
      </c>
    </row>
    <row r="1695" spans="1:19">
      <c r="A1695" t="s">
        <v>2502</v>
      </c>
      <c r="B1695" s="3">
        <v>45353</v>
      </c>
      <c r="C1695" t="s">
        <v>384</v>
      </c>
      <c r="D1695" t="s">
        <v>564</v>
      </c>
      <c r="E1695" t="s">
        <v>272</v>
      </c>
      <c r="F1695">
        <v>4</v>
      </c>
      <c r="G1695" t="s">
        <v>23</v>
      </c>
      <c r="H1695">
        <v>24</v>
      </c>
      <c r="I1695" s="12" t="s">
        <v>24</v>
      </c>
      <c r="J1695" s="12" t="s">
        <v>169</v>
      </c>
      <c r="K1695" s="12" t="s">
        <v>52</v>
      </c>
      <c r="L1695" s="12" t="s">
        <v>565</v>
      </c>
      <c r="M1695" s="12" t="s">
        <v>75</v>
      </c>
      <c r="N1695" s="14">
        <v>0.08</v>
      </c>
      <c r="O1695" s="23">
        <v>73.69</v>
      </c>
      <c r="P1695">
        <v>81.75</v>
      </c>
      <c r="Q1695" s="12" t="str" cm="1">
        <f t="array" ref="Q1695:R1695">VLOOKUP(E1695,store[],{3,5},FALSE)</f>
        <v>South</v>
      </c>
      <c r="R1695" t="str">
        <v>Online</v>
      </c>
      <c r="S1695" s="4">
        <f t="shared" si="26"/>
        <v>294.44</v>
      </c>
    </row>
    <row r="1696" spans="1:19">
      <c r="A1696" t="s">
        <v>2503</v>
      </c>
      <c r="B1696" s="3">
        <v>45490</v>
      </c>
      <c r="C1696" t="s">
        <v>778</v>
      </c>
      <c r="D1696" t="s">
        <v>555</v>
      </c>
      <c r="E1696" t="s">
        <v>66</v>
      </c>
      <c r="F1696">
        <v>3</v>
      </c>
      <c r="G1696" t="s">
        <v>23</v>
      </c>
      <c r="H1696">
        <v>51</v>
      </c>
      <c r="I1696" s="12" t="s">
        <v>34</v>
      </c>
      <c r="J1696" s="12" t="s">
        <v>161</v>
      </c>
      <c r="K1696" s="12" t="s">
        <v>60</v>
      </c>
      <c r="L1696" s="12" t="s">
        <v>556</v>
      </c>
      <c r="M1696" s="12" t="s">
        <v>37</v>
      </c>
      <c r="N1696" s="14">
        <v>0.21</v>
      </c>
      <c r="O1696" s="23">
        <v>110.99</v>
      </c>
      <c r="P1696">
        <v>449.4</v>
      </c>
      <c r="Q1696" s="12" t="str" cm="1">
        <f t="array" ref="Q1696:R1696">VLOOKUP(E1696,store[],{3,5},FALSE)</f>
        <v>South</v>
      </c>
      <c r="R1696" t="str">
        <v>Online</v>
      </c>
      <c r="S1696" s="4">
        <f t="shared" si="26"/>
        <v>332.34</v>
      </c>
    </row>
    <row r="1697" spans="1:19">
      <c r="A1697" t="s">
        <v>2504</v>
      </c>
      <c r="B1697" s="3">
        <v>45850</v>
      </c>
      <c r="C1697" t="s">
        <v>738</v>
      </c>
      <c r="D1697" t="s">
        <v>234</v>
      </c>
      <c r="E1697" t="s">
        <v>66</v>
      </c>
      <c r="F1697">
        <v>1</v>
      </c>
      <c r="G1697" t="s">
        <v>50</v>
      </c>
      <c r="H1697">
        <v>48</v>
      </c>
      <c r="I1697" s="12" t="s">
        <v>34</v>
      </c>
      <c r="J1697" s="12" t="s">
        <v>360</v>
      </c>
      <c r="K1697" s="12" t="s">
        <v>73</v>
      </c>
      <c r="L1697" s="12" t="s">
        <v>236</v>
      </c>
      <c r="M1697" s="12" t="s">
        <v>75</v>
      </c>
      <c r="N1697" s="14">
        <v>0.22</v>
      </c>
      <c r="O1697" s="23">
        <v>66.86</v>
      </c>
      <c r="P1697">
        <v>298.86</v>
      </c>
      <c r="Q1697" s="12" t="str" cm="1">
        <f t="array" ref="Q1697:R1697">VLOOKUP(E1697,store[],{3,5},FALSE)</f>
        <v>South</v>
      </c>
      <c r="R1697" t="str">
        <v>Online</v>
      </c>
      <c r="S1697" s="4">
        <f t="shared" si="26"/>
        <v>66.64</v>
      </c>
    </row>
    <row r="1698" spans="1:19">
      <c r="A1698" t="s">
        <v>2505</v>
      </c>
      <c r="B1698" s="3">
        <v>45515</v>
      </c>
      <c r="C1698" t="s">
        <v>825</v>
      </c>
      <c r="D1698" t="s">
        <v>178</v>
      </c>
      <c r="E1698" t="s">
        <v>160</v>
      </c>
      <c r="F1698">
        <v>1</v>
      </c>
      <c r="G1698" t="s">
        <v>33</v>
      </c>
      <c r="H1698">
        <v>64</v>
      </c>
      <c r="I1698" s="12" t="s">
        <v>34</v>
      </c>
      <c r="J1698" s="12" t="s">
        <v>256</v>
      </c>
      <c r="K1698" s="12" t="s">
        <v>73</v>
      </c>
      <c r="L1698" s="12" t="s">
        <v>180</v>
      </c>
      <c r="M1698" s="12" t="s">
        <v>37</v>
      </c>
      <c r="N1698" s="14">
        <v>0.14000000000000001</v>
      </c>
      <c r="O1698" s="23">
        <v>980.26</v>
      </c>
      <c r="P1698">
        <v>349.17</v>
      </c>
      <c r="Q1698" s="12" t="str" cm="1">
        <f t="array" ref="Q1698:R1698">VLOOKUP(E1698,store[],{3,5},FALSE)</f>
        <v>East</v>
      </c>
      <c r="R1698" t="str">
        <v>Flagship</v>
      </c>
      <c r="S1698" s="4">
        <f t="shared" si="26"/>
        <v>980.12</v>
      </c>
    </row>
    <row r="1699" spans="1:19">
      <c r="A1699" t="s">
        <v>2506</v>
      </c>
      <c r="B1699" s="3">
        <v>45322</v>
      </c>
      <c r="C1699" t="s">
        <v>343</v>
      </c>
      <c r="D1699" t="s">
        <v>928</v>
      </c>
      <c r="E1699" t="s">
        <v>160</v>
      </c>
      <c r="F1699">
        <v>1</v>
      </c>
      <c r="G1699" t="s">
        <v>33</v>
      </c>
      <c r="H1699">
        <v>27</v>
      </c>
      <c r="I1699" s="12" t="s">
        <v>34</v>
      </c>
      <c r="J1699" s="12" t="s">
        <v>345</v>
      </c>
      <c r="K1699" s="12" t="s">
        <v>346</v>
      </c>
      <c r="L1699" s="12" t="s">
        <v>929</v>
      </c>
      <c r="M1699" s="12" t="s">
        <v>130</v>
      </c>
      <c r="N1699" s="14">
        <v>0.05</v>
      </c>
      <c r="O1699" s="23">
        <v>235.28</v>
      </c>
      <c r="P1699">
        <v>245.77831168831199</v>
      </c>
      <c r="Q1699" s="12" t="str" cm="1">
        <f t="array" ref="Q1699:R1699">VLOOKUP(E1699,store[],{3,5},FALSE)</f>
        <v>East</v>
      </c>
      <c r="R1699" t="str">
        <v>Flagship</v>
      </c>
      <c r="S1699" s="4">
        <f t="shared" si="26"/>
        <v>235.23</v>
      </c>
    </row>
    <row r="1700" spans="1:19">
      <c r="A1700" t="s">
        <v>2507</v>
      </c>
      <c r="B1700" s="3">
        <v>45542</v>
      </c>
      <c r="C1700" t="s">
        <v>298</v>
      </c>
      <c r="D1700" t="s">
        <v>768</v>
      </c>
      <c r="E1700" t="s">
        <v>122</v>
      </c>
      <c r="F1700">
        <v>3</v>
      </c>
      <c r="G1700" t="s">
        <v>33</v>
      </c>
      <c r="H1700">
        <v>46</v>
      </c>
      <c r="I1700" s="12" t="s">
        <v>24</v>
      </c>
      <c r="J1700" s="12" t="s">
        <v>199</v>
      </c>
      <c r="K1700" s="12" t="s">
        <v>52</v>
      </c>
      <c r="L1700" s="12" t="s">
        <v>769</v>
      </c>
      <c r="M1700" s="12" t="s">
        <v>37</v>
      </c>
      <c r="N1700" s="14">
        <v>0.08</v>
      </c>
      <c r="O1700" s="23">
        <v>407.39</v>
      </c>
      <c r="P1700">
        <v>112.42</v>
      </c>
      <c r="Q1700" s="12" t="str" cm="1">
        <f t="array" ref="Q1700:R1700">VLOOKUP(E1700,store[],{3,5},FALSE)</f>
        <v>North</v>
      </c>
      <c r="R1700" t="str">
        <v>Flagship</v>
      </c>
      <c r="S1700" s="4">
        <f t="shared" si="26"/>
        <v>1221.93</v>
      </c>
    </row>
    <row r="1701" spans="1:19">
      <c r="A1701" t="s">
        <v>2508</v>
      </c>
      <c r="B1701" s="3">
        <v>45675</v>
      </c>
      <c r="C1701" t="s">
        <v>548</v>
      </c>
      <c r="D1701" t="s">
        <v>139</v>
      </c>
      <c r="E1701" t="s">
        <v>98</v>
      </c>
      <c r="F1701">
        <v>4</v>
      </c>
      <c r="G1701" t="s">
        <v>50</v>
      </c>
      <c r="H1701">
        <v>24</v>
      </c>
      <c r="I1701" s="12" t="s">
        <v>34</v>
      </c>
      <c r="J1701" s="12" t="s">
        <v>260</v>
      </c>
      <c r="K1701" s="12" t="s">
        <v>60</v>
      </c>
      <c r="L1701" s="12" t="s">
        <v>141</v>
      </c>
      <c r="M1701" s="12" t="s">
        <v>75</v>
      </c>
      <c r="N1701" s="14">
        <v>0.12</v>
      </c>
      <c r="O1701" s="23">
        <v>459.83</v>
      </c>
      <c r="P1701">
        <v>250.02157142857101</v>
      </c>
      <c r="Q1701" s="12" t="str" cm="1">
        <f t="array" ref="Q1701:R1701">VLOOKUP(E1701,store[],{3,5},FALSE)</f>
        <v>South</v>
      </c>
      <c r="R1701" t="str">
        <v>Outlet</v>
      </c>
      <c r="S1701" s="4">
        <f t="shared" si="26"/>
        <v>1838.84</v>
      </c>
    </row>
    <row r="1702" spans="1:19">
      <c r="A1702" t="s">
        <v>2509</v>
      </c>
      <c r="B1702" s="3">
        <v>45333</v>
      </c>
      <c r="C1702" t="s">
        <v>1256</v>
      </c>
      <c r="D1702" t="s">
        <v>317</v>
      </c>
      <c r="E1702" t="s">
        <v>72</v>
      </c>
      <c r="F1702">
        <v>3</v>
      </c>
      <c r="G1702" t="s">
        <v>33</v>
      </c>
      <c r="H1702">
        <v>49</v>
      </c>
      <c r="I1702" s="12" t="s">
        <v>34</v>
      </c>
      <c r="J1702" s="12" t="s">
        <v>444</v>
      </c>
      <c r="K1702" s="12" t="s">
        <v>52</v>
      </c>
      <c r="L1702" s="12" t="s">
        <v>318</v>
      </c>
      <c r="M1702" s="12" t="s">
        <v>37</v>
      </c>
      <c r="N1702" s="14">
        <v>0.17</v>
      </c>
      <c r="O1702" s="23">
        <v>706.6</v>
      </c>
      <c r="P1702">
        <v>377.52</v>
      </c>
      <c r="Q1702" s="12" t="str" cm="1">
        <f t="array" ref="Q1702:R1702">VLOOKUP(E1702,store[],{3,5},FALSE)</f>
        <v>South</v>
      </c>
      <c r="R1702" t="str">
        <v>Online</v>
      </c>
      <c r="S1702" s="4">
        <f t="shared" si="26"/>
        <v>2119.29</v>
      </c>
    </row>
    <row r="1703" spans="1:19">
      <c r="A1703" t="s">
        <v>2510</v>
      </c>
      <c r="B1703" s="3">
        <v>45819</v>
      </c>
      <c r="C1703" t="s">
        <v>617</v>
      </c>
      <c r="D1703" t="s">
        <v>372</v>
      </c>
      <c r="E1703" t="s">
        <v>135</v>
      </c>
      <c r="F1703">
        <v>3</v>
      </c>
      <c r="G1703" t="s">
        <v>50</v>
      </c>
      <c r="H1703">
        <v>34</v>
      </c>
      <c r="I1703" s="12" t="s">
        <v>34</v>
      </c>
      <c r="J1703" s="12" t="s">
        <v>356</v>
      </c>
      <c r="K1703" s="12" t="s">
        <v>60</v>
      </c>
      <c r="L1703" s="12" t="s">
        <v>374</v>
      </c>
      <c r="M1703" s="12" t="s">
        <v>130</v>
      </c>
      <c r="N1703" s="14">
        <v>0.1</v>
      </c>
      <c r="O1703" s="23">
        <v>811.16</v>
      </c>
      <c r="P1703">
        <v>438.25</v>
      </c>
      <c r="Q1703" s="12" t="str" cm="1">
        <f t="array" ref="Q1703:R1703">VLOOKUP(E1703,store[],{3,5},FALSE)</f>
        <v>East</v>
      </c>
      <c r="R1703" t="str">
        <v>Online</v>
      </c>
      <c r="S1703" s="4">
        <f t="shared" si="26"/>
        <v>2433.1799999999998</v>
      </c>
    </row>
    <row r="1704" spans="1:19">
      <c r="A1704" t="s">
        <v>2511</v>
      </c>
      <c r="B1704" s="3">
        <v>45268</v>
      </c>
      <c r="C1704" t="s">
        <v>2349</v>
      </c>
      <c r="D1704" t="s">
        <v>786</v>
      </c>
      <c r="E1704" t="s">
        <v>66</v>
      </c>
      <c r="F1704">
        <v>2</v>
      </c>
      <c r="G1704" t="s">
        <v>33</v>
      </c>
      <c r="H1704">
        <v>42</v>
      </c>
      <c r="I1704" s="12" t="s">
        <v>24</v>
      </c>
      <c r="J1704" s="12" t="s">
        <v>80</v>
      </c>
      <c r="K1704" s="12" t="s">
        <v>60</v>
      </c>
      <c r="L1704" s="12" t="s">
        <v>787</v>
      </c>
      <c r="M1704" s="12" t="s">
        <v>130</v>
      </c>
      <c r="N1704" s="14">
        <v>0.04</v>
      </c>
      <c r="O1704" s="23">
        <v>985.79</v>
      </c>
      <c r="P1704">
        <v>353.47</v>
      </c>
      <c r="Q1704" s="12" t="str" cm="1">
        <f t="array" ref="Q1704:R1704">VLOOKUP(E1704,store[],{3,5},FALSE)</f>
        <v>South</v>
      </c>
      <c r="R1704" t="str">
        <v>Online</v>
      </c>
      <c r="S1704" s="4">
        <f t="shared" si="26"/>
        <v>1971.5</v>
      </c>
    </row>
    <row r="1705" spans="1:19">
      <c r="A1705" t="s">
        <v>2512</v>
      </c>
      <c r="B1705" s="3">
        <v>45521</v>
      </c>
      <c r="C1705" t="s">
        <v>84</v>
      </c>
      <c r="D1705" t="s">
        <v>89</v>
      </c>
      <c r="E1705" t="s">
        <v>98</v>
      </c>
      <c r="F1705">
        <v>1</v>
      </c>
      <c r="G1705" t="s">
        <v>23</v>
      </c>
      <c r="H1705">
        <v>60</v>
      </c>
      <c r="I1705" s="12" t="s">
        <v>34</v>
      </c>
      <c r="J1705" s="12" t="s">
        <v>59</v>
      </c>
      <c r="K1705" s="12" t="s">
        <v>52</v>
      </c>
      <c r="L1705" s="12" t="s">
        <v>92</v>
      </c>
      <c r="M1705" s="12" t="s">
        <v>75</v>
      </c>
      <c r="N1705" s="14">
        <v>0.3</v>
      </c>
      <c r="O1705" s="23">
        <v>255.02</v>
      </c>
      <c r="P1705">
        <v>179.77</v>
      </c>
      <c r="Q1705" s="12" t="str" cm="1">
        <f t="array" ref="Q1705:R1705">VLOOKUP(E1705,store[],{3,5},FALSE)</f>
        <v>South</v>
      </c>
      <c r="R1705" t="str">
        <v>Outlet</v>
      </c>
      <c r="S1705" s="4">
        <f t="shared" si="26"/>
        <v>254.72</v>
      </c>
    </row>
    <row r="1706" spans="1:19">
      <c r="A1706" t="s">
        <v>2513</v>
      </c>
      <c r="B1706" s="3">
        <v>45693</v>
      </c>
      <c r="C1706" t="s">
        <v>294</v>
      </c>
      <c r="D1706" t="s">
        <v>314</v>
      </c>
      <c r="E1706" t="s">
        <v>43</v>
      </c>
      <c r="F1706">
        <v>1</v>
      </c>
      <c r="G1706" t="s">
        <v>33</v>
      </c>
      <c r="H1706">
        <v>62</v>
      </c>
      <c r="I1706" s="12" t="s">
        <v>34</v>
      </c>
      <c r="J1706" s="12" t="s">
        <v>161</v>
      </c>
      <c r="K1706" s="12" t="s">
        <v>52</v>
      </c>
      <c r="L1706" s="12" t="s">
        <v>315</v>
      </c>
      <c r="M1706" s="12" t="s">
        <v>28</v>
      </c>
      <c r="N1706" s="14">
        <v>0.01</v>
      </c>
      <c r="O1706" s="23">
        <v>153.57</v>
      </c>
      <c r="P1706">
        <v>21.34</v>
      </c>
      <c r="Q1706" s="12" t="str" cm="1">
        <f t="array" ref="Q1706:R1706">VLOOKUP(E1706,store[],{3,5},FALSE)</f>
        <v>West</v>
      </c>
      <c r="R1706" t="str">
        <v>Online</v>
      </c>
      <c r="S1706" s="4">
        <f t="shared" si="26"/>
        <v>153.56</v>
      </c>
    </row>
    <row r="1707" spans="1:19">
      <c r="A1707" t="s">
        <v>2514</v>
      </c>
      <c r="B1707" s="3">
        <v>45734</v>
      </c>
      <c r="C1707" t="s">
        <v>367</v>
      </c>
      <c r="D1707" t="s">
        <v>159</v>
      </c>
      <c r="E1707" t="s">
        <v>160</v>
      </c>
      <c r="F1707">
        <v>3</v>
      </c>
      <c r="G1707" t="s">
        <v>23</v>
      </c>
      <c r="H1707">
        <v>32</v>
      </c>
      <c r="I1707" s="12" t="s">
        <v>24</v>
      </c>
      <c r="J1707" s="12" t="s">
        <v>199</v>
      </c>
      <c r="K1707" s="12" t="s">
        <v>73</v>
      </c>
      <c r="L1707" s="12" t="s">
        <v>162</v>
      </c>
      <c r="M1707" s="12" t="s">
        <v>37</v>
      </c>
      <c r="N1707" s="14">
        <v>0.21</v>
      </c>
      <c r="O1707" s="23">
        <v>962.98</v>
      </c>
      <c r="P1707">
        <v>253.33</v>
      </c>
      <c r="Q1707" s="12" t="str" cm="1">
        <f t="array" ref="Q1707:R1707">VLOOKUP(E1707,store[],{3,5},FALSE)</f>
        <v>East</v>
      </c>
      <c r="R1707" t="str">
        <v>Flagship</v>
      </c>
      <c r="S1707" s="4">
        <f t="shared" si="26"/>
        <v>2888.31</v>
      </c>
    </row>
    <row r="1708" spans="1:19">
      <c r="A1708" t="s">
        <v>2515</v>
      </c>
      <c r="B1708" s="3">
        <v>45377</v>
      </c>
      <c r="C1708" t="s">
        <v>1208</v>
      </c>
      <c r="D1708" t="s">
        <v>275</v>
      </c>
      <c r="E1708" t="s">
        <v>43</v>
      </c>
      <c r="F1708">
        <v>3</v>
      </c>
      <c r="G1708" t="s">
        <v>23</v>
      </c>
      <c r="H1708">
        <v>43</v>
      </c>
      <c r="I1708" s="12" t="s">
        <v>34</v>
      </c>
      <c r="J1708" s="12" t="s">
        <v>67</v>
      </c>
      <c r="K1708" s="12" t="s">
        <v>52</v>
      </c>
      <c r="L1708" s="12" t="s">
        <v>276</v>
      </c>
      <c r="M1708" s="12" t="s">
        <v>28</v>
      </c>
      <c r="N1708" s="14">
        <v>0.25</v>
      </c>
      <c r="O1708" s="23">
        <v>884.46</v>
      </c>
      <c r="P1708">
        <v>167.12</v>
      </c>
      <c r="Q1708" s="12" t="str" cm="1">
        <f t="array" ref="Q1708:R1708">VLOOKUP(E1708,store[],{3,5},FALSE)</f>
        <v>West</v>
      </c>
      <c r="R1708" t="str">
        <v>Online</v>
      </c>
      <c r="S1708" s="4">
        <f t="shared" si="26"/>
        <v>2652.63</v>
      </c>
    </row>
    <row r="1709" spans="1:19">
      <c r="A1709" t="s">
        <v>2516</v>
      </c>
      <c r="B1709" s="3">
        <v>45778</v>
      </c>
      <c r="C1709" t="s">
        <v>667</v>
      </c>
      <c r="D1709" t="s">
        <v>178</v>
      </c>
      <c r="E1709" t="s">
        <v>168</v>
      </c>
      <c r="F1709">
        <v>4</v>
      </c>
      <c r="G1709" t="s">
        <v>33</v>
      </c>
      <c r="H1709">
        <v>47</v>
      </c>
      <c r="I1709" s="12" t="s">
        <v>34</v>
      </c>
      <c r="J1709" s="12" t="s">
        <v>214</v>
      </c>
      <c r="K1709" s="12" t="s">
        <v>52</v>
      </c>
      <c r="L1709" s="12" t="s">
        <v>180</v>
      </c>
      <c r="M1709" s="12" t="s">
        <v>37</v>
      </c>
      <c r="N1709" s="14">
        <v>0.05</v>
      </c>
      <c r="O1709" s="23">
        <v>359.71</v>
      </c>
      <c r="P1709">
        <v>349.17</v>
      </c>
      <c r="Q1709" s="12" t="str" cm="1">
        <f t="array" ref="Q1709:R1709">VLOOKUP(E1709,store[],{3,5},FALSE)</f>
        <v>East</v>
      </c>
      <c r="R1709" t="str">
        <v>Online</v>
      </c>
      <c r="S1709" s="4">
        <f t="shared" si="26"/>
        <v>1438.64</v>
      </c>
    </row>
    <row r="1710" spans="1:19">
      <c r="A1710" t="s">
        <v>2517</v>
      </c>
      <c r="B1710" s="3">
        <v>45715</v>
      </c>
      <c r="C1710" t="s">
        <v>1361</v>
      </c>
      <c r="D1710" t="s">
        <v>409</v>
      </c>
      <c r="E1710" t="s">
        <v>72</v>
      </c>
      <c r="F1710">
        <v>3</v>
      </c>
      <c r="G1710" t="s">
        <v>23</v>
      </c>
      <c r="H1710">
        <v>23</v>
      </c>
      <c r="I1710" s="12" t="s">
        <v>34</v>
      </c>
      <c r="J1710" s="12" t="s">
        <v>356</v>
      </c>
      <c r="K1710" s="12" t="s">
        <v>26</v>
      </c>
      <c r="L1710" s="12" t="s">
        <v>411</v>
      </c>
      <c r="M1710" s="12" t="s">
        <v>28</v>
      </c>
      <c r="N1710" s="14">
        <v>0.18</v>
      </c>
      <c r="O1710" s="23">
        <v>766.47</v>
      </c>
      <c r="P1710">
        <v>190.29</v>
      </c>
      <c r="Q1710" s="12" t="str" cm="1">
        <f t="array" ref="Q1710:R1710">VLOOKUP(E1710,store[],{3,5},FALSE)</f>
        <v>South</v>
      </c>
      <c r="R1710" t="str">
        <v>Online</v>
      </c>
      <c r="S1710" s="4">
        <f t="shared" si="26"/>
        <v>2298.87</v>
      </c>
    </row>
    <row r="1711" spans="1:19">
      <c r="A1711" t="s">
        <v>2518</v>
      </c>
      <c r="B1711" s="3">
        <v>45492</v>
      </c>
      <c r="C1711" t="s">
        <v>1118</v>
      </c>
      <c r="D1711" t="s">
        <v>71</v>
      </c>
      <c r="E1711" t="s">
        <v>160</v>
      </c>
      <c r="F1711">
        <v>1</v>
      </c>
      <c r="G1711" t="s">
        <v>33</v>
      </c>
      <c r="H1711">
        <v>50</v>
      </c>
      <c r="I1711" s="12" t="s">
        <v>24</v>
      </c>
      <c r="J1711" s="12" t="s">
        <v>106</v>
      </c>
      <c r="K1711" s="12" t="s">
        <v>52</v>
      </c>
      <c r="L1711" s="12" t="s">
        <v>74</v>
      </c>
      <c r="M1711" s="12" t="s">
        <v>75</v>
      </c>
      <c r="N1711" s="14">
        <v>0.26</v>
      </c>
      <c r="O1711" s="23">
        <v>772.07</v>
      </c>
      <c r="P1711">
        <v>461.47</v>
      </c>
      <c r="Q1711" s="12" t="str" cm="1">
        <f t="array" ref="Q1711:R1711">VLOOKUP(E1711,store[],{3,5},FALSE)</f>
        <v>East</v>
      </c>
      <c r="R1711" t="str">
        <v>Flagship</v>
      </c>
      <c r="S1711" s="4">
        <f t="shared" si="26"/>
        <v>771.81</v>
      </c>
    </row>
    <row r="1712" spans="1:19">
      <c r="A1712" t="s">
        <v>2519</v>
      </c>
      <c r="B1712" s="3">
        <v>45292</v>
      </c>
      <c r="C1712" t="s">
        <v>490</v>
      </c>
      <c r="D1712" t="s">
        <v>314</v>
      </c>
      <c r="E1712" t="s">
        <v>58</v>
      </c>
      <c r="F1712">
        <v>3</v>
      </c>
      <c r="G1712" t="s">
        <v>50</v>
      </c>
      <c r="H1712">
        <v>22</v>
      </c>
      <c r="I1712" s="12" t="s">
        <v>34</v>
      </c>
      <c r="J1712" s="12" t="s">
        <v>491</v>
      </c>
      <c r="K1712" s="12" t="s">
        <v>52</v>
      </c>
      <c r="L1712" s="12" t="s">
        <v>315</v>
      </c>
      <c r="M1712" s="12" t="s">
        <v>28</v>
      </c>
      <c r="N1712" s="14">
        <v>0.26</v>
      </c>
      <c r="O1712" s="23">
        <v>108.31</v>
      </c>
      <c r="P1712">
        <v>21.34</v>
      </c>
      <c r="Q1712" s="12" t="str" cm="1">
        <f t="array" ref="Q1712:R1712">VLOOKUP(E1712,store[],{3,5},FALSE)</f>
        <v>North</v>
      </c>
      <c r="R1712" t="str">
        <v>Outlet</v>
      </c>
      <c r="S1712" s="4">
        <f t="shared" si="26"/>
        <v>324.14999999999998</v>
      </c>
    </row>
    <row r="1713" spans="1:19">
      <c r="A1713" t="s">
        <v>2520</v>
      </c>
      <c r="B1713" s="3">
        <v>45316</v>
      </c>
      <c r="C1713" t="s">
        <v>225</v>
      </c>
      <c r="D1713" t="s">
        <v>221</v>
      </c>
      <c r="E1713" t="s">
        <v>179</v>
      </c>
      <c r="F1713">
        <v>1</v>
      </c>
      <c r="G1713" t="s">
        <v>33</v>
      </c>
      <c r="H1713">
        <v>46</v>
      </c>
      <c r="I1713" s="12" t="s">
        <v>24</v>
      </c>
      <c r="J1713" s="12" t="s">
        <v>227</v>
      </c>
      <c r="K1713" s="12" t="s">
        <v>52</v>
      </c>
      <c r="L1713" s="12" t="s">
        <v>223</v>
      </c>
      <c r="M1713" s="12" t="s">
        <v>75</v>
      </c>
      <c r="N1713" s="14">
        <v>0</v>
      </c>
      <c r="O1713" s="23">
        <v>502.53</v>
      </c>
      <c r="P1713">
        <v>228.53</v>
      </c>
      <c r="Q1713" s="12" t="str" cm="1">
        <f t="array" ref="Q1713:R1713">VLOOKUP(E1713,store[],{3,5},FALSE)</f>
        <v>East</v>
      </c>
      <c r="R1713" t="str">
        <v>Online</v>
      </c>
      <c r="S1713" s="4">
        <f t="shared" si="26"/>
        <v>502.53</v>
      </c>
    </row>
    <row r="1714" spans="1:19">
      <c r="A1714" t="s">
        <v>2521</v>
      </c>
      <c r="B1714" s="3">
        <v>45548</v>
      </c>
      <c r="C1714" t="s">
        <v>578</v>
      </c>
      <c r="D1714" t="s">
        <v>389</v>
      </c>
      <c r="E1714" t="s">
        <v>117</v>
      </c>
      <c r="F1714">
        <v>2</v>
      </c>
      <c r="G1714" t="s">
        <v>50</v>
      </c>
      <c r="H1714">
        <v>37</v>
      </c>
      <c r="I1714" s="12" t="s">
        <v>24</v>
      </c>
      <c r="J1714" s="12" t="s">
        <v>169</v>
      </c>
      <c r="K1714" s="12" t="s">
        <v>26</v>
      </c>
      <c r="L1714" s="12" t="s">
        <v>390</v>
      </c>
      <c r="M1714" s="12" t="s">
        <v>130</v>
      </c>
      <c r="N1714" s="14">
        <v>0.11</v>
      </c>
      <c r="O1714" s="23">
        <v>508.52</v>
      </c>
      <c r="P1714">
        <v>342.56</v>
      </c>
      <c r="Q1714" s="12" t="str" cm="1">
        <f t="array" ref="Q1714:R1714">VLOOKUP(E1714,store[],{3,5},FALSE)</f>
        <v>West</v>
      </c>
      <c r="R1714" t="str">
        <v>Flagship</v>
      </c>
      <c r="S1714" s="4">
        <f t="shared" si="26"/>
        <v>1016.82</v>
      </c>
    </row>
    <row r="1715" spans="1:19">
      <c r="A1715" t="s">
        <v>2522</v>
      </c>
      <c r="B1715" s="3">
        <v>45572</v>
      </c>
      <c r="C1715" t="s">
        <v>843</v>
      </c>
      <c r="D1715" t="s">
        <v>31</v>
      </c>
      <c r="E1715" t="s">
        <v>22</v>
      </c>
      <c r="F1715">
        <v>1</v>
      </c>
      <c r="G1715" t="s">
        <v>33</v>
      </c>
      <c r="H1715">
        <v>45</v>
      </c>
      <c r="I1715" s="12" t="s">
        <v>24</v>
      </c>
      <c r="J1715" s="12" t="s">
        <v>35</v>
      </c>
      <c r="K1715" s="12" t="s">
        <v>73</v>
      </c>
      <c r="L1715" s="12" t="s">
        <v>36</v>
      </c>
      <c r="M1715" s="12" t="s">
        <v>37</v>
      </c>
      <c r="N1715" s="14">
        <v>0.26</v>
      </c>
      <c r="O1715" s="23">
        <v>492</v>
      </c>
      <c r="P1715">
        <v>403.71</v>
      </c>
      <c r="Q1715" s="12" t="str" cm="1">
        <f t="array" ref="Q1715:R1715">VLOOKUP(E1715,store[],{3,5},FALSE)</f>
        <v>North</v>
      </c>
      <c r="R1715" t="str">
        <v>Outlet</v>
      </c>
      <c r="S1715" s="4">
        <f t="shared" si="26"/>
        <v>491.74</v>
      </c>
    </row>
    <row r="1716" spans="1:19">
      <c r="A1716" t="s">
        <v>2523</v>
      </c>
      <c r="B1716" s="3">
        <v>45347</v>
      </c>
      <c r="C1716" t="s">
        <v>598</v>
      </c>
      <c r="D1716" t="s">
        <v>786</v>
      </c>
      <c r="E1716" t="s">
        <v>98</v>
      </c>
      <c r="F1716">
        <v>4</v>
      </c>
      <c r="G1716" t="s">
        <v>23</v>
      </c>
      <c r="H1716">
        <v>46</v>
      </c>
      <c r="I1716" s="12" t="s">
        <v>34</v>
      </c>
      <c r="J1716" s="12" t="s">
        <v>498</v>
      </c>
      <c r="K1716" s="12" t="s">
        <v>73</v>
      </c>
      <c r="L1716" s="12" t="s">
        <v>787</v>
      </c>
      <c r="M1716" s="12" t="s">
        <v>130</v>
      </c>
      <c r="N1716" s="14">
        <v>0.02</v>
      </c>
      <c r="O1716" s="23">
        <v>746.36</v>
      </c>
      <c r="P1716">
        <v>353.47</v>
      </c>
      <c r="Q1716" s="12" t="str" cm="1">
        <f t="array" ref="Q1716:R1716">VLOOKUP(E1716,store[],{3,5},FALSE)</f>
        <v>South</v>
      </c>
      <c r="R1716" t="str">
        <v>Outlet</v>
      </c>
      <c r="S1716" s="4">
        <f t="shared" si="26"/>
        <v>2985.36</v>
      </c>
    </row>
    <row r="1717" spans="1:19">
      <c r="A1717" t="s">
        <v>2524</v>
      </c>
      <c r="B1717" s="3">
        <v>45823</v>
      </c>
      <c r="C1717" t="s">
        <v>778</v>
      </c>
      <c r="D1717" t="s">
        <v>173</v>
      </c>
      <c r="E1717" t="s">
        <v>105</v>
      </c>
      <c r="F1717">
        <v>1</v>
      </c>
      <c r="G1717" t="s">
        <v>23</v>
      </c>
      <c r="H1717">
        <v>51</v>
      </c>
      <c r="I1717" s="12" t="s">
        <v>34</v>
      </c>
      <c r="J1717" s="12" t="s">
        <v>161</v>
      </c>
      <c r="K1717" s="12" t="s">
        <v>60</v>
      </c>
      <c r="L1717" s="12" t="s">
        <v>174</v>
      </c>
      <c r="M1717" s="12" t="s">
        <v>46</v>
      </c>
      <c r="N1717" s="14">
        <v>0.08</v>
      </c>
      <c r="O1717" s="23">
        <v>120.83</v>
      </c>
      <c r="P1717">
        <v>115.82</v>
      </c>
      <c r="Q1717" s="12" t="str" cm="1">
        <f t="array" ref="Q1717:R1717">VLOOKUP(E1717,store[],{3,5},FALSE)</f>
        <v>North</v>
      </c>
      <c r="R1717" t="str">
        <v>Flagship</v>
      </c>
      <c r="S1717" s="4">
        <f t="shared" si="26"/>
        <v>120.75</v>
      </c>
    </row>
    <row r="1718" spans="1:19">
      <c r="A1718" t="s">
        <v>2525</v>
      </c>
      <c r="B1718" s="3">
        <v>45394</v>
      </c>
      <c r="C1718" t="s">
        <v>531</v>
      </c>
      <c r="D1718" t="s">
        <v>192</v>
      </c>
      <c r="E1718" t="s">
        <v>160</v>
      </c>
      <c r="F1718">
        <v>2</v>
      </c>
      <c r="G1718" t="s">
        <v>50</v>
      </c>
      <c r="H1718">
        <v>27</v>
      </c>
      <c r="I1718" s="12" t="s">
        <v>24</v>
      </c>
      <c r="J1718" s="12" t="s">
        <v>193</v>
      </c>
      <c r="K1718" s="12" t="s">
        <v>73</v>
      </c>
      <c r="L1718" s="12" t="s">
        <v>194</v>
      </c>
      <c r="M1718" s="12" t="s">
        <v>37</v>
      </c>
      <c r="N1718" s="14">
        <v>0.28999999999999998</v>
      </c>
      <c r="O1718" s="23">
        <v>68.31</v>
      </c>
      <c r="P1718">
        <v>480.9</v>
      </c>
      <c r="Q1718" s="12" t="str" cm="1">
        <f t="array" ref="Q1718:R1718">VLOOKUP(E1718,store[],{3,5},FALSE)</f>
        <v>East</v>
      </c>
      <c r="R1718" t="str">
        <v>Flagship</v>
      </c>
      <c r="S1718" s="4">
        <f t="shared" si="26"/>
        <v>136.04</v>
      </c>
    </row>
    <row r="1719" spans="1:19">
      <c r="A1719" t="s">
        <v>2526</v>
      </c>
      <c r="B1719" s="3">
        <v>45265</v>
      </c>
      <c r="C1719" t="s">
        <v>1215</v>
      </c>
      <c r="D1719" t="s">
        <v>443</v>
      </c>
      <c r="E1719" t="s">
        <v>160</v>
      </c>
      <c r="F1719">
        <v>2</v>
      </c>
      <c r="G1719" t="s">
        <v>33</v>
      </c>
      <c r="H1719">
        <v>50</v>
      </c>
      <c r="I1719" s="12" t="s">
        <v>24</v>
      </c>
      <c r="J1719" s="12" t="s">
        <v>222</v>
      </c>
      <c r="K1719" s="12" t="s">
        <v>73</v>
      </c>
      <c r="L1719" s="12" t="s">
        <v>445</v>
      </c>
      <c r="M1719" s="12" t="s">
        <v>28</v>
      </c>
      <c r="N1719" s="14">
        <v>0.02</v>
      </c>
      <c r="O1719" s="23">
        <v>761.71</v>
      </c>
      <c r="P1719">
        <v>484.62</v>
      </c>
      <c r="Q1719" s="12" t="str" cm="1">
        <f t="array" ref="Q1719:R1719">VLOOKUP(E1719,store[],{3,5},FALSE)</f>
        <v>East</v>
      </c>
      <c r="R1719" t="str">
        <v>Flagship</v>
      </c>
      <c r="S1719" s="4">
        <f t="shared" si="26"/>
        <v>1523.38</v>
      </c>
    </row>
    <row r="1720" spans="1:19">
      <c r="A1720" t="s">
        <v>2527</v>
      </c>
      <c r="B1720" s="3">
        <v>45261</v>
      </c>
      <c r="C1720" t="s">
        <v>611</v>
      </c>
      <c r="D1720" t="s">
        <v>267</v>
      </c>
      <c r="E1720" t="s">
        <v>22</v>
      </c>
      <c r="F1720">
        <v>4</v>
      </c>
      <c r="G1720" t="s">
        <v>50</v>
      </c>
      <c r="H1720">
        <v>27</v>
      </c>
      <c r="I1720" s="12" t="s">
        <v>34</v>
      </c>
      <c r="J1720" s="12" t="s">
        <v>214</v>
      </c>
      <c r="K1720" s="12" t="s">
        <v>60</v>
      </c>
      <c r="L1720" s="12" t="s">
        <v>268</v>
      </c>
      <c r="M1720" s="12" t="s">
        <v>75</v>
      </c>
      <c r="N1720" s="14">
        <v>0.18</v>
      </c>
      <c r="O1720" s="23">
        <v>346.37</v>
      </c>
      <c r="P1720">
        <v>325.26</v>
      </c>
      <c r="Q1720" s="12" t="str" cm="1">
        <f t="array" ref="Q1720:R1720">VLOOKUP(E1720,store[],{3,5},FALSE)</f>
        <v>North</v>
      </c>
      <c r="R1720" t="str">
        <v>Outlet</v>
      </c>
      <c r="S1720" s="4">
        <f t="shared" si="26"/>
        <v>1384.76</v>
      </c>
    </row>
    <row r="1721" spans="1:19">
      <c r="A1721" t="s">
        <v>2528</v>
      </c>
      <c r="B1721" s="3">
        <v>45702</v>
      </c>
      <c r="C1721" t="s">
        <v>355</v>
      </c>
      <c r="D1721" t="s">
        <v>564</v>
      </c>
      <c r="E1721" t="s">
        <v>208</v>
      </c>
      <c r="F1721">
        <v>1</v>
      </c>
      <c r="G1721" t="s">
        <v>33</v>
      </c>
      <c r="H1721">
        <v>29</v>
      </c>
      <c r="I1721" s="12" t="s">
        <v>34</v>
      </c>
      <c r="J1721" s="12" t="s">
        <v>356</v>
      </c>
      <c r="K1721" s="12" t="s">
        <v>73</v>
      </c>
      <c r="L1721" s="12" t="s">
        <v>565</v>
      </c>
      <c r="M1721" s="12" t="s">
        <v>75</v>
      </c>
      <c r="N1721" s="14">
        <v>0.14000000000000001</v>
      </c>
      <c r="O1721" s="23">
        <v>846.3</v>
      </c>
      <c r="P1721">
        <v>81.75</v>
      </c>
      <c r="Q1721" s="12" t="str" cm="1">
        <f t="array" ref="Q1721:R1721">VLOOKUP(E1721,store[],{3,5},FALSE)</f>
        <v>North</v>
      </c>
      <c r="R1721" t="str">
        <v>Online</v>
      </c>
      <c r="S1721" s="4">
        <f t="shared" si="26"/>
        <v>846.16</v>
      </c>
    </row>
    <row r="1722" spans="1:19">
      <c r="A1722" t="s">
        <v>2529</v>
      </c>
      <c r="B1722" s="3">
        <v>45624</v>
      </c>
      <c r="C1722" t="s">
        <v>1919</v>
      </c>
      <c r="D1722" t="s">
        <v>768</v>
      </c>
      <c r="E1722" t="s">
        <v>135</v>
      </c>
      <c r="F1722">
        <v>1</v>
      </c>
      <c r="G1722" t="s">
        <v>33</v>
      </c>
      <c r="H1722">
        <v>37</v>
      </c>
      <c r="I1722" s="12" t="s">
        <v>24</v>
      </c>
      <c r="J1722" s="12" t="s">
        <v>204</v>
      </c>
      <c r="K1722" s="12" t="s">
        <v>73</v>
      </c>
      <c r="L1722" s="12" t="s">
        <v>769</v>
      </c>
      <c r="M1722" s="12" t="s">
        <v>37</v>
      </c>
      <c r="N1722" s="14">
        <v>0.1</v>
      </c>
      <c r="O1722" s="23">
        <v>458.97</v>
      </c>
      <c r="P1722">
        <v>112.42</v>
      </c>
      <c r="Q1722" s="12" t="str" cm="1">
        <f t="array" ref="Q1722:R1722">VLOOKUP(E1722,store[],{3,5},FALSE)</f>
        <v>East</v>
      </c>
      <c r="R1722" t="str">
        <v>Online</v>
      </c>
      <c r="S1722" s="4">
        <f t="shared" si="26"/>
        <v>458.87</v>
      </c>
    </row>
    <row r="1723" spans="1:19">
      <c r="A1723" t="s">
        <v>2530</v>
      </c>
      <c r="B1723" s="3">
        <v>45736</v>
      </c>
      <c r="C1723" t="s">
        <v>2531</v>
      </c>
      <c r="D1723" t="s">
        <v>159</v>
      </c>
      <c r="E1723" t="s">
        <v>66</v>
      </c>
      <c r="F1723">
        <v>2</v>
      </c>
      <c r="G1723" t="s">
        <v>23</v>
      </c>
      <c r="H1723">
        <v>45</v>
      </c>
      <c r="I1723" s="12" t="s">
        <v>24</v>
      </c>
      <c r="J1723" s="12" t="s">
        <v>308</v>
      </c>
      <c r="K1723" s="12" t="s">
        <v>73</v>
      </c>
      <c r="L1723" s="12" t="s">
        <v>162</v>
      </c>
      <c r="M1723" s="12" t="s">
        <v>37</v>
      </c>
      <c r="N1723" s="14">
        <v>0.14000000000000001</v>
      </c>
      <c r="O1723" s="23">
        <v>536.61</v>
      </c>
      <c r="P1723">
        <v>253.33</v>
      </c>
      <c r="Q1723" s="12" t="str" cm="1">
        <f t="array" ref="Q1723:R1723">VLOOKUP(E1723,store[],{3,5},FALSE)</f>
        <v>South</v>
      </c>
      <c r="R1723" t="str">
        <v>Online</v>
      </c>
      <c r="S1723" s="4">
        <f t="shared" si="26"/>
        <v>1072.94</v>
      </c>
    </row>
    <row r="1724" spans="1:19">
      <c r="A1724" t="s">
        <v>2532</v>
      </c>
      <c r="B1724" s="3">
        <v>45709</v>
      </c>
      <c r="C1724" t="s">
        <v>278</v>
      </c>
      <c r="D1724" t="s">
        <v>714</v>
      </c>
      <c r="E1724" t="s">
        <v>90</v>
      </c>
      <c r="F1724">
        <v>3</v>
      </c>
      <c r="G1724" t="s">
        <v>33</v>
      </c>
      <c r="H1724">
        <v>60</v>
      </c>
      <c r="I1724" s="12" t="s">
        <v>24</v>
      </c>
      <c r="J1724" s="12" t="s">
        <v>256</v>
      </c>
      <c r="K1724" s="12" t="s">
        <v>73</v>
      </c>
      <c r="L1724" s="12" t="s">
        <v>715</v>
      </c>
      <c r="M1724" s="12" t="s">
        <v>130</v>
      </c>
      <c r="N1724" s="14">
        <v>0.14000000000000001</v>
      </c>
      <c r="O1724" s="23">
        <v>130.41</v>
      </c>
      <c r="P1724">
        <v>113.83</v>
      </c>
      <c r="Q1724" s="12" t="str" cm="1">
        <f t="array" ref="Q1724:R1724">VLOOKUP(E1724,store[],{3,5},FALSE)</f>
        <v>East</v>
      </c>
      <c r="R1724" t="str">
        <v>Flagship</v>
      </c>
      <c r="S1724" s="4">
        <f t="shared" si="26"/>
        <v>390.81</v>
      </c>
    </row>
    <row r="1725" spans="1:19">
      <c r="A1725" t="s">
        <v>2533</v>
      </c>
      <c r="B1725" s="3">
        <v>45738</v>
      </c>
      <c r="C1725" t="s">
        <v>500</v>
      </c>
      <c r="D1725" t="s">
        <v>287</v>
      </c>
      <c r="E1725" t="s">
        <v>208</v>
      </c>
      <c r="F1725">
        <v>4</v>
      </c>
      <c r="G1725" t="s">
        <v>23</v>
      </c>
      <c r="H1725">
        <v>56</v>
      </c>
      <c r="I1725" s="12" t="s">
        <v>24</v>
      </c>
      <c r="J1725" s="12" t="s">
        <v>308</v>
      </c>
      <c r="K1725" s="12" t="s">
        <v>73</v>
      </c>
      <c r="L1725" s="12" t="s">
        <v>288</v>
      </c>
      <c r="M1725" s="12" t="s">
        <v>46</v>
      </c>
      <c r="N1725" s="14">
        <v>0.01</v>
      </c>
      <c r="O1725" s="23">
        <v>706.67</v>
      </c>
      <c r="P1725">
        <v>183.04</v>
      </c>
      <c r="Q1725" s="12" t="str" cm="1">
        <f t="array" ref="Q1725:R1725">VLOOKUP(E1725,store[],{3,5},FALSE)</f>
        <v>North</v>
      </c>
      <c r="R1725" t="str">
        <v>Online</v>
      </c>
      <c r="S1725" s="4">
        <f t="shared" si="26"/>
        <v>2826.64</v>
      </c>
    </row>
    <row r="1726" spans="1:19">
      <c r="A1726" t="s">
        <v>2534</v>
      </c>
      <c r="B1726" s="3">
        <v>45685</v>
      </c>
      <c r="C1726" t="s">
        <v>1651</v>
      </c>
      <c r="D1726" t="s">
        <v>139</v>
      </c>
      <c r="E1726" t="s">
        <v>22</v>
      </c>
      <c r="F1726">
        <v>3</v>
      </c>
      <c r="G1726" t="s">
        <v>23</v>
      </c>
      <c r="H1726">
        <v>46</v>
      </c>
      <c r="I1726" s="12" t="s">
        <v>24</v>
      </c>
      <c r="J1726" s="12" t="s">
        <v>80</v>
      </c>
      <c r="K1726" s="12" t="s">
        <v>26</v>
      </c>
      <c r="L1726" s="12" t="s">
        <v>141</v>
      </c>
      <c r="M1726" s="12" t="s">
        <v>75</v>
      </c>
      <c r="N1726" s="14">
        <v>0.17</v>
      </c>
      <c r="O1726" s="23">
        <v>523.45000000000005</v>
      </c>
      <c r="P1726">
        <v>250.02157142857101</v>
      </c>
      <c r="Q1726" s="12" t="str" cm="1">
        <f t="array" ref="Q1726:R1726">VLOOKUP(E1726,store[],{3,5},FALSE)</f>
        <v>North</v>
      </c>
      <c r="R1726" t="str">
        <v>Outlet</v>
      </c>
      <c r="S1726" s="4">
        <f t="shared" si="26"/>
        <v>1569.84</v>
      </c>
    </row>
    <row r="1727" spans="1:19">
      <c r="A1727" t="s">
        <v>2535</v>
      </c>
      <c r="B1727" s="3">
        <v>45701</v>
      </c>
      <c r="C1727" t="s">
        <v>1825</v>
      </c>
      <c r="D1727" t="s">
        <v>372</v>
      </c>
      <c r="E1727" t="s">
        <v>160</v>
      </c>
      <c r="F1727">
        <v>3</v>
      </c>
      <c r="G1727" t="s">
        <v>50</v>
      </c>
      <c r="H1727">
        <v>64</v>
      </c>
      <c r="I1727" s="12" t="s">
        <v>24</v>
      </c>
      <c r="J1727" s="12" t="s">
        <v>44</v>
      </c>
      <c r="K1727" s="12" t="s">
        <v>52</v>
      </c>
      <c r="L1727" s="12" t="s">
        <v>374</v>
      </c>
      <c r="M1727" s="12" t="s">
        <v>130</v>
      </c>
      <c r="N1727" s="14">
        <v>0.23</v>
      </c>
      <c r="O1727" s="23">
        <v>482.2</v>
      </c>
      <c r="P1727">
        <v>438.25</v>
      </c>
      <c r="Q1727" s="12" t="str" cm="1">
        <f t="array" ref="Q1727:R1727">VLOOKUP(E1727,store[],{3,5},FALSE)</f>
        <v>East</v>
      </c>
      <c r="R1727" t="str">
        <v>Flagship</v>
      </c>
      <c r="S1727" s="4">
        <f t="shared" si="26"/>
        <v>1445.91</v>
      </c>
    </row>
    <row r="1728" spans="1:19">
      <c r="A1728" t="s">
        <v>2536</v>
      </c>
      <c r="B1728" s="3">
        <v>45745</v>
      </c>
      <c r="C1728" t="s">
        <v>1392</v>
      </c>
      <c r="D1728" t="s">
        <v>625</v>
      </c>
      <c r="E1728" t="s">
        <v>58</v>
      </c>
      <c r="F1728">
        <v>4</v>
      </c>
      <c r="G1728" t="s">
        <v>50</v>
      </c>
      <c r="H1728">
        <v>26</v>
      </c>
      <c r="I1728" s="12" t="s">
        <v>24</v>
      </c>
      <c r="J1728" s="12" t="s">
        <v>932</v>
      </c>
      <c r="K1728" s="12" t="s">
        <v>73</v>
      </c>
      <c r="L1728" s="12" t="s">
        <v>626</v>
      </c>
      <c r="M1728" s="12" t="s">
        <v>46</v>
      </c>
      <c r="N1728" s="14">
        <v>0.02</v>
      </c>
      <c r="O1728" s="23">
        <v>688.86</v>
      </c>
      <c r="P1728">
        <v>266.86</v>
      </c>
      <c r="Q1728" s="12" t="str" cm="1">
        <f t="array" ref="Q1728:R1728">VLOOKUP(E1728,store[],{3,5},FALSE)</f>
        <v>North</v>
      </c>
      <c r="R1728" t="str">
        <v>Outlet</v>
      </c>
      <c r="S1728" s="4">
        <f t="shared" si="26"/>
        <v>2755.36</v>
      </c>
    </row>
    <row r="1729" spans="1:19">
      <c r="A1729" t="s">
        <v>2537</v>
      </c>
      <c r="B1729" s="3">
        <v>45214</v>
      </c>
      <c r="C1729" t="s">
        <v>740</v>
      </c>
      <c r="D1729" t="s">
        <v>173</v>
      </c>
      <c r="E1729" t="s">
        <v>90</v>
      </c>
      <c r="F1729">
        <v>1</v>
      </c>
      <c r="G1729" t="s">
        <v>50</v>
      </c>
      <c r="H1729">
        <v>52</v>
      </c>
      <c r="I1729" s="12" t="s">
        <v>34</v>
      </c>
      <c r="J1729" s="12" t="s">
        <v>609</v>
      </c>
      <c r="K1729" s="12" t="s">
        <v>60</v>
      </c>
      <c r="L1729" s="12" t="s">
        <v>174</v>
      </c>
      <c r="M1729" s="12" t="s">
        <v>46</v>
      </c>
      <c r="N1729" s="14">
        <v>0.1</v>
      </c>
      <c r="O1729" s="23">
        <v>145.47999999999999</v>
      </c>
      <c r="P1729">
        <v>115.82</v>
      </c>
      <c r="Q1729" s="12" t="str" cm="1">
        <f t="array" ref="Q1729:R1729">VLOOKUP(E1729,store[],{3,5},FALSE)</f>
        <v>East</v>
      </c>
      <c r="R1729" t="str">
        <v>Flagship</v>
      </c>
      <c r="S1729" s="4">
        <f t="shared" si="26"/>
        <v>145.38</v>
      </c>
    </row>
    <row r="1730" spans="1:19">
      <c r="A1730" t="s">
        <v>2538</v>
      </c>
      <c r="B1730" s="3">
        <v>45547</v>
      </c>
      <c r="C1730" t="s">
        <v>1526</v>
      </c>
      <c r="D1730" t="s">
        <v>311</v>
      </c>
      <c r="E1730" t="s">
        <v>272</v>
      </c>
      <c r="F1730">
        <v>4</v>
      </c>
      <c r="G1730" t="s">
        <v>33</v>
      </c>
      <c r="H1730">
        <v>55</v>
      </c>
      <c r="I1730" s="12" t="s">
        <v>24</v>
      </c>
      <c r="J1730" s="12" t="s">
        <v>510</v>
      </c>
      <c r="K1730" s="12" t="s">
        <v>73</v>
      </c>
      <c r="L1730" s="12" t="s">
        <v>312</v>
      </c>
      <c r="M1730" s="12" t="s">
        <v>28</v>
      </c>
      <c r="N1730" s="14">
        <v>0.28000000000000003</v>
      </c>
      <c r="O1730" s="23">
        <v>862.25</v>
      </c>
      <c r="P1730">
        <v>204.39</v>
      </c>
      <c r="Q1730" s="12" t="str" cm="1">
        <f t="array" ref="Q1730:R1730">VLOOKUP(E1730,store[],{3,5},FALSE)</f>
        <v>South</v>
      </c>
      <c r="R1730" t="str">
        <v>Online</v>
      </c>
      <c r="S1730" s="4">
        <f t="shared" ref="S1730:S1793" si="27">(O1730-N1730)*F1730</f>
        <v>3447.88</v>
      </c>
    </row>
    <row r="1731" spans="1:19">
      <c r="A1731" t="s">
        <v>2539</v>
      </c>
      <c r="B1731" s="3">
        <v>45296</v>
      </c>
      <c r="C1731" t="s">
        <v>1514</v>
      </c>
      <c r="D1731" t="s">
        <v>389</v>
      </c>
      <c r="E1731" t="s">
        <v>98</v>
      </c>
      <c r="F1731">
        <v>4</v>
      </c>
      <c r="G1731" t="s">
        <v>50</v>
      </c>
      <c r="H1731">
        <v>30</v>
      </c>
      <c r="I1731" s="12" t="s">
        <v>24</v>
      </c>
      <c r="J1731" s="12" t="s">
        <v>510</v>
      </c>
      <c r="K1731" s="12" t="s">
        <v>60</v>
      </c>
      <c r="L1731" s="12" t="s">
        <v>390</v>
      </c>
      <c r="M1731" s="12" t="s">
        <v>130</v>
      </c>
      <c r="N1731" s="14">
        <v>0.12</v>
      </c>
      <c r="O1731" s="23">
        <v>146.12</v>
      </c>
      <c r="P1731">
        <v>342.56</v>
      </c>
      <c r="Q1731" s="12" t="str" cm="1">
        <f t="array" ref="Q1731:R1731">VLOOKUP(E1731,store[],{3,5},FALSE)</f>
        <v>South</v>
      </c>
      <c r="R1731" t="str">
        <v>Outlet</v>
      </c>
      <c r="S1731" s="4">
        <f t="shared" si="27"/>
        <v>584</v>
      </c>
    </row>
    <row r="1732" spans="1:19">
      <c r="A1732" t="s">
        <v>2540</v>
      </c>
      <c r="B1732" s="3">
        <v>45549</v>
      </c>
      <c r="C1732" t="s">
        <v>615</v>
      </c>
      <c r="D1732" t="s">
        <v>311</v>
      </c>
      <c r="E1732" t="s">
        <v>160</v>
      </c>
      <c r="F1732">
        <v>2</v>
      </c>
      <c r="G1732" t="s">
        <v>50</v>
      </c>
      <c r="H1732">
        <v>59</v>
      </c>
      <c r="I1732" s="12" t="s">
        <v>24</v>
      </c>
      <c r="J1732" s="12" t="s">
        <v>345</v>
      </c>
      <c r="K1732" s="12" t="s">
        <v>26</v>
      </c>
      <c r="L1732" s="12" t="s">
        <v>312</v>
      </c>
      <c r="M1732" s="12" t="s">
        <v>28</v>
      </c>
      <c r="N1732" s="14">
        <v>0.3</v>
      </c>
      <c r="O1732" s="23">
        <v>695.02</v>
      </c>
      <c r="P1732">
        <v>204.39</v>
      </c>
      <c r="Q1732" s="12" t="str" cm="1">
        <f t="array" ref="Q1732:R1732">VLOOKUP(E1732,store[],{3,5},FALSE)</f>
        <v>East</v>
      </c>
      <c r="R1732" t="str">
        <v>Flagship</v>
      </c>
      <c r="S1732" s="4">
        <f t="shared" si="27"/>
        <v>1389.44</v>
      </c>
    </row>
    <row r="1733" spans="1:19">
      <c r="A1733" t="s">
        <v>2541</v>
      </c>
      <c r="B1733" s="3">
        <v>45231</v>
      </c>
      <c r="C1733" t="s">
        <v>785</v>
      </c>
      <c r="D1733" t="s">
        <v>242</v>
      </c>
      <c r="E1733" t="s">
        <v>168</v>
      </c>
      <c r="F1733">
        <v>2</v>
      </c>
      <c r="G1733" t="s">
        <v>33</v>
      </c>
      <c r="H1733">
        <v>47</v>
      </c>
      <c r="I1733" s="12" t="s">
        <v>34</v>
      </c>
      <c r="J1733" s="12" t="s">
        <v>204</v>
      </c>
      <c r="K1733" s="12" t="s">
        <v>26</v>
      </c>
      <c r="L1733" s="12" t="s">
        <v>243</v>
      </c>
      <c r="M1733" s="12" t="s">
        <v>46</v>
      </c>
      <c r="N1733" s="14">
        <v>0.24</v>
      </c>
      <c r="O1733" s="23">
        <v>886.67</v>
      </c>
      <c r="P1733">
        <v>358.47</v>
      </c>
      <c r="Q1733" s="12" t="str" cm="1">
        <f t="array" ref="Q1733:R1733">VLOOKUP(E1733,store[],{3,5},FALSE)</f>
        <v>East</v>
      </c>
      <c r="R1733" t="str">
        <v>Online</v>
      </c>
      <c r="S1733" s="4">
        <f t="shared" si="27"/>
        <v>1772.86</v>
      </c>
    </row>
    <row r="1734" spans="1:19">
      <c r="A1734" t="s">
        <v>2542</v>
      </c>
      <c r="B1734" s="3">
        <v>45628</v>
      </c>
      <c r="C1734" t="s">
        <v>384</v>
      </c>
      <c r="D1734" t="s">
        <v>532</v>
      </c>
      <c r="E1734" t="s">
        <v>160</v>
      </c>
      <c r="F1734">
        <v>2</v>
      </c>
      <c r="G1734" t="s">
        <v>50</v>
      </c>
      <c r="H1734">
        <v>24</v>
      </c>
      <c r="I1734" s="12" t="s">
        <v>24</v>
      </c>
      <c r="J1734" s="12" t="s">
        <v>169</v>
      </c>
      <c r="K1734" s="12" t="s">
        <v>52</v>
      </c>
      <c r="L1734" s="12" t="s">
        <v>533</v>
      </c>
      <c r="M1734" s="12" t="s">
        <v>46</v>
      </c>
      <c r="N1734" s="14">
        <v>0.06</v>
      </c>
      <c r="O1734" s="23">
        <v>864.09</v>
      </c>
      <c r="P1734">
        <v>340.39</v>
      </c>
      <c r="Q1734" s="12" t="str" cm="1">
        <f t="array" ref="Q1734:R1734">VLOOKUP(E1734,store[],{3,5},FALSE)</f>
        <v>East</v>
      </c>
      <c r="R1734" t="str">
        <v>Flagship</v>
      </c>
      <c r="S1734" s="4">
        <f t="shared" si="27"/>
        <v>1728.06</v>
      </c>
    </row>
    <row r="1735" spans="1:19">
      <c r="A1735" t="s">
        <v>2543</v>
      </c>
      <c r="B1735" s="3">
        <v>45862</v>
      </c>
      <c r="C1735" t="s">
        <v>2059</v>
      </c>
      <c r="D1735" t="s">
        <v>173</v>
      </c>
      <c r="E1735" t="s">
        <v>127</v>
      </c>
      <c r="F1735">
        <v>1</v>
      </c>
      <c r="G1735" t="s">
        <v>33</v>
      </c>
      <c r="H1735">
        <v>59</v>
      </c>
      <c r="I1735" s="12" t="s">
        <v>34</v>
      </c>
      <c r="J1735" s="12" t="s">
        <v>308</v>
      </c>
      <c r="K1735" s="12" t="s">
        <v>73</v>
      </c>
      <c r="L1735" s="12" t="s">
        <v>174</v>
      </c>
      <c r="M1735" s="12" t="s">
        <v>46</v>
      </c>
      <c r="N1735" s="14">
        <v>0.02</v>
      </c>
      <c r="O1735" s="23">
        <v>437.65</v>
      </c>
      <c r="P1735">
        <v>115.82</v>
      </c>
      <c r="Q1735" s="12" t="str" cm="1">
        <f t="array" ref="Q1735:R1735">VLOOKUP(E1735,store[],{3,5},FALSE)</f>
        <v>South</v>
      </c>
      <c r="R1735" t="str">
        <v>Flagship</v>
      </c>
      <c r="S1735" s="4">
        <f t="shared" si="27"/>
        <v>437.63</v>
      </c>
    </row>
    <row r="1736" spans="1:19">
      <c r="A1736" t="s">
        <v>2544</v>
      </c>
      <c r="B1736" s="3">
        <v>45843</v>
      </c>
      <c r="C1736" t="s">
        <v>1269</v>
      </c>
      <c r="D1736" t="s">
        <v>126</v>
      </c>
      <c r="E1736" t="s">
        <v>149</v>
      </c>
      <c r="F1736">
        <v>2</v>
      </c>
      <c r="G1736" t="s">
        <v>23</v>
      </c>
      <c r="H1736">
        <v>37</v>
      </c>
      <c r="I1736" s="12" t="s">
        <v>34</v>
      </c>
      <c r="J1736" s="12" t="s">
        <v>333</v>
      </c>
      <c r="K1736" s="12" t="s">
        <v>52</v>
      </c>
      <c r="L1736" s="12" t="s">
        <v>129</v>
      </c>
      <c r="M1736" s="12" t="s">
        <v>130</v>
      </c>
      <c r="N1736" s="14">
        <v>0.27</v>
      </c>
      <c r="O1736" s="23">
        <v>208.09</v>
      </c>
      <c r="P1736">
        <v>223.43</v>
      </c>
      <c r="Q1736" s="12" t="str" cm="1">
        <f t="array" ref="Q1736:R1736">VLOOKUP(E1736,store[],{3,5},FALSE)</f>
        <v>East</v>
      </c>
      <c r="R1736" t="str">
        <v>Flagship</v>
      </c>
      <c r="S1736" s="4">
        <f t="shared" si="27"/>
        <v>415.64</v>
      </c>
    </row>
    <row r="1737" spans="1:19">
      <c r="A1737" t="s">
        <v>2545</v>
      </c>
      <c r="B1737" s="3">
        <v>45482</v>
      </c>
      <c r="C1737" t="s">
        <v>384</v>
      </c>
      <c r="D1737" t="s">
        <v>317</v>
      </c>
      <c r="E1737" t="s">
        <v>32</v>
      </c>
      <c r="F1737">
        <v>4</v>
      </c>
      <c r="G1737" t="s">
        <v>23</v>
      </c>
      <c r="H1737">
        <v>24</v>
      </c>
      <c r="I1737" s="12" t="s">
        <v>24</v>
      </c>
      <c r="J1737" s="12" t="s">
        <v>169</v>
      </c>
      <c r="K1737" s="12" t="s">
        <v>52</v>
      </c>
      <c r="L1737" s="12" t="s">
        <v>318</v>
      </c>
      <c r="M1737" s="12" t="s">
        <v>37</v>
      </c>
      <c r="N1737" s="14">
        <v>0.02</v>
      </c>
      <c r="O1737" s="23">
        <v>825.78</v>
      </c>
      <c r="P1737">
        <v>377.52</v>
      </c>
      <c r="Q1737" s="12" t="str" cm="1">
        <f t="array" ref="Q1737:R1737">VLOOKUP(E1737,store[],{3,5},FALSE)</f>
        <v>North</v>
      </c>
      <c r="R1737" t="str">
        <v>Flagship</v>
      </c>
      <c r="S1737" s="4">
        <f t="shared" si="27"/>
        <v>3303.04</v>
      </c>
    </row>
    <row r="1738" spans="1:19">
      <c r="A1738" t="s">
        <v>2546</v>
      </c>
      <c r="B1738" s="3">
        <v>45313</v>
      </c>
      <c r="C1738" t="s">
        <v>64</v>
      </c>
      <c r="D1738" t="s">
        <v>425</v>
      </c>
      <c r="E1738" t="s">
        <v>32</v>
      </c>
      <c r="F1738">
        <v>3</v>
      </c>
      <c r="G1738" t="s">
        <v>33</v>
      </c>
      <c r="H1738">
        <v>18</v>
      </c>
      <c r="I1738" s="12" t="s">
        <v>34</v>
      </c>
      <c r="J1738" s="12" t="s">
        <v>67</v>
      </c>
      <c r="K1738" s="12" t="s">
        <v>52</v>
      </c>
      <c r="L1738" s="12" t="s">
        <v>426</v>
      </c>
      <c r="M1738" s="12" t="s">
        <v>130</v>
      </c>
      <c r="N1738" s="14">
        <v>0.12</v>
      </c>
      <c r="O1738" s="23">
        <v>849.77</v>
      </c>
      <c r="P1738">
        <v>174.02</v>
      </c>
      <c r="Q1738" s="12" t="str" cm="1">
        <f t="array" ref="Q1738:R1738">VLOOKUP(E1738,store[],{3,5},FALSE)</f>
        <v>North</v>
      </c>
      <c r="R1738" t="str">
        <v>Flagship</v>
      </c>
      <c r="S1738" s="4">
        <f t="shared" si="27"/>
        <v>2548.9499999999998</v>
      </c>
    </row>
    <row r="1739" spans="1:19">
      <c r="A1739" t="s">
        <v>2547</v>
      </c>
      <c r="B1739" s="3">
        <v>45314</v>
      </c>
      <c r="C1739" t="s">
        <v>220</v>
      </c>
      <c r="D1739" t="s">
        <v>148</v>
      </c>
      <c r="E1739" t="s">
        <v>72</v>
      </c>
      <c r="F1739">
        <v>1</v>
      </c>
      <c r="G1739" t="s">
        <v>23</v>
      </c>
      <c r="H1739">
        <v>39</v>
      </c>
      <c r="I1739" s="12" t="s">
        <v>24</v>
      </c>
      <c r="J1739" s="12" t="s">
        <v>222</v>
      </c>
      <c r="K1739" s="12" t="s">
        <v>26</v>
      </c>
      <c r="L1739" s="12" t="s">
        <v>150</v>
      </c>
      <c r="M1739" s="12" t="s">
        <v>46</v>
      </c>
      <c r="N1739" s="14">
        <v>0.18</v>
      </c>
      <c r="O1739" s="23">
        <v>88.78</v>
      </c>
      <c r="P1739">
        <v>482.75</v>
      </c>
      <c r="Q1739" s="12" t="str" cm="1">
        <f t="array" ref="Q1739:R1739">VLOOKUP(E1739,store[],{3,5},FALSE)</f>
        <v>South</v>
      </c>
      <c r="R1739" t="str">
        <v>Online</v>
      </c>
      <c r="S1739" s="4">
        <f t="shared" si="27"/>
        <v>88.6</v>
      </c>
    </row>
    <row r="1740" spans="1:19">
      <c r="A1740" t="s">
        <v>2548</v>
      </c>
      <c r="B1740" s="3">
        <v>45526</v>
      </c>
      <c r="C1740" t="s">
        <v>836</v>
      </c>
      <c r="D1740" t="s">
        <v>267</v>
      </c>
      <c r="E1740" t="s">
        <v>72</v>
      </c>
      <c r="F1740">
        <v>4</v>
      </c>
      <c r="G1740" t="s">
        <v>33</v>
      </c>
      <c r="H1740">
        <v>29</v>
      </c>
      <c r="I1740" s="12" t="s">
        <v>34</v>
      </c>
      <c r="J1740" s="12" t="s">
        <v>308</v>
      </c>
      <c r="K1740" s="12" t="s">
        <v>73</v>
      </c>
      <c r="L1740" s="12" t="s">
        <v>268</v>
      </c>
      <c r="M1740" s="12" t="s">
        <v>75</v>
      </c>
      <c r="N1740" s="14">
        <v>0.14000000000000001</v>
      </c>
      <c r="O1740" s="23">
        <v>507.22</v>
      </c>
      <c r="P1740">
        <v>325.26</v>
      </c>
      <c r="Q1740" s="12" t="str" cm="1">
        <f t="array" ref="Q1740:R1740">VLOOKUP(E1740,store[],{3,5},FALSE)</f>
        <v>South</v>
      </c>
      <c r="R1740" t="str">
        <v>Online</v>
      </c>
      <c r="S1740" s="4">
        <f t="shared" si="27"/>
        <v>2028.32</v>
      </c>
    </row>
    <row r="1741" spans="1:19">
      <c r="A1741" t="s">
        <v>2549</v>
      </c>
      <c r="B1741" s="3">
        <v>45887</v>
      </c>
      <c r="C1741" t="s">
        <v>801</v>
      </c>
      <c r="D1741" t="s">
        <v>1259</v>
      </c>
      <c r="E1741" t="s">
        <v>90</v>
      </c>
      <c r="F1741">
        <v>3</v>
      </c>
      <c r="G1741" t="s">
        <v>23</v>
      </c>
      <c r="H1741">
        <v>34</v>
      </c>
      <c r="I1741" s="12" t="s">
        <v>24</v>
      </c>
      <c r="J1741" s="12" t="s">
        <v>336</v>
      </c>
      <c r="K1741" s="12" t="s">
        <v>26</v>
      </c>
      <c r="L1741" s="12" t="s">
        <v>1260</v>
      </c>
      <c r="M1741" s="12" t="s">
        <v>130</v>
      </c>
      <c r="N1741" s="14">
        <v>0.11</v>
      </c>
      <c r="O1741" s="23">
        <v>330.98</v>
      </c>
      <c r="P1741">
        <v>358.47</v>
      </c>
      <c r="Q1741" s="12" t="str" cm="1">
        <f t="array" ref="Q1741:R1741">VLOOKUP(E1741,store[],{3,5},FALSE)</f>
        <v>East</v>
      </c>
      <c r="R1741" t="str">
        <v>Flagship</v>
      </c>
      <c r="S1741" s="4">
        <f t="shared" si="27"/>
        <v>992.61</v>
      </c>
    </row>
    <row r="1742" spans="1:19">
      <c r="A1742" t="s">
        <v>2550</v>
      </c>
      <c r="B1742" s="3">
        <v>45562</v>
      </c>
      <c r="C1742" t="s">
        <v>1361</v>
      </c>
      <c r="D1742" t="s">
        <v>786</v>
      </c>
      <c r="E1742" t="s">
        <v>135</v>
      </c>
      <c r="F1742">
        <v>4</v>
      </c>
      <c r="G1742" t="s">
        <v>23</v>
      </c>
      <c r="H1742">
        <v>23</v>
      </c>
      <c r="I1742" s="12" t="s">
        <v>34</v>
      </c>
      <c r="J1742" s="12" t="s">
        <v>356</v>
      </c>
      <c r="K1742" s="12" t="s">
        <v>26</v>
      </c>
      <c r="L1742" s="12" t="s">
        <v>787</v>
      </c>
      <c r="M1742" s="12" t="s">
        <v>130</v>
      </c>
      <c r="N1742" s="14">
        <v>0.08</v>
      </c>
      <c r="O1742" s="23">
        <v>442.87</v>
      </c>
      <c r="P1742">
        <v>353.47</v>
      </c>
      <c r="Q1742" s="12" t="str" cm="1">
        <f t="array" ref="Q1742:R1742">VLOOKUP(E1742,store[],{3,5},FALSE)</f>
        <v>East</v>
      </c>
      <c r="R1742" t="str">
        <v>Online</v>
      </c>
      <c r="S1742" s="4">
        <f t="shared" si="27"/>
        <v>1771.16</v>
      </c>
    </row>
    <row r="1743" spans="1:19">
      <c r="A1743" t="s">
        <v>2551</v>
      </c>
      <c r="B1743" s="3">
        <v>45880</v>
      </c>
      <c r="C1743" t="s">
        <v>1825</v>
      </c>
      <c r="D1743" t="s">
        <v>1259</v>
      </c>
      <c r="E1743" t="s">
        <v>198</v>
      </c>
      <c r="F1743">
        <v>2</v>
      </c>
      <c r="G1743" t="s">
        <v>33</v>
      </c>
      <c r="H1743">
        <v>64</v>
      </c>
      <c r="I1743" s="12" t="s">
        <v>24</v>
      </c>
      <c r="J1743" s="12" t="s">
        <v>44</v>
      </c>
      <c r="K1743" s="12" t="s">
        <v>52</v>
      </c>
      <c r="L1743" s="12" t="s">
        <v>1260</v>
      </c>
      <c r="M1743" s="12" t="s">
        <v>130</v>
      </c>
      <c r="N1743" s="14">
        <v>0.14000000000000001</v>
      </c>
      <c r="O1743" s="23">
        <v>939.66</v>
      </c>
      <c r="P1743">
        <v>358.47</v>
      </c>
      <c r="Q1743" s="12" t="str" cm="1">
        <f t="array" ref="Q1743:R1743">VLOOKUP(E1743,store[],{3,5},FALSE)</f>
        <v>South</v>
      </c>
      <c r="R1743" t="str">
        <v>Outlet</v>
      </c>
      <c r="S1743" s="4">
        <f t="shared" si="27"/>
        <v>1879.04</v>
      </c>
    </row>
    <row r="1744" spans="1:19">
      <c r="A1744" t="s">
        <v>2552</v>
      </c>
      <c r="B1744" s="3">
        <v>45556</v>
      </c>
      <c r="C1744" t="s">
        <v>600</v>
      </c>
      <c r="D1744" t="s">
        <v>575</v>
      </c>
      <c r="E1744" t="s">
        <v>22</v>
      </c>
      <c r="F1744">
        <v>1</v>
      </c>
      <c r="G1744" t="s">
        <v>23</v>
      </c>
      <c r="H1744">
        <v>56</v>
      </c>
      <c r="I1744" s="12" t="s">
        <v>34</v>
      </c>
      <c r="J1744" s="12" t="s">
        <v>378</v>
      </c>
      <c r="K1744" s="12" t="s">
        <v>52</v>
      </c>
      <c r="L1744" s="12" t="s">
        <v>576</v>
      </c>
      <c r="M1744" s="12" t="s">
        <v>28</v>
      </c>
      <c r="N1744" s="14">
        <v>0</v>
      </c>
      <c r="O1744" s="23">
        <v>24.13</v>
      </c>
      <c r="P1744">
        <v>107.06</v>
      </c>
      <c r="Q1744" s="12" t="str" cm="1">
        <f t="array" ref="Q1744:R1744">VLOOKUP(E1744,store[],{3,5},FALSE)</f>
        <v>North</v>
      </c>
      <c r="R1744" t="str">
        <v>Outlet</v>
      </c>
      <c r="S1744" s="4">
        <f t="shared" si="27"/>
        <v>24.13</v>
      </c>
    </row>
    <row r="1745" spans="1:19">
      <c r="A1745" t="s">
        <v>2553</v>
      </c>
      <c r="B1745" s="3">
        <v>45355</v>
      </c>
      <c r="C1745" t="s">
        <v>731</v>
      </c>
      <c r="D1745" t="s">
        <v>745</v>
      </c>
      <c r="E1745" t="s">
        <v>22</v>
      </c>
      <c r="F1745">
        <v>3</v>
      </c>
      <c r="G1745" t="s">
        <v>50</v>
      </c>
      <c r="H1745">
        <v>58</v>
      </c>
      <c r="I1745" s="12" t="s">
        <v>24</v>
      </c>
      <c r="J1745" s="12" t="s">
        <v>251</v>
      </c>
      <c r="K1745" s="12" t="s">
        <v>73</v>
      </c>
      <c r="L1745" s="12" t="s">
        <v>746</v>
      </c>
      <c r="M1745" s="12" t="s">
        <v>28</v>
      </c>
      <c r="N1745" s="14">
        <v>0.28999999999999998</v>
      </c>
      <c r="O1745" s="23">
        <v>239.54</v>
      </c>
      <c r="P1745">
        <v>313.26</v>
      </c>
      <c r="Q1745" s="12" t="str" cm="1">
        <f t="array" ref="Q1745:R1745">VLOOKUP(E1745,store[],{3,5},FALSE)</f>
        <v>North</v>
      </c>
      <c r="R1745" t="str">
        <v>Outlet</v>
      </c>
      <c r="S1745" s="4">
        <f t="shared" si="27"/>
        <v>717.75</v>
      </c>
    </row>
    <row r="1746" spans="1:19">
      <c r="A1746" t="s">
        <v>2554</v>
      </c>
      <c r="B1746" s="3">
        <v>45244</v>
      </c>
      <c r="C1746" t="s">
        <v>1410</v>
      </c>
      <c r="D1746" t="s">
        <v>381</v>
      </c>
      <c r="E1746" t="s">
        <v>98</v>
      </c>
      <c r="F1746">
        <v>1</v>
      </c>
      <c r="G1746" t="s">
        <v>23</v>
      </c>
      <c r="H1746">
        <v>26</v>
      </c>
      <c r="I1746" s="12" t="s">
        <v>24</v>
      </c>
      <c r="J1746" s="12" t="s">
        <v>239</v>
      </c>
      <c r="K1746" s="12" t="s">
        <v>52</v>
      </c>
      <c r="L1746" s="12" t="s">
        <v>382</v>
      </c>
      <c r="M1746" s="12" t="s">
        <v>130</v>
      </c>
      <c r="N1746" s="14">
        <v>0.1</v>
      </c>
      <c r="O1746" s="23">
        <v>588.53</v>
      </c>
      <c r="P1746">
        <v>167.34</v>
      </c>
      <c r="Q1746" s="12" t="str" cm="1">
        <f t="array" ref="Q1746:R1746">VLOOKUP(E1746,store[],{3,5},FALSE)</f>
        <v>South</v>
      </c>
      <c r="R1746" t="str">
        <v>Outlet</v>
      </c>
      <c r="S1746" s="4">
        <f t="shared" si="27"/>
        <v>588.42999999999995</v>
      </c>
    </row>
    <row r="1747" spans="1:19">
      <c r="A1747" t="s">
        <v>2555</v>
      </c>
      <c r="B1747" s="3">
        <v>45863</v>
      </c>
      <c r="C1747" t="s">
        <v>1040</v>
      </c>
      <c r="D1747" t="s">
        <v>148</v>
      </c>
      <c r="E1747" t="s">
        <v>122</v>
      </c>
      <c r="F1747">
        <v>1</v>
      </c>
      <c r="G1747" t="s">
        <v>23</v>
      </c>
      <c r="H1747">
        <v>58</v>
      </c>
      <c r="I1747" s="12" t="s">
        <v>24</v>
      </c>
      <c r="J1747" s="12" t="s">
        <v>440</v>
      </c>
      <c r="K1747" s="12" t="s">
        <v>26</v>
      </c>
      <c r="L1747" s="12" t="s">
        <v>150</v>
      </c>
      <c r="M1747" s="12" t="s">
        <v>46</v>
      </c>
      <c r="N1747" s="14">
        <v>0.3</v>
      </c>
      <c r="O1747" s="23">
        <v>145.96</v>
      </c>
      <c r="P1747">
        <v>482.75</v>
      </c>
      <c r="Q1747" s="12" t="str" cm="1">
        <f t="array" ref="Q1747:R1747">VLOOKUP(E1747,store[],{3,5},FALSE)</f>
        <v>North</v>
      </c>
      <c r="R1747" t="str">
        <v>Flagship</v>
      </c>
      <c r="S1747" s="4">
        <f t="shared" si="27"/>
        <v>145.66</v>
      </c>
    </row>
    <row r="1748" spans="1:19">
      <c r="A1748" t="s">
        <v>2556</v>
      </c>
      <c r="B1748" s="3">
        <v>45573</v>
      </c>
      <c r="C1748" t="s">
        <v>789</v>
      </c>
      <c r="D1748" t="s">
        <v>79</v>
      </c>
      <c r="E1748" t="s">
        <v>72</v>
      </c>
      <c r="F1748">
        <v>4</v>
      </c>
      <c r="G1748" t="s">
        <v>23</v>
      </c>
      <c r="H1748">
        <v>29</v>
      </c>
      <c r="I1748" s="12" t="s">
        <v>24</v>
      </c>
      <c r="J1748" s="12" t="s">
        <v>410</v>
      </c>
      <c r="K1748" s="12" t="s">
        <v>26</v>
      </c>
      <c r="L1748" s="12" t="s">
        <v>81</v>
      </c>
      <c r="M1748" s="12" t="s">
        <v>75</v>
      </c>
      <c r="N1748" s="14">
        <v>0.06</v>
      </c>
      <c r="O1748" s="23">
        <v>640.91</v>
      </c>
      <c r="P1748">
        <v>138.05000000000001</v>
      </c>
      <c r="Q1748" s="12" t="str" cm="1">
        <f t="array" ref="Q1748:R1748">VLOOKUP(E1748,store[],{3,5},FALSE)</f>
        <v>South</v>
      </c>
      <c r="R1748" t="str">
        <v>Online</v>
      </c>
      <c r="S1748" s="4">
        <f t="shared" si="27"/>
        <v>2563.4</v>
      </c>
    </row>
    <row r="1749" spans="1:19">
      <c r="A1749" t="s">
        <v>2557</v>
      </c>
      <c r="B1749" s="3">
        <v>45792</v>
      </c>
      <c r="C1749" t="s">
        <v>846</v>
      </c>
      <c r="D1749" t="s">
        <v>779</v>
      </c>
      <c r="E1749" t="s">
        <v>272</v>
      </c>
      <c r="F1749">
        <v>3</v>
      </c>
      <c r="G1749" t="s">
        <v>23</v>
      </c>
      <c r="H1749">
        <v>19</v>
      </c>
      <c r="I1749" s="12" t="s">
        <v>24</v>
      </c>
      <c r="J1749" s="12" t="s">
        <v>440</v>
      </c>
      <c r="K1749" s="12" t="s">
        <v>52</v>
      </c>
      <c r="L1749" s="12" t="s">
        <v>780</v>
      </c>
      <c r="M1749" s="12" t="s">
        <v>46</v>
      </c>
      <c r="N1749" s="14">
        <v>0.22</v>
      </c>
      <c r="O1749" s="23">
        <v>773.86</v>
      </c>
      <c r="P1749">
        <v>299.11</v>
      </c>
      <c r="Q1749" s="12" t="str" cm="1">
        <f t="array" ref="Q1749:R1749">VLOOKUP(E1749,store[],{3,5},FALSE)</f>
        <v>South</v>
      </c>
      <c r="R1749" t="str">
        <v>Online</v>
      </c>
      <c r="S1749" s="4">
        <f t="shared" si="27"/>
        <v>2320.92</v>
      </c>
    </row>
    <row r="1750" spans="1:19">
      <c r="A1750" t="s">
        <v>2558</v>
      </c>
      <c r="B1750" s="3">
        <v>45744</v>
      </c>
      <c r="C1750" t="s">
        <v>734</v>
      </c>
      <c r="D1750" t="s">
        <v>311</v>
      </c>
      <c r="E1750" t="s">
        <v>122</v>
      </c>
      <c r="F1750">
        <v>2</v>
      </c>
      <c r="G1750" t="s">
        <v>50</v>
      </c>
      <c r="H1750">
        <v>36</v>
      </c>
      <c r="I1750" s="12" t="s">
        <v>34</v>
      </c>
      <c r="J1750" s="12" t="s">
        <v>440</v>
      </c>
      <c r="K1750" s="12" t="s">
        <v>73</v>
      </c>
      <c r="L1750" s="12" t="s">
        <v>312</v>
      </c>
      <c r="M1750" s="12" t="s">
        <v>28</v>
      </c>
      <c r="N1750" s="14">
        <v>0.2</v>
      </c>
      <c r="O1750" s="23">
        <v>31.28</v>
      </c>
      <c r="P1750">
        <v>204.39</v>
      </c>
      <c r="Q1750" s="12" t="str" cm="1">
        <f t="array" ref="Q1750:R1750">VLOOKUP(E1750,store[],{3,5},FALSE)</f>
        <v>North</v>
      </c>
      <c r="R1750" t="str">
        <v>Flagship</v>
      </c>
      <c r="S1750" s="4">
        <f t="shared" si="27"/>
        <v>62.16</v>
      </c>
    </row>
    <row r="1751" spans="1:19">
      <c r="A1751" t="s">
        <v>2559</v>
      </c>
      <c r="B1751" s="3">
        <v>45842</v>
      </c>
      <c r="C1751" t="s">
        <v>591</v>
      </c>
      <c r="D1751" t="s">
        <v>542</v>
      </c>
      <c r="E1751" t="s">
        <v>179</v>
      </c>
      <c r="F1751">
        <v>4</v>
      </c>
      <c r="G1751" t="s">
        <v>23</v>
      </c>
      <c r="H1751">
        <v>37</v>
      </c>
      <c r="I1751" s="12" t="s">
        <v>34</v>
      </c>
      <c r="J1751" s="12" t="s">
        <v>193</v>
      </c>
      <c r="K1751" s="12" t="s">
        <v>26</v>
      </c>
      <c r="L1751" s="12" t="s">
        <v>543</v>
      </c>
      <c r="M1751" s="12" t="s">
        <v>28</v>
      </c>
      <c r="N1751" s="14">
        <v>0.18</v>
      </c>
      <c r="O1751" s="23">
        <v>389.22</v>
      </c>
      <c r="P1751">
        <v>152.91999999999999</v>
      </c>
      <c r="Q1751" s="12" t="str" cm="1">
        <f t="array" ref="Q1751:R1751">VLOOKUP(E1751,store[],{3,5},FALSE)</f>
        <v>East</v>
      </c>
      <c r="R1751" t="str">
        <v>Online</v>
      </c>
      <c r="S1751" s="4">
        <f t="shared" si="27"/>
        <v>1556.16</v>
      </c>
    </row>
    <row r="1752" spans="1:19">
      <c r="A1752" t="s">
        <v>2560</v>
      </c>
      <c r="B1752" s="3">
        <v>45502</v>
      </c>
      <c r="C1752" t="s">
        <v>986</v>
      </c>
      <c r="D1752" t="s">
        <v>779</v>
      </c>
      <c r="E1752" t="s">
        <v>122</v>
      </c>
      <c r="F1752">
        <v>3</v>
      </c>
      <c r="G1752" t="s">
        <v>33</v>
      </c>
      <c r="H1752">
        <v>49</v>
      </c>
      <c r="I1752" s="12" t="s">
        <v>34</v>
      </c>
      <c r="J1752" s="12" t="s">
        <v>91</v>
      </c>
      <c r="K1752" s="12" t="s">
        <v>52</v>
      </c>
      <c r="L1752" s="12" t="s">
        <v>780</v>
      </c>
      <c r="M1752" s="12" t="s">
        <v>46</v>
      </c>
      <c r="N1752" s="14">
        <v>0.13</v>
      </c>
      <c r="O1752" s="23">
        <v>543.44000000000005</v>
      </c>
      <c r="P1752">
        <v>299.11</v>
      </c>
      <c r="Q1752" s="12" t="str" cm="1">
        <f t="array" ref="Q1752:R1752">VLOOKUP(E1752,store[],{3,5},FALSE)</f>
        <v>North</v>
      </c>
      <c r="R1752" t="str">
        <v>Flagship</v>
      </c>
      <c r="S1752" s="4">
        <f t="shared" si="27"/>
        <v>1629.93</v>
      </c>
    </row>
    <row r="1753" spans="1:19">
      <c r="A1753" t="s">
        <v>2561</v>
      </c>
      <c r="B1753" s="3">
        <v>45296</v>
      </c>
      <c r="C1753" t="s">
        <v>461</v>
      </c>
      <c r="D1753" t="s">
        <v>21</v>
      </c>
      <c r="E1753" t="s">
        <v>135</v>
      </c>
      <c r="F1753">
        <v>4</v>
      </c>
      <c r="G1753" t="s">
        <v>33</v>
      </c>
      <c r="H1753">
        <v>42</v>
      </c>
      <c r="I1753" s="12" t="s">
        <v>24</v>
      </c>
      <c r="J1753" s="12" t="s">
        <v>463</v>
      </c>
      <c r="K1753" s="12" t="s">
        <v>60</v>
      </c>
      <c r="L1753" s="12" t="s">
        <v>27</v>
      </c>
      <c r="M1753" s="12" t="s">
        <v>28</v>
      </c>
      <c r="N1753" s="14">
        <v>0.28999999999999998</v>
      </c>
      <c r="O1753" s="23">
        <v>715.42</v>
      </c>
      <c r="P1753">
        <v>245.98</v>
      </c>
      <c r="Q1753" s="12" t="str" cm="1">
        <f t="array" ref="Q1753:R1753">VLOOKUP(E1753,store[],{3,5},FALSE)</f>
        <v>East</v>
      </c>
      <c r="R1753" t="str">
        <v>Online</v>
      </c>
      <c r="S1753" s="4">
        <f t="shared" si="27"/>
        <v>2860.52</v>
      </c>
    </row>
    <row r="1754" spans="1:19">
      <c r="A1754" t="s">
        <v>2562</v>
      </c>
      <c r="B1754" s="3">
        <v>45886</v>
      </c>
      <c r="C1754" t="s">
        <v>1361</v>
      </c>
      <c r="D1754" t="s">
        <v>173</v>
      </c>
      <c r="E1754" t="s">
        <v>72</v>
      </c>
      <c r="F1754">
        <v>4</v>
      </c>
      <c r="G1754" t="s">
        <v>50</v>
      </c>
      <c r="H1754">
        <v>23</v>
      </c>
      <c r="I1754" s="12" t="s">
        <v>34</v>
      </c>
      <c r="J1754" s="12" t="s">
        <v>356</v>
      </c>
      <c r="K1754" s="12" t="s">
        <v>26</v>
      </c>
      <c r="L1754" s="12" t="s">
        <v>174</v>
      </c>
      <c r="M1754" s="12" t="s">
        <v>46</v>
      </c>
      <c r="N1754" s="14">
        <v>0.11</v>
      </c>
      <c r="O1754" s="23">
        <v>676.14</v>
      </c>
      <c r="P1754">
        <v>115.82</v>
      </c>
      <c r="Q1754" s="12" t="str" cm="1">
        <f t="array" ref="Q1754:R1754">VLOOKUP(E1754,store[],{3,5},FALSE)</f>
        <v>South</v>
      </c>
      <c r="R1754" t="str">
        <v>Online</v>
      </c>
      <c r="S1754" s="4">
        <f t="shared" si="27"/>
        <v>2704.12</v>
      </c>
    </row>
    <row r="1755" spans="1:19">
      <c r="A1755" t="s">
        <v>2563</v>
      </c>
      <c r="B1755" s="3">
        <v>45425</v>
      </c>
      <c r="C1755" t="s">
        <v>979</v>
      </c>
      <c r="D1755" t="s">
        <v>104</v>
      </c>
      <c r="E1755" t="s">
        <v>105</v>
      </c>
      <c r="F1755">
        <v>4</v>
      </c>
      <c r="G1755" t="s">
        <v>23</v>
      </c>
      <c r="H1755">
        <v>43</v>
      </c>
      <c r="I1755" s="12" t="s">
        <v>24</v>
      </c>
      <c r="J1755" s="12" t="s">
        <v>199</v>
      </c>
      <c r="K1755" s="12" t="s">
        <v>52</v>
      </c>
      <c r="L1755" s="12" t="s">
        <v>107</v>
      </c>
      <c r="M1755" s="12" t="s">
        <v>37</v>
      </c>
      <c r="N1755" s="14">
        <v>0.25</v>
      </c>
      <c r="O1755" s="23">
        <v>352.72</v>
      </c>
      <c r="P1755">
        <v>326.06</v>
      </c>
      <c r="Q1755" s="12" t="str" cm="1">
        <f t="array" ref="Q1755:R1755">VLOOKUP(E1755,store[],{3,5},FALSE)</f>
        <v>North</v>
      </c>
      <c r="R1755" t="str">
        <v>Flagship</v>
      </c>
      <c r="S1755" s="4">
        <f t="shared" si="27"/>
        <v>1409.88</v>
      </c>
    </row>
    <row r="1756" spans="1:19">
      <c r="A1756" t="s">
        <v>2564</v>
      </c>
      <c r="B1756" s="3">
        <v>45797</v>
      </c>
      <c r="C1756" t="s">
        <v>1267</v>
      </c>
      <c r="D1756" t="s">
        <v>555</v>
      </c>
      <c r="E1756" t="s">
        <v>208</v>
      </c>
      <c r="F1756">
        <v>1</v>
      </c>
      <c r="G1756" t="s">
        <v>33</v>
      </c>
      <c r="H1756">
        <v>41</v>
      </c>
      <c r="I1756" s="12" t="s">
        <v>34</v>
      </c>
      <c r="J1756" s="12" t="s">
        <v>106</v>
      </c>
      <c r="K1756" s="12" t="s">
        <v>52</v>
      </c>
      <c r="L1756" s="12" t="s">
        <v>556</v>
      </c>
      <c r="M1756" s="12" t="s">
        <v>37</v>
      </c>
      <c r="N1756" s="14">
        <v>0.19</v>
      </c>
      <c r="O1756" s="23">
        <v>470.18</v>
      </c>
      <c r="P1756">
        <v>449.4</v>
      </c>
      <c r="Q1756" s="12" t="str" cm="1">
        <f t="array" ref="Q1756:R1756">VLOOKUP(E1756,store[],{3,5},FALSE)</f>
        <v>North</v>
      </c>
      <c r="R1756" t="str">
        <v>Online</v>
      </c>
      <c r="S1756" s="4">
        <f t="shared" si="27"/>
        <v>469.99</v>
      </c>
    </row>
    <row r="1757" spans="1:19">
      <c r="A1757" t="s">
        <v>2565</v>
      </c>
      <c r="B1757" s="3">
        <v>45898</v>
      </c>
      <c r="C1757" t="s">
        <v>1545</v>
      </c>
      <c r="D1757" t="s">
        <v>532</v>
      </c>
      <c r="E1757" t="s">
        <v>272</v>
      </c>
      <c r="F1757">
        <v>1</v>
      </c>
      <c r="G1757" t="s">
        <v>23</v>
      </c>
      <c r="H1757">
        <v>29</v>
      </c>
      <c r="I1757" s="12" t="s">
        <v>24</v>
      </c>
      <c r="J1757" s="12" t="s">
        <v>235</v>
      </c>
      <c r="K1757" s="12" t="s">
        <v>73</v>
      </c>
      <c r="L1757" s="12" t="s">
        <v>533</v>
      </c>
      <c r="M1757" s="12" t="s">
        <v>46</v>
      </c>
      <c r="N1757" s="14">
        <v>0.03</v>
      </c>
      <c r="O1757" s="23">
        <v>891.79</v>
      </c>
      <c r="P1757">
        <v>340.39</v>
      </c>
      <c r="Q1757" s="12" t="str" cm="1">
        <f t="array" ref="Q1757:R1757">VLOOKUP(E1757,store[],{3,5},FALSE)</f>
        <v>South</v>
      </c>
      <c r="R1757" t="str">
        <v>Online</v>
      </c>
      <c r="S1757" s="4">
        <f t="shared" si="27"/>
        <v>891.76</v>
      </c>
    </row>
    <row r="1758" spans="1:19">
      <c r="A1758" t="s">
        <v>2566</v>
      </c>
      <c r="B1758" s="3">
        <v>45390</v>
      </c>
      <c r="C1758" t="s">
        <v>121</v>
      </c>
      <c r="D1758" t="s">
        <v>287</v>
      </c>
      <c r="E1758" t="s">
        <v>32</v>
      </c>
      <c r="F1758">
        <v>2</v>
      </c>
      <c r="G1758" t="s">
        <v>50</v>
      </c>
      <c r="H1758">
        <v>55</v>
      </c>
      <c r="I1758" s="12" t="s">
        <v>24</v>
      </c>
      <c r="J1758" s="12" t="s">
        <v>44</v>
      </c>
      <c r="K1758" s="12" t="s">
        <v>60</v>
      </c>
      <c r="L1758" s="12" t="s">
        <v>288</v>
      </c>
      <c r="M1758" s="12" t="s">
        <v>46</v>
      </c>
      <c r="N1758" s="14">
        <v>0.25</v>
      </c>
      <c r="O1758" s="23">
        <v>433.07</v>
      </c>
      <c r="P1758">
        <v>183.04</v>
      </c>
      <c r="Q1758" s="12" t="str" cm="1">
        <f t="array" ref="Q1758:R1758">VLOOKUP(E1758,store[],{3,5},FALSE)</f>
        <v>North</v>
      </c>
      <c r="R1758" t="str">
        <v>Flagship</v>
      </c>
      <c r="S1758" s="4">
        <f t="shared" si="27"/>
        <v>865.64</v>
      </c>
    </row>
    <row r="1759" spans="1:19">
      <c r="A1759" t="s">
        <v>2567</v>
      </c>
      <c r="B1759" s="3">
        <v>45355</v>
      </c>
      <c r="C1759" t="s">
        <v>677</v>
      </c>
      <c r="D1759" t="s">
        <v>532</v>
      </c>
      <c r="E1759" t="s">
        <v>135</v>
      </c>
      <c r="F1759">
        <v>3</v>
      </c>
      <c r="G1759" t="s">
        <v>50</v>
      </c>
      <c r="H1759">
        <v>55</v>
      </c>
      <c r="I1759" s="12" t="s">
        <v>34</v>
      </c>
      <c r="J1759" s="12" t="s">
        <v>333</v>
      </c>
      <c r="K1759" s="12" t="s">
        <v>52</v>
      </c>
      <c r="L1759" s="12" t="s">
        <v>533</v>
      </c>
      <c r="M1759" s="12" t="s">
        <v>46</v>
      </c>
      <c r="N1759" s="14">
        <v>7.0000000000000007E-2</v>
      </c>
      <c r="O1759" s="23">
        <v>626.71</v>
      </c>
      <c r="P1759">
        <v>340.39</v>
      </c>
      <c r="Q1759" s="12" t="str" cm="1">
        <f t="array" ref="Q1759:R1759">VLOOKUP(E1759,store[],{3,5},FALSE)</f>
        <v>East</v>
      </c>
      <c r="R1759" t="str">
        <v>Online</v>
      </c>
      <c r="S1759" s="4">
        <f t="shared" si="27"/>
        <v>1879.92</v>
      </c>
    </row>
    <row r="1760" spans="1:19">
      <c r="A1760" t="s">
        <v>2568</v>
      </c>
      <c r="B1760" s="3">
        <v>45916</v>
      </c>
      <c r="C1760" t="s">
        <v>578</v>
      </c>
      <c r="D1760" t="s">
        <v>126</v>
      </c>
      <c r="E1760" t="s">
        <v>90</v>
      </c>
      <c r="F1760">
        <v>2</v>
      </c>
      <c r="G1760" t="s">
        <v>50</v>
      </c>
      <c r="H1760">
        <v>37</v>
      </c>
      <c r="I1760" s="12" t="s">
        <v>24</v>
      </c>
      <c r="J1760" s="12" t="s">
        <v>169</v>
      </c>
      <c r="K1760" s="12" t="s">
        <v>26</v>
      </c>
      <c r="L1760" s="12" t="s">
        <v>129</v>
      </c>
      <c r="M1760" s="12" t="s">
        <v>130</v>
      </c>
      <c r="N1760" s="14">
        <v>0.06</v>
      </c>
      <c r="O1760" s="23">
        <v>324.18</v>
      </c>
      <c r="P1760">
        <v>223.43</v>
      </c>
      <c r="Q1760" s="12" t="str" cm="1">
        <f t="array" ref="Q1760:R1760">VLOOKUP(E1760,store[],{3,5},FALSE)</f>
        <v>East</v>
      </c>
      <c r="R1760" t="str">
        <v>Flagship</v>
      </c>
      <c r="S1760" s="4">
        <f t="shared" si="27"/>
        <v>648.24</v>
      </c>
    </row>
    <row r="1761" spans="1:19">
      <c r="A1761" t="s">
        <v>2569</v>
      </c>
      <c r="B1761" s="3">
        <v>45448</v>
      </c>
      <c r="C1761" t="s">
        <v>758</v>
      </c>
      <c r="D1761" t="s">
        <v>480</v>
      </c>
      <c r="E1761" t="s">
        <v>32</v>
      </c>
      <c r="F1761">
        <v>4</v>
      </c>
      <c r="G1761" t="s">
        <v>33</v>
      </c>
      <c r="H1761">
        <v>32</v>
      </c>
      <c r="I1761" s="12" t="s">
        <v>34</v>
      </c>
      <c r="J1761" s="12" t="s">
        <v>111</v>
      </c>
      <c r="K1761" s="12" t="s">
        <v>60</v>
      </c>
      <c r="L1761" s="12" t="s">
        <v>481</v>
      </c>
      <c r="M1761" s="12" t="s">
        <v>75</v>
      </c>
      <c r="N1761" s="14">
        <v>0.13</v>
      </c>
      <c r="O1761" s="23">
        <v>839.74</v>
      </c>
      <c r="P1761">
        <v>48.01</v>
      </c>
      <c r="Q1761" s="12" t="str" cm="1">
        <f t="array" ref="Q1761:R1761">VLOOKUP(E1761,store[],{3,5},FALSE)</f>
        <v>North</v>
      </c>
      <c r="R1761" t="str">
        <v>Flagship</v>
      </c>
      <c r="S1761" s="4">
        <f t="shared" si="27"/>
        <v>3358.44</v>
      </c>
    </row>
    <row r="1762" spans="1:19">
      <c r="A1762" t="s">
        <v>2570</v>
      </c>
      <c r="B1762" s="3">
        <v>45402</v>
      </c>
      <c r="C1762" t="s">
        <v>1120</v>
      </c>
      <c r="D1762" t="s">
        <v>661</v>
      </c>
      <c r="E1762" t="s">
        <v>122</v>
      </c>
      <c r="F1762">
        <v>3</v>
      </c>
      <c r="G1762" t="s">
        <v>23</v>
      </c>
      <c r="H1762">
        <v>46</v>
      </c>
      <c r="I1762" s="12" t="s">
        <v>24</v>
      </c>
      <c r="J1762" s="12" t="s">
        <v>188</v>
      </c>
      <c r="K1762" s="12" t="s">
        <v>73</v>
      </c>
      <c r="L1762" s="12" t="s">
        <v>662</v>
      </c>
      <c r="M1762" s="12" t="s">
        <v>37</v>
      </c>
      <c r="N1762" s="14">
        <v>0.28000000000000003</v>
      </c>
      <c r="O1762" s="23">
        <v>252.63</v>
      </c>
      <c r="P1762">
        <v>86.42</v>
      </c>
      <c r="Q1762" s="12" t="str" cm="1">
        <f t="array" ref="Q1762:R1762">VLOOKUP(E1762,store[],{3,5},FALSE)</f>
        <v>North</v>
      </c>
      <c r="R1762" t="str">
        <v>Flagship</v>
      </c>
      <c r="S1762" s="4">
        <f t="shared" si="27"/>
        <v>757.05</v>
      </c>
    </row>
    <row r="1763" spans="1:19">
      <c r="A1763" t="s">
        <v>2571</v>
      </c>
      <c r="B1763" s="3">
        <v>45581</v>
      </c>
      <c r="C1763" t="s">
        <v>322</v>
      </c>
      <c r="D1763" t="s">
        <v>221</v>
      </c>
      <c r="E1763" t="s">
        <v>135</v>
      </c>
      <c r="F1763">
        <v>2</v>
      </c>
      <c r="G1763" t="s">
        <v>23</v>
      </c>
      <c r="H1763">
        <v>21</v>
      </c>
      <c r="I1763" s="12" t="s">
        <v>24</v>
      </c>
      <c r="J1763" s="12" t="s">
        <v>308</v>
      </c>
      <c r="K1763" s="12" t="s">
        <v>26</v>
      </c>
      <c r="L1763" s="12" t="s">
        <v>223</v>
      </c>
      <c r="M1763" s="12" t="s">
        <v>75</v>
      </c>
      <c r="N1763" s="14">
        <v>0.18</v>
      </c>
      <c r="O1763" s="23">
        <v>60.53</v>
      </c>
      <c r="P1763">
        <v>228.53</v>
      </c>
      <c r="Q1763" s="12" t="str" cm="1">
        <f t="array" ref="Q1763:R1763">VLOOKUP(E1763,store[],{3,5},FALSE)</f>
        <v>East</v>
      </c>
      <c r="R1763" t="str">
        <v>Online</v>
      </c>
      <c r="S1763" s="4">
        <f t="shared" si="27"/>
        <v>120.7</v>
      </c>
    </row>
    <row r="1764" spans="1:19">
      <c r="A1764" t="s">
        <v>2572</v>
      </c>
      <c r="B1764" s="3">
        <v>45610</v>
      </c>
      <c r="C1764" t="s">
        <v>384</v>
      </c>
      <c r="D1764" t="s">
        <v>814</v>
      </c>
      <c r="E1764" t="s">
        <v>149</v>
      </c>
      <c r="F1764">
        <v>4</v>
      </c>
      <c r="G1764" t="s">
        <v>23</v>
      </c>
      <c r="H1764">
        <v>24</v>
      </c>
      <c r="I1764" s="12" t="s">
        <v>24</v>
      </c>
      <c r="J1764" s="12" t="s">
        <v>169</v>
      </c>
      <c r="K1764" s="12" t="s">
        <v>52</v>
      </c>
      <c r="L1764" s="12" t="s">
        <v>815</v>
      </c>
      <c r="M1764" s="12" t="s">
        <v>75</v>
      </c>
      <c r="N1764" s="14">
        <v>0.25</v>
      </c>
      <c r="O1764" s="23">
        <v>341.95</v>
      </c>
      <c r="P1764">
        <v>388.46</v>
      </c>
      <c r="Q1764" s="12" t="str" cm="1">
        <f t="array" ref="Q1764:R1764">VLOOKUP(E1764,store[],{3,5},FALSE)</f>
        <v>East</v>
      </c>
      <c r="R1764" t="str">
        <v>Flagship</v>
      </c>
      <c r="S1764" s="4">
        <f t="shared" si="27"/>
        <v>1366.8</v>
      </c>
    </row>
    <row r="1765" spans="1:19">
      <c r="A1765" t="s">
        <v>2573</v>
      </c>
      <c r="B1765" s="3">
        <v>45438</v>
      </c>
      <c r="C1765" t="s">
        <v>1567</v>
      </c>
      <c r="D1765" t="s">
        <v>443</v>
      </c>
      <c r="E1765" t="s">
        <v>117</v>
      </c>
      <c r="F1765">
        <v>4</v>
      </c>
      <c r="G1765" t="s">
        <v>33</v>
      </c>
      <c r="H1765">
        <v>54</v>
      </c>
      <c r="I1765" s="12" t="s">
        <v>34</v>
      </c>
      <c r="J1765" s="12" t="s">
        <v>25</v>
      </c>
      <c r="K1765" s="12" t="s">
        <v>60</v>
      </c>
      <c r="L1765" s="12" t="s">
        <v>445</v>
      </c>
      <c r="M1765" s="12" t="s">
        <v>28</v>
      </c>
      <c r="N1765" s="14">
        <v>0.05</v>
      </c>
      <c r="O1765" s="23">
        <v>300.12</v>
      </c>
      <c r="P1765">
        <v>484.62</v>
      </c>
      <c r="Q1765" s="12" t="str" cm="1">
        <f t="array" ref="Q1765:R1765">VLOOKUP(E1765,store[],{3,5},FALSE)</f>
        <v>West</v>
      </c>
      <c r="R1765" t="str">
        <v>Flagship</v>
      </c>
      <c r="S1765" s="4">
        <f t="shared" si="27"/>
        <v>1200.28</v>
      </c>
    </row>
    <row r="1766" spans="1:19">
      <c r="A1766" t="s">
        <v>2574</v>
      </c>
      <c r="B1766" s="3">
        <v>45705</v>
      </c>
      <c r="C1766" t="s">
        <v>363</v>
      </c>
      <c r="D1766" t="s">
        <v>567</v>
      </c>
      <c r="E1766" t="s">
        <v>32</v>
      </c>
      <c r="F1766">
        <v>2</v>
      </c>
      <c r="G1766" t="s">
        <v>50</v>
      </c>
      <c r="H1766">
        <v>53</v>
      </c>
      <c r="I1766" s="12" t="s">
        <v>34</v>
      </c>
      <c r="J1766" s="12" t="s">
        <v>188</v>
      </c>
      <c r="K1766" s="12" t="s">
        <v>52</v>
      </c>
      <c r="L1766" s="12" t="s">
        <v>568</v>
      </c>
      <c r="M1766" s="12" t="s">
        <v>28</v>
      </c>
      <c r="N1766" s="14">
        <v>0.12</v>
      </c>
      <c r="O1766" s="23">
        <v>289.14</v>
      </c>
      <c r="P1766">
        <v>38.76</v>
      </c>
      <c r="Q1766" s="12" t="str" cm="1">
        <f t="array" ref="Q1766:R1766">VLOOKUP(E1766,store[],{3,5},FALSE)</f>
        <v>North</v>
      </c>
      <c r="R1766" t="str">
        <v>Flagship</v>
      </c>
      <c r="S1766" s="4">
        <f t="shared" si="27"/>
        <v>578.04</v>
      </c>
    </row>
    <row r="1767" spans="1:19">
      <c r="A1767" t="s">
        <v>2575</v>
      </c>
      <c r="B1767" s="3">
        <v>45695</v>
      </c>
      <c r="C1767" t="s">
        <v>1844</v>
      </c>
      <c r="D1767" t="s">
        <v>425</v>
      </c>
      <c r="E1767" t="s">
        <v>90</v>
      </c>
      <c r="F1767">
        <v>2</v>
      </c>
      <c r="G1767" t="s">
        <v>33</v>
      </c>
      <c r="H1767">
        <v>54</v>
      </c>
      <c r="I1767" s="12" t="s">
        <v>24</v>
      </c>
      <c r="J1767" s="12" t="s">
        <v>251</v>
      </c>
      <c r="K1767" s="12" t="s">
        <v>26</v>
      </c>
      <c r="L1767" s="12" t="s">
        <v>426</v>
      </c>
      <c r="M1767" s="12" t="s">
        <v>130</v>
      </c>
      <c r="N1767" s="14">
        <v>0.01</v>
      </c>
      <c r="O1767" s="23">
        <v>596.84</v>
      </c>
      <c r="P1767">
        <v>174.02</v>
      </c>
      <c r="Q1767" s="12" t="str" cm="1">
        <f t="array" ref="Q1767:R1767">VLOOKUP(E1767,store[],{3,5},FALSE)</f>
        <v>East</v>
      </c>
      <c r="R1767" t="str">
        <v>Flagship</v>
      </c>
      <c r="S1767" s="4">
        <f t="shared" si="27"/>
        <v>1193.6600000000001</v>
      </c>
    </row>
    <row r="1768" spans="1:19">
      <c r="A1768" t="s">
        <v>2576</v>
      </c>
      <c r="B1768" s="3">
        <v>45571</v>
      </c>
      <c r="C1768" t="s">
        <v>1790</v>
      </c>
      <c r="D1768" t="s">
        <v>314</v>
      </c>
      <c r="E1768" t="s">
        <v>43</v>
      </c>
      <c r="F1768">
        <v>4</v>
      </c>
      <c r="G1768" t="s">
        <v>23</v>
      </c>
      <c r="H1768">
        <v>61</v>
      </c>
      <c r="I1768" s="12" t="s">
        <v>24</v>
      </c>
      <c r="J1768" s="12" t="s">
        <v>345</v>
      </c>
      <c r="K1768" s="12" t="s">
        <v>26</v>
      </c>
      <c r="L1768" s="12" t="s">
        <v>315</v>
      </c>
      <c r="M1768" s="12" t="s">
        <v>28</v>
      </c>
      <c r="N1768" s="14">
        <v>0.16</v>
      </c>
      <c r="O1768" s="23">
        <v>466.24</v>
      </c>
      <c r="P1768">
        <v>21.34</v>
      </c>
      <c r="Q1768" s="12" t="str" cm="1">
        <f t="array" ref="Q1768:R1768">VLOOKUP(E1768,store[],{3,5},FALSE)</f>
        <v>West</v>
      </c>
      <c r="R1768" t="str">
        <v>Online</v>
      </c>
      <c r="S1768" s="4">
        <f t="shared" si="27"/>
        <v>1864.32</v>
      </c>
    </row>
    <row r="1769" spans="1:19">
      <c r="A1769" t="s">
        <v>2577</v>
      </c>
      <c r="B1769" s="3">
        <v>45544</v>
      </c>
      <c r="C1769" t="s">
        <v>2578</v>
      </c>
      <c r="D1769" t="s">
        <v>197</v>
      </c>
      <c r="E1769" t="s">
        <v>117</v>
      </c>
      <c r="F1769">
        <v>2</v>
      </c>
      <c r="G1769" t="s">
        <v>23</v>
      </c>
      <c r="H1769">
        <v>26</v>
      </c>
      <c r="I1769" s="12" t="s">
        <v>24</v>
      </c>
      <c r="J1769" s="12" t="s">
        <v>345</v>
      </c>
      <c r="K1769" s="12" t="s">
        <v>60</v>
      </c>
      <c r="L1769" s="12" t="s">
        <v>200</v>
      </c>
      <c r="M1769" s="12" t="s">
        <v>37</v>
      </c>
      <c r="N1769" s="14">
        <v>0.14000000000000001</v>
      </c>
      <c r="O1769" s="23">
        <v>330.59</v>
      </c>
      <c r="P1769">
        <v>242.23</v>
      </c>
      <c r="Q1769" s="12" t="str" cm="1">
        <f t="array" ref="Q1769:R1769">VLOOKUP(E1769,store[],{3,5},FALSE)</f>
        <v>West</v>
      </c>
      <c r="R1769" t="str">
        <v>Flagship</v>
      </c>
      <c r="S1769" s="4">
        <f t="shared" si="27"/>
        <v>660.9</v>
      </c>
    </row>
    <row r="1770" spans="1:19">
      <c r="A1770" t="s">
        <v>2579</v>
      </c>
      <c r="B1770" s="3">
        <v>45654</v>
      </c>
      <c r="C1770" t="s">
        <v>56</v>
      </c>
      <c r="D1770" t="s">
        <v>443</v>
      </c>
      <c r="E1770" t="s">
        <v>179</v>
      </c>
      <c r="F1770">
        <v>2</v>
      </c>
      <c r="G1770" t="s">
        <v>50</v>
      </c>
      <c r="H1770">
        <v>28</v>
      </c>
      <c r="I1770" s="12" t="s">
        <v>24</v>
      </c>
      <c r="J1770" s="12" t="s">
        <v>59</v>
      </c>
      <c r="K1770" s="12" t="s">
        <v>60</v>
      </c>
      <c r="L1770" s="12" t="s">
        <v>445</v>
      </c>
      <c r="M1770" s="12" t="s">
        <v>28</v>
      </c>
      <c r="N1770" s="14">
        <v>0.02</v>
      </c>
      <c r="O1770" s="23">
        <v>616.42999999999995</v>
      </c>
      <c r="P1770">
        <v>484.62</v>
      </c>
      <c r="Q1770" s="12" t="str" cm="1">
        <f t="array" ref="Q1770:R1770">VLOOKUP(E1770,store[],{3,5},FALSE)</f>
        <v>East</v>
      </c>
      <c r="R1770" t="str">
        <v>Online</v>
      </c>
      <c r="S1770" s="4">
        <f t="shared" si="27"/>
        <v>1232.82</v>
      </c>
    </row>
    <row r="1771" spans="1:19">
      <c r="A1771" t="s">
        <v>2580</v>
      </c>
      <c r="B1771" s="3">
        <v>45589</v>
      </c>
      <c r="C1771" t="s">
        <v>376</v>
      </c>
      <c r="D1771" t="s">
        <v>625</v>
      </c>
      <c r="E1771" t="s">
        <v>179</v>
      </c>
      <c r="F1771">
        <v>3</v>
      </c>
      <c r="G1771" t="s">
        <v>33</v>
      </c>
      <c r="H1771">
        <v>34</v>
      </c>
      <c r="I1771" s="12" t="s">
        <v>24</v>
      </c>
      <c r="J1771" s="12" t="s">
        <v>378</v>
      </c>
      <c r="K1771" s="12" t="s">
        <v>73</v>
      </c>
      <c r="L1771" s="12" t="s">
        <v>626</v>
      </c>
      <c r="M1771" s="12" t="s">
        <v>46</v>
      </c>
      <c r="N1771" s="14">
        <v>0.16</v>
      </c>
      <c r="O1771" s="23">
        <v>195.89</v>
      </c>
      <c r="P1771">
        <v>266.86</v>
      </c>
      <c r="Q1771" s="12" t="str" cm="1">
        <f t="array" ref="Q1771:R1771">VLOOKUP(E1771,store[],{3,5},FALSE)</f>
        <v>East</v>
      </c>
      <c r="R1771" t="str">
        <v>Online</v>
      </c>
      <c r="S1771" s="4">
        <f t="shared" si="27"/>
        <v>587.19000000000005</v>
      </c>
    </row>
    <row r="1772" spans="1:19">
      <c r="A1772" t="s">
        <v>2581</v>
      </c>
      <c r="B1772" s="3">
        <v>45487</v>
      </c>
      <c r="C1772" t="s">
        <v>497</v>
      </c>
      <c r="D1772" t="s">
        <v>645</v>
      </c>
      <c r="E1772" t="s">
        <v>168</v>
      </c>
      <c r="F1772">
        <v>4</v>
      </c>
      <c r="G1772" t="s">
        <v>23</v>
      </c>
      <c r="H1772">
        <v>38</v>
      </c>
      <c r="I1772" s="12" t="s">
        <v>24</v>
      </c>
      <c r="J1772" s="12" t="s">
        <v>498</v>
      </c>
      <c r="K1772" s="12" t="s">
        <v>73</v>
      </c>
      <c r="L1772" s="12" t="s">
        <v>646</v>
      </c>
      <c r="M1772" s="12" t="s">
        <v>75</v>
      </c>
      <c r="N1772" s="14">
        <v>0.16</v>
      </c>
      <c r="O1772" s="23">
        <v>614.76</v>
      </c>
      <c r="P1772">
        <v>218.86</v>
      </c>
      <c r="Q1772" s="12" t="str" cm="1">
        <f t="array" ref="Q1772:R1772">VLOOKUP(E1772,store[],{3,5},FALSE)</f>
        <v>East</v>
      </c>
      <c r="R1772" t="str">
        <v>Online</v>
      </c>
      <c r="S1772" s="4">
        <f t="shared" si="27"/>
        <v>2458.4</v>
      </c>
    </row>
    <row r="1773" spans="1:19">
      <c r="A1773" t="s">
        <v>2582</v>
      </c>
      <c r="B1773" s="3">
        <v>45418</v>
      </c>
      <c r="C1773" t="s">
        <v>305</v>
      </c>
      <c r="D1773" t="s">
        <v>221</v>
      </c>
      <c r="E1773" t="s">
        <v>66</v>
      </c>
      <c r="F1773">
        <v>1</v>
      </c>
      <c r="G1773" t="s">
        <v>33</v>
      </c>
      <c r="H1773">
        <v>22</v>
      </c>
      <c r="I1773" s="12" t="s">
        <v>34</v>
      </c>
      <c r="J1773" s="12" t="s">
        <v>140</v>
      </c>
      <c r="K1773" s="12" t="s">
        <v>60</v>
      </c>
      <c r="L1773" s="12" t="s">
        <v>223</v>
      </c>
      <c r="M1773" s="12" t="s">
        <v>75</v>
      </c>
      <c r="N1773" s="14">
        <v>0.11</v>
      </c>
      <c r="O1773" s="23">
        <v>224.49</v>
      </c>
      <c r="P1773">
        <v>228.53</v>
      </c>
      <c r="Q1773" s="12" t="str" cm="1">
        <f t="array" ref="Q1773:R1773">VLOOKUP(E1773,store[],{3,5},FALSE)</f>
        <v>South</v>
      </c>
      <c r="R1773" t="str">
        <v>Online</v>
      </c>
      <c r="S1773" s="4">
        <f t="shared" si="27"/>
        <v>224.38</v>
      </c>
    </row>
    <row r="1774" spans="1:19">
      <c r="A1774" t="s">
        <v>2583</v>
      </c>
      <c r="B1774" s="3">
        <v>45338</v>
      </c>
      <c r="C1774" t="s">
        <v>1564</v>
      </c>
      <c r="D1774" t="s">
        <v>564</v>
      </c>
      <c r="E1774" t="s">
        <v>208</v>
      </c>
      <c r="F1774">
        <v>1</v>
      </c>
      <c r="G1774" t="s">
        <v>23</v>
      </c>
      <c r="H1774">
        <v>54</v>
      </c>
      <c r="I1774" s="12" t="s">
        <v>24</v>
      </c>
      <c r="J1774" s="12" t="s">
        <v>498</v>
      </c>
      <c r="K1774" s="12" t="s">
        <v>73</v>
      </c>
      <c r="L1774" s="12" t="s">
        <v>565</v>
      </c>
      <c r="M1774" s="12" t="s">
        <v>75</v>
      </c>
      <c r="N1774" s="14">
        <v>0.09</v>
      </c>
      <c r="O1774" s="23">
        <v>967.76</v>
      </c>
      <c r="P1774">
        <v>81.75</v>
      </c>
      <c r="Q1774" s="12" t="str" cm="1">
        <f t="array" ref="Q1774:R1774">VLOOKUP(E1774,store[],{3,5},FALSE)</f>
        <v>North</v>
      </c>
      <c r="R1774" t="str">
        <v>Online</v>
      </c>
      <c r="S1774" s="4">
        <f t="shared" si="27"/>
        <v>967.67</v>
      </c>
    </row>
    <row r="1775" spans="1:19">
      <c r="A1775" t="s">
        <v>2584</v>
      </c>
      <c r="B1775" s="3">
        <v>45507</v>
      </c>
      <c r="C1775" t="s">
        <v>468</v>
      </c>
      <c r="D1775" t="s">
        <v>745</v>
      </c>
      <c r="E1775" t="s">
        <v>135</v>
      </c>
      <c r="F1775">
        <v>2</v>
      </c>
      <c r="G1775" t="s">
        <v>33</v>
      </c>
      <c r="H1775">
        <v>58</v>
      </c>
      <c r="I1775" s="12" t="s">
        <v>24</v>
      </c>
      <c r="J1775" s="12" t="s">
        <v>235</v>
      </c>
      <c r="K1775" s="12" t="s">
        <v>60</v>
      </c>
      <c r="L1775" s="12" t="s">
        <v>746</v>
      </c>
      <c r="M1775" s="12" t="s">
        <v>28</v>
      </c>
      <c r="N1775" s="14">
        <v>0.17</v>
      </c>
      <c r="O1775" s="23">
        <v>56.52</v>
      </c>
      <c r="P1775">
        <v>313.26</v>
      </c>
      <c r="Q1775" s="12" t="str" cm="1">
        <f t="array" ref="Q1775:R1775">VLOOKUP(E1775,store[],{3,5},FALSE)</f>
        <v>East</v>
      </c>
      <c r="R1775" t="str">
        <v>Online</v>
      </c>
      <c r="S1775" s="4">
        <f t="shared" si="27"/>
        <v>112.7</v>
      </c>
    </row>
    <row r="1776" spans="1:19">
      <c r="A1776" t="s">
        <v>2585</v>
      </c>
      <c r="B1776" s="3">
        <v>45275</v>
      </c>
      <c r="C1776" t="s">
        <v>806</v>
      </c>
      <c r="D1776" t="s">
        <v>178</v>
      </c>
      <c r="E1776" t="s">
        <v>105</v>
      </c>
      <c r="F1776">
        <v>4</v>
      </c>
      <c r="G1776" t="s">
        <v>23</v>
      </c>
      <c r="H1776">
        <v>23</v>
      </c>
      <c r="I1776" s="12" t="s">
        <v>24</v>
      </c>
      <c r="J1776" s="12" t="s">
        <v>336</v>
      </c>
      <c r="K1776" s="12" t="s">
        <v>52</v>
      </c>
      <c r="L1776" s="12" t="s">
        <v>180</v>
      </c>
      <c r="M1776" s="12" t="s">
        <v>37</v>
      </c>
      <c r="N1776" s="14">
        <v>0.04</v>
      </c>
      <c r="O1776" s="23">
        <v>921.84</v>
      </c>
      <c r="P1776">
        <v>349.17</v>
      </c>
      <c r="Q1776" s="12" t="str" cm="1">
        <f t="array" ref="Q1776:R1776">VLOOKUP(E1776,store[],{3,5},FALSE)</f>
        <v>North</v>
      </c>
      <c r="R1776" t="str">
        <v>Flagship</v>
      </c>
      <c r="S1776" s="4">
        <f t="shared" si="27"/>
        <v>3687.2</v>
      </c>
    </row>
    <row r="1777" spans="1:19">
      <c r="A1777" t="s">
        <v>2586</v>
      </c>
      <c r="B1777" s="3">
        <v>45319</v>
      </c>
      <c r="C1777" t="s">
        <v>1232</v>
      </c>
      <c r="D1777" t="s">
        <v>400</v>
      </c>
      <c r="E1777" t="s">
        <v>117</v>
      </c>
      <c r="F1777">
        <v>3</v>
      </c>
      <c r="G1777" t="s">
        <v>23</v>
      </c>
      <c r="H1777">
        <v>46</v>
      </c>
      <c r="I1777" s="12" t="s">
        <v>24</v>
      </c>
      <c r="J1777" s="12" t="s">
        <v>510</v>
      </c>
      <c r="K1777" s="12" t="s">
        <v>52</v>
      </c>
      <c r="L1777" s="12" t="s">
        <v>401</v>
      </c>
      <c r="M1777" s="12" t="s">
        <v>75</v>
      </c>
      <c r="N1777" s="14">
        <v>0.28000000000000003</v>
      </c>
      <c r="O1777" s="23">
        <v>738.47</v>
      </c>
      <c r="P1777">
        <v>176.07</v>
      </c>
      <c r="Q1777" s="12" t="str" cm="1">
        <f t="array" ref="Q1777:R1777">VLOOKUP(E1777,store[],{3,5},FALSE)</f>
        <v>West</v>
      </c>
      <c r="R1777" t="str">
        <v>Flagship</v>
      </c>
      <c r="S1777" s="4">
        <f t="shared" si="27"/>
        <v>2214.5700000000002</v>
      </c>
    </row>
    <row r="1778" spans="1:19">
      <c r="A1778" t="s">
        <v>2587</v>
      </c>
      <c r="B1778" s="3">
        <v>45620</v>
      </c>
      <c r="C1778" t="s">
        <v>1232</v>
      </c>
      <c r="D1778" t="s">
        <v>183</v>
      </c>
      <c r="E1778" t="s">
        <v>90</v>
      </c>
      <c r="F1778">
        <v>4</v>
      </c>
      <c r="G1778" t="s">
        <v>50</v>
      </c>
      <c r="H1778">
        <v>46</v>
      </c>
      <c r="I1778" s="12" t="s">
        <v>24</v>
      </c>
      <c r="J1778" s="12" t="s">
        <v>510</v>
      </c>
      <c r="K1778" s="12" t="s">
        <v>52</v>
      </c>
      <c r="L1778" s="12" t="s">
        <v>184</v>
      </c>
      <c r="M1778" s="12" t="s">
        <v>130</v>
      </c>
      <c r="N1778" s="14">
        <v>0.05</v>
      </c>
      <c r="O1778" s="23">
        <v>477.83</v>
      </c>
      <c r="P1778">
        <v>261</v>
      </c>
      <c r="Q1778" s="12" t="str" cm="1">
        <f t="array" ref="Q1778:R1778">VLOOKUP(E1778,store[],{3,5},FALSE)</f>
        <v>East</v>
      </c>
      <c r="R1778" t="str">
        <v>Flagship</v>
      </c>
      <c r="S1778" s="4">
        <f t="shared" si="27"/>
        <v>1911.12</v>
      </c>
    </row>
    <row r="1779" spans="1:19">
      <c r="A1779" t="s">
        <v>2588</v>
      </c>
      <c r="B1779" s="3">
        <v>45831</v>
      </c>
      <c r="C1779" t="s">
        <v>338</v>
      </c>
      <c r="D1779" t="s">
        <v>449</v>
      </c>
      <c r="E1779" t="s">
        <v>208</v>
      </c>
      <c r="F1779">
        <v>3</v>
      </c>
      <c r="G1779" t="s">
        <v>50</v>
      </c>
      <c r="H1779">
        <v>36</v>
      </c>
      <c r="I1779" s="12" t="s">
        <v>34</v>
      </c>
      <c r="J1779" s="12" t="s">
        <v>235</v>
      </c>
      <c r="K1779" s="12" t="s">
        <v>52</v>
      </c>
      <c r="L1779" s="12" t="s">
        <v>450</v>
      </c>
      <c r="M1779" s="12" t="s">
        <v>37</v>
      </c>
      <c r="N1779" s="14">
        <v>0.28000000000000003</v>
      </c>
      <c r="O1779" s="23">
        <v>605.83000000000004</v>
      </c>
      <c r="P1779">
        <v>450.71</v>
      </c>
      <c r="Q1779" s="12" t="str" cm="1">
        <f t="array" ref="Q1779:R1779">VLOOKUP(E1779,store[],{3,5},FALSE)</f>
        <v>North</v>
      </c>
      <c r="R1779" t="str">
        <v>Online</v>
      </c>
      <c r="S1779" s="4">
        <f t="shared" si="27"/>
        <v>1816.65</v>
      </c>
    </row>
    <row r="1780" spans="1:19">
      <c r="A1780" t="s">
        <v>2589</v>
      </c>
      <c r="B1780" s="3">
        <v>45373</v>
      </c>
      <c r="C1780" t="s">
        <v>468</v>
      </c>
      <c r="D1780" t="s">
        <v>159</v>
      </c>
      <c r="E1780" t="s">
        <v>22</v>
      </c>
      <c r="F1780">
        <v>2</v>
      </c>
      <c r="G1780" t="s">
        <v>50</v>
      </c>
      <c r="H1780">
        <v>58</v>
      </c>
      <c r="I1780" s="12" t="s">
        <v>24</v>
      </c>
      <c r="J1780" s="12" t="s">
        <v>235</v>
      </c>
      <c r="K1780" s="12" t="s">
        <v>60</v>
      </c>
      <c r="L1780" s="12" t="s">
        <v>162</v>
      </c>
      <c r="M1780" s="12" t="s">
        <v>37</v>
      </c>
      <c r="N1780" s="14">
        <v>0.25</v>
      </c>
      <c r="O1780" s="23">
        <v>521.44000000000005</v>
      </c>
      <c r="P1780">
        <v>253.33</v>
      </c>
      <c r="Q1780" s="12" t="str" cm="1">
        <f t="array" ref="Q1780:R1780">VLOOKUP(E1780,store[],{3,5},FALSE)</f>
        <v>North</v>
      </c>
      <c r="R1780" t="str">
        <v>Outlet</v>
      </c>
      <c r="S1780" s="4">
        <f t="shared" si="27"/>
        <v>1042.3800000000001</v>
      </c>
    </row>
    <row r="1781" spans="1:19">
      <c r="A1781" t="s">
        <v>2590</v>
      </c>
      <c r="B1781" s="3">
        <v>45863</v>
      </c>
      <c r="C1781" t="s">
        <v>591</v>
      </c>
      <c r="D1781" t="s">
        <v>234</v>
      </c>
      <c r="E1781" t="s">
        <v>66</v>
      </c>
      <c r="F1781">
        <v>4</v>
      </c>
      <c r="G1781" t="s">
        <v>23</v>
      </c>
      <c r="H1781">
        <v>37</v>
      </c>
      <c r="I1781" s="12" t="s">
        <v>34</v>
      </c>
      <c r="J1781" s="12" t="s">
        <v>193</v>
      </c>
      <c r="K1781" s="12" t="s">
        <v>26</v>
      </c>
      <c r="L1781" s="12" t="s">
        <v>236</v>
      </c>
      <c r="M1781" s="12" t="s">
        <v>75</v>
      </c>
      <c r="N1781" s="14">
        <v>0.06</v>
      </c>
      <c r="O1781" s="23">
        <v>499.02</v>
      </c>
      <c r="P1781">
        <v>298.86</v>
      </c>
      <c r="Q1781" s="12" t="str" cm="1">
        <f t="array" ref="Q1781:R1781">VLOOKUP(E1781,store[],{3,5},FALSE)</f>
        <v>South</v>
      </c>
      <c r="R1781" t="str">
        <v>Online</v>
      </c>
      <c r="S1781" s="4">
        <f t="shared" si="27"/>
        <v>1995.84</v>
      </c>
    </row>
    <row r="1782" spans="1:19">
      <c r="A1782" t="s">
        <v>2591</v>
      </c>
      <c r="B1782" s="3">
        <v>45758</v>
      </c>
      <c r="C1782" t="s">
        <v>685</v>
      </c>
      <c r="D1782" t="s">
        <v>634</v>
      </c>
      <c r="E1782" t="s">
        <v>160</v>
      </c>
      <c r="F1782">
        <v>4</v>
      </c>
      <c r="G1782" t="s">
        <v>50</v>
      </c>
      <c r="H1782">
        <v>31</v>
      </c>
      <c r="I1782" s="12" t="s">
        <v>24</v>
      </c>
      <c r="J1782" s="12" t="s">
        <v>188</v>
      </c>
      <c r="K1782" s="12" t="s">
        <v>73</v>
      </c>
      <c r="L1782" s="12" t="s">
        <v>635</v>
      </c>
      <c r="M1782" s="12" t="s">
        <v>130</v>
      </c>
      <c r="N1782" s="14">
        <v>0.18</v>
      </c>
      <c r="O1782" s="23">
        <v>299.45999999999998</v>
      </c>
      <c r="P1782">
        <v>306.45999999999998</v>
      </c>
      <c r="Q1782" s="12" t="str" cm="1">
        <f t="array" ref="Q1782:R1782">VLOOKUP(E1782,store[],{3,5},FALSE)</f>
        <v>East</v>
      </c>
      <c r="R1782" t="str">
        <v>Flagship</v>
      </c>
      <c r="S1782" s="4">
        <f t="shared" si="27"/>
        <v>1197.1199999999999</v>
      </c>
    </row>
    <row r="1783" spans="1:19">
      <c r="A1783" t="s">
        <v>2592</v>
      </c>
      <c r="B1783" s="3">
        <v>45285</v>
      </c>
      <c r="C1783" t="s">
        <v>1582</v>
      </c>
      <c r="D1783" t="s">
        <v>104</v>
      </c>
      <c r="E1783" t="s">
        <v>90</v>
      </c>
      <c r="F1783">
        <v>1</v>
      </c>
      <c r="G1783" t="s">
        <v>23</v>
      </c>
      <c r="H1783">
        <v>59</v>
      </c>
      <c r="I1783" s="12" t="s">
        <v>24</v>
      </c>
      <c r="J1783" s="12" t="s">
        <v>239</v>
      </c>
      <c r="K1783" s="12" t="s">
        <v>52</v>
      </c>
      <c r="L1783" s="12" t="s">
        <v>107</v>
      </c>
      <c r="M1783" s="12" t="s">
        <v>37</v>
      </c>
      <c r="N1783" s="14">
        <v>0.15</v>
      </c>
      <c r="O1783" s="23">
        <v>609.29</v>
      </c>
      <c r="P1783">
        <v>326.06</v>
      </c>
      <c r="Q1783" s="12" t="str" cm="1">
        <f t="array" ref="Q1783:R1783">VLOOKUP(E1783,store[],{3,5},FALSE)</f>
        <v>East</v>
      </c>
      <c r="R1783" t="str">
        <v>Flagship</v>
      </c>
      <c r="S1783" s="4">
        <f t="shared" si="27"/>
        <v>609.14</v>
      </c>
    </row>
    <row r="1784" spans="1:19">
      <c r="A1784" t="s">
        <v>2593</v>
      </c>
      <c r="B1784" s="3">
        <v>45656</v>
      </c>
      <c r="C1784" t="s">
        <v>789</v>
      </c>
      <c r="D1784" t="s">
        <v>868</v>
      </c>
      <c r="E1784" t="s">
        <v>43</v>
      </c>
      <c r="F1784">
        <v>1</v>
      </c>
      <c r="G1784" t="s">
        <v>50</v>
      </c>
      <c r="H1784">
        <v>29</v>
      </c>
      <c r="I1784" s="12" t="s">
        <v>24</v>
      </c>
      <c r="J1784" s="12" t="s">
        <v>410</v>
      </c>
      <c r="K1784" s="12" t="s">
        <v>26</v>
      </c>
      <c r="L1784" s="12" t="s">
        <v>869</v>
      </c>
      <c r="M1784" s="12" t="s">
        <v>130</v>
      </c>
      <c r="N1784" s="14">
        <v>7.0000000000000007E-2</v>
      </c>
      <c r="O1784" s="23">
        <v>213.74</v>
      </c>
      <c r="P1784">
        <v>254.62086956521699</v>
      </c>
      <c r="Q1784" s="12" t="str" cm="1">
        <f t="array" ref="Q1784:R1784">VLOOKUP(E1784,store[],{3,5},FALSE)</f>
        <v>West</v>
      </c>
      <c r="R1784" t="str">
        <v>Online</v>
      </c>
      <c r="S1784" s="4">
        <f t="shared" si="27"/>
        <v>213.67</v>
      </c>
    </row>
    <row r="1785" spans="1:19">
      <c r="A1785" t="s">
        <v>2594</v>
      </c>
      <c r="B1785" s="3">
        <v>45718</v>
      </c>
      <c r="C1785" t="s">
        <v>685</v>
      </c>
      <c r="D1785" t="s">
        <v>564</v>
      </c>
      <c r="E1785" t="s">
        <v>117</v>
      </c>
      <c r="F1785">
        <v>4</v>
      </c>
      <c r="G1785" t="s">
        <v>23</v>
      </c>
      <c r="H1785">
        <v>31</v>
      </c>
      <c r="I1785" s="12" t="s">
        <v>24</v>
      </c>
      <c r="J1785" s="12" t="s">
        <v>188</v>
      </c>
      <c r="K1785" s="12" t="s">
        <v>73</v>
      </c>
      <c r="L1785" s="12" t="s">
        <v>565</v>
      </c>
      <c r="M1785" s="12" t="s">
        <v>75</v>
      </c>
      <c r="N1785" s="14">
        <v>0.26</v>
      </c>
      <c r="O1785" s="23">
        <v>613.16999999999996</v>
      </c>
      <c r="P1785">
        <v>81.75</v>
      </c>
      <c r="Q1785" s="12" t="str" cm="1">
        <f t="array" ref="Q1785:R1785">VLOOKUP(E1785,store[],{3,5},FALSE)</f>
        <v>West</v>
      </c>
      <c r="R1785" t="str">
        <v>Flagship</v>
      </c>
      <c r="S1785" s="4">
        <f t="shared" si="27"/>
        <v>2451.64</v>
      </c>
    </row>
    <row r="1786" spans="1:19">
      <c r="A1786" t="s">
        <v>2595</v>
      </c>
      <c r="B1786" s="3">
        <v>45293</v>
      </c>
      <c r="C1786" t="s">
        <v>1381</v>
      </c>
      <c r="D1786" t="s">
        <v>57</v>
      </c>
      <c r="E1786" t="s">
        <v>272</v>
      </c>
      <c r="F1786">
        <v>2</v>
      </c>
      <c r="G1786" t="s">
        <v>50</v>
      </c>
      <c r="H1786">
        <v>41</v>
      </c>
      <c r="I1786" s="12" t="s">
        <v>24</v>
      </c>
      <c r="J1786" s="12" t="s">
        <v>51</v>
      </c>
      <c r="K1786" s="12" t="s">
        <v>26</v>
      </c>
      <c r="L1786" s="12" t="s">
        <v>61</v>
      </c>
      <c r="M1786" s="12" t="s">
        <v>46</v>
      </c>
      <c r="N1786" s="14">
        <v>7.0000000000000007E-2</v>
      </c>
      <c r="O1786" s="23">
        <v>687.36</v>
      </c>
      <c r="P1786">
        <v>17.309999999999999</v>
      </c>
      <c r="Q1786" s="12" t="str" cm="1">
        <f t="array" ref="Q1786:R1786">VLOOKUP(E1786,store[],{3,5},FALSE)</f>
        <v>South</v>
      </c>
      <c r="R1786" t="str">
        <v>Online</v>
      </c>
      <c r="S1786" s="4">
        <f t="shared" si="27"/>
        <v>1374.58</v>
      </c>
    </row>
    <row r="1787" spans="1:19">
      <c r="A1787" t="s">
        <v>2596</v>
      </c>
      <c r="B1787" s="3">
        <v>45915</v>
      </c>
      <c r="C1787" t="s">
        <v>803</v>
      </c>
      <c r="D1787" t="s">
        <v>178</v>
      </c>
      <c r="E1787" t="s">
        <v>149</v>
      </c>
      <c r="F1787">
        <v>3</v>
      </c>
      <c r="G1787" t="s">
        <v>33</v>
      </c>
      <c r="H1787">
        <v>58</v>
      </c>
      <c r="I1787" s="12" t="s">
        <v>34</v>
      </c>
      <c r="J1787" s="12" t="s">
        <v>67</v>
      </c>
      <c r="K1787" s="12" t="s">
        <v>26</v>
      </c>
      <c r="L1787" s="12" t="s">
        <v>180</v>
      </c>
      <c r="M1787" s="12" t="s">
        <v>37</v>
      </c>
      <c r="N1787" s="14">
        <v>0.02</v>
      </c>
      <c r="O1787" s="23">
        <v>115.39</v>
      </c>
      <c r="P1787">
        <v>349.17</v>
      </c>
      <c r="Q1787" s="12" t="str" cm="1">
        <f t="array" ref="Q1787:R1787">VLOOKUP(E1787,store[],{3,5},FALSE)</f>
        <v>East</v>
      </c>
      <c r="R1787" t="str">
        <v>Flagship</v>
      </c>
      <c r="S1787" s="4">
        <f t="shared" si="27"/>
        <v>346.11</v>
      </c>
    </row>
    <row r="1788" spans="1:19">
      <c r="A1788" t="s">
        <v>2597</v>
      </c>
      <c r="B1788" s="3">
        <v>45359</v>
      </c>
      <c r="C1788" t="s">
        <v>1913</v>
      </c>
      <c r="D1788" t="s">
        <v>97</v>
      </c>
      <c r="E1788" t="s">
        <v>208</v>
      </c>
      <c r="F1788">
        <v>2</v>
      </c>
      <c r="G1788" t="s">
        <v>23</v>
      </c>
      <c r="H1788">
        <v>43</v>
      </c>
      <c r="I1788" s="12" t="s">
        <v>34</v>
      </c>
      <c r="J1788" s="12" t="s">
        <v>410</v>
      </c>
      <c r="K1788" s="12" t="s">
        <v>60</v>
      </c>
      <c r="L1788" s="12" t="s">
        <v>100</v>
      </c>
      <c r="M1788" s="12" t="s">
        <v>28</v>
      </c>
      <c r="N1788" s="14">
        <v>7.0000000000000007E-2</v>
      </c>
      <c r="O1788" s="23">
        <v>722.06</v>
      </c>
      <c r="P1788">
        <v>166.06</v>
      </c>
      <c r="Q1788" s="12" t="str" cm="1">
        <f t="array" ref="Q1788:R1788">VLOOKUP(E1788,store[],{3,5},FALSE)</f>
        <v>North</v>
      </c>
      <c r="R1788" t="str">
        <v>Online</v>
      </c>
      <c r="S1788" s="4">
        <f t="shared" si="27"/>
        <v>1443.98</v>
      </c>
    </row>
    <row r="1789" spans="1:19">
      <c r="A1789" t="s">
        <v>2598</v>
      </c>
      <c r="B1789" s="3">
        <v>45652</v>
      </c>
      <c r="C1789" t="s">
        <v>1290</v>
      </c>
      <c r="D1789" t="s">
        <v>645</v>
      </c>
      <c r="E1789" t="s">
        <v>122</v>
      </c>
      <c r="F1789">
        <v>1</v>
      </c>
      <c r="G1789" t="s">
        <v>33</v>
      </c>
      <c r="H1789">
        <v>40</v>
      </c>
      <c r="I1789" s="12" t="s">
        <v>24</v>
      </c>
      <c r="J1789" s="12" t="s">
        <v>410</v>
      </c>
      <c r="K1789" s="12" t="s">
        <v>73</v>
      </c>
      <c r="L1789" s="12" t="s">
        <v>646</v>
      </c>
      <c r="M1789" s="12" t="s">
        <v>75</v>
      </c>
      <c r="N1789" s="14">
        <v>0.06</v>
      </c>
      <c r="O1789" s="23">
        <v>384.57</v>
      </c>
      <c r="P1789">
        <v>218.86</v>
      </c>
      <c r="Q1789" s="12" t="str" cm="1">
        <f t="array" ref="Q1789:R1789">VLOOKUP(E1789,store[],{3,5},FALSE)</f>
        <v>North</v>
      </c>
      <c r="R1789" t="str">
        <v>Flagship</v>
      </c>
      <c r="S1789" s="4">
        <f t="shared" si="27"/>
        <v>384.51</v>
      </c>
    </row>
    <row r="1790" spans="1:19">
      <c r="A1790" t="s">
        <v>2599</v>
      </c>
      <c r="B1790" s="3">
        <v>45735</v>
      </c>
      <c r="C1790" t="s">
        <v>934</v>
      </c>
      <c r="D1790" t="s">
        <v>484</v>
      </c>
      <c r="E1790" t="s">
        <v>149</v>
      </c>
      <c r="F1790">
        <v>2</v>
      </c>
      <c r="G1790" t="s">
        <v>33</v>
      </c>
      <c r="H1790">
        <v>48</v>
      </c>
      <c r="I1790" s="12" t="s">
        <v>24</v>
      </c>
      <c r="J1790" s="12" t="s">
        <v>360</v>
      </c>
      <c r="K1790" s="12" t="s">
        <v>60</v>
      </c>
      <c r="L1790" s="12" t="s">
        <v>485</v>
      </c>
      <c r="M1790" s="12" t="s">
        <v>37</v>
      </c>
      <c r="N1790" s="14">
        <v>0.18</v>
      </c>
      <c r="O1790" s="23">
        <v>194.09</v>
      </c>
      <c r="P1790">
        <v>439.07</v>
      </c>
      <c r="Q1790" s="12" t="str" cm="1">
        <f t="array" ref="Q1790:R1790">VLOOKUP(E1790,store[],{3,5},FALSE)</f>
        <v>East</v>
      </c>
      <c r="R1790" t="str">
        <v>Flagship</v>
      </c>
      <c r="S1790" s="4">
        <f t="shared" si="27"/>
        <v>387.82</v>
      </c>
    </row>
    <row r="1791" spans="1:19">
      <c r="A1791" t="s">
        <v>2600</v>
      </c>
      <c r="B1791" s="3">
        <v>45579</v>
      </c>
      <c r="C1791" t="s">
        <v>1463</v>
      </c>
      <c r="D1791" t="s">
        <v>110</v>
      </c>
      <c r="E1791" t="s">
        <v>22</v>
      </c>
      <c r="F1791">
        <v>2</v>
      </c>
      <c r="G1791" t="s">
        <v>23</v>
      </c>
      <c r="H1791">
        <v>41</v>
      </c>
      <c r="I1791" s="12" t="s">
        <v>34</v>
      </c>
      <c r="J1791" s="12" t="s">
        <v>356</v>
      </c>
      <c r="K1791" s="12" t="s">
        <v>73</v>
      </c>
      <c r="L1791" s="12" t="s">
        <v>112</v>
      </c>
      <c r="M1791" s="12" t="s">
        <v>28</v>
      </c>
      <c r="N1791" s="14">
        <v>7.0000000000000007E-2</v>
      </c>
      <c r="O1791" s="23">
        <v>403.91</v>
      </c>
      <c r="P1791">
        <v>131.24</v>
      </c>
      <c r="Q1791" s="12" t="str" cm="1">
        <f t="array" ref="Q1791:R1791">VLOOKUP(E1791,store[],{3,5},FALSE)</f>
        <v>North</v>
      </c>
      <c r="R1791" t="str">
        <v>Outlet</v>
      </c>
      <c r="S1791" s="4">
        <f t="shared" si="27"/>
        <v>807.68</v>
      </c>
    </row>
    <row r="1792" spans="1:19">
      <c r="A1792" t="s">
        <v>2601</v>
      </c>
      <c r="B1792" s="3">
        <v>45721</v>
      </c>
      <c r="C1792" t="s">
        <v>578</v>
      </c>
      <c r="D1792" t="s">
        <v>377</v>
      </c>
      <c r="E1792" t="s">
        <v>98</v>
      </c>
      <c r="F1792">
        <v>1</v>
      </c>
      <c r="G1792" t="s">
        <v>33</v>
      </c>
      <c r="H1792">
        <v>37</v>
      </c>
      <c r="I1792" s="12" t="s">
        <v>24</v>
      </c>
      <c r="J1792" s="12" t="s">
        <v>169</v>
      </c>
      <c r="K1792" s="12" t="s">
        <v>26</v>
      </c>
      <c r="L1792" s="12" t="s">
        <v>379</v>
      </c>
      <c r="M1792" s="12" t="s">
        <v>28</v>
      </c>
      <c r="N1792" s="14">
        <v>0.3</v>
      </c>
      <c r="O1792" s="23">
        <v>878.69</v>
      </c>
      <c r="P1792">
        <v>144.53</v>
      </c>
      <c r="Q1792" s="12" t="str" cm="1">
        <f t="array" ref="Q1792:R1792">VLOOKUP(E1792,store[],{3,5},FALSE)</f>
        <v>South</v>
      </c>
      <c r="R1792" t="str">
        <v>Outlet</v>
      </c>
      <c r="S1792" s="4">
        <f t="shared" si="27"/>
        <v>878.39</v>
      </c>
    </row>
    <row r="1793" spans="1:19">
      <c r="A1793" t="s">
        <v>2602</v>
      </c>
      <c r="B1793" s="3">
        <v>45446</v>
      </c>
      <c r="C1793" t="s">
        <v>182</v>
      </c>
      <c r="D1793" t="s">
        <v>89</v>
      </c>
      <c r="E1793" t="s">
        <v>122</v>
      </c>
      <c r="F1793">
        <v>1</v>
      </c>
      <c r="G1793" t="s">
        <v>23</v>
      </c>
      <c r="H1793">
        <v>50</v>
      </c>
      <c r="I1793" s="12" t="s">
        <v>24</v>
      </c>
      <c r="J1793" s="12" t="s">
        <v>59</v>
      </c>
      <c r="K1793" s="12" t="s">
        <v>60</v>
      </c>
      <c r="L1793" s="12" t="s">
        <v>92</v>
      </c>
      <c r="M1793" s="12" t="s">
        <v>75</v>
      </c>
      <c r="N1793" s="14">
        <v>0.05</v>
      </c>
      <c r="O1793" s="23">
        <v>161.16999999999999</v>
      </c>
      <c r="P1793">
        <v>179.77</v>
      </c>
      <c r="Q1793" s="12" t="str" cm="1">
        <f t="array" ref="Q1793:R1793">VLOOKUP(E1793,store[],{3,5},FALSE)</f>
        <v>North</v>
      </c>
      <c r="R1793" t="str">
        <v>Flagship</v>
      </c>
      <c r="S1793" s="4">
        <f t="shared" si="27"/>
        <v>161.12</v>
      </c>
    </row>
    <row r="1794" spans="1:19">
      <c r="A1794" t="s">
        <v>2603</v>
      </c>
      <c r="B1794" s="3">
        <v>45387</v>
      </c>
      <c r="C1794" t="s">
        <v>447</v>
      </c>
      <c r="D1794" t="s">
        <v>575</v>
      </c>
      <c r="E1794" t="s">
        <v>98</v>
      </c>
      <c r="F1794">
        <v>2</v>
      </c>
      <c r="G1794" t="s">
        <v>50</v>
      </c>
      <c r="H1794">
        <v>61</v>
      </c>
      <c r="I1794" s="12" t="s">
        <v>24</v>
      </c>
      <c r="J1794" s="12" t="s">
        <v>111</v>
      </c>
      <c r="K1794" s="12" t="s">
        <v>26</v>
      </c>
      <c r="L1794" s="12" t="s">
        <v>576</v>
      </c>
      <c r="M1794" s="12" t="s">
        <v>28</v>
      </c>
      <c r="N1794" s="14">
        <v>0.22</v>
      </c>
      <c r="O1794" s="23">
        <v>720.15</v>
      </c>
      <c r="P1794">
        <v>107.06</v>
      </c>
      <c r="Q1794" s="12" t="str" cm="1">
        <f t="array" ref="Q1794:R1794">VLOOKUP(E1794,store[],{3,5},FALSE)</f>
        <v>South</v>
      </c>
      <c r="R1794" t="str">
        <v>Outlet</v>
      </c>
      <c r="S1794" s="4">
        <f t="shared" ref="S1794:S1857" si="28">(O1794-N1794)*F1794</f>
        <v>1439.86</v>
      </c>
    </row>
    <row r="1795" spans="1:19">
      <c r="A1795" t="s">
        <v>2604</v>
      </c>
      <c r="B1795" s="3">
        <v>45222</v>
      </c>
      <c r="C1795" t="s">
        <v>977</v>
      </c>
      <c r="D1795" t="s">
        <v>246</v>
      </c>
      <c r="E1795" t="s">
        <v>43</v>
      </c>
      <c r="F1795">
        <v>1</v>
      </c>
      <c r="G1795" t="s">
        <v>50</v>
      </c>
      <c r="H1795">
        <v>39</v>
      </c>
      <c r="I1795" s="12" t="s">
        <v>34</v>
      </c>
      <c r="J1795" s="12" t="s">
        <v>440</v>
      </c>
      <c r="K1795" s="12" t="s">
        <v>26</v>
      </c>
      <c r="L1795" s="12" t="s">
        <v>247</v>
      </c>
      <c r="M1795" s="12" t="s">
        <v>37</v>
      </c>
      <c r="N1795" s="14">
        <v>0.02</v>
      </c>
      <c r="O1795" s="23">
        <v>361.8</v>
      </c>
      <c r="P1795">
        <v>322.41000000000003</v>
      </c>
      <c r="Q1795" s="12" t="str" cm="1">
        <f t="array" ref="Q1795:R1795">VLOOKUP(E1795,store[],{3,5},FALSE)</f>
        <v>West</v>
      </c>
      <c r="R1795" t="str">
        <v>Online</v>
      </c>
      <c r="S1795" s="4">
        <f t="shared" si="28"/>
        <v>361.78</v>
      </c>
    </row>
    <row r="1796" spans="1:19">
      <c r="A1796" t="s">
        <v>2605</v>
      </c>
      <c r="B1796" s="3">
        <v>45402</v>
      </c>
      <c r="C1796" t="s">
        <v>1545</v>
      </c>
      <c r="D1796" t="s">
        <v>1126</v>
      </c>
      <c r="E1796" t="s">
        <v>179</v>
      </c>
      <c r="F1796">
        <v>1</v>
      </c>
      <c r="G1796" t="s">
        <v>33</v>
      </c>
      <c r="H1796">
        <v>29</v>
      </c>
      <c r="I1796" s="12" t="s">
        <v>24</v>
      </c>
      <c r="J1796" s="12" t="s">
        <v>235</v>
      </c>
      <c r="K1796" s="12" t="s">
        <v>73</v>
      </c>
      <c r="L1796" s="12" t="s">
        <v>1127</v>
      </c>
      <c r="M1796" s="12" t="s">
        <v>28</v>
      </c>
      <c r="N1796" s="14">
        <v>0.28999999999999998</v>
      </c>
      <c r="O1796" s="23">
        <v>779.84</v>
      </c>
      <c r="P1796">
        <v>60.65</v>
      </c>
      <c r="Q1796" s="12" t="str" cm="1">
        <f t="array" ref="Q1796:R1796">VLOOKUP(E1796,store[],{3,5},FALSE)</f>
        <v>East</v>
      </c>
      <c r="R1796" t="str">
        <v>Online</v>
      </c>
      <c r="S1796" s="4">
        <f t="shared" si="28"/>
        <v>779.55</v>
      </c>
    </row>
    <row r="1797" spans="1:19">
      <c r="A1797" t="s">
        <v>2606</v>
      </c>
      <c r="B1797" s="3">
        <v>45455</v>
      </c>
      <c r="C1797" t="s">
        <v>1747</v>
      </c>
      <c r="D1797" t="s">
        <v>1259</v>
      </c>
      <c r="E1797" t="s">
        <v>72</v>
      </c>
      <c r="F1797">
        <v>2</v>
      </c>
      <c r="G1797" t="s">
        <v>50</v>
      </c>
      <c r="H1797">
        <v>64</v>
      </c>
      <c r="I1797" s="12" t="s">
        <v>34</v>
      </c>
      <c r="J1797" s="12" t="s">
        <v>227</v>
      </c>
      <c r="K1797" s="12" t="s">
        <v>60</v>
      </c>
      <c r="L1797" s="12" t="s">
        <v>1260</v>
      </c>
      <c r="M1797" s="12" t="s">
        <v>130</v>
      </c>
      <c r="N1797" s="14">
        <v>0.17</v>
      </c>
      <c r="O1797" s="23">
        <v>649.89</v>
      </c>
      <c r="P1797">
        <v>358.47</v>
      </c>
      <c r="Q1797" s="12" t="str" cm="1">
        <f t="array" ref="Q1797:R1797">VLOOKUP(E1797,store[],{3,5},FALSE)</f>
        <v>South</v>
      </c>
      <c r="R1797" t="str">
        <v>Online</v>
      </c>
      <c r="S1797" s="4">
        <f t="shared" si="28"/>
        <v>1299.44</v>
      </c>
    </row>
    <row r="1798" spans="1:19">
      <c r="A1798" t="s">
        <v>2607</v>
      </c>
      <c r="B1798" s="3">
        <v>45877</v>
      </c>
      <c r="C1798" t="s">
        <v>1193</v>
      </c>
      <c r="D1798" t="s">
        <v>207</v>
      </c>
      <c r="E1798" t="s">
        <v>179</v>
      </c>
      <c r="F1798">
        <v>1</v>
      </c>
      <c r="G1798" t="s">
        <v>23</v>
      </c>
      <c r="H1798">
        <v>52</v>
      </c>
      <c r="I1798" s="12" t="s">
        <v>24</v>
      </c>
      <c r="J1798" s="12" t="s">
        <v>498</v>
      </c>
      <c r="K1798" s="12" t="s">
        <v>52</v>
      </c>
      <c r="L1798" s="12" t="s">
        <v>210</v>
      </c>
      <c r="M1798" s="12" t="s">
        <v>130</v>
      </c>
      <c r="N1798" s="14">
        <v>0.17</v>
      </c>
      <c r="O1798" s="23">
        <v>952.73</v>
      </c>
      <c r="P1798">
        <v>386.56</v>
      </c>
      <c r="Q1798" s="12" t="str" cm="1">
        <f t="array" ref="Q1798:R1798">VLOOKUP(E1798,store[],{3,5},FALSE)</f>
        <v>East</v>
      </c>
      <c r="R1798" t="str">
        <v>Online</v>
      </c>
      <c r="S1798" s="4">
        <f t="shared" si="28"/>
        <v>952.56</v>
      </c>
    </row>
    <row r="1799" spans="1:19">
      <c r="A1799" t="s">
        <v>2608</v>
      </c>
      <c r="B1799" s="3">
        <v>45875</v>
      </c>
      <c r="C1799" t="s">
        <v>259</v>
      </c>
      <c r="D1799" t="s">
        <v>85</v>
      </c>
      <c r="E1799" t="s">
        <v>117</v>
      </c>
      <c r="F1799">
        <v>4</v>
      </c>
      <c r="G1799" t="s">
        <v>23</v>
      </c>
      <c r="H1799">
        <v>26</v>
      </c>
      <c r="I1799" s="12" t="s">
        <v>34</v>
      </c>
      <c r="J1799" s="12" t="s">
        <v>260</v>
      </c>
      <c r="K1799" s="12" t="s">
        <v>52</v>
      </c>
      <c r="L1799" s="12" t="s">
        <v>86</v>
      </c>
      <c r="M1799" s="12" t="s">
        <v>75</v>
      </c>
      <c r="N1799" s="14">
        <v>0.25</v>
      </c>
      <c r="O1799" s="23">
        <v>820.78</v>
      </c>
      <c r="P1799">
        <v>201.41</v>
      </c>
      <c r="Q1799" s="12" t="str" cm="1">
        <f t="array" ref="Q1799:R1799">VLOOKUP(E1799,store[],{3,5},FALSE)</f>
        <v>West</v>
      </c>
      <c r="R1799" t="str">
        <v>Flagship</v>
      </c>
      <c r="S1799" s="4">
        <f t="shared" si="28"/>
        <v>3282.12</v>
      </c>
    </row>
    <row r="1800" spans="1:19">
      <c r="A1800" t="s">
        <v>2609</v>
      </c>
      <c r="B1800" s="3">
        <v>45592</v>
      </c>
      <c r="C1800" t="s">
        <v>1455</v>
      </c>
      <c r="D1800" t="s">
        <v>340</v>
      </c>
      <c r="E1800" t="s">
        <v>22</v>
      </c>
      <c r="F1800">
        <v>4</v>
      </c>
      <c r="G1800" t="s">
        <v>23</v>
      </c>
      <c r="H1800">
        <v>30</v>
      </c>
      <c r="I1800" s="12" t="s">
        <v>34</v>
      </c>
      <c r="J1800" s="12" t="s">
        <v>440</v>
      </c>
      <c r="K1800" s="12" t="s">
        <v>73</v>
      </c>
      <c r="L1800" s="12" t="s">
        <v>341</v>
      </c>
      <c r="M1800" s="12" t="s">
        <v>28</v>
      </c>
      <c r="N1800" s="14">
        <v>0.05</v>
      </c>
      <c r="O1800" s="23">
        <v>247.55</v>
      </c>
      <c r="P1800">
        <v>135.61000000000001</v>
      </c>
      <c r="Q1800" s="12" t="str" cm="1">
        <f t="array" ref="Q1800:R1800">VLOOKUP(E1800,store[],{3,5},FALSE)</f>
        <v>North</v>
      </c>
      <c r="R1800" t="str">
        <v>Outlet</v>
      </c>
      <c r="S1800" s="4">
        <f t="shared" si="28"/>
        <v>990</v>
      </c>
    </row>
    <row r="1801" spans="1:19">
      <c r="A1801" t="s">
        <v>2610</v>
      </c>
      <c r="B1801" s="3">
        <v>45369</v>
      </c>
      <c r="C1801" t="s">
        <v>2175</v>
      </c>
      <c r="D1801" t="s">
        <v>85</v>
      </c>
      <c r="E1801" t="s">
        <v>43</v>
      </c>
      <c r="F1801">
        <v>3</v>
      </c>
      <c r="G1801" t="s">
        <v>50</v>
      </c>
      <c r="H1801">
        <v>63</v>
      </c>
      <c r="I1801" s="12" t="s">
        <v>34</v>
      </c>
      <c r="J1801" s="12" t="s">
        <v>333</v>
      </c>
      <c r="K1801" s="12" t="s">
        <v>26</v>
      </c>
      <c r="L1801" s="12" t="s">
        <v>86</v>
      </c>
      <c r="M1801" s="12" t="s">
        <v>75</v>
      </c>
      <c r="N1801" s="14">
        <v>0.2</v>
      </c>
      <c r="O1801" s="23">
        <v>561.44000000000005</v>
      </c>
      <c r="P1801">
        <v>201.41</v>
      </c>
      <c r="Q1801" s="12" t="str" cm="1">
        <f t="array" ref="Q1801:R1801">VLOOKUP(E1801,store[],{3,5},FALSE)</f>
        <v>West</v>
      </c>
      <c r="R1801" t="str">
        <v>Online</v>
      </c>
      <c r="S1801" s="4">
        <f t="shared" si="28"/>
        <v>1683.72</v>
      </c>
    </row>
    <row r="1802" spans="1:19">
      <c r="A1802" t="s">
        <v>2611</v>
      </c>
      <c r="B1802" s="3">
        <v>45249</v>
      </c>
      <c r="C1802" t="s">
        <v>1379</v>
      </c>
      <c r="D1802" t="s">
        <v>155</v>
      </c>
      <c r="E1802" t="s">
        <v>43</v>
      </c>
      <c r="F1802">
        <v>4</v>
      </c>
      <c r="G1802" t="s">
        <v>50</v>
      </c>
      <c r="H1802">
        <v>59</v>
      </c>
      <c r="I1802" s="12" t="s">
        <v>24</v>
      </c>
      <c r="J1802" s="12" t="s">
        <v>440</v>
      </c>
      <c r="K1802" s="12" t="s">
        <v>52</v>
      </c>
      <c r="L1802" s="12" t="s">
        <v>156</v>
      </c>
      <c r="M1802" s="12" t="s">
        <v>28</v>
      </c>
      <c r="N1802" s="14">
        <v>0.11</v>
      </c>
      <c r="O1802" s="23">
        <v>214.37</v>
      </c>
      <c r="P1802">
        <v>477.61</v>
      </c>
      <c r="Q1802" s="12" t="str" cm="1">
        <f t="array" ref="Q1802:R1802">VLOOKUP(E1802,store[],{3,5},FALSE)</f>
        <v>West</v>
      </c>
      <c r="R1802" t="str">
        <v>Online</v>
      </c>
      <c r="S1802" s="4">
        <f t="shared" si="28"/>
        <v>857.04</v>
      </c>
    </row>
    <row r="1803" spans="1:19">
      <c r="A1803" t="s">
        <v>2612</v>
      </c>
      <c r="B1803" s="3">
        <v>45741</v>
      </c>
      <c r="C1803" t="s">
        <v>825</v>
      </c>
      <c r="D1803" t="s">
        <v>377</v>
      </c>
      <c r="E1803" t="s">
        <v>117</v>
      </c>
      <c r="F1803">
        <v>3</v>
      </c>
      <c r="G1803" t="s">
        <v>33</v>
      </c>
      <c r="H1803">
        <v>64</v>
      </c>
      <c r="I1803" s="12" t="s">
        <v>34</v>
      </c>
      <c r="J1803" s="12" t="s">
        <v>256</v>
      </c>
      <c r="K1803" s="12" t="s">
        <v>73</v>
      </c>
      <c r="L1803" s="12" t="s">
        <v>379</v>
      </c>
      <c r="M1803" s="12" t="s">
        <v>28</v>
      </c>
      <c r="N1803" s="14">
        <v>0.23</v>
      </c>
      <c r="O1803" s="23">
        <v>123.74</v>
      </c>
      <c r="P1803">
        <v>144.53</v>
      </c>
      <c r="Q1803" s="12" t="str" cm="1">
        <f t="array" ref="Q1803:R1803">VLOOKUP(E1803,store[],{3,5},FALSE)</f>
        <v>West</v>
      </c>
      <c r="R1803" t="str">
        <v>Flagship</v>
      </c>
      <c r="S1803" s="4">
        <f t="shared" si="28"/>
        <v>370.53</v>
      </c>
    </row>
    <row r="1804" spans="1:19">
      <c r="A1804" t="s">
        <v>2613</v>
      </c>
      <c r="B1804" s="3">
        <v>45427</v>
      </c>
      <c r="C1804" t="s">
        <v>758</v>
      </c>
      <c r="D1804" t="s">
        <v>178</v>
      </c>
      <c r="E1804" t="s">
        <v>272</v>
      </c>
      <c r="F1804">
        <v>4</v>
      </c>
      <c r="G1804" t="s">
        <v>33</v>
      </c>
      <c r="H1804">
        <v>32</v>
      </c>
      <c r="I1804" s="12" t="s">
        <v>34</v>
      </c>
      <c r="J1804" s="12" t="s">
        <v>111</v>
      </c>
      <c r="K1804" s="12" t="s">
        <v>60</v>
      </c>
      <c r="L1804" s="12" t="s">
        <v>180</v>
      </c>
      <c r="M1804" s="12" t="s">
        <v>37</v>
      </c>
      <c r="N1804" s="14">
        <v>0.1</v>
      </c>
      <c r="O1804" s="23">
        <v>645.71</v>
      </c>
      <c r="P1804">
        <v>349.17</v>
      </c>
      <c r="Q1804" s="12" t="str" cm="1">
        <f t="array" ref="Q1804:R1804">VLOOKUP(E1804,store[],{3,5},FALSE)</f>
        <v>South</v>
      </c>
      <c r="R1804" t="str">
        <v>Online</v>
      </c>
      <c r="S1804" s="4">
        <f t="shared" si="28"/>
        <v>2582.44</v>
      </c>
    </row>
    <row r="1805" spans="1:19">
      <c r="A1805" t="s">
        <v>2614</v>
      </c>
      <c r="B1805" s="3">
        <v>45736</v>
      </c>
      <c r="C1805" t="s">
        <v>620</v>
      </c>
      <c r="D1805" t="s">
        <v>279</v>
      </c>
      <c r="E1805" t="s">
        <v>208</v>
      </c>
      <c r="F1805">
        <v>3</v>
      </c>
      <c r="G1805" t="s">
        <v>23</v>
      </c>
      <c r="H1805">
        <v>25</v>
      </c>
      <c r="I1805" s="12" t="s">
        <v>24</v>
      </c>
      <c r="J1805" s="12" t="s">
        <v>169</v>
      </c>
      <c r="K1805" s="12" t="s">
        <v>52</v>
      </c>
      <c r="L1805" s="12" t="s">
        <v>280</v>
      </c>
      <c r="M1805" s="12" t="s">
        <v>75</v>
      </c>
      <c r="N1805" s="14">
        <v>0.3</v>
      </c>
      <c r="O1805" s="23">
        <v>587.12</v>
      </c>
      <c r="P1805">
        <v>123.46</v>
      </c>
      <c r="Q1805" s="12" t="str" cm="1">
        <f t="array" ref="Q1805:R1805">VLOOKUP(E1805,store[],{3,5},FALSE)</f>
        <v>North</v>
      </c>
      <c r="R1805" t="str">
        <v>Online</v>
      </c>
      <c r="S1805" s="4">
        <f t="shared" si="28"/>
        <v>1760.46</v>
      </c>
    </row>
    <row r="1806" spans="1:19">
      <c r="A1806" t="s">
        <v>2615</v>
      </c>
      <c r="B1806" s="3">
        <v>45941</v>
      </c>
      <c r="C1806" t="s">
        <v>926</v>
      </c>
      <c r="D1806" t="s">
        <v>425</v>
      </c>
      <c r="E1806" t="s">
        <v>160</v>
      </c>
      <c r="F1806">
        <v>1</v>
      </c>
      <c r="G1806" t="s">
        <v>50</v>
      </c>
      <c r="H1806">
        <v>31</v>
      </c>
      <c r="I1806" s="12" t="s">
        <v>24</v>
      </c>
      <c r="J1806" s="12" t="s">
        <v>498</v>
      </c>
      <c r="K1806" s="12" t="s">
        <v>52</v>
      </c>
      <c r="L1806" s="12" t="s">
        <v>426</v>
      </c>
      <c r="M1806" s="12" t="s">
        <v>130</v>
      </c>
      <c r="N1806" s="14">
        <v>0.15</v>
      </c>
      <c r="O1806" s="23">
        <v>401.18</v>
      </c>
      <c r="P1806">
        <v>174.02</v>
      </c>
      <c r="Q1806" s="12" t="str" cm="1">
        <f t="array" ref="Q1806:R1806">VLOOKUP(E1806,store[],{3,5},FALSE)</f>
        <v>East</v>
      </c>
      <c r="R1806" t="str">
        <v>Flagship</v>
      </c>
      <c r="S1806" s="4">
        <f t="shared" si="28"/>
        <v>401.03</v>
      </c>
    </row>
    <row r="1807" spans="1:19">
      <c r="A1807" t="s">
        <v>2616</v>
      </c>
      <c r="B1807" s="3">
        <v>45486</v>
      </c>
      <c r="C1807" t="s">
        <v>1089</v>
      </c>
      <c r="D1807" t="s">
        <v>714</v>
      </c>
      <c r="E1807" t="s">
        <v>160</v>
      </c>
      <c r="F1807">
        <v>3</v>
      </c>
      <c r="G1807" t="s">
        <v>50</v>
      </c>
      <c r="H1807">
        <v>40</v>
      </c>
      <c r="I1807" s="12" t="s">
        <v>34</v>
      </c>
      <c r="J1807" s="12" t="s">
        <v>59</v>
      </c>
      <c r="K1807" s="12" t="s">
        <v>52</v>
      </c>
      <c r="L1807" s="12" t="s">
        <v>715</v>
      </c>
      <c r="M1807" s="12" t="s">
        <v>130</v>
      </c>
      <c r="N1807" s="14">
        <v>0.12</v>
      </c>
      <c r="O1807" s="23">
        <v>658.33</v>
      </c>
      <c r="P1807">
        <v>113.83</v>
      </c>
      <c r="Q1807" s="12" t="str" cm="1">
        <f t="array" ref="Q1807:R1807">VLOOKUP(E1807,store[],{3,5},FALSE)</f>
        <v>East</v>
      </c>
      <c r="R1807" t="str">
        <v>Flagship</v>
      </c>
      <c r="S1807" s="4">
        <f t="shared" si="28"/>
        <v>1974.63</v>
      </c>
    </row>
    <row r="1808" spans="1:19">
      <c r="A1808" t="s">
        <v>2617</v>
      </c>
      <c r="B1808" s="3">
        <v>45474</v>
      </c>
      <c r="C1808" t="s">
        <v>513</v>
      </c>
      <c r="D1808" t="s">
        <v>42</v>
      </c>
      <c r="E1808" t="s">
        <v>272</v>
      </c>
      <c r="F1808">
        <v>4</v>
      </c>
      <c r="G1808" t="s">
        <v>23</v>
      </c>
      <c r="H1808">
        <v>25</v>
      </c>
      <c r="I1808" s="12" t="s">
        <v>34</v>
      </c>
      <c r="J1808" s="12" t="s">
        <v>209</v>
      </c>
      <c r="K1808" s="12" t="s">
        <v>73</v>
      </c>
      <c r="L1808" s="12" t="s">
        <v>45</v>
      </c>
      <c r="M1808" s="12" t="s">
        <v>46</v>
      </c>
      <c r="N1808" s="14">
        <v>0.02</v>
      </c>
      <c r="O1808" s="23">
        <v>450.3</v>
      </c>
      <c r="P1808">
        <v>43.29</v>
      </c>
      <c r="Q1808" s="12" t="str" cm="1">
        <f t="array" ref="Q1808:R1808">VLOOKUP(E1808,store[],{3,5},FALSE)</f>
        <v>South</v>
      </c>
      <c r="R1808" t="str">
        <v>Online</v>
      </c>
      <c r="S1808" s="4">
        <f t="shared" si="28"/>
        <v>1801.12</v>
      </c>
    </row>
    <row r="1809" spans="1:19">
      <c r="A1809" t="s">
        <v>2618</v>
      </c>
      <c r="B1809" s="3">
        <v>45757</v>
      </c>
      <c r="C1809" t="s">
        <v>1024</v>
      </c>
      <c r="D1809" t="s">
        <v>242</v>
      </c>
      <c r="E1809" t="s">
        <v>168</v>
      </c>
      <c r="F1809">
        <v>4</v>
      </c>
      <c r="G1809" t="s">
        <v>23</v>
      </c>
      <c r="H1809">
        <v>46</v>
      </c>
      <c r="I1809" s="12" t="s">
        <v>24</v>
      </c>
      <c r="J1809" s="12" t="s">
        <v>260</v>
      </c>
      <c r="K1809" s="12" t="s">
        <v>52</v>
      </c>
      <c r="L1809" s="12" t="s">
        <v>243</v>
      </c>
      <c r="M1809" s="12" t="s">
        <v>46</v>
      </c>
      <c r="N1809" s="14">
        <v>0.05</v>
      </c>
      <c r="O1809" s="23">
        <v>33.630000000000003</v>
      </c>
      <c r="P1809">
        <v>358.47</v>
      </c>
      <c r="Q1809" s="12" t="str" cm="1">
        <f t="array" ref="Q1809:R1809">VLOOKUP(E1809,store[],{3,5},FALSE)</f>
        <v>East</v>
      </c>
      <c r="R1809" t="str">
        <v>Online</v>
      </c>
      <c r="S1809" s="4">
        <f t="shared" si="28"/>
        <v>134.32</v>
      </c>
    </row>
    <row r="1810" spans="1:19">
      <c r="A1810" t="s">
        <v>2619</v>
      </c>
      <c r="B1810" s="3">
        <v>45475</v>
      </c>
      <c r="C1810" t="s">
        <v>351</v>
      </c>
      <c r="D1810" t="s">
        <v>226</v>
      </c>
      <c r="E1810" t="s">
        <v>90</v>
      </c>
      <c r="F1810">
        <v>3</v>
      </c>
      <c r="G1810" t="s">
        <v>50</v>
      </c>
      <c r="H1810">
        <v>52</v>
      </c>
      <c r="I1810" s="12" t="s">
        <v>24</v>
      </c>
      <c r="J1810" s="12" t="s">
        <v>188</v>
      </c>
      <c r="K1810" s="12" t="s">
        <v>60</v>
      </c>
      <c r="L1810" s="12" t="s">
        <v>228</v>
      </c>
      <c r="M1810" s="12" t="s">
        <v>46</v>
      </c>
      <c r="N1810" s="14">
        <v>0.03</v>
      </c>
      <c r="O1810" s="23">
        <v>168.89</v>
      </c>
      <c r="P1810">
        <v>337.42</v>
      </c>
      <c r="Q1810" s="12" t="str" cm="1">
        <f t="array" ref="Q1810:R1810">VLOOKUP(E1810,store[],{3,5},FALSE)</f>
        <v>East</v>
      </c>
      <c r="R1810" t="str">
        <v>Flagship</v>
      </c>
      <c r="S1810" s="4">
        <f t="shared" si="28"/>
        <v>506.58</v>
      </c>
    </row>
    <row r="1811" spans="1:19">
      <c r="A1811" t="s">
        <v>2620</v>
      </c>
      <c r="B1811" s="3">
        <v>45546</v>
      </c>
      <c r="C1811" t="s">
        <v>294</v>
      </c>
      <c r="D1811" t="s">
        <v>148</v>
      </c>
      <c r="E1811" t="s">
        <v>272</v>
      </c>
      <c r="F1811">
        <v>1</v>
      </c>
      <c r="G1811" t="s">
        <v>33</v>
      </c>
      <c r="H1811">
        <v>62</v>
      </c>
      <c r="I1811" s="12" t="s">
        <v>34</v>
      </c>
      <c r="J1811" s="12" t="s">
        <v>161</v>
      </c>
      <c r="K1811" s="12" t="s">
        <v>52</v>
      </c>
      <c r="L1811" s="12" t="s">
        <v>150</v>
      </c>
      <c r="M1811" s="12" t="s">
        <v>46</v>
      </c>
      <c r="N1811" s="14">
        <v>0.06</v>
      </c>
      <c r="O1811" s="23">
        <v>141.85</v>
      </c>
      <c r="P1811">
        <v>482.75</v>
      </c>
      <c r="Q1811" s="12" t="str" cm="1">
        <f t="array" ref="Q1811:R1811">VLOOKUP(E1811,store[],{3,5},FALSE)</f>
        <v>South</v>
      </c>
      <c r="R1811" t="str">
        <v>Online</v>
      </c>
      <c r="S1811" s="4">
        <f t="shared" si="28"/>
        <v>141.79</v>
      </c>
    </row>
    <row r="1812" spans="1:19">
      <c r="A1812" t="s">
        <v>2621</v>
      </c>
      <c r="B1812" s="3">
        <v>45520</v>
      </c>
      <c r="C1812" t="s">
        <v>1536</v>
      </c>
      <c r="D1812" t="s">
        <v>487</v>
      </c>
      <c r="E1812" t="s">
        <v>66</v>
      </c>
      <c r="F1812">
        <v>1</v>
      </c>
      <c r="G1812" t="s">
        <v>23</v>
      </c>
      <c r="H1812">
        <v>44</v>
      </c>
      <c r="I1812" s="12" t="s">
        <v>24</v>
      </c>
      <c r="J1812" s="12" t="s">
        <v>51</v>
      </c>
      <c r="K1812" s="12" t="s">
        <v>52</v>
      </c>
      <c r="L1812" s="12" t="s">
        <v>488</v>
      </c>
      <c r="M1812" s="12" t="s">
        <v>75</v>
      </c>
      <c r="N1812" s="14">
        <v>0.21</v>
      </c>
      <c r="O1812" s="23">
        <v>617.4</v>
      </c>
      <c r="P1812">
        <v>382.22</v>
      </c>
      <c r="Q1812" s="12" t="str" cm="1">
        <f t="array" ref="Q1812:R1812">VLOOKUP(E1812,store[],{3,5},FALSE)</f>
        <v>South</v>
      </c>
      <c r="R1812" t="str">
        <v>Online</v>
      </c>
      <c r="S1812" s="4">
        <f t="shared" si="28"/>
        <v>617.19000000000005</v>
      </c>
    </row>
    <row r="1813" spans="1:19">
      <c r="A1813" t="s">
        <v>2622</v>
      </c>
      <c r="B1813" s="3">
        <v>45534</v>
      </c>
      <c r="C1813" t="s">
        <v>1256</v>
      </c>
      <c r="D1813" t="s">
        <v>207</v>
      </c>
      <c r="E1813" t="s">
        <v>105</v>
      </c>
      <c r="F1813">
        <v>3</v>
      </c>
      <c r="G1813" t="s">
        <v>50</v>
      </c>
      <c r="H1813">
        <v>49</v>
      </c>
      <c r="I1813" s="12" t="s">
        <v>34</v>
      </c>
      <c r="J1813" s="12" t="s">
        <v>444</v>
      </c>
      <c r="K1813" s="12" t="s">
        <v>52</v>
      </c>
      <c r="L1813" s="12" t="s">
        <v>210</v>
      </c>
      <c r="M1813" s="12" t="s">
        <v>130</v>
      </c>
      <c r="N1813" s="14">
        <v>0.15</v>
      </c>
      <c r="O1813" s="23">
        <v>841.47</v>
      </c>
      <c r="P1813">
        <v>386.56</v>
      </c>
      <c r="Q1813" s="12" t="str" cm="1">
        <f t="array" ref="Q1813:R1813">VLOOKUP(E1813,store[],{3,5},FALSE)</f>
        <v>North</v>
      </c>
      <c r="R1813" t="str">
        <v>Flagship</v>
      </c>
      <c r="S1813" s="4">
        <f t="shared" si="28"/>
        <v>2523.96</v>
      </c>
    </row>
    <row r="1814" spans="1:19">
      <c r="A1814" t="s">
        <v>2623</v>
      </c>
      <c r="B1814" s="3">
        <v>45334</v>
      </c>
      <c r="C1814" t="s">
        <v>1306</v>
      </c>
      <c r="D1814" t="s">
        <v>279</v>
      </c>
      <c r="E1814" t="s">
        <v>149</v>
      </c>
      <c r="F1814">
        <v>2</v>
      </c>
      <c r="G1814" t="s">
        <v>23</v>
      </c>
      <c r="H1814">
        <v>53</v>
      </c>
      <c r="I1814" s="12" t="s">
        <v>24</v>
      </c>
      <c r="J1814" s="12" t="s">
        <v>111</v>
      </c>
      <c r="K1814" s="12" t="s">
        <v>52</v>
      </c>
      <c r="L1814" s="12" t="s">
        <v>280</v>
      </c>
      <c r="M1814" s="12" t="s">
        <v>75</v>
      </c>
      <c r="N1814" s="14">
        <v>0.18</v>
      </c>
      <c r="O1814" s="23">
        <v>960.41</v>
      </c>
      <c r="P1814">
        <v>123.46</v>
      </c>
      <c r="Q1814" s="12" t="str" cm="1">
        <f t="array" ref="Q1814:R1814">VLOOKUP(E1814,store[],{3,5},FALSE)</f>
        <v>East</v>
      </c>
      <c r="R1814" t="str">
        <v>Flagship</v>
      </c>
      <c r="S1814" s="4">
        <f t="shared" si="28"/>
        <v>1920.46</v>
      </c>
    </row>
    <row r="1815" spans="1:19">
      <c r="A1815" t="s">
        <v>2624</v>
      </c>
      <c r="B1815" s="3">
        <v>45289</v>
      </c>
      <c r="C1815" t="s">
        <v>851</v>
      </c>
      <c r="D1815" t="s">
        <v>213</v>
      </c>
      <c r="E1815" t="s">
        <v>160</v>
      </c>
      <c r="F1815">
        <v>3</v>
      </c>
      <c r="G1815" t="s">
        <v>33</v>
      </c>
      <c r="H1815">
        <v>46</v>
      </c>
      <c r="I1815" s="12" t="s">
        <v>24</v>
      </c>
      <c r="J1815" s="12" t="s">
        <v>222</v>
      </c>
      <c r="K1815" s="12" t="s">
        <v>26</v>
      </c>
      <c r="L1815" s="12" t="s">
        <v>215</v>
      </c>
      <c r="M1815" s="12" t="s">
        <v>130</v>
      </c>
      <c r="N1815" s="14">
        <v>0.24</v>
      </c>
      <c r="O1815" s="23">
        <v>717.22</v>
      </c>
      <c r="P1815">
        <v>158.13999999999999</v>
      </c>
      <c r="Q1815" s="12" t="str" cm="1">
        <f t="array" ref="Q1815:R1815">VLOOKUP(E1815,store[],{3,5},FALSE)</f>
        <v>East</v>
      </c>
      <c r="R1815" t="str">
        <v>Flagship</v>
      </c>
      <c r="S1815" s="4">
        <f t="shared" si="28"/>
        <v>2150.94</v>
      </c>
    </row>
    <row r="1816" spans="1:19">
      <c r="A1816" t="s">
        <v>2625</v>
      </c>
      <c r="B1816" s="3">
        <v>45832</v>
      </c>
      <c r="C1816" t="s">
        <v>363</v>
      </c>
      <c r="D1816" t="s">
        <v>173</v>
      </c>
      <c r="E1816" t="s">
        <v>90</v>
      </c>
      <c r="F1816">
        <v>1</v>
      </c>
      <c r="G1816" t="s">
        <v>50</v>
      </c>
      <c r="H1816">
        <v>53</v>
      </c>
      <c r="I1816" s="12" t="s">
        <v>34</v>
      </c>
      <c r="J1816" s="12" t="s">
        <v>188</v>
      </c>
      <c r="K1816" s="12" t="s">
        <v>52</v>
      </c>
      <c r="L1816" s="12" t="s">
        <v>174</v>
      </c>
      <c r="M1816" s="12" t="s">
        <v>46</v>
      </c>
      <c r="N1816" s="14">
        <v>0.16</v>
      </c>
      <c r="O1816" s="23">
        <v>281.83</v>
      </c>
      <c r="P1816">
        <v>115.82</v>
      </c>
      <c r="Q1816" s="12" t="str" cm="1">
        <f t="array" ref="Q1816:R1816">VLOOKUP(E1816,store[],{3,5},FALSE)</f>
        <v>East</v>
      </c>
      <c r="R1816" t="str">
        <v>Flagship</v>
      </c>
      <c r="S1816" s="4">
        <f t="shared" si="28"/>
        <v>281.67</v>
      </c>
    </row>
    <row r="1817" spans="1:19">
      <c r="A1817" t="s">
        <v>2626</v>
      </c>
      <c r="B1817" s="3">
        <v>45400</v>
      </c>
      <c r="C1817" t="s">
        <v>1193</v>
      </c>
      <c r="D1817" t="s">
        <v>57</v>
      </c>
      <c r="E1817" t="s">
        <v>98</v>
      </c>
      <c r="F1817">
        <v>1</v>
      </c>
      <c r="G1817" t="s">
        <v>33</v>
      </c>
      <c r="H1817">
        <v>52</v>
      </c>
      <c r="I1817" s="12" t="s">
        <v>24</v>
      </c>
      <c r="J1817" s="12" t="s">
        <v>498</v>
      </c>
      <c r="K1817" s="12" t="s">
        <v>52</v>
      </c>
      <c r="L1817" s="12" t="s">
        <v>61</v>
      </c>
      <c r="M1817" s="12" t="s">
        <v>46</v>
      </c>
      <c r="N1817" s="14">
        <v>0.04</v>
      </c>
      <c r="O1817" s="23">
        <v>509.08</v>
      </c>
      <c r="P1817">
        <v>17.309999999999999</v>
      </c>
      <c r="Q1817" s="12" t="str" cm="1">
        <f t="array" ref="Q1817:R1817">VLOOKUP(E1817,store[],{3,5},FALSE)</f>
        <v>South</v>
      </c>
      <c r="R1817" t="str">
        <v>Outlet</v>
      </c>
      <c r="S1817" s="4">
        <f t="shared" si="28"/>
        <v>509.04</v>
      </c>
    </row>
    <row r="1818" spans="1:19">
      <c r="A1818" t="s">
        <v>2627</v>
      </c>
      <c r="B1818" s="3">
        <v>45930</v>
      </c>
      <c r="C1818" t="s">
        <v>1982</v>
      </c>
      <c r="D1818" t="s">
        <v>1259</v>
      </c>
      <c r="E1818" t="s">
        <v>198</v>
      </c>
      <c r="F1818">
        <v>4</v>
      </c>
      <c r="G1818" t="s">
        <v>23</v>
      </c>
      <c r="H1818">
        <v>57</v>
      </c>
      <c r="I1818" s="12" t="s">
        <v>34</v>
      </c>
      <c r="J1818" s="12" t="s">
        <v>169</v>
      </c>
      <c r="K1818" s="12" t="s">
        <v>52</v>
      </c>
      <c r="L1818" s="12" t="s">
        <v>1260</v>
      </c>
      <c r="M1818" s="12" t="s">
        <v>130</v>
      </c>
      <c r="N1818" s="14">
        <v>0.3</v>
      </c>
      <c r="O1818" s="23">
        <v>827.09</v>
      </c>
      <c r="P1818">
        <v>358.47</v>
      </c>
      <c r="Q1818" s="12" t="str" cm="1">
        <f t="array" ref="Q1818:R1818">VLOOKUP(E1818,store[],{3,5},FALSE)</f>
        <v>South</v>
      </c>
      <c r="R1818" t="str">
        <v>Outlet</v>
      </c>
      <c r="S1818" s="4">
        <f t="shared" si="28"/>
        <v>3307.16</v>
      </c>
    </row>
    <row r="1819" spans="1:19">
      <c r="A1819" t="s">
        <v>2628</v>
      </c>
      <c r="B1819" s="3">
        <v>45935</v>
      </c>
      <c r="C1819" t="s">
        <v>934</v>
      </c>
      <c r="D1819" t="s">
        <v>255</v>
      </c>
      <c r="E1819" t="s">
        <v>72</v>
      </c>
      <c r="F1819">
        <v>2</v>
      </c>
      <c r="G1819" t="s">
        <v>23</v>
      </c>
      <c r="H1819">
        <v>48</v>
      </c>
      <c r="I1819" s="12" t="s">
        <v>24</v>
      </c>
      <c r="J1819" s="12" t="s">
        <v>360</v>
      </c>
      <c r="K1819" s="12" t="s">
        <v>60</v>
      </c>
      <c r="L1819" s="12" t="s">
        <v>257</v>
      </c>
      <c r="M1819" s="12" t="s">
        <v>75</v>
      </c>
      <c r="N1819" s="14">
        <v>0.23</v>
      </c>
      <c r="O1819" s="23">
        <v>823.36</v>
      </c>
      <c r="P1819">
        <v>218.48</v>
      </c>
      <c r="Q1819" s="12" t="str" cm="1">
        <f t="array" ref="Q1819:R1819">VLOOKUP(E1819,store[],{3,5},FALSE)</f>
        <v>South</v>
      </c>
      <c r="R1819" t="str">
        <v>Online</v>
      </c>
      <c r="S1819" s="4">
        <f t="shared" si="28"/>
        <v>1646.26</v>
      </c>
    </row>
    <row r="1820" spans="1:19">
      <c r="A1820" t="s">
        <v>2629</v>
      </c>
      <c r="B1820" s="3">
        <v>45814</v>
      </c>
      <c r="C1820" t="s">
        <v>2630</v>
      </c>
      <c r="D1820" t="s">
        <v>246</v>
      </c>
      <c r="E1820" t="s">
        <v>58</v>
      </c>
      <c r="F1820">
        <v>4</v>
      </c>
      <c r="G1820" t="s">
        <v>50</v>
      </c>
      <c r="H1820">
        <v>55</v>
      </c>
      <c r="I1820" s="12" t="s">
        <v>34</v>
      </c>
      <c r="J1820" s="12" t="s">
        <v>308</v>
      </c>
      <c r="K1820" s="12" t="s">
        <v>52</v>
      </c>
      <c r="L1820" s="12" t="s">
        <v>247</v>
      </c>
      <c r="M1820" s="12" t="s">
        <v>37</v>
      </c>
      <c r="N1820" s="14">
        <v>0.13</v>
      </c>
      <c r="O1820" s="23">
        <v>282.18</v>
      </c>
      <c r="P1820">
        <v>322.41000000000003</v>
      </c>
      <c r="Q1820" s="12" t="str" cm="1">
        <f t="array" ref="Q1820:R1820">VLOOKUP(E1820,store[],{3,5},FALSE)</f>
        <v>North</v>
      </c>
      <c r="R1820" t="str">
        <v>Outlet</v>
      </c>
      <c r="S1820" s="4">
        <f t="shared" si="28"/>
        <v>1128.2</v>
      </c>
    </row>
    <row r="1821" spans="1:19">
      <c r="A1821" t="s">
        <v>2631</v>
      </c>
      <c r="B1821" s="3">
        <v>45323</v>
      </c>
      <c r="C1821" t="s">
        <v>1463</v>
      </c>
      <c r="D1821" t="s">
        <v>279</v>
      </c>
      <c r="E1821" t="s">
        <v>105</v>
      </c>
      <c r="F1821">
        <v>1</v>
      </c>
      <c r="G1821" t="s">
        <v>50</v>
      </c>
      <c r="H1821">
        <v>41</v>
      </c>
      <c r="I1821" s="12" t="s">
        <v>34</v>
      </c>
      <c r="J1821" s="12" t="s">
        <v>356</v>
      </c>
      <c r="K1821" s="12" t="s">
        <v>73</v>
      </c>
      <c r="L1821" s="12" t="s">
        <v>280</v>
      </c>
      <c r="M1821" s="12" t="s">
        <v>75</v>
      </c>
      <c r="N1821" s="14">
        <v>0.09</v>
      </c>
      <c r="O1821" s="23">
        <v>486.39</v>
      </c>
      <c r="P1821">
        <v>123.46</v>
      </c>
      <c r="Q1821" s="12" t="str" cm="1">
        <f t="array" ref="Q1821:R1821">VLOOKUP(E1821,store[],{3,5},FALSE)</f>
        <v>North</v>
      </c>
      <c r="R1821" t="str">
        <v>Flagship</v>
      </c>
      <c r="S1821" s="4">
        <f t="shared" si="28"/>
        <v>486.3</v>
      </c>
    </row>
    <row r="1822" spans="1:19">
      <c r="A1822" t="s">
        <v>2632</v>
      </c>
      <c r="B1822" s="3">
        <v>45312</v>
      </c>
      <c r="C1822" t="s">
        <v>754</v>
      </c>
      <c r="D1822" t="s">
        <v>928</v>
      </c>
      <c r="E1822" t="s">
        <v>22</v>
      </c>
      <c r="F1822">
        <v>2</v>
      </c>
      <c r="G1822" t="s">
        <v>50</v>
      </c>
      <c r="H1822">
        <v>34</v>
      </c>
      <c r="I1822" s="12" t="s">
        <v>24</v>
      </c>
      <c r="J1822" s="12" t="s">
        <v>218</v>
      </c>
      <c r="K1822" s="12" t="s">
        <v>73</v>
      </c>
      <c r="L1822" s="12" t="s">
        <v>929</v>
      </c>
      <c r="M1822" s="12" t="s">
        <v>130</v>
      </c>
      <c r="N1822" s="14">
        <v>0.18</v>
      </c>
      <c r="O1822" s="23">
        <v>603.62</v>
      </c>
      <c r="P1822">
        <v>245.77831168831199</v>
      </c>
      <c r="Q1822" s="12" t="str" cm="1">
        <f t="array" ref="Q1822:R1822">VLOOKUP(E1822,store[],{3,5},FALSE)</f>
        <v>North</v>
      </c>
      <c r="R1822" t="str">
        <v>Outlet</v>
      </c>
      <c r="S1822" s="4">
        <f t="shared" si="28"/>
        <v>1206.8800000000001</v>
      </c>
    </row>
    <row r="1823" spans="1:19">
      <c r="A1823" t="s">
        <v>2633</v>
      </c>
      <c r="B1823" s="3">
        <v>45554</v>
      </c>
      <c r="C1823" t="s">
        <v>1256</v>
      </c>
      <c r="D1823" t="s">
        <v>786</v>
      </c>
      <c r="E1823" t="s">
        <v>43</v>
      </c>
      <c r="F1823">
        <v>3</v>
      </c>
      <c r="G1823" t="s">
        <v>33</v>
      </c>
      <c r="H1823">
        <v>49</v>
      </c>
      <c r="I1823" s="12" t="s">
        <v>34</v>
      </c>
      <c r="J1823" s="12" t="s">
        <v>444</v>
      </c>
      <c r="K1823" s="12" t="s">
        <v>52</v>
      </c>
      <c r="L1823" s="12" t="s">
        <v>787</v>
      </c>
      <c r="M1823" s="12" t="s">
        <v>130</v>
      </c>
      <c r="N1823" s="14">
        <v>0.1</v>
      </c>
      <c r="O1823" s="23">
        <v>204.17</v>
      </c>
      <c r="P1823">
        <v>353.47</v>
      </c>
      <c r="Q1823" s="12" t="str" cm="1">
        <f t="array" ref="Q1823:R1823">VLOOKUP(E1823,store[],{3,5},FALSE)</f>
        <v>West</v>
      </c>
      <c r="R1823" t="str">
        <v>Online</v>
      </c>
      <c r="S1823" s="4">
        <f t="shared" si="28"/>
        <v>612.21</v>
      </c>
    </row>
    <row r="1824" spans="1:19">
      <c r="A1824" t="s">
        <v>2634</v>
      </c>
      <c r="B1824" s="3">
        <v>45310</v>
      </c>
      <c r="C1824" t="s">
        <v>2630</v>
      </c>
      <c r="D1824" t="s">
        <v>484</v>
      </c>
      <c r="E1824" t="s">
        <v>122</v>
      </c>
      <c r="F1824">
        <v>1</v>
      </c>
      <c r="G1824" t="s">
        <v>50</v>
      </c>
      <c r="H1824">
        <v>55</v>
      </c>
      <c r="I1824" s="12" t="s">
        <v>34</v>
      </c>
      <c r="J1824" s="12" t="s">
        <v>308</v>
      </c>
      <c r="K1824" s="12" t="s">
        <v>52</v>
      </c>
      <c r="L1824" s="12" t="s">
        <v>485</v>
      </c>
      <c r="M1824" s="12" t="s">
        <v>37</v>
      </c>
      <c r="N1824" s="14">
        <v>0.01</v>
      </c>
      <c r="O1824" s="23">
        <v>43.58</v>
      </c>
      <c r="P1824">
        <v>439.07</v>
      </c>
      <c r="Q1824" s="12" t="str" cm="1">
        <f t="array" ref="Q1824:R1824">VLOOKUP(E1824,store[],{3,5},FALSE)</f>
        <v>North</v>
      </c>
      <c r="R1824" t="str">
        <v>Flagship</v>
      </c>
      <c r="S1824" s="4">
        <f t="shared" si="28"/>
        <v>43.57</v>
      </c>
    </row>
    <row r="1825" spans="1:19">
      <c r="A1825" t="s">
        <v>2635</v>
      </c>
      <c r="B1825" s="3">
        <v>45594</v>
      </c>
      <c r="C1825" t="s">
        <v>873</v>
      </c>
      <c r="D1825" t="s">
        <v>302</v>
      </c>
      <c r="E1825" t="s">
        <v>198</v>
      </c>
      <c r="F1825">
        <v>3</v>
      </c>
      <c r="G1825" t="s">
        <v>33</v>
      </c>
      <c r="H1825">
        <v>34</v>
      </c>
      <c r="I1825" s="12" t="s">
        <v>34</v>
      </c>
      <c r="J1825" s="12" t="s">
        <v>218</v>
      </c>
      <c r="K1825" s="12" t="s">
        <v>73</v>
      </c>
      <c r="L1825" s="12" t="s">
        <v>303</v>
      </c>
      <c r="M1825" s="12" t="s">
        <v>46</v>
      </c>
      <c r="N1825" s="14">
        <v>0.14000000000000001</v>
      </c>
      <c r="O1825" s="23">
        <v>469.33</v>
      </c>
      <c r="P1825">
        <v>255.04901960784301</v>
      </c>
      <c r="Q1825" s="12" t="str" cm="1">
        <f t="array" ref="Q1825:R1825">VLOOKUP(E1825,store[],{3,5},FALSE)</f>
        <v>South</v>
      </c>
      <c r="R1825" t="str">
        <v>Outlet</v>
      </c>
      <c r="S1825" s="4">
        <f t="shared" si="28"/>
        <v>1407.57</v>
      </c>
    </row>
    <row r="1826" spans="1:19">
      <c r="A1826" t="s">
        <v>2636</v>
      </c>
      <c r="B1826" s="3">
        <v>45840</v>
      </c>
      <c r="C1826" t="s">
        <v>771</v>
      </c>
      <c r="D1826" t="s">
        <v>484</v>
      </c>
      <c r="E1826" t="s">
        <v>43</v>
      </c>
      <c r="F1826">
        <v>4</v>
      </c>
      <c r="G1826" t="s">
        <v>23</v>
      </c>
      <c r="H1826">
        <v>50</v>
      </c>
      <c r="I1826" s="12" t="s">
        <v>34</v>
      </c>
      <c r="J1826" s="12" t="s">
        <v>193</v>
      </c>
      <c r="K1826" s="12" t="s">
        <v>52</v>
      </c>
      <c r="L1826" s="12" t="s">
        <v>485</v>
      </c>
      <c r="M1826" s="12" t="s">
        <v>37</v>
      </c>
      <c r="N1826" s="14">
        <v>0.12</v>
      </c>
      <c r="O1826" s="23">
        <v>836.23</v>
      </c>
      <c r="P1826">
        <v>439.07</v>
      </c>
      <c r="Q1826" s="12" t="str" cm="1">
        <f t="array" ref="Q1826:R1826">VLOOKUP(E1826,store[],{3,5},FALSE)</f>
        <v>West</v>
      </c>
      <c r="R1826" t="str">
        <v>Online</v>
      </c>
      <c r="S1826" s="4">
        <f t="shared" si="28"/>
        <v>3344.44</v>
      </c>
    </row>
    <row r="1827" spans="1:19">
      <c r="A1827" t="s">
        <v>2637</v>
      </c>
      <c r="B1827" s="3">
        <v>45549</v>
      </c>
      <c r="C1827" t="s">
        <v>523</v>
      </c>
      <c r="D1827" t="s">
        <v>178</v>
      </c>
      <c r="E1827" t="s">
        <v>135</v>
      </c>
      <c r="F1827">
        <v>2</v>
      </c>
      <c r="G1827" t="s">
        <v>33</v>
      </c>
      <c r="H1827">
        <v>33</v>
      </c>
      <c r="I1827" s="12" t="s">
        <v>34</v>
      </c>
      <c r="J1827" s="12" t="s">
        <v>457</v>
      </c>
      <c r="K1827" s="12" t="s">
        <v>73</v>
      </c>
      <c r="L1827" s="12" t="s">
        <v>180</v>
      </c>
      <c r="M1827" s="12" t="s">
        <v>37</v>
      </c>
      <c r="N1827" s="14">
        <v>0.2</v>
      </c>
      <c r="O1827" s="23">
        <v>661.53</v>
      </c>
      <c r="P1827">
        <v>349.17</v>
      </c>
      <c r="Q1827" s="12" t="str" cm="1">
        <f t="array" ref="Q1827:R1827">VLOOKUP(E1827,store[],{3,5},FALSE)</f>
        <v>East</v>
      </c>
      <c r="R1827" t="str">
        <v>Online</v>
      </c>
      <c r="S1827" s="4">
        <f t="shared" si="28"/>
        <v>1322.66</v>
      </c>
    </row>
    <row r="1828" spans="1:19">
      <c r="A1828" t="s">
        <v>2638</v>
      </c>
      <c r="B1828" s="3">
        <v>45903</v>
      </c>
      <c r="C1828" t="s">
        <v>782</v>
      </c>
      <c r="D1828" t="s">
        <v>71</v>
      </c>
      <c r="E1828" t="s">
        <v>117</v>
      </c>
      <c r="F1828">
        <v>3</v>
      </c>
      <c r="G1828" t="s">
        <v>33</v>
      </c>
      <c r="H1828">
        <v>36</v>
      </c>
      <c r="I1828" s="12" t="s">
        <v>24</v>
      </c>
      <c r="J1828" s="12" t="s">
        <v>761</v>
      </c>
      <c r="K1828" s="12" t="s">
        <v>52</v>
      </c>
      <c r="L1828" s="12" t="s">
        <v>74</v>
      </c>
      <c r="M1828" s="12" t="s">
        <v>75</v>
      </c>
      <c r="N1828" s="14">
        <v>0.25</v>
      </c>
      <c r="O1828" s="23">
        <v>753.47</v>
      </c>
      <c r="P1828">
        <v>461.47</v>
      </c>
      <c r="Q1828" s="12" t="str" cm="1">
        <f t="array" ref="Q1828:R1828">VLOOKUP(E1828,store[],{3,5},FALSE)</f>
        <v>West</v>
      </c>
      <c r="R1828" t="str">
        <v>Flagship</v>
      </c>
      <c r="S1828" s="4">
        <f t="shared" si="28"/>
        <v>2259.66</v>
      </c>
    </row>
    <row r="1829" spans="1:19">
      <c r="A1829" t="s">
        <v>2639</v>
      </c>
      <c r="B1829" s="3">
        <v>45673</v>
      </c>
      <c r="C1829" t="s">
        <v>1120</v>
      </c>
      <c r="D1829" t="s">
        <v>779</v>
      </c>
      <c r="E1829" t="s">
        <v>90</v>
      </c>
      <c r="F1829">
        <v>3</v>
      </c>
      <c r="G1829" t="s">
        <v>23</v>
      </c>
      <c r="H1829">
        <v>46</v>
      </c>
      <c r="I1829" s="12" t="s">
        <v>24</v>
      </c>
      <c r="J1829" s="12" t="s">
        <v>188</v>
      </c>
      <c r="K1829" s="12" t="s">
        <v>73</v>
      </c>
      <c r="L1829" s="12" t="s">
        <v>780</v>
      </c>
      <c r="M1829" s="12" t="s">
        <v>46</v>
      </c>
      <c r="N1829" s="14">
        <v>0</v>
      </c>
      <c r="O1829" s="23">
        <v>713.95</v>
      </c>
      <c r="P1829">
        <v>299.11</v>
      </c>
      <c r="Q1829" s="12" t="str" cm="1">
        <f t="array" ref="Q1829:R1829">VLOOKUP(E1829,store[],{3,5},FALSE)</f>
        <v>East</v>
      </c>
      <c r="R1829" t="str">
        <v>Flagship</v>
      </c>
      <c r="S1829" s="4">
        <f t="shared" si="28"/>
        <v>2141.85</v>
      </c>
    </row>
    <row r="1830" spans="1:19">
      <c r="A1830" t="s">
        <v>2640</v>
      </c>
      <c r="B1830" s="3">
        <v>45395</v>
      </c>
      <c r="C1830" t="s">
        <v>694</v>
      </c>
      <c r="D1830" t="s">
        <v>555</v>
      </c>
      <c r="E1830" t="s">
        <v>58</v>
      </c>
      <c r="F1830">
        <v>3</v>
      </c>
      <c r="G1830" t="s">
        <v>50</v>
      </c>
      <c r="H1830">
        <v>35</v>
      </c>
      <c r="I1830" s="12" t="s">
        <v>24</v>
      </c>
      <c r="J1830" s="12" t="s">
        <v>51</v>
      </c>
      <c r="K1830" s="12" t="s">
        <v>60</v>
      </c>
      <c r="L1830" s="12" t="s">
        <v>556</v>
      </c>
      <c r="M1830" s="12" t="s">
        <v>37</v>
      </c>
      <c r="N1830" s="14">
        <v>0.28000000000000003</v>
      </c>
      <c r="O1830" s="23">
        <v>596</v>
      </c>
      <c r="P1830">
        <v>449.4</v>
      </c>
      <c r="Q1830" s="12" t="str" cm="1">
        <f t="array" ref="Q1830:R1830">VLOOKUP(E1830,store[],{3,5},FALSE)</f>
        <v>North</v>
      </c>
      <c r="R1830" t="str">
        <v>Outlet</v>
      </c>
      <c r="S1830" s="4">
        <f t="shared" si="28"/>
        <v>1787.16</v>
      </c>
    </row>
    <row r="1831" spans="1:19">
      <c r="A1831" t="s">
        <v>2641</v>
      </c>
      <c r="B1831" s="3">
        <v>45379</v>
      </c>
      <c r="C1831" t="s">
        <v>639</v>
      </c>
      <c r="D1831" t="s">
        <v>810</v>
      </c>
      <c r="E1831" t="s">
        <v>127</v>
      </c>
      <c r="F1831">
        <v>2</v>
      </c>
      <c r="G1831" t="s">
        <v>33</v>
      </c>
      <c r="H1831">
        <v>50</v>
      </c>
      <c r="I1831" s="12" t="s">
        <v>34</v>
      </c>
      <c r="J1831" s="12" t="s">
        <v>440</v>
      </c>
      <c r="K1831" s="12" t="s">
        <v>60</v>
      </c>
      <c r="L1831" s="12" t="s">
        <v>811</v>
      </c>
      <c r="M1831" s="12" t="s">
        <v>28</v>
      </c>
      <c r="N1831" s="14">
        <v>0.03</v>
      </c>
      <c r="O1831" s="23">
        <v>169.46</v>
      </c>
      <c r="P1831">
        <v>495.72</v>
      </c>
      <c r="Q1831" s="12" t="str" cm="1">
        <f t="array" ref="Q1831:R1831">VLOOKUP(E1831,store[],{3,5},FALSE)</f>
        <v>South</v>
      </c>
      <c r="R1831" t="str">
        <v>Flagship</v>
      </c>
      <c r="S1831" s="4">
        <f t="shared" si="28"/>
        <v>338.86</v>
      </c>
    </row>
    <row r="1832" spans="1:19">
      <c r="A1832" t="s">
        <v>2642</v>
      </c>
      <c r="B1832" s="3">
        <v>45860</v>
      </c>
      <c r="C1832" t="s">
        <v>1085</v>
      </c>
      <c r="D1832" t="s">
        <v>134</v>
      </c>
      <c r="E1832" t="s">
        <v>98</v>
      </c>
      <c r="F1832">
        <v>4</v>
      </c>
      <c r="G1832" t="s">
        <v>33</v>
      </c>
      <c r="H1832">
        <v>29</v>
      </c>
      <c r="I1832" s="12" t="s">
        <v>24</v>
      </c>
      <c r="J1832" s="12" t="s">
        <v>609</v>
      </c>
      <c r="K1832" s="12" t="s">
        <v>60</v>
      </c>
      <c r="L1832" s="12" t="s">
        <v>136</v>
      </c>
      <c r="M1832" s="12" t="s">
        <v>28</v>
      </c>
      <c r="N1832" s="14">
        <v>0.2</v>
      </c>
      <c r="O1832" s="23">
        <v>611.91999999999996</v>
      </c>
      <c r="P1832">
        <v>240.63</v>
      </c>
      <c r="Q1832" s="12" t="str" cm="1">
        <f t="array" ref="Q1832:R1832">VLOOKUP(E1832,store[],{3,5},FALSE)</f>
        <v>South</v>
      </c>
      <c r="R1832" t="str">
        <v>Outlet</v>
      </c>
      <c r="S1832" s="4">
        <f t="shared" si="28"/>
        <v>2446.88</v>
      </c>
    </row>
    <row r="1833" spans="1:19">
      <c r="A1833" t="s">
        <v>2643</v>
      </c>
      <c r="B1833" s="3">
        <v>45704</v>
      </c>
      <c r="C1833" t="s">
        <v>2059</v>
      </c>
      <c r="D1833" t="s">
        <v>31</v>
      </c>
      <c r="E1833" t="s">
        <v>122</v>
      </c>
      <c r="F1833">
        <v>2</v>
      </c>
      <c r="G1833" t="s">
        <v>23</v>
      </c>
      <c r="H1833">
        <v>59</v>
      </c>
      <c r="I1833" s="12" t="s">
        <v>34</v>
      </c>
      <c r="J1833" s="12" t="s">
        <v>308</v>
      </c>
      <c r="K1833" s="12" t="s">
        <v>73</v>
      </c>
      <c r="L1833" s="12" t="s">
        <v>36</v>
      </c>
      <c r="M1833" s="12" t="s">
        <v>37</v>
      </c>
      <c r="N1833" s="14">
        <v>0.21</v>
      </c>
      <c r="O1833" s="23">
        <v>25.3</v>
      </c>
      <c r="P1833">
        <v>403.71</v>
      </c>
      <c r="Q1833" s="12" t="str" cm="1">
        <f t="array" ref="Q1833:R1833">VLOOKUP(E1833,store[],{3,5},FALSE)</f>
        <v>North</v>
      </c>
      <c r="R1833" t="str">
        <v>Flagship</v>
      </c>
      <c r="S1833" s="4">
        <f t="shared" si="28"/>
        <v>50.18</v>
      </c>
    </row>
    <row r="1834" spans="1:19">
      <c r="A1834" t="s">
        <v>2644</v>
      </c>
      <c r="B1834" s="3">
        <v>45327</v>
      </c>
      <c r="C1834" t="s">
        <v>778</v>
      </c>
      <c r="D1834" t="s">
        <v>575</v>
      </c>
      <c r="E1834" t="s">
        <v>168</v>
      </c>
      <c r="F1834">
        <v>4</v>
      </c>
      <c r="G1834" t="s">
        <v>33</v>
      </c>
      <c r="H1834">
        <v>51</v>
      </c>
      <c r="I1834" s="12" t="s">
        <v>34</v>
      </c>
      <c r="J1834" s="12" t="s">
        <v>161</v>
      </c>
      <c r="K1834" s="12" t="s">
        <v>60</v>
      </c>
      <c r="L1834" s="12" t="s">
        <v>576</v>
      </c>
      <c r="M1834" s="12" t="s">
        <v>28</v>
      </c>
      <c r="N1834" s="14">
        <v>0.02</v>
      </c>
      <c r="O1834" s="23">
        <v>166.93</v>
      </c>
      <c r="P1834">
        <v>107.06</v>
      </c>
      <c r="Q1834" s="12" t="str" cm="1">
        <f t="array" ref="Q1834:R1834">VLOOKUP(E1834,store[],{3,5},FALSE)</f>
        <v>East</v>
      </c>
      <c r="R1834" t="str">
        <v>Online</v>
      </c>
      <c r="S1834" s="4">
        <f t="shared" si="28"/>
        <v>667.64</v>
      </c>
    </row>
    <row r="1835" spans="1:19">
      <c r="A1835" t="s">
        <v>2645</v>
      </c>
      <c r="B1835" s="3">
        <v>45721</v>
      </c>
      <c r="C1835" t="s">
        <v>1727</v>
      </c>
      <c r="D1835" t="s">
        <v>148</v>
      </c>
      <c r="E1835" t="s">
        <v>272</v>
      </c>
      <c r="F1835">
        <v>4</v>
      </c>
      <c r="G1835" t="s">
        <v>23</v>
      </c>
      <c r="H1835">
        <v>48</v>
      </c>
      <c r="I1835" s="12" t="s">
        <v>24</v>
      </c>
      <c r="J1835" s="12" t="s">
        <v>218</v>
      </c>
      <c r="K1835" s="12" t="s">
        <v>73</v>
      </c>
      <c r="L1835" s="12" t="s">
        <v>150</v>
      </c>
      <c r="M1835" s="12" t="s">
        <v>46</v>
      </c>
      <c r="N1835" s="14">
        <v>0.12</v>
      </c>
      <c r="O1835" s="23">
        <v>861.55</v>
      </c>
      <c r="P1835">
        <v>482.75</v>
      </c>
      <c r="Q1835" s="12" t="str" cm="1">
        <f t="array" ref="Q1835:R1835">VLOOKUP(E1835,store[],{3,5},FALSE)</f>
        <v>South</v>
      </c>
      <c r="R1835" t="str">
        <v>Online</v>
      </c>
      <c r="S1835" s="4">
        <f t="shared" si="28"/>
        <v>3445.72</v>
      </c>
    </row>
    <row r="1836" spans="1:19">
      <c r="A1836" t="s">
        <v>2646</v>
      </c>
      <c r="B1836" s="3">
        <v>45842</v>
      </c>
      <c r="C1836" t="s">
        <v>940</v>
      </c>
      <c r="D1836" t="s">
        <v>159</v>
      </c>
      <c r="E1836" t="s">
        <v>58</v>
      </c>
      <c r="F1836">
        <v>3</v>
      </c>
      <c r="G1836" t="s">
        <v>50</v>
      </c>
      <c r="H1836">
        <v>34</v>
      </c>
      <c r="I1836" s="12" t="s">
        <v>24</v>
      </c>
      <c r="J1836" s="12" t="s">
        <v>140</v>
      </c>
      <c r="K1836" s="12" t="s">
        <v>52</v>
      </c>
      <c r="L1836" s="12" t="s">
        <v>162</v>
      </c>
      <c r="M1836" s="12" t="s">
        <v>37</v>
      </c>
      <c r="N1836" s="14">
        <v>0.01</v>
      </c>
      <c r="O1836" s="23">
        <v>56.17</v>
      </c>
      <c r="P1836">
        <v>253.33</v>
      </c>
      <c r="Q1836" s="12" t="str" cm="1">
        <f t="array" ref="Q1836:R1836">VLOOKUP(E1836,store[],{3,5},FALSE)</f>
        <v>North</v>
      </c>
      <c r="R1836" t="str">
        <v>Outlet</v>
      </c>
      <c r="S1836" s="4">
        <f t="shared" si="28"/>
        <v>168.48</v>
      </c>
    </row>
    <row r="1837" spans="1:19">
      <c r="A1837" t="s">
        <v>2647</v>
      </c>
      <c r="B1837" s="3">
        <v>45862</v>
      </c>
      <c r="C1837" t="s">
        <v>687</v>
      </c>
      <c r="D1837" t="s">
        <v>65</v>
      </c>
      <c r="E1837" t="s">
        <v>135</v>
      </c>
      <c r="F1837">
        <v>1</v>
      </c>
      <c r="G1837" t="s">
        <v>23</v>
      </c>
      <c r="H1837">
        <v>32</v>
      </c>
      <c r="I1837" s="12" t="s">
        <v>34</v>
      </c>
      <c r="J1837" s="12" t="s">
        <v>239</v>
      </c>
      <c r="K1837" s="12" t="s">
        <v>73</v>
      </c>
      <c r="L1837" s="12" t="s">
        <v>68</v>
      </c>
      <c r="M1837" s="12" t="s">
        <v>37</v>
      </c>
      <c r="N1837" s="14">
        <v>0.2</v>
      </c>
      <c r="O1837" s="23">
        <v>582.29</v>
      </c>
      <c r="P1837">
        <v>465.34</v>
      </c>
      <c r="Q1837" s="12" t="str" cm="1">
        <f t="array" ref="Q1837:R1837">VLOOKUP(E1837,store[],{3,5},FALSE)</f>
        <v>East</v>
      </c>
      <c r="R1837" t="str">
        <v>Online</v>
      </c>
      <c r="S1837" s="4">
        <f t="shared" si="28"/>
        <v>582.09</v>
      </c>
    </row>
    <row r="1838" spans="1:19">
      <c r="A1838" t="s">
        <v>2648</v>
      </c>
      <c r="B1838" s="3">
        <v>45681</v>
      </c>
      <c r="C1838" t="s">
        <v>1165</v>
      </c>
      <c r="D1838" t="s">
        <v>359</v>
      </c>
      <c r="E1838" t="s">
        <v>90</v>
      </c>
      <c r="F1838">
        <v>3</v>
      </c>
      <c r="G1838" t="s">
        <v>23</v>
      </c>
      <c r="H1838">
        <v>27</v>
      </c>
      <c r="I1838" s="12" t="s">
        <v>34</v>
      </c>
      <c r="J1838" s="12" t="s">
        <v>609</v>
      </c>
      <c r="K1838" s="12" t="s">
        <v>60</v>
      </c>
      <c r="L1838" s="12" t="s">
        <v>361</v>
      </c>
      <c r="M1838" s="12" t="s">
        <v>46</v>
      </c>
      <c r="N1838" s="14">
        <v>0.02</v>
      </c>
      <c r="O1838" s="23">
        <v>63.96</v>
      </c>
      <c r="P1838">
        <v>289.359375</v>
      </c>
      <c r="Q1838" s="12" t="str" cm="1">
        <f t="array" ref="Q1838:R1838">VLOOKUP(E1838,store[],{3,5},FALSE)</f>
        <v>East</v>
      </c>
      <c r="R1838" t="str">
        <v>Flagship</v>
      </c>
      <c r="S1838" s="4">
        <f t="shared" si="28"/>
        <v>191.82</v>
      </c>
    </row>
    <row r="1839" spans="1:19">
      <c r="A1839" t="s">
        <v>2649</v>
      </c>
      <c r="B1839" s="3">
        <v>45392</v>
      </c>
      <c r="C1839" t="s">
        <v>96</v>
      </c>
      <c r="D1839" t="s">
        <v>810</v>
      </c>
      <c r="E1839" t="s">
        <v>208</v>
      </c>
      <c r="F1839">
        <v>1</v>
      </c>
      <c r="G1839" t="s">
        <v>50</v>
      </c>
      <c r="H1839">
        <v>21</v>
      </c>
      <c r="I1839" s="12" t="s">
        <v>34</v>
      </c>
      <c r="J1839" s="12" t="s">
        <v>99</v>
      </c>
      <c r="K1839" s="12" t="s">
        <v>60</v>
      </c>
      <c r="L1839" s="12" t="s">
        <v>811</v>
      </c>
      <c r="M1839" s="12" t="s">
        <v>28</v>
      </c>
      <c r="N1839" s="14">
        <v>0.26</v>
      </c>
      <c r="O1839" s="23">
        <v>829.83</v>
      </c>
      <c r="P1839">
        <v>495.72</v>
      </c>
      <c r="Q1839" s="12" t="str" cm="1">
        <f t="array" ref="Q1839:R1839">VLOOKUP(E1839,store[],{3,5},FALSE)</f>
        <v>North</v>
      </c>
      <c r="R1839" t="str">
        <v>Online</v>
      </c>
      <c r="S1839" s="4">
        <f t="shared" si="28"/>
        <v>829.57</v>
      </c>
    </row>
    <row r="1840" spans="1:19">
      <c r="A1840" t="s">
        <v>2650</v>
      </c>
      <c r="B1840" s="3">
        <v>45586</v>
      </c>
      <c r="C1840" t="s">
        <v>946</v>
      </c>
      <c r="D1840" t="s">
        <v>116</v>
      </c>
      <c r="E1840" t="s">
        <v>117</v>
      </c>
      <c r="F1840">
        <v>2</v>
      </c>
      <c r="G1840" t="s">
        <v>23</v>
      </c>
      <c r="H1840">
        <v>45</v>
      </c>
      <c r="I1840" s="12" t="s">
        <v>24</v>
      </c>
      <c r="J1840" s="12" t="s">
        <v>260</v>
      </c>
      <c r="K1840" s="12" t="s">
        <v>60</v>
      </c>
      <c r="L1840" s="12" t="s">
        <v>119</v>
      </c>
      <c r="M1840" s="12" t="s">
        <v>37</v>
      </c>
      <c r="N1840" s="14">
        <v>0.03</v>
      </c>
      <c r="O1840" s="23">
        <v>858.15</v>
      </c>
      <c r="P1840">
        <v>419.28</v>
      </c>
      <c r="Q1840" s="12" t="str" cm="1">
        <f t="array" ref="Q1840:R1840">VLOOKUP(E1840,store[],{3,5},FALSE)</f>
        <v>West</v>
      </c>
      <c r="R1840" t="str">
        <v>Flagship</v>
      </c>
      <c r="S1840" s="4">
        <f t="shared" si="28"/>
        <v>1716.24</v>
      </c>
    </row>
    <row r="1841" spans="1:19">
      <c r="A1841" t="s">
        <v>2651</v>
      </c>
      <c r="B1841" s="3">
        <v>45340</v>
      </c>
      <c r="C1841" t="s">
        <v>1908</v>
      </c>
      <c r="D1841" t="s">
        <v>575</v>
      </c>
      <c r="E1841" t="s">
        <v>149</v>
      </c>
      <c r="F1841">
        <v>3</v>
      </c>
      <c r="G1841" t="s">
        <v>50</v>
      </c>
      <c r="H1841">
        <v>32</v>
      </c>
      <c r="I1841" s="12" t="s">
        <v>24</v>
      </c>
      <c r="J1841" s="12" t="s">
        <v>333</v>
      </c>
      <c r="K1841" s="12" t="s">
        <v>60</v>
      </c>
      <c r="L1841" s="12" t="s">
        <v>576</v>
      </c>
      <c r="M1841" s="12" t="s">
        <v>28</v>
      </c>
      <c r="N1841" s="14">
        <v>0.23</v>
      </c>
      <c r="O1841" s="23">
        <v>717.32</v>
      </c>
      <c r="P1841">
        <v>107.06</v>
      </c>
      <c r="Q1841" s="12" t="str" cm="1">
        <f t="array" ref="Q1841:R1841">VLOOKUP(E1841,store[],{3,5},FALSE)</f>
        <v>East</v>
      </c>
      <c r="R1841" t="str">
        <v>Flagship</v>
      </c>
      <c r="S1841" s="4">
        <f t="shared" si="28"/>
        <v>2151.27</v>
      </c>
    </row>
    <row r="1842" spans="1:19">
      <c r="A1842" t="s">
        <v>2652</v>
      </c>
      <c r="B1842" s="3">
        <v>45853</v>
      </c>
      <c r="C1842" t="s">
        <v>624</v>
      </c>
      <c r="D1842" t="s">
        <v>359</v>
      </c>
      <c r="E1842" t="s">
        <v>208</v>
      </c>
      <c r="F1842">
        <v>1</v>
      </c>
      <c r="G1842" t="s">
        <v>33</v>
      </c>
      <c r="H1842">
        <v>27</v>
      </c>
      <c r="I1842" s="12" t="s">
        <v>34</v>
      </c>
      <c r="J1842" s="12" t="s">
        <v>378</v>
      </c>
      <c r="K1842" s="12" t="s">
        <v>73</v>
      </c>
      <c r="L1842" s="12" t="s">
        <v>361</v>
      </c>
      <c r="M1842" s="12" t="s">
        <v>46</v>
      </c>
      <c r="N1842" s="14">
        <v>0.22</v>
      </c>
      <c r="O1842" s="23">
        <v>163.19999999999999</v>
      </c>
      <c r="P1842">
        <v>289.359375</v>
      </c>
      <c r="Q1842" s="12" t="str" cm="1">
        <f t="array" ref="Q1842:R1842">VLOOKUP(E1842,store[],{3,5},FALSE)</f>
        <v>North</v>
      </c>
      <c r="R1842" t="str">
        <v>Online</v>
      </c>
      <c r="S1842" s="4">
        <f t="shared" si="28"/>
        <v>162.97999999999999</v>
      </c>
    </row>
    <row r="1843" spans="1:19">
      <c r="A1843" t="s">
        <v>2653</v>
      </c>
      <c r="B1843" s="3">
        <v>45489</v>
      </c>
      <c r="C1843" t="s">
        <v>320</v>
      </c>
      <c r="D1843" t="s">
        <v>630</v>
      </c>
      <c r="E1843" t="s">
        <v>208</v>
      </c>
      <c r="F1843">
        <v>2</v>
      </c>
      <c r="G1843" t="s">
        <v>23</v>
      </c>
      <c r="H1843">
        <v>62</v>
      </c>
      <c r="I1843" s="12" t="s">
        <v>34</v>
      </c>
      <c r="J1843" s="12" t="s">
        <v>251</v>
      </c>
      <c r="K1843" s="12" t="s">
        <v>26</v>
      </c>
      <c r="L1843" s="12" t="s">
        <v>631</v>
      </c>
      <c r="M1843" s="12" t="s">
        <v>28</v>
      </c>
      <c r="N1843" s="14">
        <v>0.11</v>
      </c>
      <c r="O1843" s="23">
        <v>966.71</v>
      </c>
      <c r="P1843">
        <v>285.54000000000002</v>
      </c>
      <c r="Q1843" s="12" t="str" cm="1">
        <f t="array" ref="Q1843:R1843">VLOOKUP(E1843,store[],{3,5},FALSE)</f>
        <v>North</v>
      </c>
      <c r="R1843" t="str">
        <v>Online</v>
      </c>
      <c r="S1843" s="4">
        <f t="shared" si="28"/>
        <v>1933.2</v>
      </c>
    </row>
    <row r="1844" spans="1:19">
      <c r="A1844" t="s">
        <v>2654</v>
      </c>
      <c r="B1844" s="3">
        <v>45761</v>
      </c>
      <c r="C1844" t="s">
        <v>121</v>
      </c>
      <c r="D1844" t="s">
        <v>487</v>
      </c>
      <c r="E1844" t="s">
        <v>149</v>
      </c>
      <c r="F1844">
        <v>2</v>
      </c>
      <c r="G1844" t="s">
        <v>50</v>
      </c>
      <c r="H1844">
        <v>55</v>
      </c>
      <c r="I1844" s="12" t="s">
        <v>24</v>
      </c>
      <c r="J1844" s="12" t="s">
        <v>44</v>
      </c>
      <c r="K1844" s="12" t="s">
        <v>60</v>
      </c>
      <c r="L1844" s="12" t="s">
        <v>488</v>
      </c>
      <c r="M1844" s="12" t="s">
        <v>75</v>
      </c>
      <c r="N1844" s="14">
        <v>0.14000000000000001</v>
      </c>
      <c r="O1844" s="23">
        <v>873.94</v>
      </c>
      <c r="P1844">
        <v>382.22</v>
      </c>
      <c r="Q1844" s="12" t="str" cm="1">
        <f t="array" ref="Q1844:R1844">VLOOKUP(E1844,store[],{3,5},FALSE)</f>
        <v>East</v>
      </c>
      <c r="R1844" t="str">
        <v>Flagship</v>
      </c>
      <c r="S1844" s="4">
        <f t="shared" si="28"/>
        <v>1747.6</v>
      </c>
    </row>
    <row r="1845" spans="1:19">
      <c r="A1845" t="s">
        <v>2655</v>
      </c>
      <c r="B1845" s="3">
        <v>45379</v>
      </c>
      <c r="C1845" t="s">
        <v>1228</v>
      </c>
      <c r="D1845" t="s">
        <v>768</v>
      </c>
      <c r="E1845" t="s">
        <v>22</v>
      </c>
      <c r="F1845">
        <v>1</v>
      </c>
      <c r="G1845" t="s">
        <v>23</v>
      </c>
      <c r="H1845">
        <v>33</v>
      </c>
      <c r="I1845" s="12" t="s">
        <v>24</v>
      </c>
      <c r="J1845" s="12" t="s">
        <v>235</v>
      </c>
      <c r="K1845" s="12" t="s">
        <v>52</v>
      </c>
      <c r="L1845" s="12" t="s">
        <v>769</v>
      </c>
      <c r="M1845" s="12" t="s">
        <v>37</v>
      </c>
      <c r="N1845" s="14">
        <v>0.27</v>
      </c>
      <c r="O1845" s="23">
        <v>140.24</v>
      </c>
      <c r="P1845">
        <v>112.42</v>
      </c>
      <c r="Q1845" s="12" t="str" cm="1">
        <f t="array" ref="Q1845:R1845">VLOOKUP(E1845,store[],{3,5},FALSE)</f>
        <v>North</v>
      </c>
      <c r="R1845" t="str">
        <v>Outlet</v>
      </c>
      <c r="S1845" s="4">
        <f t="shared" si="28"/>
        <v>139.97</v>
      </c>
    </row>
    <row r="1846" spans="1:19">
      <c r="A1846" t="s">
        <v>2656</v>
      </c>
      <c r="B1846" s="3">
        <v>45716</v>
      </c>
      <c r="C1846" t="s">
        <v>513</v>
      </c>
      <c r="D1846" t="s">
        <v>159</v>
      </c>
      <c r="E1846" t="s">
        <v>58</v>
      </c>
      <c r="F1846">
        <v>2</v>
      </c>
      <c r="G1846" t="s">
        <v>23</v>
      </c>
      <c r="H1846">
        <v>25</v>
      </c>
      <c r="I1846" s="12" t="s">
        <v>34</v>
      </c>
      <c r="J1846" s="12" t="s">
        <v>209</v>
      </c>
      <c r="K1846" s="12" t="s">
        <v>73</v>
      </c>
      <c r="L1846" s="12" t="s">
        <v>162</v>
      </c>
      <c r="M1846" s="12" t="s">
        <v>37</v>
      </c>
      <c r="N1846" s="14">
        <v>0.28000000000000003</v>
      </c>
      <c r="O1846" s="23">
        <v>549.91999999999996</v>
      </c>
      <c r="P1846">
        <v>253.33</v>
      </c>
      <c r="Q1846" s="12" t="str" cm="1">
        <f t="array" ref="Q1846:R1846">VLOOKUP(E1846,store[],{3,5},FALSE)</f>
        <v>North</v>
      </c>
      <c r="R1846" t="str">
        <v>Outlet</v>
      </c>
      <c r="S1846" s="4">
        <f t="shared" si="28"/>
        <v>1099.28</v>
      </c>
    </row>
    <row r="1847" spans="1:19">
      <c r="A1847" t="s">
        <v>2657</v>
      </c>
      <c r="B1847" s="3">
        <v>45364</v>
      </c>
      <c r="C1847" t="s">
        <v>2658</v>
      </c>
      <c r="D1847" t="s">
        <v>377</v>
      </c>
      <c r="E1847" t="s">
        <v>58</v>
      </c>
      <c r="F1847">
        <v>4</v>
      </c>
      <c r="G1847" t="s">
        <v>33</v>
      </c>
      <c r="H1847">
        <v>18</v>
      </c>
      <c r="I1847" s="12" t="s">
        <v>34</v>
      </c>
      <c r="J1847" s="12" t="s">
        <v>251</v>
      </c>
      <c r="K1847" s="12" t="s">
        <v>52</v>
      </c>
      <c r="L1847" s="12" t="s">
        <v>379</v>
      </c>
      <c r="M1847" s="12" t="s">
        <v>28</v>
      </c>
      <c r="N1847" s="14">
        <v>0.19</v>
      </c>
      <c r="O1847" s="23">
        <v>715.88</v>
      </c>
      <c r="P1847">
        <v>144.53</v>
      </c>
      <c r="Q1847" s="12" t="str" cm="1">
        <f t="array" ref="Q1847:R1847">VLOOKUP(E1847,store[],{3,5},FALSE)</f>
        <v>North</v>
      </c>
      <c r="R1847" t="str">
        <v>Outlet</v>
      </c>
      <c r="S1847" s="4">
        <f t="shared" si="28"/>
        <v>2862.76</v>
      </c>
    </row>
    <row r="1848" spans="1:19">
      <c r="A1848" t="s">
        <v>2659</v>
      </c>
      <c r="B1848" s="3">
        <v>45752</v>
      </c>
      <c r="C1848" t="s">
        <v>674</v>
      </c>
      <c r="D1848" t="s">
        <v>868</v>
      </c>
      <c r="E1848" t="s">
        <v>43</v>
      </c>
      <c r="F1848">
        <v>3</v>
      </c>
      <c r="G1848" t="s">
        <v>23</v>
      </c>
      <c r="H1848">
        <v>21</v>
      </c>
      <c r="I1848" s="12" t="s">
        <v>34</v>
      </c>
      <c r="J1848" s="12" t="s">
        <v>214</v>
      </c>
      <c r="K1848" s="12" t="s">
        <v>52</v>
      </c>
      <c r="L1848" s="12" t="s">
        <v>869</v>
      </c>
      <c r="M1848" s="12" t="s">
        <v>130</v>
      </c>
      <c r="N1848" s="14">
        <v>0.27</v>
      </c>
      <c r="O1848" s="23">
        <v>591.9</v>
      </c>
      <c r="P1848">
        <v>254.62086956521699</v>
      </c>
      <c r="Q1848" s="12" t="str" cm="1">
        <f t="array" ref="Q1848:R1848">VLOOKUP(E1848,store[],{3,5},FALSE)</f>
        <v>West</v>
      </c>
      <c r="R1848" t="str">
        <v>Online</v>
      </c>
      <c r="S1848" s="4">
        <f t="shared" si="28"/>
        <v>1774.89</v>
      </c>
    </row>
    <row r="1849" spans="1:19">
      <c r="A1849" t="s">
        <v>2660</v>
      </c>
      <c r="B1849" s="3">
        <v>45883</v>
      </c>
      <c r="C1849" t="s">
        <v>1873</v>
      </c>
      <c r="D1849" t="s">
        <v>443</v>
      </c>
      <c r="E1849" t="s">
        <v>168</v>
      </c>
      <c r="F1849">
        <v>2</v>
      </c>
      <c r="G1849" t="s">
        <v>33</v>
      </c>
      <c r="H1849">
        <v>26</v>
      </c>
      <c r="I1849" s="12" t="s">
        <v>24</v>
      </c>
      <c r="J1849" s="12" t="s">
        <v>510</v>
      </c>
      <c r="K1849" s="12" t="s">
        <v>52</v>
      </c>
      <c r="L1849" s="12" t="s">
        <v>445</v>
      </c>
      <c r="M1849" s="12" t="s">
        <v>28</v>
      </c>
      <c r="N1849" s="14">
        <v>0.13</v>
      </c>
      <c r="O1849" s="23">
        <v>523.14</v>
      </c>
      <c r="P1849">
        <v>484.62</v>
      </c>
      <c r="Q1849" s="12" t="str" cm="1">
        <f t="array" ref="Q1849:R1849">VLOOKUP(E1849,store[],{3,5},FALSE)</f>
        <v>East</v>
      </c>
      <c r="R1849" t="str">
        <v>Online</v>
      </c>
      <c r="S1849" s="4">
        <f t="shared" si="28"/>
        <v>1046.02</v>
      </c>
    </row>
    <row r="1850" spans="1:19">
      <c r="A1850" t="s">
        <v>2661</v>
      </c>
      <c r="B1850" s="3">
        <v>45477</v>
      </c>
      <c r="C1850" t="s">
        <v>2263</v>
      </c>
      <c r="D1850" t="s">
        <v>167</v>
      </c>
      <c r="E1850" t="s">
        <v>98</v>
      </c>
      <c r="F1850">
        <v>2</v>
      </c>
      <c r="G1850" t="s">
        <v>50</v>
      </c>
      <c r="H1850">
        <v>54</v>
      </c>
      <c r="I1850" s="12" t="s">
        <v>24</v>
      </c>
      <c r="J1850" s="12" t="s">
        <v>444</v>
      </c>
      <c r="K1850" s="12" t="s">
        <v>26</v>
      </c>
      <c r="L1850" s="12" t="s">
        <v>170</v>
      </c>
      <c r="M1850" s="12" t="s">
        <v>130</v>
      </c>
      <c r="N1850" s="14">
        <v>0.17</v>
      </c>
      <c r="O1850" s="23">
        <v>478.62</v>
      </c>
      <c r="P1850">
        <v>218.22</v>
      </c>
      <c r="Q1850" s="12" t="str" cm="1">
        <f t="array" ref="Q1850:R1850">VLOOKUP(E1850,store[],{3,5},FALSE)</f>
        <v>South</v>
      </c>
      <c r="R1850" t="str">
        <v>Outlet</v>
      </c>
      <c r="S1850" s="4">
        <f t="shared" si="28"/>
        <v>956.9</v>
      </c>
    </row>
    <row r="1851" spans="1:19">
      <c r="A1851" t="s">
        <v>2662</v>
      </c>
      <c r="B1851" s="3">
        <v>45556</v>
      </c>
      <c r="C1851" t="s">
        <v>2153</v>
      </c>
      <c r="D1851" t="s">
        <v>542</v>
      </c>
      <c r="E1851" t="s">
        <v>105</v>
      </c>
      <c r="F1851">
        <v>4</v>
      </c>
      <c r="G1851" t="s">
        <v>33</v>
      </c>
      <c r="H1851">
        <v>48</v>
      </c>
      <c r="I1851" s="12" t="s">
        <v>34</v>
      </c>
      <c r="J1851" s="12" t="s">
        <v>378</v>
      </c>
      <c r="K1851" s="12" t="s">
        <v>52</v>
      </c>
      <c r="L1851" s="12" t="s">
        <v>543</v>
      </c>
      <c r="M1851" s="12" t="s">
        <v>28</v>
      </c>
      <c r="N1851" s="14">
        <v>0.17</v>
      </c>
      <c r="O1851" s="23">
        <v>740.5</v>
      </c>
      <c r="P1851">
        <v>152.91999999999999</v>
      </c>
      <c r="Q1851" s="12" t="str" cm="1">
        <f t="array" ref="Q1851:R1851">VLOOKUP(E1851,store[],{3,5},FALSE)</f>
        <v>North</v>
      </c>
      <c r="R1851" t="str">
        <v>Flagship</v>
      </c>
      <c r="S1851" s="4">
        <f t="shared" si="28"/>
        <v>2961.32</v>
      </c>
    </row>
    <row r="1852" spans="1:19">
      <c r="A1852" t="s">
        <v>2663</v>
      </c>
      <c r="B1852" s="3">
        <v>45465</v>
      </c>
      <c r="C1852" t="s">
        <v>2075</v>
      </c>
      <c r="D1852" t="s">
        <v>381</v>
      </c>
      <c r="E1852" t="s">
        <v>198</v>
      </c>
      <c r="F1852">
        <v>1</v>
      </c>
      <c r="G1852" t="s">
        <v>50</v>
      </c>
      <c r="H1852">
        <v>27</v>
      </c>
      <c r="I1852" s="12" t="s">
        <v>34</v>
      </c>
      <c r="J1852" s="12" t="s">
        <v>209</v>
      </c>
      <c r="K1852" s="12" t="s">
        <v>60</v>
      </c>
      <c r="L1852" s="12" t="s">
        <v>382</v>
      </c>
      <c r="M1852" s="12" t="s">
        <v>130</v>
      </c>
      <c r="N1852" s="14">
        <v>0.04</v>
      </c>
      <c r="O1852" s="23">
        <v>780.24</v>
      </c>
      <c r="P1852">
        <v>167.34</v>
      </c>
      <c r="Q1852" s="12" t="str" cm="1">
        <f t="array" ref="Q1852:R1852">VLOOKUP(E1852,store[],{3,5},FALSE)</f>
        <v>South</v>
      </c>
      <c r="R1852" t="str">
        <v>Outlet</v>
      </c>
      <c r="S1852" s="4">
        <f t="shared" si="28"/>
        <v>780.2</v>
      </c>
    </row>
    <row r="1853" spans="1:19">
      <c r="A1853" t="s">
        <v>2664</v>
      </c>
      <c r="B1853" s="3">
        <v>45552</v>
      </c>
      <c r="C1853" t="s">
        <v>707</v>
      </c>
      <c r="D1853" t="s">
        <v>79</v>
      </c>
      <c r="E1853" t="s">
        <v>117</v>
      </c>
      <c r="F1853">
        <v>4</v>
      </c>
      <c r="G1853" t="s">
        <v>50</v>
      </c>
      <c r="H1853">
        <v>62</v>
      </c>
      <c r="I1853" s="12" t="s">
        <v>34</v>
      </c>
      <c r="J1853" s="12" t="s">
        <v>188</v>
      </c>
      <c r="K1853" s="12" t="s">
        <v>52</v>
      </c>
      <c r="L1853" s="12" t="s">
        <v>81</v>
      </c>
      <c r="M1853" s="12" t="s">
        <v>75</v>
      </c>
      <c r="N1853" s="14">
        <v>0.04</v>
      </c>
      <c r="O1853" s="23">
        <v>579.24</v>
      </c>
      <c r="P1853">
        <v>138.05000000000001</v>
      </c>
      <c r="Q1853" s="12" t="str" cm="1">
        <f t="array" ref="Q1853:R1853">VLOOKUP(E1853,store[],{3,5},FALSE)</f>
        <v>West</v>
      </c>
      <c r="R1853" t="str">
        <v>Flagship</v>
      </c>
      <c r="S1853" s="4">
        <f t="shared" si="28"/>
        <v>2316.8000000000002</v>
      </c>
    </row>
    <row r="1854" spans="1:19">
      <c r="A1854" t="s">
        <v>2665</v>
      </c>
      <c r="B1854" s="3">
        <v>45635</v>
      </c>
      <c r="C1854" t="s">
        <v>674</v>
      </c>
      <c r="D1854" t="s">
        <v>389</v>
      </c>
      <c r="E1854" t="s">
        <v>198</v>
      </c>
      <c r="F1854">
        <v>3</v>
      </c>
      <c r="G1854" t="s">
        <v>33</v>
      </c>
      <c r="H1854">
        <v>21</v>
      </c>
      <c r="I1854" s="12" t="s">
        <v>34</v>
      </c>
      <c r="J1854" s="12" t="s">
        <v>214</v>
      </c>
      <c r="K1854" s="12" t="s">
        <v>52</v>
      </c>
      <c r="L1854" s="12" t="s">
        <v>390</v>
      </c>
      <c r="M1854" s="12" t="s">
        <v>130</v>
      </c>
      <c r="N1854" s="14">
        <v>0.04</v>
      </c>
      <c r="O1854" s="23">
        <v>268.95</v>
      </c>
      <c r="P1854">
        <v>342.56</v>
      </c>
      <c r="Q1854" s="12" t="str" cm="1">
        <f t="array" ref="Q1854:R1854">VLOOKUP(E1854,store[],{3,5},FALSE)</f>
        <v>South</v>
      </c>
      <c r="R1854" t="str">
        <v>Outlet</v>
      </c>
      <c r="S1854" s="4">
        <f t="shared" si="28"/>
        <v>806.73</v>
      </c>
    </row>
    <row r="1855" spans="1:19">
      <c r="A1855" t="s">
        <v>2666</v>
      </c>
      <c r="B1855" s="3">
        <v>45740</v>
      </c>
      <c r="C1855" t="s">
        <v>1691</v>
      </c>
      <c r="D1855" t="s">
        <v>183</v>
      </c>
      <c r="E1855" t="s">
        <v>72</v>
      </c>
      <c r="F1855">
        <v>1</v>
      </c>
      <c r="G1855" t="s">
        <v>23</v>
      </c>
      <c r="H1855">
        <v>64</v>
      </c>
      <c r="I1855" s="12" t="s">
        <v>24</v>
      </c>
      <c r="J1855" s="12" t="s">
        <v>91</v>
      </c>
      <c r="K1855" s="12" t="s">
        <v>52</v>
      </c>
      <c r="L1855" s="12" t="s">
        <v>184</v>
      </c>
      <c r="M1855" s="12" t="s">
        <v>130</v>
      </c>
      <c r="N1855" s="14">
        <v>0.28000000000000003</v>
      </c>
      <c r="O1855" s="23">
        <v>47.47</v>
      </c>
      <c r="P1855">
        <v>261</v>
      </c>
      <c r="Q1855" s="12" t="str" cm="1">
        <f t="array" ref="Q1855:R1855">VLOOKUP(E1855,store[],{3,5},FALSE)</f>
        <v>South</v>
      </c>
      <c r="R1855" t="str">
        <v>Online</v>
      </c>
      <c r="S1855" s="4">
        <f t="shared" si="28"/>
        <v>47.19</v>
      </c>
    </row>
    <row r="1856" spans="1:19">
      <c r="A1856" t="s">
        <v>2667</v>
      </c>
      <c r="B1856" s="3">
        <v>45796</v>
      </c>
      <c r="C1856" t="s">
        <v>461</v>
      </c>
      <c r="D1856" t="s">
        <v>89</v>
      </c>
      <c r="E1856" t="s">
        <v>32</v>
      </c>
      <c r="F1856">
        <v>3</v>
      </c>
      <c r="G1856" t="s">
        <v>23</v>
      </c>
      <c r="H1856">
        <v>42</v>
      </c>
      <c r="I1856" s="12" t="s">
        <v>24</v>
      </c>
      <c r="J1856" s="12" t="s">
        <v>463</v>
      </c>
      <c r="K1856" s="12" t="s">
        <v>60</v>
      </c>
      <c r="L1856" s="12" t="s">
        <v>92</v>
      </c>
      <c r="M1856" s="12" t="s">
        <v>75</v>
      </c>
      <c r="N1856" s="14">
        <v>7.0000000000000007E-2</v>
      </c>
      <c r="O1856" s="23">
        <v>858.81</v>
      </c>
      <c r="P1856">
        <v>179.77</v>
      </c>
      <c r="Q1856" s="12" t="str" cm="1">
        <f t="array" ref="Q1856:R1856">VLOOKUP(E1856,store[],{3,5},FALSE)</f>
        <v>North</v>
      </c>
      <c r="R1856" t="str">
        <v>Flagship</v>
      </c>
      <c r="S1856" s="4">
        <f t="shared" si="28"/>
        <v>2576.2199999999998</v>
      </c>
    </row>
    <row r="1857" spans="1:19">
      <c r="A1857" t="s">
        <v>2668</v>
      </c>
      <c r="B1857" s="3">
        <v>45710</v>
      </c>
      <c r="C1857" t="s">
        <v>1806</v>
      </c>
      <c r="D1857" t="s">
        <v>314</v>
      </c>
      <c r="E1857" t="s">
        <v>168</v>
      </c>
      <c r="F1857">
        <v>3</v>
      </c>
      <c r="G1857" t="s">
        <v>23</v>
      </c>
      <c r="H1857">
        <v>20</v>
      </c>
      <c r="I1857" s="12" t="s">
        <v>24</v>
      </c>
      <c r="J1857" s="12" t="s">
        <v>35</v>
      </c>
      <c r="K1857" s="12" t="s">
        <v>60</v>
      </c>
      <c r="L1857" s="12" t="s">
        <v>315</v>
      </c>
      <c r="M1857" s="12" t="s">
        <v>28</v>
      </c>
      <c r="N1857" s="14">
        <v>0.05</v>
      </c>
      <c r="O1857" s="23">
        <v>569.98</v>
      </c>
      <c r="P1857">
        <v>21.34</v>
      </c>
      <c r="Q1857" s="12" t="str" cm="1">
        <f t="array" ref="Q1857:R1857">VLOOKUP(E1857,store[],{3,5},FALSE)</f>
        <v>East</v>
      </c>
      <c r="R1857" t="str">
        <v>Online</v>
      </c>
      <c r="S1857" s="4">
        <f t="shared" si="28"/>
        <v>1709.79</v>
      </c>
    </row>
    <row r="1858" spans="1:19">
      <c r="A1858" t="s">
        <v>2669</v>
      </c>
      <c r="B1858" s="3">
        <v>45596</v>
      </c>
      <c r="C1858" t="s">
        <v>388</v>
      </c>
      <c r="D1858" t="s">
        <v>31</v>
      </c>
      <c r="E1858" t="s">
        <v>208</v>
      </c>
      <c r="F1858">
        <v>3</v>
      </c>
      <c r="G1858" t="s">
        <v>50</v>
      </c>
      <c r="H1858">
        <v>62</v>
      </c>
      <c r="I1858" s="12" t="s">
        <v>34</v>
      </c>
      <c r="J1858" s="12" t="s">
        <v>161</v>
      </c>
      <c r="K1858" s="12" t="s">
        <v>73</v>
      </c>
      <c r="L1858" s="12" t="s">
        <v>36</v>
      </c>
      <c r="M1858" s="12" t="s">
        <v>37</v>
      </c>
      <c r="N1858" s="14">
        <v>0.01</v>
      </c>
      <c r="O1858" s="23">
        <v>306.52</v>
      </c>
      <c r="P1858">
        <v>403.71</v>
      </c>
      <c r="Q1858" s="12" t="str" cm="1">
        <f t="array" ref="Q1858:R1858">VLOOKUP(E1858,store[],{3,5},FALSE)</f>
        <v>North</v>
      </c>
      <c r="R1858" t="str">
        <v>Online</v>
      </c>
      <c r="S1858" s="4">
        <f t="shared" ref="S1858:S1921" si="29">(O1858-N1858)*F1858</f>
        <v>919.53</v>
      </c>
    </row>
    <row r="1859" spans="1:19">
      <c r="A1859" t="s">
        <v>2670</v>
      </c>
      <c r="B1859" s="3">
        <v>45354</v>
      </c>
      <c r="C1859" t="s">
        <v>2166</v>
      </c>
      <c r="D1859" t="s">
        <v>71</v>
      </c>
      <c r="E1859" t="s">
        <v>149</v>
      </c>
      <c r="F1859">
        <v>3</v>
      </c>
      <c r="G1859" t="s">
        <v>50</v>
      </c>
      <c r="H1859">
        <v>33</v>
      </c>
      <c r="I1859" s="12" t="s">
        <v>24</v>
      </c>
      <c r="J1859" s="12" t="s">
        <v>251</v>
      </c>
      <c r="K1859" s="12" t="s">
        <v>26</v>
      </c>
      <c r="L1859" s="12" t="s">
        <v>74</v>
      </c>
      <c r="M1859" s="12" t="s">
        <v>75</v>
      </c>
      <c r="N1859" s="14">
        <v>0.03</v>
      </c>
      <c r="O1859" s="23">
        <v>184.67</v>
      </c>
      <c r="P1859">
        <v>461.47</v>
      </c>
      <c r="Q1859" s="12" t="str" cm="1">
        <f t="array" ref="Q1859:R1859">VLOOKUP(E1859,store[],{3,5},FALSE)</f>
        <v>East</v>
      </c>
      <c r="R1859" t="str">
        <v>Flagship</v>
      </c>
      <c r="S1859" s="4">
        <f t="shared" si="29"/>
        <v>553.91999999999996</v>
      </c>
    </row>
    <row r="1860" spans="1:19">
      <c r="A1860" t="s">
        <v>2671</v>
      </c>
      <c r="B1860" s="3">
        <v>45428</v>
      </c>
      <c r="C1860" t="s">
        <v>1410</v>
      </c>
      <c r="D1860" t="s">
        <v>246</v>
      </c>
      <c r="E1860" t="s">
        <v>58</v>
      </c>
      <c r="F1860">
        <v>4</v>
      </c>
      <c r="G1860" t="s">
        <v>50</v>
      </c>
      <c r="H1860">
        <v>26</v>
      </c>
      <c r="I1860" s="12" t="s">
        <v>24</v>
      </c>
      <c r="J1860" s="12" t="s">
        <v>239</v>
      </c>
      <c r="K1860" s="12" t="s">
        <v>52</v>
      </c>
      <c r="L1860" s="12" t="s">
        <v>247</v>
      </c>
      <c r="M1860" s="12" t="s">
        <v>37</v>
      </c>
      <c r="N1860" s="14">
        <v>0</v>
      </c>
      <c r="O1860" s="23">
        <v>189.56</v>
      </c>
      <c r="P1860">
        <v>322.41000000000003</v>
      </c>
      <c r="Q1860" s="12" t="str" cm="1">
        <f t="array" ref="Q1860:R1860">VLOOKUP(E1860,store[],{3,5},FALSE)</f>
        <v>North</v>
      </c>
      <c r="R1860" t="str">
        <v>Outlet</v>
      </c>
      <c r="S1860" s="4">
        <f t="shared" si="29"/>
        <v>758.24</v>
      </c>
    </row>
    <row r="1861" spans="1:19">
      <c r="A1861" t="s">
        <v>2672</v>
      </c>
      <c r="B1861" s="3">
        <v>45511</v>
      </c>
      <c r="C1861" t="s">
        <v>968</v>
      </c>
      <c r="D1861" t="s">
        <v>213</v>
      </c>
      <c r="E1861" t="s">
        <v>58</v>
      </c>
      <c r="F1861">
        <v>1</v>
      </c>
      <c r="G1861" t="s">
        <v>33</v>
      </c>
      <c r="H1861">
        <v>54</v>
      </c>
      <c r="I1861" s="12" t="s">
        <v>24</v>
      </c>
      <c r="J1861" s="12" t="s">
        <v>378</v>
      </c>
      <c r="K1861" s="12" t="s">
        <v>52</v>
      </c>
      <c r="L1861" s="12" t="s">
        <v>215</v>
      </c>
      <c r="M1861" s="12" t="s">
        <v>130</v>
      </c>
      <c r="N1861" s="14">
        <v>0.04</v>
      </c>
      <c r="O1861" s="23">
        <v>805.24</v>
      </c>
      <c r="P1861">
        <v>158.13999999999999</v>
      </c>
      <c r="Q1861" s="12" t="str" cm="1">
        <f t="array" ref="Q1861:R1861">VLOOKUP(E1861,store[],{3,5},FALSE)</f>
        <v>North</v>
      </c>
      <c r="R1861" t="str">
        <v>Outlet</v>
      </c>
      <c r="S1861" s="4">
        <f t="shared" si="29"/>
        <v>805.2</v>
      </c>
    </row>
    <row r="1862" spans="1:19">
      <c r="A1862" t="s">
        <v>2673</v>
      </c>
      <c r="B1862" s="3">
        <v>45549</v>
      </c>
      <c r="C1862" t="s">
        <v>1220</v>
      </c>
      <c r="D1862" t="s">
        <v>420</v>
      </c>
      <c r="E1862" t="s">
        <v>32</v>
      </c>
      <c r="F1862">
        <v>3</v>
      </c>
      <c r="G1862" t="s">
        <v>23</v>
      </c>
      <c r="H1862">
        <v>42</v>
      </c>
      <c r="I1862" s="12" t="s">
        <v>24</v>
      </c>
      <c r="J1862" s="12" t="s">
        <v>222</v>
      </c>
      <c r="K1862" s="12" t="s">
        <v>60</v>
      </c>
      <c r="L1862" s="12" t="s">
        <v>421</v>
      </c>
      <c r="M1862" s="12" t="s">
        <v>28</v>
      </c>
      <c r="N1862" s="14">
        <v>0.24</v>
      </c>
      <c r="O1862" s="23">
        <v>683.74</v>
      </c>
      <c r="P1862">
        <v>434.84</v>
      </c>
      <c r="Q1862" s="12" t="str" cm="1">
        <f t="array" ref="Q1862:R1862">VLOOKUP(E1862,store[],{3,5},FALSE)</f>
        <v>North</v>
      </c>
      <c r="R1862" t="str">
        <v>Flagship</v>
      </c>
      <c r="S1862" s="4">
        <f t="shared" si="29"/>
        <v>2050.5</v>
      </c>
    </row>
    <row r="1863" spans="1:19">
      <c r="A1863" t="s">
        <v>2674</v>
      </c>
      <c r="B1863" s="3">
        <v>45573</v>
      </c>
      <c r="C1863" t="s">
        <v>934</v>
      </c>
      <c r="D1863" t="s">
        <v>71</v>
      </c>
      <c r="E1863" t="s">
        <v>160</v>
      </c>
      <c r="F1863">
        <v>3</v>
      </c>
      <c r="G1863" t="s">
        <v>50</v>
      </c>
      <c r="H1863">
        <v>48</v>
      </c>
      <c r="I1863" s="12" t="s">
        <v>24</v>
      </c>
      <c r="J1863" s="12" t="s">
        <v>360</v>
      </c>
      <c r="K1863" s="12" t="s">
        <v>60</v>
      </c>
      <c r="L1863" s="12" t="s">
        <v>74</v>
      </c>
      <c r="M1863" s="12" t="s">
        <v>75</v>
      </c>
      <c r="N1863" s="14">
        <v>0.28000000000000003</v>
      </c>
      <c r="O1863" s="23">
        <v>439.21</v>
      </c>
      <c r="P1863">
        <v>461.47</v>
      </c>
      <c r="Q1863" s="12" t="str" cm="1">
        <f t="array" ref="Q1863:R1863">VLOOKUP(E1863,store[],{3,5},FALSE)</f>
        <v>East</v>
      </c>
      <c r="R1863" t="str">
        <v>Flagship</v>
      </c>
      <c r="S1863" s="4">
        <f t="shared" si="29"/>
        <v>1316.79</v>
      </c>
    </row>
    <row r="1864" spans="1:19">
      <c r="A1864" t="s">
        <v>2675</v>
      </c>
      <c r="B1864" s="3">
        <v>45904</v>
      </c>
      <c r="C1864" t="s">
        <v>452</v>
      </c>
      <c r="D1864" t="s">
        <v>532</v>
      </c>
      <c r="E1864" t="s">
        <v>179</v>
      </c>
      <c r="F1864">
        <v>1</v>
      </c>
      <c r="G1864" t="s">
        <v>50</v>
      </c>
      <c r="H1864">
        <v>40</v>
      </c>
      <c r="I1864" s="12" t="s">
        <v>24</v>
      </c>
      <c r="J1864" s="12" t="s">
        <v>51</v>
      </c>
      <c r="K1864" s="12" t="s">
        <v>73</v>
      </c>
      <c r="L1864" s="12" t="s">
        <v>533</v>
      </c>
      <c r="M1864" s="12" t="s">
        <v>46</v>
      </c>
      <c r="N1864" s="14">
        <v>0.24</v>
      </c>
      <c r="O1864" s="23">
        <v>126.92</v>
      </c>
      <c r="P1864">
        <v>340.39</v>
      </c>
      <c r="Q1864" s="12" t="str" cm="1">
        <f t="array" ref="Q1864:R1864">VLOOKUP(E1864,store[],{3,5},FALSE)</f>
        <v>East</v>
      </c>
      <c r="R1864" t="str">
        <v>Online</v>
      </c>
      <c r="S1864" s="4">
        <f t="shared" si="29"/>
        <v>126.68</v>
      </c>
    </row>
    <row r="1865" spans="1:19">
      <c r="A1865" t="s">
        <v>2676</v>
      </c>
      <c r="B1865" s="3">
        <v>45489</v>
      </c>
      <c r="C1865" t="s">
        <v>1747</v>
      </c>
      <c r="D1865" t="s">
        <v>575</v>
      </c>
      <c r="E1865" t="s">
        <v>72</v>
      </c>
      <c r="F1865">
        <v>4</v>
      </c>
      <c r="G1865" t="s">
        <v>23</v>
      </c>
      <c r="H1865">
        <v>64</v>
      </c>
      <c r="I1865" s="12" t="s">
        <v>34</v>
      </c>
      <c r="J1865" s="12" t="s">
        <v>227</v>
      </c>
      <c r="K1865" s="12" t="s">
        <v>60</v>
      </c>
      <c r="L1865" s="12" t="s">
        <v>576</v>
      </c>
      <c r="M1865" s="12" t="s">
        <v>28</v>
      </c>
      <c r="N1865" s="14">
        <v>0.14000000000000001</v>
      </c>
      <c r="O1865" s="23">
        <v>834.7</v>
      </c>
      <c r="P1865">
        <v>107.06</v>
      </c>
      <c r="Q1865" s="12" t="str" cm="1">
        <f t="array" ref="Q1865:R1865">VLOOKUP(E1865,store[],{3,5},FALSE)</f>
        <v>South</v>
      </c>
      <c r="R1865" t="str">
        <v>Online</v>
      </c>
      <c r="S1865" s="4">
        <f t="shared" si="29"/>
        <v>3338.24</v>
      </c>
    </row>
    <row r="1866" spans="1:19">
      <c r="A1866" t="s">
        <v>2677</v>
      </c>
      <c r="B1866" s="3">
        <v>45909</v>
      </c>
      <c r="C1866" t="s">
        <v>1436</v>
      </c>
      <c r="D1866" t="s">
        <v>449</v>
      </c>
      <c r="E1866" t="s">
        <v>272</v>
      </c>
      <c r="F1866">
        <v>2</v>
      </c>
      <c r="G1866" t="s">
        <v>50</v>
      </c>
      <c r="H1866">
        <v>56</v>
      </c>
      <c r="I1866" s="12" t="s">
        <v>34</v>
      </c>
      <c r="J1866" s="12" t="s">
        <v>932</v>
      </c>
      <c r="K1866" s="12" t="s">
        <v>73</v>
      </c>
      <c r="L1866" s="12" t="s">
        <v>450</v>
      </c>
      <c r="M1866" s="12" t="s">
        <v>37</v>
      </c>
      <c r="N1866" s="14">
        <v>0.11</v>
      </c>
      <c r="O1866" s="23">
        <v>271.88</v>
      </c>
      <c r="P1866">
        <v>450.71</v>
      </c>
      <c r="Q1866" s="12" t="str" cm="1">
        <f t="array" ref="Q1866:R1866">VLOOKUP(E1866,store[],{3,5},FALSE)</f>
        <v>South</v>
      </c>
      <c r="R1866" t="str">
        <v>Online</v>
      </c>
      <c r="S1866" s="4">
        <f t="shared" si="29"/>
        <v>543.54</v>
      </c>
    </row>
    <row r="1867" spans="1:19">
      <c r="A1867" t="s">
        <v>2678</v>
      </c>
      <c r="B1867" s="3">
        <v>45720</v>
      </c>
      <c r="C1867" t="s">
        <v>1927</v>
      </c>
      <c r="D1867" t="s">
        <v>555</v>
      </c>
      <c r="E1867" t="s">
        <v>105</v>
      </c>
      <c r="F1867">
        <v>4</v>
      </c>
      <c r="G1867" t="s">
        <v>23</v>
      </c>
      <c r="H1867">
        <v>33</v>
      </c>
      <c r="I1867" s="12" t="s">
        <v>24</v>
      </c>
      <c r="J1867" s="12" t="s">
        <v>235</v>
      </c>
      <c r="K1867" s="12" t="s">
        <v>73</v>
      </c>
      <c r="L1867" s="12" t="s">
        <v>556</v>
      </c>
      <c r="M1867" s="12" t="s">
        <v>37</v>
      </c>
      <c r="N1867" s="14">
        <v>0.25</v>
      </c>
      <c r="O1867" s="23">
        <v>972.14</v>
      </c>
      <c r="P1867">
        <v>449.4</v>
      </c>
      <c r="Q1867" s="12" t="str" cm="1">
        <f t="array" ref="Q1867:R1867">VLOOKUP(E1867,store[],{3,5},FALSE)</f>
        <v>North</v>
      </c>
      <c r="R1867" t="str">
        <v>Flagship</v>
      </c>
      <c r="S1867" s="4">
        <f t="shared" si="29"/>
        <v>3887.56</v>
      </c>
    </row>
    <row r="1868" spans="1:19">
      <c r="A1868" t="s">
        <v>2679</v>
      </c>
      <c r="B1868" s="3">
        <v>45831</v>
      </c>
      <c r="C1868" t="s">
        <v>546</v>
      </c>
      <c r="D1868" t="s">
        <v>159</v>
      </c>
      <c r="E1868" t="s">
        <v>72</v>
      </c>
      <c r="F1868">
        <v>3</v>
      </c>
      <c r="G1868" t="s">
        <v>33</v>
      </c>
      <c r="H1868">
        <v>28</v>
      </c>
      <c r="I1868" s="12" t="s">
        <v>34</v>
      </c>
      <c r="J1868" s="12" t="s">
        <v>457</v>
      </c>
      <c r="K1868" s="12" t="s">
        <v>26</v>
      </c>
      <c r="L1868" s="12" t="s">
        <v>162</v>
      </c>
      <c r="M1868" s="12" t="s">
        <v>37</v>
      </c>
      <c r="N1868" s="14">
        <v>0.27</v>
      </c>
      <c r="O1868" s="23">
        <v>523.66</v>
      </c>
      <c r="P1868">
        <v>253.33</v>
      </c>
      <c r="Q1868" s="12" t="str" cm="1">
        <f t="array" ref="Q1868:R1868">VLOOKUP(E1868,store[],{3,5},FALSE)</f>
        <v>South</v>
      </c>
      <c r="R1868" t="str">
        <v>Online</v>
      </c>
      <c r="S1868" s="4">
        <f t="shared" si="29"/>
        <v>1570.17</v>
      </c>
    </row>
    <row r="1869" spans="1:19">
      <c r="A1869" t="s">
        <v>2680</v>
      </c>
      <c r="B1869" s="3">
        <v>45602</v>
      </c>
      <c r="C1869" t="s">
        <v>196</v>
      </c>
      <c r="D1869" t="s">
        <v>779</v>
      </c>
      <c r="E1869" t="s">
        <v>198</v>
      </c>
      <c r="F1869">
        <v>4</v>
      </c>
      <c r="G1869" t="s">
        <v>23</v>
      </c>
      <c r="H1869">
        <v>42</v>
      </c>
      <c r="I1869" s="12" t="s">
        <v>34</v>
      </c>
      <c r="J1869" s="12" t="s">
        <v>199</v>
      </c>
      <c r="K1869" s="12" t="s">
        <v>73</v>
      </c>
      <c r="L1869" s="12" t="s">
        <v>780</v>
      </c>
      <c r="M1869" s="12" t="s">
        <v>46</v>
      </c>
      <c r="N1869" s="14">
        <v>0.16</v>
      </c>
      <c r="O1869" s="23">
        <v>838.99</v>
      </c>
      <c r="P1869">
        <v>299.11</v>
      </c>
      <c r="Q1869" s="12" t="str" cm="1">
        <f t="array" ref="Q1869:R1869">VLOOKUP(E1869,store[],{3,5},FALSE)</f>
        <v>South</v>
      </c>
      <c r="R1869" t="str">
        <v>Outlet</v>
      </c>
      <c r="S1869" s="4">
        <f t="shared" si="29"/>
        <v>3355.32</v>
      </c>
    </row>
    <row r="1870" spans="1:19">
      <c r="A1870" t="s">
        <v>2681</v>
      </c>
      <c r="B1870" s="3">
        <v>45722</v>
      </c>
      <c r="C1870" t="s">
        <v>652</v>
      </c>
      <c r="D1870" t="s">
        <v>555</v>
      </c>
      <c r="E1870" t="s">
        <v>32</v>
      </c>
      <c r="F1870">
        <v>4</v>
      </c>
      <c r="G1870" t="s">
        <v>50</v>
      </c>
      <c r="H1870">
        <v>33</v>
      </c>
      <c r="I1870" s="12" t="s">
        <v>34</v>
      </c>
      <c r="J1870" s="12" t="s">
        <v>209</v>
      </c>
      <c r="K1870" s="12" t="s">
        <v>52</v>
      </c>
      <c r="L1870" s="12" t="s">
        <v>556</v>
      </c>
      <c r="M1870" s="12" t="s">
        <v>37</v>
      </c>
      <c r="N1870" s="14">
        <v>0.21</v>
      </c>
      <c r="O1870" s="23">
        <v>838.7</v>
      </c>
      <c r="P1870">
        <v>449.4</v>
      </c>
      <c r="Q1870" s="12" t="str" cm="1">
        <f t="array" ref="Q1870:R1870">VLOOKUP(E1870,store[],{3,5},FALSE)</f>
        <v>North</v>
      </c>
      <c r="R1870" t="str">
        <v>Flagship</v>
      </c>
      <c r="S1870" s="4">
        <f t="shared" si="29"/>
        <v>3353.96</v>
      </c>
    </row>
    <row r="1871" spans="1:19">
      <c r="A1871" t="s">
        <v>2682</v>
      </c>
      <c r="B1871" s="3">
        <v>45794</v>
      </c>
      <c r="C1871" t="s">
        <v>278</v>
      </c>
      <c r="D1871" t="s">
        <v>31</v>
      </c>
      <c r="E1871" t="s">
        <v>43</v>
      </c>
      <c r="F1871">
        <v>3</v>
      </c>
      <c r="G1871" t="s">
        <v>23</v>
      </c>
      <c r="H1871">
        <v>60</v>
      </c>
      <c r="I1871" s="12" t="s">
        <v>24</v>
      </c>
      <c r="J1871" s="12" t="s">
        <v>256</v>
      </c>
      <c r="K1871" s="12" t="s">
        <v>73</v>
      </c>
      <c r="L1871" s="12" t="s">
        <v>36</v>
      </c>
      <c r="M1871" s="12" t="s">
        <v>37</v>
      </c>
      <c r="N1871" s="14">
        <v>0.21</v>
      </c>
      <c r="O1871" s="23">
        <v>943.24</v>
      </c>
      <c r="P1871">
        <v>403.71</v>
      </c>
      <c r="Q1871" s="12" t="str" cm="1">
        <f t="array" ref="Q1871:R1871">VLOOKUP(E1871,store[],{3,5},FALSE)</f>
        <v>West</v>
      </c>
      <c r="R1871" t="str">
        <v>Online</v>
      </c>
      <c r="S1871" s="4">
        <f t="shared" si="29"/>
        <v>2829.09</v>
      </c>
    </row>
    <row r="1872" spans="1:19">
      <c r="A1872" t="s">
        <v>2683</v>
      </c>
      <c r="B1872" s="3">
        <v>45659</v>
      </c>
      <c r="C1872" t="s">
        <v>2153</v>
      </c>
      <c r="D1872" t="s">
        <v>768</v>
      </c>
      <c r="E1872" t="s">
        <v>32</v>
      </c>
      <c r="F1872">
        <v>2</v>
      </c>
      <c r="G1872" t="s">
        <v>23</v>
      </c>
      <c r="H1872">
        <v>48</v>
      </c>
      <c r="I1872" s="12" t="s">
        <v>34</v>
      </c>
      <c r="J1872" s="12" t="s">
        <v>378</v>
      </c>
      <c r="K1872" s="12" t="s">
        <v>52</v>
      </c>
      <c r="L1872" s="12" t="s">
        <v>769</v>
      </c>
      <c r="M1872" s="12" t="s">
        <v>37</v>
      </c>
      <c r="N1872" s="14">
        <v>0.26</v>
      </c>
      <c r="O1872" s="23">
        <v>310.33</v>
      </c>
      <c r="P1872">
        <v>112.42</v>
      </c>
      <c r="Q1872" s="12" t="str" cm="1">
        <f t="array" ref="Q1872:R1872">VLOOKUP(E1872,store[],{3,5},FALSE)</f>
        <v>North</v>
      </c>
      <c r="R1872" t="str">
        <v>Flagship</v>
      </c>
      <c r="S1872" s="4">
        <f t="shared" si="29"/>
        <v>620.14</v>
      </c>
    </row>
    <row r="1873" spans="1:19">
      <c r="A1873" t="s">
        <v>2684</v>
      </c>
      <c r="B1873" s="3">
        <v>45501</v>
      </c>
      <c r="C1873" t="s">
        <v>48</v>
      </c>
      <c r="D1873" t="s">
        <v>344</v>
      </c>
      <c r="E1873" t="s">
        <v>90</v>
      </c>
      <c r="F1873">
        <v>3</v>
      </c>
      <c r="G1873" t="s">
        <v>33</v>
      </c>
      <c r="H1873">
        <v>58</v>
      </c>
      <c r="I1873" s="12" t="s">
        <v>34</v>
      </c>
      <c r="J1873" s="12" t="s">
        <v>51</v>
      </c>
      <c r="K1873" s="12" t="s">
        <v>52</v>
      </c>
      <c r="L1873" s="12" t="s">
        <v>347</v>
      </c>
      <c r="M1873" s="12" t="s">
        <v>28</v>
      </c>
      <c r="N1873" s="14">
        <v>0.23</v>
      </c>
      <c r="O1873" s="23">
        <v>201.05</v>
      </c>
      <c r="P1873">
        <v>318.91000000000003</v>
      </c>
      <c r="Q1873" s="12" t="str" cm="1">
        <f t="array" ref="Q1873:R1873">VLOOKUP(E1873,store[],{3,5},FALSE)</f>
        <v>East</v>
      </c>
      <c r="R1873" t="str">
        <v>Flagship</v>
      </c>
      <c r="S1873" s="4">
        <f t="shared" si="29"/>
        <v>602.46</v>
      </c>
    </row>
    <row r="1874" spans="1:19">
      <c r="A1874" t="s">
        <v>2685</v>
      </c>
      <c r="B1874" s="3">
        <v>45408</v>
      </c>
      <c r="C1874" t="s">
        <v>2578</v>
      </c>
      <c r="D1874" t="s">
        <v>714</v>
      </c>
      <c r="E1874" t="s">
        <v>32</v>
      </c>
      <c r="F1874">
        <v>1</v>
      </c>
      <c r="G1874" t="s">
        <v>33</v>
      </c>
      <c r="H1874">
        <v>26</v>
      </c>
      <c r="I1874" s="12" t="s">
        <v>24</v>
      </c>
      <c r="J1874" s="12" t="s">
        <v>345</v>
      </c>
      <c r="K1874" s="12" t="s">
        <v>60</v>
      </c>
      <c r="L1874" s="12" t="s">
        <v>715</v>
      </c>
      <c r="M1874" s="12" t="s">
        <v>130</v>
      </c>
      <c r="N1874" s="14">
        <v>0.3</v>
      </c>
      <c r="O1874" s="23">
        <v>803.37</v>
      </c>
      <c r="P1874">
        <v>113.83</v>
      </c>
      <c r="Q1874" s="12" t="str" cm="1">
        <f t="array" ref="Q1874:R1874">VLOOKUP(E1874,store[],{3,5},FALSE)</f>
        <v>North</v>
      </c>
      <c r="R1874" t="str">
        <v>Flagship</v>
      </c>
      <c r="S1874" s="4">
        <f t="shared" si="29"/>
        <v>803.07</v>
      </c>
    </row>
    <row r="1875" spans="1:19">
      <c r="A1875" t="s">
        <v>2686</v>
      </c>
      <c r="B1875" s="3">
        <v>45886</v>
      </c>
      <c r="C1875" t="s">
        <v>1303</v>
      </c>
      <c r="D1875" t="s">
        <v>698</v>
      </c>
      <c r="E1875" t="s">
        <v>122</v>
      </c>
      <c r="F1875">
        <v>3</v>
      </c>
      <c r="G1875" t="s">
        <v>50</v>
      </c>
      <c r="H1875">
        <v>20</v>
      </c>
      <c r="I1875" s="12" t="s">
        <v>34</v>
      </c>
      <c r="J1875" s="12" t="s">
        <v>360</v>
      </c>
      <c r="K1875" s="12" t="s">
        <v>26</v>
      </c>
      <c r="L1875" s="12" t="s">
        <v>699</v>
      </c>
      <c r="M1875" s="12" t="s">
        <v>28</v>
      </c>
      <c r="N1875" s="14">
        <v>7.0000000000000007E-2</v>
      </c>
      <c r="O1875" s="23">
        <v>259.98</v>
      </c>
      <c r="P1875">
        <v>103.45</v>
      </c>
      <c r="Q1875" s="12" t="str" cm="1">
        <f t="array" ref="Q1875:R1875">VLOOKUP(E1875,store[],{3,5},FALSE)</f>
        <v>North</v>
      </c>
      <c r="R1875" t="str">
        <v>Flagship</v>
      </c>
      <c r="S1875" s="4">
        <f t="shared" si="29"/>
        <v>779.73</v>
      </c>
    </row>
    <row r="1876" spans="1:19">
      <c r="A1876" t="s">
        <v>2687</v>
      </c>
      <c r="B1876" s="3">
        <v>45426</v>
      </c>
      <c r="C1876" t="s">
        <v>1392</v>
      </c>
      <c r="D1876" t="s">
        <v>868</v>
      </c>
      <c r="E1876" t="s">
        <v>22</v>
      </c>
      <c r="F1876">
        <v>4</v>
      </c>
      <c r="G1876" t="s">
        <v>33</v>
      </c>
      <c r="H1876">
        <v>26</v>
      </c>
      <c r="I1876" s="12" t="s">
        <v>24</v>
      </c>
      <c r="J1876" s="12" t="s">
        <v>932</v>
      </c>
      <c r="K1876" s="12" t="s">
        <v>73</v>
      </c>
      <c r="L1876" s="12" t="s">
        <v>869</v>
      </c>
      <c r="M1876" s="12" t="s">
        <v>130</v>
      </c>
      <c r="N1876" s="14">
        <v>0.2</v>
      </c>
      <c r="O1876" s="23">
        <v>591.9</v>
      </c>
      <c r="P1876">
        <v>254.62086956521699</v>
      </c>
      <c r="Q1876" s="12" t="str" cm="1">
        <f t="array" ref="Q1876:R1876">VLOOKUP(E1876,store[],{3,5},FALSE)</f>
        <v>North</v>
      </c>
      <c r="R1876" t="str">
        <v>Outlet</v>
      </c>
      <c r="S1876" s="4">
        <f t="shared" si="29"/>
        <v>2366.8000000000002</v>
      </c>
    </row>
    <row r="1877" spans="1:19">
      <c r="A1877" t="s">
        <v>2688</v>
      </c>
      <c r="B1877" s="3">
        <v>45730</v>
      </c>
      <c r="C1877" t="s">
        <v>727</v>
      </c>
      <c r="D1877" t="s">
        <v>148</v>
      </c>
      <c r="E1877" t="s">
        <v>208</v>
      </c>
      <c r="F1877">
        <v>2</v>
      </c>
      <c r="G1877" t="s">
        <v>33</v>
      </c>
      <c r="H1877">
        <v>41</v>
      </c>
      <c r="I1877" s="12" t="s">
        <v>24</v>
      </c>
      <c r="J1877" s="12" t="s">
        <v>609</v>
      </c>
      <c r="K1877" s="12" t="s">
        <v>60</v>
      </c>
      <c r="L1877" s="12" t="s">
        <v>150</v>
      </c>
      <c r="M1877" s="12" t="s">
        <v>46</v>
      </c>
      <c r="N1877" s="14">
        <v>0.18</v>
      </c>
      <c r="O1877" s="23">
        <v>396.9</v>
      </c>
      <c r="P1877">
        <v>482.75</v>
      </c>
      <c r="Q1877" s="12" t="str" cm="1">
        <f t="array" ref="Q1877:R1877">VLOOKUP(E1877,store[],{3,5},FALSE)</f>
        <v>North</v>
      </c>
      <c r="R1877" t="str">
        <v>Online</v>
      </c>
      <c r="S1877" s="4">
        <f t="shared" si="29"/>
        <v>793.44</v>
      </c>
    </row>
    <row r="1878" spans="1:19">
      <c r="A1878" t="s">
        <v>2689</v>
      </c>
      <c r="B1878" s="3">
        <v>45731</v>
      </c>
      <c r="C1878" t="s">
        <v>217</v>
      </c>
      <c r="D1878" t="s">
        <v>187</v>
      </c>
      <c r="E1878" t="s">
        <v>198</v>
      </c>
      <c r="F1878">
        <v>1</v>
      </c>
      <c r="G1878" t="s">
        <v>23</v>
      </c>
      <c r="H1878">
        <v>62</v>
      </c>
      <c r="I1878" s="12" t="s">
        <v>34</v>
      </c>
      <c r="J1878" s="12" t="s">
        <v>218</v>
      </c>
      <c r="K1878" s="12" t="s">
        <v>52</v>
      </c>
      <c r="L1878" s="12" t="s">
        <v>189</v>
      </c>
      <c r="M1878" s="12" t="s">
        <v>37</v>
      </c>
      <c r="N1878" s="14">
        <v>0.19</v>
      </c>
      <c r="O1878" s="23">
        <v>176.84</v>
      </c>
      <c r="P1878">
        <v>431.67</v>
      </c>
      <c r="Q1878" s="12" t="str" cm="1">
        <f t="array" ref="Q1878:R1878">VLOOKUP(E1878,store[],{3,5},FALSE)</f>
        <v>South</v>
      </c>
      <c r="R1878" t="str">
        <v>Outlet</v>
      </c>
      <c r="S1878" s="4">
        <f t="shared" si="29"/>
        <v>176.65</v>
      </c>
    </row>
    <row r="1879" spans="1:19">
      <c r="A1879" t="s">
        <v>2690</v>
      </c>
      <c r="B1879" s="3">
        <v>45272</v>
      </c>
      <c r="C1879" t="s">
        <v>2160</v>
      </c>
      <c r="D1879" t="s">
        <v>246</v>
      </c>
      <c r="E1879" t="s">
        <v>90</v>
      </c>
      <c r="F1879">
        <v>2</v>
      </c>
      <c r="G1879" t="s">
        <v>33</v>
      </c>
      <c r="H1879">
        <v>34</v>
      </c>
      <c r="I1879" s="12" t="s">
        <v>24</v>
      </c>
      <c r="J1879" s="12" t="s">
        <v>444</v>
      </c>
      <c r="K1879" s="12" t="s">
        <v>60</v>
      </c>
      <c r="L1879" s="12" t="s">
        <v>247</v>
      </c>
      <c r="M1879" s="12" t="s">
        <v>37</v>
      </c>
      <c r="N1879" s="14">
        <v>0.11</v>
      </c>
      <c r="O1879" s="23">
        <v>614.21</v>
      </c>
      <c r="P1879">
        <v>322.41000000000003</v>
      </c>
      <c r="Q1879" s="12" t="str" cm="1">
        <f t="array" ref="Q1879:R1879">VLOOKUP(E1879,store[],{3,5},FALSE)</f>
        <v>East</v>
      </c>
      <c r="R1879" t="str">
        <v>Flagship</v>
      </c>
      <c r="S1879" s="4">
        <f t="shared" si="29"/>
        <v>1228.2</v>
      </c>
    </row>
    <row r="1880" spans="1:19">
      <c r="A1880" t="s">
        <v>2691</v>
      </c>
      <c r="B1880" s="3">
        <v>45584</v>
      </c>
      <c r="C1880" t="s">
        <v>589</v>
      </c>
      <c r="D1880" t="s">
        <v>414</v>
      </c>
      <c r="E1880" t="s">
        <v>66</v>
      </c>
      <c r="F1880">
        <v>3</v>
      </c>
      <c r="G1880" t="s">
        <v>50</v>
      </c>
      <c r="H1880">
        <v>38</v>
      </c>
      <c r="I1880" s="12" t="s">
        <v>24</v>
      </c>
      <c r="J1880" s="12" t="s">
        <v>214</v>
      </c>
      <c r="K1880" s="12" t="s">
        <v>73</v>
      </c>
      <c r="L1880" s="12" t="s">
        <v>415</v>
      </c>
      <c r="M1880" s="12" t="s">
        <v>130</v>
      </c>
      <c r="N1880" s="14">
        <v>0.18</v>
      </c>
      <c r="O1880" s="23">
        <v>604.66</v>
      </c>
      <c r="P1880">
        <v>364.67</v>
      </c>
      <c r="Q1880" s="12" t="str" cm="1">
        <f t="array" ref="Q1880:R1880">VLOOKUP(E1880,store[],{3,5},FALSE)</f>
        <v>South</v>
      </c>
      <c r="R1880" t="str">
        <v>Online</v>
      </c>
      <c r="S1880" s="4">
        <f t="shared" si="29"/>
        <v>1813.44</v>
      </c>
    </row>
    <row r="1881" spans="1:19">
      <c r="A1881" t="s">
        <v>2692</v>
      </c>
      <c r="B1881" s="3">
        <v>45534</v>
      </c>
      <c r="C1881" t="s">
        <v>483</v>
      </c>
      <c r="D1881" t="s">
        <v>868</v>
      </c>
      <c r="E1881" t="s">
        <v>208</v>
      </c>
      <c r="F1881">
        <v>3</v>
      </c>
      <c r="G1881" t="s">
        <v>33</v>
      </c>
      <c r="H1881">
        <v>35</v>
      </c>
      <c r="I1881" s="12" t="s">
        <v>24</v>
      </c>
      <c r="J1881" s="12" t="s">
        <v>222</v>
      </c>
      <c r="K1881" s="12" t="s">
        <v>60</v>
      </c>
      <c r="L1881" s="12" t="s">
        <v>869</v>
      </c>
      <c r="M1881" s="12" t="s">
        <v>130</v>
      </c>
      <c r="N1881" s="14">
        <v>0.12</v>
      </c>
      <c r="O1881" s="23">
        <v>24.29</v>
      </c>
      <c r="P1881">
        <v>254.62086956521699</v>
      </c>
      <c r="Q1881" s="12" t="str" cm="1">
        <f t="array" ref="Q1881:R1881">VLOOKUP(E1881,store[],{3,5},FALSE)</f>
        <v>North</v>
      </c>
      <c r="R1881" t="str">
        <v>Online</v>
      </c>
      <c r="S1881" s="4">
        <f t="shared" si="29"/>
        <v>72.510000000000005</v>
      </c>
    </row>
    <row r="1882" spans="1:19">
      <c r="A1882" t="s">
        <v>2693</v>
      </c>
      <c r="B1882" s="3">
        <v>45482</v>
      </c>
      <c r="C1882" t="s">
        <v>1609</v>
      </c>
      <c r="D1882" t="s">
        <v>625</v>
      </c>
      <c r="E1882" t="s">
        <v>272</v>
      </c>
      <c r="F1882">
        <v>1</v>
      </c>
      <c r="G1882" t="s">
        <v>33</v>
      </c>
      <c r="H1882">
        <v>62</v>
      </c>
      <c r="I1882" s="12" t="s">
        <v>24</v>
      </c>
      <c r="J1882" s="12" t="s">
        <v>218</v>
      </c>
      <c r="K1882" s="12" t="s">
        <v>52</v>
      </c>
      <c r="L1882" s="12" t="s">
        <v>626</v>
      </c>
      <c r="M1882" s="12" t="s">
        <v>46</v>
      </c>
      <c r="N1882" s="14">
        <v>0.24</v>
      </c>
      <c r="O1882" s="23">
        <v>503.95</v>
      </c>
      <c r="P1882">
        <v>266.86</v>
      </c>
      <c r="Q1882" s="12" t="str" cm="1">
        <f t="array" ref="Q1882:R1882">VLOOKUP(E1882,store[],{3,5},FALSE)</f>
        <v>South</v>
      </c>
      <c r="R1882" t="str">
        <v>Online</v>
      </c>
      <c r="S1882" s="4">
        <f t="shared" si="29"/>
        <v>503.71</v>
      </c>
    </row>
    <row r="1883" spans="1:19">
      <c r="A1883" t="s">
        <v>2694</v>
      </c>
      <c r="B1883" s="3">
        <v>45475</v>
      </c>
      <c r="C1883" t="s">
        <v>562</v>
      </c>
      <c r="D1883" t="s">
        <v>501</v>
      </c>
      <c r="E1883" t="s">
        <v>98</v>
      </c>
      <c r="F1883">
        <v>4</v>
      </c>
      <c r="G1883" t="s">
        <v>23</v>
      </c>
      <c r="H1883">
        <v>54</v>
      </c>
      <c r="I1883" s="12" t="s">
        <v>24</v>
      </c>
      <c r="J1883" s="12" t="s">
        <v>231</v>
      </c>
      <c r="K1883" s="12" t="s">
        <v>52</v>
      </c>
      <c r="L1883" s="12" t="s">
        <v>502</v>
      </c>
      <c r="M1883" s="12" t="s">
        <v>37</v>
      </c>
      <c r="N1883" s="14">
        <v>0.03</v>
      </c>
      <c r="O1883" s="23">
        <v>860.78</v>
      </c>
      <c r="P1883">
        <v>88.49</v>
      </c>
      <c r="Q1883" s="12" t="str" cm="1">
        <f t="array" ref="Q1883:R1883">VLOOKUP(E1883,store[],{3,5},FALSE)</f>
        <v>South</v>
      </c>
      <c r="R1883" t="str">
        <v>Outlet</v>
      </c>
      <c r="S1883" s="4">
        <f t="shared" si="29"/>
        <v>3443</v>
      </c>
    </row>
    <row r="1884" spans="1:19">
      <c r="A1884" t="s">
        <v>2695</v>
      </c>
      <c r="B1884" s="3">
        <v>45234</v>
      </c>
      <c r="C1884" t="s">
        <v>1095</v>
      </c>
      <c r="D1884" t="s">
        <v>449</v>
      </c>
      <c r="E1884" t="s">
        <v>22</v>
      </c>
      <c r="F1884">
        <v>3</v>
      </c>
      <c r="G1884" t="s">
        <v>50</v>
      </c>
      <c r="H1884">
        <v>45</v>
      </c>
      <c r="I1884" s="12" t="s">
        <v>34</v>
      </c>
      <c r="J1884" s="12" t="s">
        <v>510</v>
      </c>
      <c r="K1884" s="12" t="s">
        <v>52</v>
      </c>
      <c r="L1884" s="12" t="s">
        <v>450</v>
      </c>
      <c r="M1884" s="12" t="s">
        <v>37</v>
      </c>
      <c r="N1884" s="14">
        <v>0.03</v>
      </c>
      <c r="O1884" s="23">
        <v>41.97</v>
      </c>
      <c r="P1884">
        <v>450.71</v>
      </c>
      <c r="Q1884" s="12" t="str" cm="1">
        <f t="array" ref="Q1884:R1884">VLOOKUP(E1884,store[],{3,5},FALSE)</f>
        <v>North</v>
      </c>
      <c r="R1884" t="str">
        <v>Outlet</v>
      </c>
      <c r="S1884" s="4">
        <f t="shared" si="29"/>
        <v>125.82</v>
      </c>
    </row>
    <row r="1885" spans="1:19">
      <c r="A1885" t="s">
        <v>2696</v>
      </c>
      <c r="B1885" s="3">
        <v>45397</v>
      </c>
      <c r="C1885" t="s">
        <v>620</v>
      </c>
      <c r="D1885" t="s">
        <v>65</v>
      </c>
      <c r="E1885" t="s">
        <v>58</v>
      </c>
      <c r="F1885">
        <v>1</v>
      </c>
      <c r="G1885" t="s">
        <v>50</v>
      </c>
      <c r="H1885">
        <v>25</v>
      </c>
      <c r="I1885" s="12" t="s">
        <v>24</v>
      </c>
      <c r="J1885" s="12" t="s">
        <v>169</v>
      </c>
      <c r="K1885" s="12" t="s">
        <v>52</v>
      </c>
      <c r="L1885" s="12" t="s">
        <v>68</v>
      </c>
      <c r="M1885" s="12" t="s">
        <v>37</v>
      </c>
      <c r="N1885" s="14">
        <v>0.12</v>
      </c>
      <c r="O1885" s="23">
        <v>649.59</v>
      </c>
      <c r="P1885">
        <v>465.34</v>
      </c>
      <c r="Q1885" s="12" t="str" cm="1">
        <f t="array" ref="Q1885:R1885">VLOOKUP(E1885,store[],{3,5},FALSE)</f>
        <v>North</v>
      </c>
      <c r="R1885" t="str">
        <v>Outlet</v>
      </c>
      <c r="S1885" s="4">
        <f t="shared" si="29"/>
        <v>649.47</v>
      </c>
    </row>
    <row r="1886" spans="1:19">
      <c r="A1886" t="s">
        <v>2697</v>
      </c>
      <c r="B1886" s="3">
        <v>45502</v>
      </c>
      <c r="C1886" t="s">
        <v>1042</v>
      </c>
      <c r="D1886" t="s">
        <v>625</v>
      </c>
      <c r="E1886" t="s">
        <v>127</v>
      </c>
      <c r="F1886">
        <v>2</v>
      </c>
      <c r="G1886" t="s">
        <v>33</v>
      </c>
      <c r="H1886">
        <v>37</v>
      </c>
      <c r="I1886" s="12" t="s">
        <v>34</v>
      </c>
      <c r="J1886" s="12" t="s">
        <v>209</v>
      </c>
      <c r="K1886" s="12" t="s">
        <v>26</v>
      </c>
      <c r="L1886" s="12" t="s">
        <v>626</v>
      </c>
      <c r="M1886" s="12" t="s">
        <v>46</v>
      </c>
      <c r="N1886" s="14">
        <v>0.19</v>
      </c>
      <c r="O1886" s="23">
        <v>386.09</v>
      </c>
      <c r="P1886">
        <v>266.86</v>
      </c>
      <c r="Q1886" s="12" t="str" cm="1">
        <f t="array" ref="Q1886:R1886">VLOOKUP(E1886,store[],{3,5},FALSE)</f>
        <v>South</v>
      </c>
      <c r="R1886" t="str">
        <v>Flagship</v>
      </c>
      <c r="S1886" s="4">
        <f t="shared" si="29"/>
        <v>771.8</v>
      </c>
    </row>
    <row r="1887" spans="1:19">
      <c r="A1887" t="s">
        <v>2698</v>
      </c>
      <c r="B1887" s="3">
        <v>45644</v>
      </c>
      <c r="C1887" t="s">
        <v>694</v>
      </c>
      <c r="D1887" t="s">
        <v>501</v>
      </c>
      <c r="E1887" t="s">
        <v>208</v>
      </c>
      <c r="F1887">
        <v>1</v>
      </c>
      <c r="G1887" t="s">
        <v>33</v>
      </c>
      <c r="H1887">
        <v>35</v>
      </c>
      <c r="I1887" s="12" t="s">
        <v>24</v>
      </c>
      <c r="J1887" s="12" t="s">
        <v>51</v>
      </c>
      <c r="K1887" s="12" t="s">
        <v>60</v>
      </c>
      <c r="L1887" s="12" t="s">
        <v>502</v>
      </c>
      <c r="M1887" s="12" t="s">
        <v>37</v>
      </c>
      <c r="N1887" s="14">
        <v>0.06</v>
      </c>
      <c r="O1887" s="23">
        <v>891.62</v>
      </c>
      <c r="P1887">
        <v>88.49</v>
      </c>
      <c r="Q1887" s="12" t="str" cm="1">
        <f t="array" ref="Q1887:R1887">VLOOKUP(E1887,store[],{3,5},FALSE)</f>
        <v>North</v>
      </c>
      <c r="R1887" t="str">
        <v>Online</v>
      </c>
      <c r="S1887" s="4">
        <f t="shared" si="29"/>
        <v>891.56</v>
      </c>
    </row>
    <row r="1888" spans="1:19">
      <c r="A1888" t="s">
        <v>2699</v>
      </c>
      <c r="B1888" s="3">
        <v>45617</v>
      </c>
      <c r="C1888" t="s">
        <v>182</v>
      </c>
      <c r="D1888" t="s">
        <v>779</v>
      </c>
      <c r="E1888" t="s">
        <v>122</v>
      </c>
      <c r="F1888">
        <v>2</v>
      </c>
      <c r="G1888" t="s">
        <v>50</v>
      </c>
      <c r="H1888">
        <v>50</v>
      </c>
      <c r="I1888" s="12" t="s">
        <v>24</v>
      </c>
      <c r="J1888" s="12" t="s">
        <v>59</v>
      </c>
      <c r="K1888" s="12" t="s">
        <v>60</v>
      </c>
      <c r="L1888" s="12" t="s">
        <v>780</v>
      </c>
      <c r="M1888" s="12" t="s">
        <v>46</v>
      </c>
      <c r="N1888" s="14">
        <v>0.05</v>
      </c>
      <c r="O1888" s="23">
        <v>558.9</v>
      </c>
      <c r="P1888">
        <v>299.11</v>
      </c>
      <c r="Q1888" s="12" t="str" cm="1">
        <f t="array" ref="Q1888:R1888">VLOOKUP(E1888,store[],{3,5},FALSE)</f>
        <v>North</v>
      </c>
      <c r="R1888" t="str">
        <v>Flagship</v>
      </c>
      <c r="S1888" s="4">
        <f t="shared" si="29"/>
        <v>1117.7</v>
      </c>
    </row>
    <row r="1889" spans="1:19">
      <c r="A1889" t="s">
        <v>2700</v>
      </c>
      <c r="B1889" s="3">
        <v>45797</v>
      </c>
      <c r="C1889" t="s">
        <v>1149</v>
      </c>
      <c r="D1889" t="s">
        <v>389</v>
      </c>
      <c r="E1889" t="s">
        <v>22</v>
      </c>
      <c r="F1889">
        <v>2</v>
      </c>
      <c r="G1889" t="s">
        <v>50</v>
      </c>
      <c r="H1889">
        <v>52</v>
      </c>
      <c r="I1889" s="12" t="s">
        <v>34</v>
      </c>
      <c r="J1889" s="12" t="s">
        <v>199</v>
      </c>
      <c r="K1889" s="12" t="s">
        <v>60</v>
      </c>
      <c r="L1889" s="12" t="s">
        <v>390</v>
      </c>
      <c r="M1889" s="12" t="s">
        <v>130</v>
      </c>
      <c r="N1889" s="14">
        <v>0.26</v>
      </c>
      <c r="O1889" s="23">
        <v>99.04</v>
      </c>
      <c r="P1889">
        <v>342.56</v>
      </c>
      <c r="Q1889" s="12" t="str" cm="1">
        <f t="array" ref="Q1889:R1889">VLOOKUP(E1889,store[],{3,5},FALSE)</f>
        <v>North</v>
      </c>
      <c r="R1889" t="str">
        <v>Outlet</v>
      </c>
      <c r="S1889" s="4">
        <f t="shared" si="29"/>
        <v>197.56</v>
      </c>
    </row>
    <row r="1890" spans="1:19">
      <c r="A1890" t="s">
        <v>2701</v>
      </c>
      <c r="B1890" s="3">
        <v>45740</v>
      </c>
      <c r="C1890" t="s">
        <v>2232</v>
      </c>
      <c r="D1890" t="s">
        <v>414</v>
      </c>
      <c r="E1890" t="s">
        <v>43</v>
      </c>
      <c r="F1890">
        <v>4</v>
      </c>
      <c r="G1890" t="s">
        <v>23</v>
      </c>
      <c r="H1890">
        <v>40</v>
      </c>
      <c r="I1890" s="12" t="s">
        <v>34</v>
      </c>
      <c r="J1890" s="12" t="s">
        <v>80</v>
      </c>
      <c r="K1890" s="12" t="s">
        <v>73</v>
      </c>
      <c r="L1890" s="12" t="s">
        <v>415</v>
      </c>
      <c r="M1890" s="12" t="s">
        <v>130</v>
      </c>
      <c r="N1890" s="14">
        <v>0.06</v>
      </c>
      <c r="O1890" s="23">
        <v>625.13</v>
      </c>
      <c r="P1890">
        <v>364.67</v>
      </c>
      <c r="Q1890" s="12" t="str" cm="1">
        <f t="array" ref="Q1890:R1890">VLOOKUP(E1890,store[],{3,5},FALSE)</f>
        <v>West</v>
      </c>
      <c r="R1890" t="str">
        <v>Online</v>
      </c>
      <c r="S1890" s="4">
        <f t="shared" si="29"/>
        <v>2500.2800000000002</v>
      </c>
    </row>
    <row r="1891" spans="1:19">
      <c r="A1891" t="s">
        <v>2702</v>
      </c>
      <c r="B1891" s="3">
        <v>45824</v>
      </c>
      <c r="C1891" t="s">
        <v>1303</v>
      </c>
      <c r="D1891" t="s">
        <v>295</v>
      </c>
      <c r="E1891" t="s">
        <v>160</v>
      </c>
      <c r="F1891">
        <v>4</v>
      </c>
      <c r="G1891" t="s">
        <v>50</v>
      </c>
      <c r="H1891">
        <v>20</v>
      </c>
      <c r="I1891" s="12" t="s">
        <v>34</v>
      </c>
      <c r="J1891" s="12" t="s">
        <v>360</v>
      </c>
      <c r="K1891" s="12" t="s">
        <v>26</v>
      </c>
      <c r="L1891" s="12" t="s">
        <v>296</v>
      </c>
      <c r="M1891" s="12" t="s">
        <v>37</v>
      </c>
      <c r="N1891" s="14">
        <v>0.16</v>
      </c>
      <c r="O1891" s="23">
        <v>38.380000000000003</v>
      </c>
      <c r="P1891">
        <v>38.520000000000003</v>
      </c>
      <c r="Q1891" s="12" t="str" cm="1">
        <f t="array" ref="Q1891:R1891">VLOOKUP(E1891,store[],{3,5},FALSE)</f>
        <v>East</v>
      </c>
      <c r="R1891" t="str">
        <v>Flagship</v>
      </c>
      <c r="S1891" s="4">
        <f t="shared" si="29"/>
        <v>152.88</v>
      </c>
    </row>
    <row r="1892" spans="1:19">
      <c r="A1892" t="s">
        <v>2703</v>
      </c>
      <c r="B1892" s="3">
        <v>45404</v>
      </c>
      <c r="C1892" t="s">
        <v>233</v>
      </c>
      <c r="D1892" t="s">
        <v>242</v>
      </c>
      <c r="E1892" t="s">
        <v>168</v>
      </c>
      <c r="F1892">
        <v>4</v>
      </c>
      <c r="G1892" t="s">
        <v>50</v>
      </c>
      <c r="H1892">
        <v>59</v>
      </c>
      <c r="I1892" s="12" t="s">
        <v>34</v>
      </c>
      <c r="J1892" s="12" t="s">
        <v>235</v>
      </c>
      <c r="K1892" s="12" t="s">
        <v>52</v>
      </c>
      <c r="L1892" s="12" t="s">
        <v>243</v>
      </c>
      <c r="M1892" s="12" t="s">
        <v>46</v>
      </c>
      <c r="N1892" s="14">
        <v>0.22</v>
      </c>
      <c r="O1892" s="23">
        <v>731.72</v>
      </c>
      <c r="P1892">
        <v>358.47</v>
      </c>
      <c r="Q1892" s="12" t="str" cm="1">
        <f t="array" ref="Q1892:R1892">VLOOKUP(E1892,store[],{3,5},FALSE)</f>
        <v>East</v>
      </c>
      <c r="R1892" t="str">
        <v>Online</v>
      </c>
      <c r="S1892" s="4">
        <f t="shared" si="29"/>
        <v>2926</v>
      </c>
    </row>
    <row r="1893" spans="1:19">
      <c r="A1893" t="s">
        <v>2704</v>
      </c>
      <c r="B1893" s="3">
        <v>45916</v>
      </c>
      <c r="C1893" t="s">
        <v>1582</v>
      </c>
      <c r="D1893" t="s">
        <v>630</v>
      </c>
      <c r="E1893" t="s">
        <v>135</v>
      </c>
      <c r="F1893">
        <v>3</v>
      </c>
      <c r="G1893" t="s">
        <v>23</v>
      </c>
      <c r="H1893">
        <v>59</v>
      </c>
      <c r="I1893" s="12" t="s">
        <v>24</v>
      </c>
      <c r="J1893" s="12" t="s">
        <v>239</v>
      </c>
      <c r="K1893" s="12" t="s">
        <v>52</v>
      </c>
      <c r="L1893" s="12" t="s">
        <v>631</v>
      </c>
      <c r="M1893" s="12" t="s">
        <v>28</v>
      </c>
      <c r="N1893" s="14">
        <v>0.21</v>
      </c>
      <c r="O1893" s="23">
        <v>825.33</v>
      </c>
      <c r="P1893">
        <v>285.54000000000002</v>
      </c>
      <c r="Q1893" s="12" t="str" cm="1">
        <f t="array" ref="Q1893:R1893">VLOOKUP(E1893,store[],{3,5},FALSE)</f>
        <v>East</v>
      </c>
      <c r="R1893" t="str">
        <v>Online</v>
      </c>
      <c r="S1893" s="4">
        <f t="shared" si="29"/>
        <v>2475.36</v>
      </c>
    </row>
    <row r="1894" spans="1:19">
      <c r="A1894" t="s">
        <v>2705</v>
      </c>
      <c r="B1894" s="3">
        <v>45269</v>
      </c>
      <c r="C1894" t="s">
        <v>1306</v>
      </c>
      <c r="D1894" t="s">
        <v>79</v>
      </c>
      <c r="E1894" t="s">
        <v>98</v>
      </c>
      <c r="F1894">
        <v>2</v>
      </c>
      <c r="G1894" t="s">
        <v>33</v>
      </c>
      <c r="H1894">
        <v>53</v>
      </c>
      <c r="I1894" s="12" t="s">
        <v>24</v>
      </c>
      <c r="J1894" s="12" t="s">
        <v>111</v>
      </c>
      <c r="K1894" s="12" t="s">
        <v>52</v>
      </c>
      <c r="L1894" s="12" t="s">
        <v>81</v>
      </c>
      <c r="M1894" s="12" t="s">
        <v>75</v>
      </c>
      <c r="N1894" s="14">
        <v>0.01</v>
      </c>
      <c r="O1894" s="23">
        <v>47.3</v>
      </c>
      <c r="P1894">
        <v>138.05000000000001</v>
      </c>
      <c r="Q1894" s="12" t="str" cm="1">
        <f t="array" ref="Q1894:R1894">VLOOKUP(E1894,store[],{3,5},FALSE)</f>
        <v>South</v>
      </c>
      <c r="R1894" t="str">
        <v>Outlet</v>
      </c>
      <c r="S1894" s="4">
        <f t="shared" si="29"/>
        <v>94.58</v>
      </c>
    </row>
    <row r="1895" spans="1:19">
      <c r="A1895" t="s">
        <v>2706</v>
      </c>
      <c r="B1895" s="3">
        <v>45493</v>
      </c>
      <c r="C1895" t="s">
        <v>527</v>
      </c>
      <c r="D1895" t="s">
        <v>155</v>
      </c>
      <c r="E1895" t="s">
        <v>32</v>
      </c>
      <c r="F1895">
        <v>1</v>
      </c>
      <c r="G1895" t="s">
        <v>33</v>
      </c>
      <c r="H1895">
        <v>44</v>
      </c>
      <c r="I1895" s="12" t="s">
        <v>34</v>
      </c>
      <c r="J1895" s="12" t="s">
        <v>260</v>
      </c>
      <c r="K1895" s="12" t="s">
        <v>52</v>
      </c>
      <c r="L1895" s="12" t="s">
        <v>156</v>
      </c>
      <c r="M1895" s="12" t="s">
        <v>28</v>
      </c>
      <c r="N1895" s="14">
        <v>0.18</v>
      </c>
      <c r="O1895" s="23">
        <v>389.12</v>
      </c>
      <c r="P1895">
        <v>477.61</v>
      </c>
      <c r="Q1895" s="12" t="str" cm="1">
        <f t="array" ref="Q1895:R1895">VLOOKUP(E1895,store[],{3,5},FALSE)</f>
        <v>North</v>
      </c>
      <c r="R1895" t="str">
        <v>Flagship</v>
      </c>
      <c r="S1895" s="4">
        <f t="shared" si="29"/>
        <v>388.94</v>
      </c>
    </row>
    <row r="1896" spans="1:19">
      <c r="A1896" t="s">
        <v>2707</v>
      </c>
      <c r="B1896" s="3">
        <v>45558</v>
      </c>
      <c r="C1896" t="s">
        <v>898</v>
      </c>
      <c r="D1896" t="s">
        <v>542</v>
      </c>
      <c r="E1896" t="s">
        <v>160</v>
      </c>
      <c r="F1896">
        <v>3</v>
      </c>
      <c r="G1896" t="s">
        <v>23</v>
      </c>
      <c r="H1896">
        <v>62</v>
      </c>
      <c r="I1896" s="12" t="s">
        <v>34</v>
      </c>
      <c r="J1896" s="12" t="s">
        <v>44</v>
      </c>
      <c r="K1896" s="12" t="s">
        <v>60</v>
      </c>
      <c r="L1896" s="12" t="s">
        <v>543</v>
      </c>
      <c r="M1896" s="12" t="s">
        <v>28</v>
      </c>
      <c r="N1896" s="14">
        <v>0.05</v>
      </c>
      <c r="O1896" s="23">
        <v>543.83000000000004</v>
      </c>
      <c r="P1896">
        <v>152.91999999999999</v>
      </c>
      <c r="Q1896" s="12" t="str" cm="1">
        <f t="array" ref="Q1896:R1896">VLOOKUP(E1896,store[],{3,5},FALSE)</f>
        <v>East</v>
      </c>
      <c r="R1896" t="str">
        <v>Flagship</v>
      </c>
      <c r="S1896" s="4">
        <f t="shared" si="29"/>
        <v>1631.34</v>
      </c>
    </row>
    <row r="1897" spans="1:19">
      <c r="A1897" t="s">
        <v>2708</v>
      </c>
      <c r="B1897" s="3">
        <v>45423</v>
      </c>
      <c r="C1897" t="s">
        <v>1422</v>
      </c>
      <c r="D1897" t="s">
        <v>480</v>
      </c>
      <c r="E1897" t="s">
        <v>105</v>
      </c>
      <c r="F1897">
        <v>2</v>
      </c>
      <c r="G1897" t="s">
        <v>33</v>
      </c>
      <c r="H1897">
        <v>40</v>
      </c>
      <c r="I1897" s="12" t="s">
        <v>24</v>
      </c>
      <c r="J1897" s="12" t="s">
        <v>128</v>
      </c>
      <c r="K1897" s="12" t="s">
        <v>52</v>
      </c>
      <c r="L1897" s="12" t="s">
        <v>481</v>
      </c>
      <c r="M1897" s="12" t="s">
        <v>75</v>
      </c>
      <c r="N1897" s="14">
        <v>0.01</v>
      </c>
      <c r="O1897" s="23">
        <v>660.27</v>
      </c>
      <c r="P1897">
        <v>48.01</v>
      </c>
      <c r="Q1897" s="12" t="str" cm="1">
        <f t="array" ref="Q1897:R1897">VLOOKUP(E1897,store[],{3,5},FALSE)</f>
        <v>North</v>
      </c>
      <c r="R1897" t="str">
        <v>Flagship</v>
      </c>
      <c r="S1897" s="4">
        <f t="shared" si="29"/>
        <v>1320.52</v>
      </c>
    </row>
    <row r="1898" spans="1:19">
      <c r="A1898" t="s">
        <v>2709</v>
      </c>
      <c r="B1898" s="3">
        <v>45780</v>
      </c>
      <c r="C1898" t="s">
        <v>2710</v>
      </c>
      <c r="D1898" t="s">
        <v>197</v>
      </c>
      <c r="E1898" t="s">
        <v>43</v>
      </c>
      <c r="F1898">
        <v>4</v>
      </c>
      <c r="G1898" t="s">
        <v>23</v>
      </c>
      <c r="H1898">
        <v>48</v>
      </c>
      <c r="I1898" s="12" t="s">
        <v>34</v>
      </c>
      <c r="J1898" s="12" t="s">
        <v>260</v>
      </c>
      <c r="K1898" s="12" t="s">
        <v>26</v>
      </c>
      <c r="L1898" s="12" t="s">
        <v>200</v>
      </c>
      <c r="M1898" s="12" t="s">
        <v>37</v>
      </c>
      <c r="N1898" s="14">
        <v>0.03</v>
      </c>
      <c r="O1898" s="23">
        <v>729.31</v>
      </c>
      <c r="P1898">
        <v>242.23</v>
      </c>
      <c r="Q1898" s="12" t="str" cm="1">
        <f t="array" ref="Q1898:R1898">VLOOKUP(E1898,store[],{3,5},FALSE)</f>
        <v>West</v>
      </c>
      <c r="R1898" t="str">
        <v>Online</v>
      </c>
      <c r="S1898" s="4">
        <f t="shared" si="29"/>
        <v>2917.12</v>
      </c>
    </row>
    <row r="1899" spans="1:19">
      <c r="A1899" t="s">
        <v>2711</v>
      </c>
      <c r="B1899" s="3">
        <v>45345</v>
      </c>
      <c r="C1899" t="s">
        <v>1759</v>
      </c>
      <c r="D1899" t="s">
        <v>514</v>
      </c>
      <c r="E1899" t="s">
        <v>179</v>
      </c>
      <c r="F1899">
        <v>2</v>
      </c>
      <c r="G1899" t="s">
        <v>33</v>
      </c>
      <c r="H1899">
        <v>45</v>
      </c>
      <c r="I1899" s="12" t="s">
        <v>34</v>
      </c>
      <c r="J1899" s="12" t="s">
        <v>91</v>
      </c>
      <c r="K1899" s="12" t="s">
        <v>52</v>
      </c>
      <c r="L1899" s="12" t="s">
        <v>515</v>
      </c>
      <c r="M1899" s="12" t="s">
        <v>75</v>
      </c>
      <c r="N1899" s="14">
        <v>0.24</v>
      </c>
      <c r="O1899" s="23">
        <v>152.91</v>
      </c>
      <c r="P1899">
        <v>371.38</v>
      </c>
      <c r="Q1899" s="12" t="str" cm="1">
        <f t="array" ref="Q1899:R1899">VLOOKUP(E1899,store[],{3,5},FALSE)</f>
        <v>East</v>
      </c>
      <c r="R1899" t="str">
        <v>Online</v>
      </c>
      <c r="S1899" s="4">
        <f t="shared" si="29"/>
        <v>305.33999999999997</v>
      </c>
    </row>
    <row r="1900" spans="1:19">
      <c r="A1900" t="s">
        <v>2712</v>
      </c>
      <c r="B1900" s="3">
        <v>45344</v>
      </c>
      <c r="C1900" t="s">
        <v>1235</v>
      </c>
      <c r="D1900" t="s">
        <v>31</v>
      </c>
      <c r="E1900" t="s">
        <v>122</v>
      </c>
      <c r="F1900">
        <v>4</v>
      </c>
      <c r="G1900" t="s">
        <v>50</v>
      </c>
      <c r="H1900">
        <v>60</v>
      </c>
      <c r="I1900" s="12" t="s">
        <v>34</v>
      </c>
      <c r="J1900" s="12" t="s">
        <v>333</v>
      </c>
      <c r="K1900" s="12" t="s">
        <v>60</v>
      </c>
      <c r="L1900" s="12" t="s">
        <v>36</v>
      </c>
      <c r="M1900" s="12" t="s">
        <v>37</v>
      </c>
      <c r="N1900" s="14">
        <v>0.12</v>
      </c>
      <c r="O1900" s="23">
        <v>592.14</v>
      </c>
      <c r="P1900">
        <v>403.71</v>
      </c>
      <c r="Q1900" s="12" t="str" cm="1">
        <f t="array" ref="Q1900:R1900">VLOOKUP(E1900,store[],{3,5},FALSE)</f>
        <v>North</v>
      </c>
      <c r="R1900" t="str">
        <v>Flagship</v>
      </c>
      <c r="S1900" s="4">
        <f t="shared" si="29"/>
        <v>2368.08</v>
      </c>
    </row>
    <row r="1901" spans="1:19">
      <c r="A1901" t="s">
        <v>2713</v>
      </c>
      <c r="B1901" s="3">
        <v>45525</v>
      </c>
      <c r="C1901" t="s">
        <v>1215</v>
      </c>
      <c r="D1901" t="s">
        <v>267</v>
      </c>
      <c r="E1901" t="s">
        <v>208</v>
      </c>
      <c r="F1901">
        <v>1</v>
      </c>
      <c r="G1901" t="s">
        <v>33</v>
      </c>
      <c r="H1901">
        <v>50</v>
      </c>
      <c r="I1901" s="12" t="s">
        <v>24</v>
      </c>
      <c r="J1901" s="12" t="s">
        <v>222</v>
      </c>
      <c r="K1901" s="12" t="s">
        <v>73</v>
      </c>
      <c r="L1901" s="12" t="s">
        <v>268</v>
      </c>
      <c r="M1901" s="12" t="s">
        <v>75</v>
      </c>
      <c r="N1901" s="14">
        <v>0</v>
      </c>
      <c r="O1901" s="23">
        <v>984.37</v>
      </c>
      <c r="P1901">
        <v>325.26</v>
      </c>
      <c r="Q1901" s="12" t="str" cm="1">
        <f t="array" ref="Q1901:R1901">VLOOKUP(E1901,store[],{3,5},FALSE)</f>
        <v>North</v>
      </c>
      <c r="R1901" t="str">
        <v>Online</v>
      </c>
      <c r="S1901" s="4">
        <f t="shared" si="29"/>
        <v>984.37</v>
      </c>
    </row>
    <row r="1902" spans="1:19">
      <c r="A1902" t="s">
        <v>2714</v>
      </c>
      <c r="B1902" s="3">
        <v>45329</v>
      </c>
      <c r="C1902" t="s">
        <v>1514</v>
      </c>
      <c r="D1902" t="s">
        <v>389</v>
      </c>
      <c r="E1902" t="s">
        <v>208</v>
      </c>
      <c r="F1902">
        <v>2</v>
      </c>
      <c r="G1902" t="s">
        <v>23</v>
      </c>
      <c r="H1902">
        <v>30</v>
      </c>
      <c r="I1902" s="12" t="s">
        <v>24</v>
      </c>
      <c r="J1902" s="12" t="s">
        <v>510</v>
      </c>
      <c r="K1902" s="12" t="s">
        <v>60</v>
      </c>
      <c r="L1902" s="12" t="s">
        <v>390</v>
      </c>
      <c r="M1902" s="12" t="s">
        <v>130</v>
      </c>
      <c r="N1902" s="14">
        <v>0.12</v>
      </c>
      <c r="O1902" s="23">
        <v>237.59</v>
      </c>
      <c r="P1902">
        <v>342.56</v>
      </c>
      <c r="Q1902" s="12" t="str" cm="1">
        <f t="array" ref="Q1902:R1902">VLOOKUP(E1902,store[],{3,5},FALSE)</f>
        <v>North</v>
      </c>
      <c r="R1902" t="str">
        <v>Online</v>
      </c>
      <c r="S1902" s="4">
        <f t="shared" si="29"/>
        <v>474.94</v>
      </c>
    </row>
    <row r="1903" spans="1:19">
      <c r="A1903" t="s">
        <v>2715</v>
      </c>
      <c r="B1903" s="3">
        <v>45250</v>
      </c>
      <c r="C1903" t="s">
        <v>241</v>
      </c>
      <c r="D1903" t="s">
        <v>425</v>
      </c>
      <c r="E1903" t="s">
        <v>43</v>
      </c>
      <c r="F1903">
        <v>1</v>
      </c>
      <c r="G1903" t="s">
        <v>50</v>
      </c>
      <c r="H1903">
        <v>27</v>
      </c>
      <c r="I1903" s="12" t="s">
        <v>24</v>
      </c>
      <c r="J1903" s="12" t="s">
        <v>227</v>
      </c>
      <c r="K1903" s="12" t="s">
        <v>52</v>
      </c>
      <c r="L1903" s="12" t="s">
        <v>426</v>
      </c>
      <c r="M1903" s="12" t="s">
        <v>130</v>
      </c>
      <c r="N1903" s="14">
        <v>0.27</v>
      </c>
      <c r="O1903" s="23">
        <v>52.06</v>
      </c>
      <c r="P1903">
        <v>174.02</v>
      </c>
      <c r="Q1903" s="12" t="str" cm="1">
        <f t="array" ref="Q1903:R1903">VLOOKUP(E1903,store[],{3,5},FALSE)</f>
        <v>West</v>
      </c>
      <c r="R1903" t="str">
        <v>Online</v>
      </c>
      <c r="S1903" s="4">
        <f t="shared" si="29"/>
        <v>51.79</v>
      </c>
    </row>
    <row r="1904" spans="1:19">
      <c r="A1904" t="s">
        <v>2716</v>
      </c>
      <c r="B1904" s="3">
        <v>45691</v>
      </c>
      <c r="C1904" t="s">
        <v>961</v>
      </c>
      <c r="D1904" t="s">
        <v>414</v>
      </c>
      <c r="E1904" t="s">
        <v>105</v>
      </c>
      <c r="F1904">
        <v>2</v>
      </c>
      <c r="G1904" t="s">
        <v>23</v>
      </c>
      <c r="H1904">
        <v>54</v>
      </c>
      <c r="I1904" s="12" t="s">
        <v>24</v>
      </c>
      <c r="J1904" s="12" t="s">
        <v>932</v>
      </c>
      <c r="K1904" s="12" t="s">
        <v>26</v>
      </c>
      <c r="L1904" s="12" t="s">
        <v>415</v>
      </c>
      <c r="M1904" s="12" t="s">
        <v>130</v>
      </c>
      <c r="N1904" s="14">
        <v>0.12</v>
      </c>
      <c r="O1904" s="23">
        <v>594.63</v>
      </c>
      <c r="P1904">
        <v>364.67</v>
      </c>
      <c r="Q1904" s="12" t="str" cm="1">
        <f t="array" ref="Q1904:R1904">VLOOKUP(E1904,store[],{3,5},FALSE)</f>
        <v>North</v>
      </c>
      <c r="R1904" t="str">
        <v>Flagship</v>
      </c>
      <c r="S1904" s="4">
        <f t="shared" si="29"/>
        <v>1189.02</v>
      </c>
    </row>
    <row r="1905" spans="1:19">
      <c r="A1905" t="s">
        <v>2717</v>
      </c>
      <c r="B1905" s="3">
        <v>45644</v>
      </c>
      <c r="C1905" t="s">
        <v>1139</v>
      </c>
      <c r="D1905" t="s">
        <v>414</v>
      </c>
      <c r="E1905" t="s">
        <v>90</v>
      </c>
      <c r="F1905">
        <v>3</v>
      </c>
      <c r="G1905" t="s">
        <v>50</v>
      </c>
      <c r="H1905">
        <v>36</v>
      </c>
      <c r="I1905" s="12" t="s">
        <v>34</v>
      </c>
      <c r="J1905" s="12" t="s">
        <v>51</v>
      </c>
      <c r="K1905" s="12" t="s">
        <v>26</v>
      </c>
      <c r="L1905" s="12" t="s">
        <v>415</v>
      </c>
      <c r="M1905" s="12" t="s">
        <v>130</v>
      </c>
      <c r="N1905" s="14">
        <v>0.05</v>
      </c>
      <c r="O1905" s="23">
        <v>476.1</v>
      </c>
      <c r="P1905">
        <v>364.67</v>
      </c>
      <c r="Q1905" s="12" t="str" cm="1">
        <f t="array" ref="Q1905:R1905">VLOOKUP(E1905,store[],{3,5},FALSE)</f>
        <v>East</v>
      </c>
      <c r="R1905" t="str">
        <v>Flagship</v>
      </c>
      <c r="S1905" s="4">
        <f t="shared" si="29"/>
        <v>1428.15</v>
      </c>
    </row>
    <row r="1906" spans="1:19">
      <c r="A1906" t="s">
        <v>2718</v>
      </c>
      <c r="B1906" s="3">
        <v>45514</v>
      </c>
      <c r="C1906" t="s">
        <v>915</v>
      </c>
      <c r="D1906" t="s">
        <v>698</v>
      </c>
      <c r="E1906" t="s">
        <v>179</v>
      </c>
      <c r="F1906">
        <v>1</v>
      </c>
      <c r="G1906" t="s">
        <v>50</v>
      </c>
      <c r="H1906">
        <v>23</v>
      </c>
      <c r="I1906" s="12" t="s">
        <v>24</v>
      </c>
      <c r="J1906" s="12" t="s">
        <v>80</v>
      </c>
      <c r="K1906" s="12" t="s">
        <v>60</v>
      </c>
      <c r="L1906" s="12" t="s">
        <v>699</v>
      </c>
      <c r="M1906" s="12" t="s">
        <v>28</v>
      </c>
      <c r="N1906" s="14">
        <v>0.08</v>
      </c>
      <c r="O1906" s="23">
        <v>546.47</v>
      </c>
      <c r="P1906">
        <v>103.45</v>
      </c>
      <c r="Q1906" s="12" t="str" cm="1">
        <f t="array" ref="Q1906:R1906">VLOOKUP(E1906,store[],{3,5},FALSE)</f>
        <v>East</v>
      </c>
      <c r="R1906" t="str">
        <v>Online</v>
      </c>
      <c r="S1906" s="4">
        <f t="shared" si="29"/>
        <v>546.39</v>
      </c>
    </row>
    <row r="1907" spans="1:19">
      <c r="A1907" t="s">
        <v>2719</v>
      </c>
      <c r="B1907" s="3">
        <v>45760</v>
      </c>
      <c r="C1907" t="s">
        <v>365</v>
      </c>
      <c r="D1907" t="s">
        <v>213</v>
      </c>
      <c r="E1907" t="s">
        <v>208</v>
      </c>
      <c r="F1907">
        <v>1</v>
      </c>
      <c r="G1907" t="s">
        <v>50</v>
      </c>
      <c r="H1907">
        <v>48</v>
      </c>
      <c r="I1907" s="12" t="s">
        <v>24</v>
      </c>
      <c r="J1907" s="12" t="s">
        <v>35</v>
      </c>
      <c r="K1907" s="12" t="s">
        <v>60</v>
      </c>
      <c r="L1907" s="12" t="s">
        <v>215</v>
      </c>
      <c r="M1907" s="12" t="s">
        <v>130</v>
      </c>
      <c r="N1907" s="14">
        <v>0.19</v>
      </c>
      <c r="O1907" s="23">
        <v>979.49</v>
      </c>
      <c r="P1907">
        <v>158.13999999999999</v>
      </c>
      <c r="Q1907" s="12" t="str" cm="1">
        <f t="array" ref="Q1907:R1907">VLOOKUP(E1907,store[],{3,5},FALSE)</f>
        <v>North</v>
      </c>
      <c r="R1907" t="str">
        <v>Online</v>
      </c>
      <c r="S1907" s="4">
        <f t="shared" si="29"/>
        <v>979.3</v>
      </c>
    </row>
    <row r="1908" spans="1:19">
      <c r="A1908" t="s">
        <v>2720</v>
      </c>
      <c r="B1908" s="3">
        <v>45289</v>
      </c>
      <c r="C1908" t="s">
        <v>1661</v>
      </c>
      <c r="D1908" t="s">
        <v>377</v>
      </c>
      <c r="E1908" t="s">
        <v>198</v>
      </c>
      <c r="F1908">
        <v>3</v>
      </c>
      <c r="G1908" t="s">
        <v>50</v>
      </c>
      <c r="H1908">
        <v>38</v>
      </c>
      <c r="I1908" s="12" t="s">
        <v>24</v>
      </c>
      <c r="J1908" s="12" t="s">
        <v>360</v>
      </c>
      <c r="K1908" s="12" t="s">
        <v>26</v>
      </c>
      <c r="L1908" s="12" t="s">
        <v>379</v>
      </c>
      <c r="M1908" s="12" t="s">
        <v>28</v>
      </c>
      <c r="N1908" s="14">
        <v>0.3</v>
      </c>
      <c r="O1908" s="23">
        <v>988.53</v>
      </c>
      <c r="P1908">
        <v>144.53</v>
      </c>
      <c r="Q1908" s="12" t="str" cm="1">
        <f t="array" ref="Q1908:R1908">VLOOKUP(E1908,store[],{3,5},FALSE)</f>
        <v>South</v>
      </c>
      <c r="R1908" t="str">
        <v>Outlet</v>
      </c>
      <c r="S1908" s="4">
        <f t="shared" si="29"/>
        <v>2964.69</v>
      </c>
    </row>
    <row r="1909" spans="1:19">
      <c r="A1909" t="s">
        <v>2721</v>
      </c>
      <c r="B1909" s="3">
        <v>45704</v>
      </c>
      <c r="C1909" t="s">
        <v>322</v>
      </c>
      <c r="D1909" t="s">
        <v>49</v>
      </c>
      <c r="E1909" t="s">
        <v>22</v>
      </c>
      <c r="F1909">
        <v>4</v>
      </c>
      <c r="G1909" t="s">
        <v>23</v>
      </c>
      <c r="H1909">
        <v>21</v>
      </c>
      <c r="I1909" s="12" t="s">
        <v>24</v>
      </c>
      <c r="J1909" s="12" t="s">
        <v>308</v>
      </c>
      <c r="K1909" s="12" t="s">
        <v>26</v>
      </c>
      <c r="L1909" s="12" t="s">
        <v>53</v>
      </c>
      <c r="M1909" s="12" t="s">
        <v>37</v>
      </c>
      <c r="N1909" s="14">
        <v>0.26</v>
      </c>
      <c r="O1909" s="23">
        <v>849.29</v>
      </c>
      <c r="P1909">
        <v>392.89</v>
      </c>
      <c r="Q1909" s="12" t="str" cm="1">
        <f t="array" ref="Q1909:R1909">VLOOKUP(E1909,store[],{3,5},FALSE)</f>
        <v>North</v>
      </c>
      <c r="R1909" t="str">
        <v>Outlet</v>
      </c>
      <c r="S1909" s="4">
        <f t="shared" si="29"/>
        <v>3396.12</v>
      </c>
    </row>
    <row r="1910" spans="1:19">
      <c r="A1910" t="s">
        <v>2722</v>
      </c>
      <c r="B1910" s="3">
        <v>45318</v>
      </c>
      <c r="C1910" t="s">
        <v>497</v>
      </c>
      <c r="D1910" t="s">
        <v>1126</v>
      </c>
      <c r="E1910" t="s">
        <v>98</v>
      </c>
      <c r="F1910">
        <v>2</v>
      </c>
      <c r="G1910" t="s">
        <v>50</v>
      </c>
      <c r="H1910">
        <v>38</v>
      </c>
      <c r="I1910" s="12" t="s">
        <v>24</v>
      </c>
      <c r="J1910" s="12" t="s">
        <v>498</v>
      </c>
      <c r="K1910" s="12" t="s">
        <v>73</v>
      </c>
      <c r="L1910" s="12" t="s">
        <v>1127</v>
      </c>
      <c r="M1910" s="12" t="s">
        <v>28</v>
      </c>
      <c r="N1910" s="14">
        <v>0.01</v>
      </c>
      <c r="O1910" s="23">
        <v>452.29</v>
      </c>
      <c r="P1910">
        <v>60.65</v>
      </c>
      <c r="Q1910" s="12" t="str" cm="1">
        <f t="array" ref="Q1910:R1910">VLOOKUP(E1910,store[],{3,5},FALSE)</f>
        <v>South</v>
      </c>
      <c r="R1910" t="str">
        <v>Outlet</v>
      </c>
      <c r="S1910" s="4">
        <f t="shared" si="29"/>
        <v>904.56</v>
      </c>
    </row>
    <row r="1911" spans="1:19">
      <c r="A1911" t="s">
        <v>2723</v>
      </c>
      <c r="B1911" s="3">
        <v>45495</v>
      </c>
      <c r="C1911" t="s">
        <v>1134</v>
      </c>
      <c r="D1911" t="s">
        <v>420</v>
      </c>
      <c r="E1911" t="s">
        <v>160</v>
      </c>
      <c r="F1911">
        <v>2</v>
      </c>
      <c r="G1911" t="s">
        <v>50</v>
      </c>
      <c r="H1911">
        <v>41</v>
      </c>
      <c r="I1911" s="12" t="s">
        <v>34</v>
      </c>
      <c r="J1911" s="12" t="s">
        <v>498</v>
      </c>
      <c r="K1911" s="12" t="s">
        <v>52</v>
      </c>
      <c r="L1911" s="12" t="s">
        <v>421</v>
      </c>
      <c r="M1911" s="12" t="s">
        <v>28</v>
      </c>
      <c r="N1911" s="14">
        <v>0.11</v>
      </c>
      <c r="O1911" s="23">
        <v>810.81</v>
      </c>
      <c r="P1911">
        <v>434.84</v>
      </c>
      <c r="Q1911" s="12" t="str" cm="1">
        <f t="array" ref="Q1911:R1911">VLOOKUP(E1911,store[],{3,5},FALSE)</f>
        <v>East</v>
      </c>
      <c r="R1911" t="str">
        <v>Flagship</v>
      </c>
      <c r="S1911" s="4">
        <f t="shared" si="29"/>
        <v>1621.4</v>
      </c>
    </row>
    <row r="1912" spans="1:19">
      <c r="A1912" t="s">
        <v>2724</v>
      </c>
      <c r="B1912" s="3">
        <v>45560</v>
      </c>
      <c r="C1912" t="s">
        <v>727</v>
      </c>
      <c r="D1912" t="s">
        <v>698</v>
      </c>
      <c r="E1912" t="s">
        <v>43</v>
      </c>
      <c r="F1912">
        <v>1</v>
      </c>
      <c r="G1912" t="s">
        <v>50</v>
      </c>
      <c r="H1912">
        <v>41</v>
      </c>
      <c r="I1912" s="12" t="s">
        <v>24</v>
      </c>
      <c r="J1912" s="12" t="s">
        <v>609</v>
      </c>
      <c r="K1912" s="12" t="s">
        <v>60</v>
      </c>
      <c r="L1912" s="12" t="s">
        <v>699</v>
      </c>
      <c r="M1912" s="12" t="s">
        <v>28</v>
      </c>
      <c r="N1912" s="14">
        <v>0.1</v>
      </c>
      <c r="O1912" s="23">
        <v>846.67</v>
      </c>
      <c r="P1912">
        <v>103.45</v>
      </c>
      <c r="Q1912" s="12" t="str" cm="1">
        <f t="array" ref="Q1912:R1912">VLOOKUP(E1912,store[],{3,5},FALSE)</f>
        <v>West</v>
      </c>
      <c r="R1912" t="str">
        <v>Online</v>
      </c>
      <c r="S1912" s="4">
        <f t="shared" si="29"/>
        <v>846.57</v>
      </c>
    </row>
    <row r="1913" spans="1:19">
      <c r="A1913" t="s">
        <v>2725</v>
      </c>
      <c r="B1913" s="3">
        <v>45367</v>
      </c>
      <c r="C1913" t="s">
        <v>827</v>
      </c>
      <c r="D1913" t="s">
        <v>97</v>
      </c>
      <c r="E1913" t="s">
        <v>179</v>
      </c>
      <c r="F1913">
        <v>4</v>
      </c>
      <c r="G1913" t="s">
        <v>50</v>
      </c>
      <c r="H1913">
        <v>60</v>
      </c>
      <c r="I1913" s="12" t="s">
        <v>34</v>
      </c>
      <c r="J1913" s="12" t="s">
        <v>360</v>
      </c>
      <c r="K1913" s="12" t="s">
        <v>52</v>
      </c>
      <c r="L1913" s="12" t="s">
        <v>100</v>
      </c>
      <c r="M1913" s="12" t="s">
        <v>28</v>
      </c>
      <c r="N1913" s="14">
        <v>0.24</v>
      </c>
      <c r="O1913" s="23">
        <v>73.55</v>
      </c>
      <c r="P1913">
        <v>166.06</v>
      </c>
      <c r="Q1913" s="12" t="str" cm="1">
        <f t="array" ref="Q1913:R1913">VLOOKUP(E1913,store[],{3,5},FALSE)</f>
        <v>East</v>
      </c>
      <c r="R1913" t="str">
        <v>Online</v>
      </c>
      <c r="S1913" s="4">
        <f t="shared" si="29"/>
        <v>293.24</v>
      </c>
    </row>
    <row r="1914" spans="1:19">
      <c r="A1914" t="s">
        <v>2726</v>
      </c>
      <c r="B1914" s="3">
        <v>45861</v>
      </c>
      <c r="C1914" t="s">
        <v>1212</v>
      </c>
      <c r="D1914" t="s">
        <v>603</v>
      </c>
      <c r="E1914" t="s">
        <v>179</v>
      </c>
      <c r="F1914">
        <v>1</v>
      </c>
      <c r="G1914" t="s">
        <v>50</v>
      </c>
      <c r="H1914">
        <v>42</v>
      </c>
      <c r="I1914" s="12" t="s">
        <v>34</v>
      </c>
      <c r="J1914" s="12" t="s">
        <v>67</v>
      </c>
      <c r="K1914" s="12" t="s">
        <v>52</v>
      </c>
      <c r="L1914" s="12" t="s">
        <v>604</v>
      </c>
      <c r="M1914" s="12" t="s">
        <v>75</v>
      </c>
      <c r="N1914" s="14">
        <v>0.04</v>
      </c>
      <c r="O1914" s="23">
        <v>882.03</v>
      </c>
      <c r="P1914">
        <v>447.43</v>
      </c>
      <c r="Q1914" s="12" t="str" cm="1">
        <f t="array" ref="Q1914:R1914">VLOOKUP(E1914,store[],{3,5},FALSE)</f>
        <v>East</v>
      </c>
      <c r="R1914" t="str">
        <v>Online</v>
      </c>
      <c r="S1914" s="4">
        <f t="shared" si="29"/>
        <v>881.99</v>
      </c>
    </row>
    <row r="1915" spans="1:19">
      <c r="A1915" t="s">
        <v>2727</v>
      </c>
      <c r="B1915" s="3">
        <v>45589</v>
      </c>
      <c r="C1915" t="s">
        <v>270</v>
      </c>
      <c r="D1915" t="s">
        <v>443</v>
      </c>
      <c r="E1915" t="s">
        <v>98</v>
      </c>
      <c r="F1915">
        <v>1</v>
      </c>
      <c r="G1915" t="s">
        <v>23</v>
      </c>
      <c r="H1915">
        <v>53</v>
      </c>
      <c r="I1915" s="12" t="s">
        <v>34</v>
      </c>
      <c r="J1915" s="12" t="s">
        <v>214</v>
      </c>
      <c r="K1915" s="12" t="s">
        <v>26</v>
      </c>
      <c r="L1915" s="12" t="s">
        <v>445</v>
      </c>
      <c r="M1915" s="12" t="s">
        <v>28</v>
      </c>
      <c r="N1915" s="14">
        <v>0.21</v>
      </c>
      <c r="O1915" s="23">
        <v>958.44</v>
      </c>
      <c r="P1915">
        <v>484.62</v>
      </c>
      <c r="Q1915" s="12" t="str" cm="1">
        <f t="array" ref="Q1915:R1915">VLOOKUP(E1915,store[],{3,5},FALSE)</f>
        <v>South</v>
      </c>
      <c r="R1915" t="str">
        <v>Outlet</v>
      </c>
      <c r="S1915" s="4">
        <f t="shared" si="29"/>
        <v>958.23</v>
      </c>
    </row>
    <row r="1916" spans="1:19">
      <c r="A1916" t="s">
        <v>2728</v>
      </c>
      <c r="B1916" s="3">
        <v>45560</v>
      </c>
      <c r="C1916" t="s">
        <v>270</v>
      </c>
      <c r="D1916" t="s">
        <v>85</v>
      </c>
      <c r="E1916" t="s">
        <v>198</v>
      </c>
      <c r="F1916">
        <v>1</v>
      </c>
      <c r="G1916" t="s">
        <v>33</v>
      </c>
      <c r="H1916">
        <v>53</v>
      </c>
      <c r="I1916" s="12" t="s">
        <v>34</v>
      </c>
      <c r="J1916" s="12" t="s">
        <v>214</v>
      </c>
      <c r="K1916" s="12" t="s">
        <v>26</v>
      </c>
      <c r="L1916" s="12" t="s">
        <v>86</v>
      </c>
      <c r="M1916" s="12" t="s">
        <v>75</v>
      </c>
      <c r="N1916" s="14">
        <v>0.01</v>
      </c>
      <c r="O1916" s="23">
        <v>716.29</v>
      </c>
      <c r="P1916">
        <v>201.41</v>
      </c>
      <c r="Q1916" s="12" t="str" cm="1">
        <f t="array" ref="Q1916:R1916">VLOOKUP(E1916,store[],{3,5},FALSE)</f>
        <v>South</v>
      </c>
      <c r="R1916" t="str">
        <v>Outlet</v>
      </c>
      <c r="S1916" s="4">
        <f t="shared" si="29"/>
        <v>716.28</v>
      </c>
    </row>
    <row r="1917" spans="1:19">
      <c r="A1917" t="s">
        <v>2729</v>
      </c>
      <c r="B1917" s="3">
        <v>45408</v>
      </c>
      <c r="C1917" t="s">
        <v>648</v>
      </c>
      <c r="D1917" t="s">
        <v>810</v>
      </c>
      <c r="E1917" t="s">
        <v>117</v>
      </c>
      <c r="F1917">
        <v>2</v>
      </c>
      <c r="G1917" t="s">
        <v>33</v>
      </c>
      <c r="H1917">
        <v>64</v>
      </c>
      <c r="I1917" s="12" t="s">
        <v>34</v>
      </c>
      <c r="J1917" s="12" t="s">
        <v>256</v>
      </c>
      <c r="K1917" s="12" t="s">
        <v>52</v>
      </c>
      <c r="L1917" s="12" t="s">
        <v>811</v>
      </c>
      <c r="M1917" s="12" t="s">
        <v>28</v>
      </c>
      <c r="N1917" s="14">
        <v>0.01</v>
      </c>
      <c r="O1917" s="23">
        <v>409.14</v>
      </c>
      <c r="P1917">
        <v>495.72</v>
      </c>
      <c r="Q1917" s="12" t="str" cm="1">
        <f t="array" ref="Q1917:R1917">VLOOKUP(E1917,store[],{3,5},FALSE)</f>
        <v>West</v>
      </c>
      <c r="R1917" t="str">
        <v>Flagship</v>
      </c>
      <c r="S1917" s="4">
        <f t="shared" si="29"/>
        <v>818.26</v>
      </c>
    </row>
    <row r="1918" spans="1:19">
      <c r="A1918" t="s">
        <v>2730</v>
      </c>
      <c r="B1918" s="3">
        <v>45714</v>
      </c>
      <c r="C1918" t="s">
        <v>259</v>
      </c>
      <c r="D1918" t="s">
        <v>85</v>
      </c>
      <c r="E1918" t="s">
        <v>127</v>
      </c>
      <c r="F1918">
        <v>4</v>
      </c>
      <c r="G1918" t="s">
        <v>33</v>
      </c>
      <c r="H1918">
        <v>26</v>
      </c>
      <c r="I1918" s="12" t="s">
        <v>34</v>
      </c>
      <c r="J1918" s="12" t="s">
        <v>260</v>
      </c>
      <c r="K1918" s="12" t="s">
        <v>52</v>
      </c>
      <c r="L1918" s="12" t="s">
        <v>86</v>
      </c>
      <c r="M1918" s="12" t="s">
        <v>75</v>
      </c>
      <c r="N1918" s="14">
        <v>0.1</v>
      </c>
      <c r="O1918" s="23">
        <v>261.73</v>
      </c>
      <c r="P1918">
        <v>201.41</v>
      </c>
      <c r="Q1918" s="12" t="str" cm="1">
        <f t="array" ref="Q1918:R1918">VLOOKUP(E1918,store[],{3,5},FALSE)</f>
        <v>South</v>
      </c>
      <c r="R1918" t="str">
        <v>Flagship</v>
      </c>
      <c r="S1918" s="4">
        <f t="shared" si="29"/>
        <v>1046.52</v>
      </c>
    </row>
    <row r="1919" spans="1:19">
      <c r="A1919" t="s">
        <v>2731</v>
      </c>
      <c r="B1919" s="3">
        <v>45661</v>
      </c>
      <c r="C1919" t="s">
        <v>819</v>
      </c>
      <c r="D1919" t="s">
        <v>173</v>
      </c>
      <c r="E1919" t="s">
        <v>90</v>
      </c>
      <c r="F1919">
        <v>2</v>
      </c>
      <c r="G1919" t="s">
        <v>50</v>
      </c>
      <c r="H1919">
        <v>18</v>
      </c>
      <c r="I1919" s="12" t="s">
        <v>24</v>
      </c>
      <c r="J1919" s="12" t="s">
        <v>510</v>
      </c>
      <c r="K1919" s="12" t="s">
        <v>60</v>
      </c>
      <c r="L1919" s="12" t="s">
        <v>174</v>
      </c>
      <c r="M1919" s="12" t="s">
        <v>46</v>
      </c>
      <c r="N1919" s="14">
        <v>0.2</v>
      </c>
      <c r="O1919" s="23">
        <v>687.35</v>
      </c>
      <c r="P1919">
        <v>115.82</v>
      </c>
      <c r="Q1919" s="12" t="str" cm="1">
        <f t="array" ref="Q1919:R1919">VLOOKUP(E1919,store[],{3,5},FALSE)</f>
        <v>East</v>
      </c>
      <c r="R1919" t="str">
        <v>Flagship</v>
      </c>
      <c r="S1919" s="4">
        <f t="shared" si="29"/>
        <v>1374.3</v>
      </c>
    </row>
    <row r="1920" spans="1:19">
      <c r="A1920" t="s">
        <v>2732</v>
      </c>
      <c r="B1920" s="3">
        <v>45921</v>
      </c>
      <c r="C1920" t="s">
        <v>2346</v>
      </c>
      <c r="D1920" t="s">
        <v>814</v>
      </c>
      <c r="E1920" t="s">
        <v>43</v>
      </c>
      <c r="F1920">
        <v>2</v>
      </c>
      <c r="G1920" t="s">
        <v>23</v>
      </c>
      <c r="H1920">
        <v>28</v>
      </c>
      <c r="I1920" s="12" t="s">
        <v>34</v>
      </c>
      <c r="J1920" s="12" t="s">
        <v>204</v>
      </c>
      <c r="K1920" s="12" t="s">
        <v>73</v>
      </c>
      <c r="L1920" s="12" t="s">
        <v>815</v>
      </c>
      <c r="M1920" s="12" t="s">
        <v>75</v>
      </c>
      <c r="N1920" s="14">
        <v>0.21</v>
      </c>
      <c r="O1920" s="23">
        <v>30.14</v>
      </c>
      <c r="P1920">
        <v>388.46</v>
      </c>
      <c r="Q1920" s="12" t="str" cm="1">
        <f t="array" ref="Q1920:R1920">VLOOKUP(E1920,store[],{3,5},FALSE)</f>
        <v>West</v>
      </c>
      <c r="R1920" t="str">
        <v>Online</v>
      </c>
      <c r="S1920" s="4">
        <f t="shared" si="29"/>
        <v>59.86</v>
      </c>
    </row>
    <row r="1921" spans="1:19">
      <c r="A1921" t="s">
        <v>2733</v>
      </c>
      <c r="B1921" s="3">
        <v>45651</v>
      </c>
      <c r="C1921" t="s">
        <v>694</v>
      </c>
      <c r="D1921" t="s">
        <v>116</v>
      </c>
      <c r="E1921" t="s">
        <v>43</v>
      </c>
      <c r="F1921">
        <v>3</v>
      </c>
      <c r="G1921" t="s">
        <v>33</v>
      </c>
      <c r="H1921">
        <v>35</v>
      </c>
      <c r="I1921" s="12" t="s">
        <v>24</v>
      </c>
      <c r="J1921" s="12" t="s">
        <v>51</v>
      </c>
      <c r="K1921" s="12" t="s">
        <v>60</v>
      </c>
      <c r="L1921" s="12" t="s">
        <v>119</v>
      </c>
      <c r="M1921" s="12" t="s">
        <v>37</v>
      </c>
      <c r="N1921" s="14">
        <v>0.12</v>
      </c>
      <c r="O1921" s="23">
        <v>570.12</v>
      </c>
      <c r="P1921">
        <v>419.28</v>
      </c>
      <c r="Q1921" s="12" t="str" cm="1">
        <f t="array" ref="Q1921:R1921">VLOOKUP(E1921,store[],{3,5},FALSE)</f>
        <v>West</v>
      </c>
      <c r="R1921" t="str">
        <v>Online</v>
      </c>
      <c r="S1921" s="4">
        <f t="shared" si="29"/>
        <v>1710</v>
      </c>
    </row>
    <row r="1922" spans="1:19">
      <c r="A1922" t="s">
        <v>2734</v>
      </c>
      <c r="B1922" s="3">
        <v>45883</v>
      </c>
      <c r="C1922" t="s">
        <v>1379</v>
      </c>
      <c r="D1922" t="s">
        <v>192</v>
      </c>
      <c r="E1922" t="s">
        <v>135</v>
      </c>
      <c r="F1922">
        <v>3</v>
      </c>
      <c r="G1922" t="s">
        <v>50</v>
      </c>
      <c r="H1922">
        <v>59</v>
      </c>
      <c r="I1922" s="12" t="s">
        <v>24</v>
      </c>
      <c r="J1922" s="12" t="s">
        <v>440</v>
      </c>
      <c r="K1922" s="12" t="s">
        <v>52</v>
      </c>
      <c r="L1922" s="12" t="s">
        <v>194</v>
      </c>
      <c r="M1922" s="12" t="s">
        <v>37</v>
      </c>
      <c r="N1922" s="14">
        <v>0.28999999999999998</v>
      </c>
      <c r="O1922" s="23">
        <v>401.87</v>
      </c>
      <c r="P1922">
        <v>480.9</v>
      </c>
      <c r="Q1922" s="12" t="str" cm="1">
        <f t="array" ref="Q1922:R1922">VLOOKUP(E1922,store[],{3,5},FALSE)</f>
        <v>East</v>
      </c>
      <c r="R1922" t="str">
        <v>Online</v>
      </c>
      <c r="S1922" s="4">
        <f t="shared" ref="S1922:S1985" si="30">(O1922-N1922)*F1922</f>
        <v>1204.74</v>
      </c>
    </row>
    <row r="1923" spans="1:19">
      <c r="A1923" t="s">
        <v>2735</v>
      </c>
      <c r="B1923" s="3">
        <v>45624</v>
      </c>
      <c r="C1923" t="s">
        <v>500</v>
      </c>
      <c r="D1923" t="s">
        <v>221</v>
      </c>
      <c r="E1923" t="s">
        <v>208</v>
      </c>
      <c r="F1923">
        <v>4</v>
      </c>
      <c r="G1923" t="s">
        <v>23</v>
      </c>
      <c r="H1923">
        <v>56</v>
      </c>
      <c r="I1923" s="12" t="s">
        <v>24</v>
      </c>
      <c r="J1923" s="12" t="s">
        <v>308</v>
      </c>
      <c r="K1923" s="12" t="s">
        <v>73</v>
      </c>
      <c r="L1923" s="12" t="s">
        <v>223</v>
      </c>
      <c r="M1923" s="12" t="s">
        <v>75</v>
      </c>
      <c r="N1923" s="14">
        <v>0.3</v>
      </c>
      <c r="O1923" s="23">
        <v>619.35</v>
      </c>
      <c r="P1923">
        <v>228.53</v>
      </c>
      <c r="Q1923" s="12" t="str" cm="1">
        <f t="array" ref="Q1923:R1923">VLOOKUP(E1923,store[],{3,5},FALSE)</f>
        <v>North</v>
      </c>
      <c r="R1923" t="str">
        <v>Online</v>
      </c>
      <c r="S1923" s="4">
        <f t="shared" si="30"/>
        <v>2476.1999999999998</v>
      </c>
    </row>
    <row r="1924" spans="1:19">
      <c r="A1924" t="s">
        <v>2736</v>
      </c>
      <c r="B1924" s="3">
        <v>45276</v>
      </c>
      <c r="C1924" t="s">
        <v>1495</v>
      </c>
      <c r="D1924" t="s">
        <v>381</v>
      </c>
      <c r="E1924" t="s">
        <v>32</v>
      </c>
      <c r="F1924">
        <v>4</v>
      </c>
      <c r="G1924" t="s">
        <v>33</v>
      </c>
      <c r="H1924">
        <v>32</v>
      </c>
      <c r="I1924" s="12" t="s">
        <v>24</v>
      </c>
      <c r="J1924" s="12" t="s">
        <v>214</v>
      </c>
      <c r="K1924" s="12" t="s">
        <v>52</v>
      </c>
      <c r="L1924" s="12" t="s">
        <v>382</v>
      </c>
      <c r="M1924" s="12" t="s">
        <v>130</v>
      </c>
      <c r="N1924" s="14">
        <v>0.27</v>
      </c>
      <c r="O1924" s="23">
        <v>569.36</v>
      </c>
      <c r="P1924">
        <v>167.34</v>
      </c>
      <c r="Q1924" s="12" t="str" cm="1">
        <f t="array" ref="Q1924:R1924">VLOOKUP(E1924,store[],{3,5},FALSE)</f>
        <v>North</v>
      </c>
      <c r="R1924" t="str">
        <v>Flagship</v>
      </c>
      <c r="S1924" s="4">
        <f t="shared" si="30"/>
        <v>2276.36</v>
      </c>
    </row>
    <row r="1925" spans="1:19">
      <c r="A1925" t="s">
        <v>2737</v>
      </c>
      <c r="B1925" s="3">
        <v>45344</v>
      </c>
      <c r="C1925" t="s">
        <v>166</v>
      </c>
      <c r="D1925" t="s">
        <v>139</v>
      </c>
      <c r="E1925" t="s">
        <v>72</v>
      </c>
      <c r="F1925">
        <v>2</v>
      </c>
      <c r="G1925" t="s">
        <v>50</v>
      </c>
      <c r="H1925">
        <v>33</v>
      </c>
      <c r="I1925" s="12" t="s">
        <v>34</v>
      </c>
      <c r="J1925" s="12" t="s">
        <v>169</v>
      </c>
      <c r="K1925" s="12" t="s">
        <v>26</v>
      </c>
      <c r="L1925" s="12" t="s">
        <v>141</v>
      </c>
      <c r="M1925" s="12" t="s">
        <v>75</v>
      </c>
      <c r="N1925" s="14">
        <v>0.3</v>
      </c>
      <c r="O1925" s="23">
        <v>846.35</v>
      </c>
      <c r="P1925">
        <v>250.02157142857101</v>
      </c>
      <c r="Q1925" s="12" t="str" cm="1">
        <f t="array" ref="Q1925:R1925">VLOOKUP(E1925,store[],{3,5},FALSE)</f>
        <v>South</v>
      </c>
      <c r="R1925" t="str">
        <v>Online</v>
      </c>
      <c r="S1925" s="4">
        <f t="shared" si="30"/>
        <v>1692.1</v>
      </c>
    </row>
    <row r="1926" spans="1:19">
      <c r="A1926" t="s">
        <v>2738</v>
      </c>
      <c r="B1926" s="3">
        <v>45849</v>
      </c>
      <c r="C1926" t="s">
        <v>2710</v>
      </c>
      <c r="D1926" t="s">
        <v>271</v>
      </c>
      <c r="E1926" t="s">
        <v>198</v>
      </c>
      <c r="F1926">
        <v>1</v>
      </c>
      <c r="G1926" t="s">
        <v>33</v>
      </c>
      <c r="H1926">
        <v>48</v>
      </c>
      <c r="I1926" s="12" t="s">
        <v>34</v>
      </c>
      <c r="J1926" s="12" t="s">
        <v>260</v>
      </c>
      <c r="K1926" s="12" t="s">
        <v>26</v>
      </c>
      <c r="L1926" s="12" t="s">
        <v>273</v>
      </c>
      <c r="M1926" s="12" t="s">
        <v>75</v>
      </c>
      <c r="N1926" s="14">
        <v>0.28999999999999998</v>
      </c>
      <c r="O1926" s="23">
        <v>788.45</v>
      </c>
      <c r="P1926">
        <v>19.52</v>
      </c>
      <c r="Q1926" s="12" t="str" cm="1">
        <f t="array" ref="Q1926:R1926">VLOOKUP(E1926,store[],{3,5},FALSE)</f>
        <v>South</v>
      </c>
      <c r="R1926" t="str">
        <v>Outlet</v>
      </c>
      <c r="S1926" s="4">
        <f t="shared" si="30"/>
        <v>788.16</v>
      </c>
    </row>
    <row r="1927" spans="1:19">
      <c r="A1927" t="s">
        <v>2739</v>
      </c>
      <c r="B1927" s="3">
        <v>45880</v>
      </c>
      <c r="C1927" t="s">
        <v>940</v>
      </c>
      <c r="D1927" t="s">
        <v>487</v>
      </c>
      <c r="E1927" t="s">
        <v>208</v>
      </c>
      <c r="F1927">
        <v>2</v>
      </c>
      <c r="G1927" t="s">
        <v>50</v>
      </c>
      <c r="H1927">
        <v>34</v>
      </c>
      <c r="I1927" s="12" t="s">
        <v>24</v>
      </c>
      <c r="J1927" s="12" t="s">
        <v>140</v>
      </c>
      <c r="K1927" s="12" t="s">
        <v>52</v>
      </c>
      <c r="L1927" s="12" t="s">
        <v>488</v>
      </c>
      <c r="M1927" s="12" t="s">
        <v>75</v>
      </c>
      <c r="N1927" s="14">
        <v>7.0000000000000007E-2</v>
      </c>
      <c r="O1927" s="23">
        <v>338.81</v>
      </c>
      <c r="P1927">
        <v>382.22</v>
      </c>
      <c r="Q1927" s="12" t="str" cm="1">
        <f t="array" ref="Q1927:R1927">VLOOKUP(E1927,store[],{3,5},FALSE)</f>
        <v>North</v>
      </c>
      <c r="R1927" t="str">
        <v>Online</v>
      </c>
      <c r="S1927" s="4">
        <f t="shared" si="30"/>
        <v>677.48</v>
      </c>
    </row>
    <row r="1928" spans="1:19">
      <c r="A1928" t="s">
        <v>2740</v>
      </c>
      <c r="B1928" s="3">
        <v>45907</v>
      </c>
      <c r="C1928" t="s">
        <v>1223</v>
      </c>
      <c r="D1928" t="s">
        <v>480</v>
      </c>
      <c r="E1928" t="s">
        <v>58</v>
      </c>
      <c r="F1928">
        <v>4</v>
      </c>
      <c r="G1928" t="s">
        <v>50</v>
      </c>
      <c r="H1928">
        <v>18</v>
      </c>
      <c r="I1928" s="12" t="s">
        <v>34</v>
      </c>
      <c r="J1928" s="12" t="s">
        <v>80</v>
      </c>
      <c r="K1928" s="12" t="s">
        <v>26</v>
      </c>
      <c r="L1928" s="12" t="s">
        <v>481</v>
      </c>
      <c r="M1928" s="12" t="s">
        <v>75</v>
      </c>
      <c r="N1928" s="14">
        <v>0.06</v>
      </c>
      <c r="O1928" s="23">
        <v>94.48</v>
      </c>
      <c r="P1928">
        <v>48.01</v>
      </c>
      <c r="Q1928" s="12" t="str" cm="1">
        <f t="array" ref="Q1928:R1928">VLOOKUP(E1928,store[],{3,5},FALSE)</f>
        <v>North</v>
      </c>
      <c r="R1928" t="str">
        <v>Outlet</v>
      </c>
      <c r="S1928" s="4">
        <f t="shared" si="30"/>
        <v>377.68</v>
      </c>
    </row>
    <row r="1929" spans="1:19">
      <c r="A1929" t="s">
        <v>2741</v>
      </c>
      <c r="B1929" s="3">
        <v>45545</v>
      </c>
      <c r="C1929" t="s">
        <v>1062</v>
      </c>
      <c r="D1929" t="s">
        <v>314</v>
      </c>
      <c r="E1929" t="s">
        <v>149</v>
      </c>
      <c r="F1929">
        <v>3</v>
      </c>
      <c r="G1929" t="s">
        <v>33</v>
      </c>
      <c r="H1929">
        <v>41</v>
      </c>
      <c r="I1929" s="12" t="s">
        <v>34</v>
      </c>
      <c r="J1929" s="12" t="s">
        <v>333</v>
      </c>
      <c r="K1929" s="12" t="s">
        <v>52</v>
      </c>
      <c r="L1929" s="12" t="s">
        <v>315</v>
      </c>
      <c r="M1929" s="12" t="s">
        <v>28</v>
      </c>
      <c r="N1929" s="14">
        <v>0.16</v>
      </c>
      <c r="O1929" s="23">
        <v>941.85</v>
      </c>
      <c r="P1929">
        <v>21.34</v>
      </c>
      <c r="Q1929" s="12" t="str" cm="1">
        <f t="array" ref="Q1929:R1929">VLOOKUP(E1929,store[],{3,5},FALSE)</f>
        <v>East</v>
      </c>
      <c r="R1929" t="str">
        <v>Flagship</v>
      </c>
      <c r="S1929" s="4">
        <f t="shared" si="30"/>
        <v>2825.07</v>
      </c>
    </row>
    <row r="1930" spans="1:19">
      <c r="A1930" t="s">
        <v>2742</v>
      </c>
      <c r="B1930" s="3">
        <v>45257</v>
      </c>
      <c r="C1930" t="s">
        <v>954</v>
      </c>
      <c r="D1930" t="s">
        <v>344</v>
      </c>
      <c r="E1930" t="s">
        <v>58</v>
      </c>
      <c r="F1930">
        <v>2</v>
      </c>
      <c r="G1930" t="s">
        <v>33</v>
      </c>
      <c r="H1930">
        <v>18</v>
      </c>
      <c r="I1930" s="12" t="s">
        <v>34</v>
      </c>
      <c r="J1930" s="12" t="s">
        <v>251</v>
      </c>
      <c r="K1930" s="12" t="s">
        <v>60</v>
      </c>
      <c r="L1930" s="12" t="s">
        <v>347</v>
      </c>
      <c r="M1930" s="12" t="s">
        <v>28</v>
      </c>
      <c r="N1930" s="14">
        <v>0.14000000000000001</v>
      </c>
      <c r="O1930" s="23">
        <v>336.97</v>
      </c>
      <c r="P1930">
        <v>318.91000000000003</v>
      </c>
      <c r="Q1930" s="12" t="str" cm="1">
        <f t="array" ref="Q1930:R1930">VLOOKUP(E1930,store[],{3,5},FALSE)</f>
        <v>North</v>
      </c>
      <c r="R1930" t="str">
        <v>Outlet</v>
      </c>
      <c r="S1930" s="4">
        <f t="shared" si="30"/>
        <v>673.66</v>
      </c>
    </row>
    <row r="1931" spans="1:19">
      <c r="A1931" t="s">
        <v>2743</v>
      </c>
      <c r="B1931" s="3">
        <v>45466</v>
      </c>
      <c r="C1931" t="s">
        <v>1806</v>
      </c>
      <c r="D1931" t="s">
        <v>183</v>
      </c>
      <c r="E1931" t="s">
        <v>58</v>
      </c>
      <c r="F1931">
        <v>2</v>
      </c>
      <c r="G1931" t="s">
        <v>33</v>
      </c>
      <c r="H1931">
        <v>20</v>
      </c>
      <c r="I1931" s="12" t="s">
        <v>24</v>
      </c>
      <c r="J1931" s="12" t="s">
        <v>35</v>
      </c>
      <c r="K1931" s="12" t="s">
        <v>60</v>
      </c>
      <c r="L1931" s="12" t="s">
        <v>184</v>
      </c>
      <c r="M1931" s="12" t="s">
        <v>130</v>
      </c>
      <c r="N1931" s="14">
        <v>0.09</v>
      </c>
      <c r="O1931" s="23">
        <v>344.16</v>
      </c>
      <c r="P1931">
        <v>261</v>
      </c>
      <c r="Q1931" s="12" t="str" cm="1">
        <f t="array" ref="Q1931:R1931">VLOOKUP(E1931,store[],{3,5},FALSE)</f>
        <v>North</v>
      </c>
      <c r="R1931" t="str">
        <v>Outlet</v>
      </c>
      <c r="S1931" s="4">
        <f t="shared" si="30"/>
        <v>688.14</v>
      </c>
    </row>
    <row r="1932" spans="1:19">
      <c r="A1932" t="s">
        <v>2744</v>
      </c>
      <c r="B1932" s="3">
        <v>45847</v>
      </c>
      <c r="C1932" t="s">
        <v>1085</v>
      </c>
      <c r="D1932" t="s">
        <v>505</v>
      </c>
      <c r="E1932" t="s">
        <v>127</v>
      </c>
      <c r="F1932">
        <v>1</v>
      </c>
      <c r="G1932" t="s">
        <v>23</v>
      </c>
      <c r="H1932">
        <v>29</v>
      </c>
      <c r="I1932" s="12" t="s">
        <v>24</v>
      </c>
      <c r="J1932" s="12" t="s">
        <v>609</v>
      </c>
      <c r="K1932" s="12" t="s">
        <v>60</v>
      </c>
      <c r="L1932" s="12" t="s">
        <v>506</v>
      </c>
      <c r="M1932" s="12" t="s">
        <v>37</v>
      </c>
      <c r="N1932" s="14">
        <v>0.15</v>
      </c>
      <c r="O1932" s="23">
        <v>841.53</v>
      </c>
      <c r="P1932">
        <v>177.98</v>
      </c>
      <c r="Q1932" s="12" t="str" cm="1">
        <f t="array" ref="Q1932:R1932">VLOOKUP(E1932,store[],{3,5},FALSE)</f>
        <v>South</v>
      </c>
      <c r="R1932" t="str">
        <v>Flagship</v>
      </c>
      <c r="S1932" s="4">
        <f t="shared" si="30"/>
        <v>841.38</v>
      </c>
    </row>
    <row r="1933" spans="1:19">
      <c r="A1933" t="s">
        <v>2745</v>
      </c>
      <c r="B1933" s="3">
        <v>45825</v>
      </c>
      <c r="C1933" t="s">
        <v>643</v>
      </c>
      <c r="D1933" t="s">
        <v>359</v>
      </c>
      <c r="E1933" t="s">
        <v>32</v>
      </c>
      <c r="F1933">
        <v>3</v>
      </c>
      <c r="G1933" t="s">
        <v>50</v>
      </c>
      <c r="H1933">
        <v>53</v>
      </c>
      <c r="I1933" s="12" t="s">
        <v>24</v>
      </c>
      <c r="J1933" s="12" t="s">
        <v>256</v>
      </c>
      <c r="K1933" s="12" t="s">
        <v>73</v>
      </c>
      <c r="L1933" s="12" t="s">
        <v>361</v>
      </c>
      <c r="M1933" s="12" t="s">
        <v>46</v>
      </c>
      <c r="N1933" s="14">
        <v>0.28999999999999998</v>
      </c>
      <c r="O1933" s="23">
        <v>63.36</v>
      </c>
      <c r="P1933">
        <v>289.359375</v>
      </c>
      <c r="Q1933" s="12" t="str" cm="1">
        <f t="array" ref="Q1933:R1933">VLOOKUP(E1933,store[],{3,5},FALSE)</f>
        <v>North</v>
      </c>
      <c r="R1933" t="str">
        <v>Flagship</v>
      </c>
      <c r="S1933" s="4">
        <f t="shared" si="30"/>
        <v>189.21</v>
      </c>
    </row>
    <row r="1934" spans="1:19">
      <c r="A1934" t="s">
        <v>2746</v>
      </c>
      <c r="B1934" s="3">
        <v>45839</v>
      </c>
      <c r="C1934" t="s">
        <v>500</v>
      </c>
      <c r="D1934" t="s">
        <v>267</v>
      </c>
      <c r="E1934" t="s">
        <v>43</v>
      </c>
      <c r="F1934">
        <v>2</v>
      </c>
      <c r="G1934" t="s">
        <v>23</v>
      </c>
      <c r="H1934">
        <v>56</v>
      </c>
      <c r="I1934" s="12" t="s">
        <v>24</v>
      </c>
      <c r="J1934" s="12" t="s">
        <v>308</v>
      </c>
      <c r="K1934" s="12" t="s">
        <v>73</v>
      </c>
      <c r="L1934" s="12" t="s">
        <v>268</v>
      </c>
      <c r="M1934" s="12" t="s">
        <v>75</v>
      </c>
      <c r="N1934" s="14">
        <v>0.1</v>
      </c>
      <c r="O1934" s="23">
        <v>552.49</v>
      </c>
      <c r="P1934">
        <v>325.26</v>
      </c>
      <c r="Q1934" s="12" t="str" cm="1">
        <f t="array" ref="Q1934:R1934">VLOOKUP(E1934,store[],{3,5},FALSE)</f>
        <v>West</v>
      </c>
      <c r="R1934" t="str">
        <v>Online</v>
      </c>
      <c r="S1934" s="4">
        <f t="shared" si="30"/>
        <v>1104.78</v>
      </c>
    </row>
    <row r="1935" spans="1:19">
      <c r="A1935" t="s">
        <v>2747</v>
      </c>
      <c r="B1935" s="3">
        <v>45720</v>
      </c>
      <c r="C1935" t="s">
        <v>2250</v>
      </c>
      <c r="D1935" t="s">
        <v>97</v>
      </c>
      <c r="E1935" t="s">
        <v>179</v>
      </c>
      <c r="F1935">
        <v>3</v>
      </c>
      <c r="G1935" t="s">
        <v>23</v>
      </c>
      <c r="H1935">
        <v>42</v>
      </c>
      <c r="I1935" s="12" t="s">
        <v>34</v>
      </c>
      <c r="J1935" s="12" t="s">
        <v>498</v>
      </c>
      <c r="K1935" s="12" t="s">
        <v>73</v>
      </c>
      <c r="L1935" s="12" t="s">
        <v>100</v>
      </c>
      <c r="M1935" s="12" t="s">
        <v>28</v>
      </c>
      <c r="N1935" s="14">
        <v>0.03</v>
      </c>
      <c r="O1935" s="23">
        <v>447.38</v>
      </c>
      <c r="P1935">
        <v>166.06</v>
      </c>
      <c r="Q1935" s="12" t="str" cm="1">
        <f t="array" ref="Q1935:R1935">VLOOKUP(E1935,store[],{3,5},FALSE)</f>
        <v>East</v>
      </c>
      <c r="R1935" t="str">
        <v>Online</v>
      </c>
      <c r="S1935" s="4">
        <f t="shared" si="30"/>
        <v>1342.05</v>
      </c>
    </row>
    <row r="1936" spans="1:19">
      <c r="A1936" t="s">
        <v>2748</v>
      </c>
      <c r="B1936" s="3">
        <v>45250</v>
      </c>
      <c r="C1936" t="s">
        <v>2037</v>
      </c>
      <c r="D1936" t="s">
        <v>575</v>
      </c>
      <c r="E1936" t="s">
        <v>135</v>
      </c>
      <c r="F1936">
        <v>1</v>
      </c>
      <c r="G1936" t="s">
        <v>50</v>
      </c>
      <c r="H1936">
        <v>59</v>
      </c>
      <c r="I1936" s="12" t="s">
        <v>24</v>
      </c>
      <c r="J1936" s="12" t="s">
        <v>761</v>
      </c>
      <c r="K1936" s="12" t="s">
        <v>73</v>
      </c>
      <c r="L1936" s="12" t="s">
        <v>576</v>
      </c>
      <c r="M1936" s="12" t="s">
        <v>28</v>
      </c>
      <c r="N1936" s="14">
        <v>0.21</v>
      </c>
      <c r="O1936" s="23">
        <v>727.7</v>
      </c>
      <c r="P1936">
        <v>107.06</v>
      </c>
      <c r="Q1936" s="12" t="str" cm="1">
        <f t="array" ref="Q1936:R1936">VLOOKUP(E1936,store[],{3,5},FALSE)</f>
        <v>East</v>
      </c>
      <c r="R1936" t="str">
        <v>Online</v>
      </c>
      <c r="S1936" s="4">
        <f t="shared" si="30"/>
        <v>727.49</v>
      </c>
    </row>
    <row r="1937" spans="1:19">
      <c r="A1937" t="s">
        <v>2749</v>
      </c>
      <c r="B1937" s="3">
        <v>45258</v>
      </c>
      <c r="C1937" t="s">
        <v>1790</v>
      </c>
      <c r="D1937" t="s">
        <v>501</v>
      </c>
      <c r="E1937" t="s">
        <v>66</v>
      </c>
      <c r="F1937">
        <v>4</v>
      </c>
      <c r="G1937" t="s">
        <v>23</v>
      </c>
      <c r="H1937">
        <v>61</v>
      </c>
      <c r="I1937" s="12" t="s">
        <v>24</v>
      </c>
      <c r="J1937" s="12" t="s">
        <v>345</v>
      </c>
      <c r="K1937" s="12" t="s">
        <v>26</v>
      </c>
      <c r="L1937" s="12" t="s">
        <v>502</v>
      </c>
      <c r="M1937" s="12" t="s">
        <v>37</v>
      </c>
      <c r="N1937" s="14">
        <v>0.08</v>
      </c>
      <c r="O1937" s="23">
        <v>581.34</v>
      </c>
      <c r="P1937">
        <v>88.49</v>
      </c>
      <c r="Q1937" s="12" t="str" cm="1">
        <f t="array" ref="Q1937:R1937">VLOOKUP(E1937,store[],{3,5},FALSE)</f>
        <v>South</v>
      </c>
      <c r="R1937" t="str">
        <v>Online</v>
      </c>
      <c r="S1937" s="4">
        <f t="shared" si="30"/>
        <v>2325.04</v>
      </c>
    </row>
    <row r="1938" spans="1:19">
      <c r="A1938" t="s">
        <v>2750</v>
      </c>
      <c r="B1938" s="3">
        <v>45793</v>
      </c>
      <c r="C1938" t="s">
        <v>701</v>
      </c>
      <c r="D1938" t="s">
        <v>532</v>
      </c>
      <c r="E1938" t="s">
        <v>105</v>
      </c>
      <c r="F1938">
        <v>1</v>
      </c>
      <c r="G1938" t="s">
        <v>33</v>
      </c>
      <c r="H1938">
        <v>30</v>
      </c>
      <c r="I1938" s="12" t="s">
        <v>34</v>
      </c>
      <c r="J1938" s="12" t="s">
        <v>378</v>
      </c>
      <c r="K1938" s="12" t="s">
        <v>52</v>
      </c>
      <c r="L1938" s="12" t="s">
        <v>533</v>
      </c>
      <c r="M1938" s="12" t="s">
        <v>46</v>
      </c>
      <c r="N1938" s="14">
        <v>0.19</v>
      </c>
      <c r="O1938" s="23">
        <v>338.83</v>
      </c>
      <c r="P1938">
        <v>340.39</v>
      </c>
      <c r="Q1938" s="12" t="str" cm="1">
        <f t="array" ref="Q1938:R1938">VLOOKUP(E1938,store[],{3,5},FALSE)</f>
        <v>North</v>
      </c>
      <c r="R1938" t="str">
        <v>Flagship</v>
      </c>
      <c r="S1938" s="4">
        <f t="shared" si="30"/>
        <v>338.64</v>
      </c>
    </row>
    <row r="1939" spans="1:19">
      <c r="A1939" t="s">
        <v>2751</v>
      </c>
      <c r="B1939" s="3">
        <v>45265</v>
      </c>
      <c r="C1939" t="s">
        <v>1404</v>
      </c>
      <c r="D1939" t="s">
        <v>42</v>
      </c>
      <c r="E1939" t="s">
        <v>149</v>
      </c>
      <c r="F1939">
        <v>4</v>
      </c>
      <c r="G1939" t="s">
        <v>23</v>
      </c>
      <c r="H1939">
        <v>46</v>
      </c>
      <c r="I1939" s="12" t="s">
        <v>34</v>
      </c>
      <c r="J1939" s="12" t="s">
        <v>463</v>
      </c>
      <c r="K1939" s="12" t="s">
        <v>60</v>
      </c>
      <c r="L1939" s="12" t="s">
        <v>45</v>
      </c>
      <c r="M1939" s="12" t="s">
        <v>46</v>
      </c>
      <c r="N1939" s="14">
        <v>0.25</v>
      </c>
      <c r="O1939" s="23">
        <v>568.80999999999995</v>
      </c>
      <c r="P1939">
        <v>43.29</v>
      </c>
      <c r="Q1939" s="12" t="str" cm="1">
        <f t="array" ref="Q1939:R1939">VLOOKUP(E1939,store[],{3,5},FALSE)</f>
        <v>East</v>
      </c>
      <c r="R1939" t="str">
        <v>Flagship</v>
      </c>
      <c r="S1939" s="4">
        <f t="shared" si="30"/>
        <v>2274.2399999999998</v>
      </c>
    </row>
    <row r="1940" spans="1:19">
      <c r="A1940" t="s">
        <v>2752</v>
      </c>
      <c r="B1940" s="3">
        <v>45607</v>
      </c>
      <c r="C1940" t="s">
        <v>1873</v>
      </c>
      <c r="D1940" t="s">
        <v>698</v>
      </c>
      <c r="E1940" t="s">
        <v>32</v>
      </c>
      <c r="F1940">
        <v>2</v>
      </c>
      <c r="G1940" t="s">
        <v>33</v>
      </c>
      <c r="H1940">
        <v>26</v>
      </c>
      <c r="I1940" s="12" t="s">
        <v>24</v>
      </c>
      <c r="J1940" s="12" t="s">
        <v>510</v>
      </c>
      <c r="K1940" s="12" t="s">
        <v>52</v>
      </c>
      <c r="L1940" s="12" t="s">
        <v>699</v>
      </c>
      <c r="M1940" s="12" t="s">
        <v>28</v>
      </c>
      <c r="N1940" s="14">
        <v>0.15</v>
      </c>
      <c r="O1940" s="23">
        <v>352.63</v>
      </c>
      <c r="P1940">
        <v>103.45</v>
      </c>
      <c r="Q1940" s="12" t="str" cm="1">
        <f t="array" ref="Q1940:R1940">VLOOKUP(E1940,store[],{3,5},FALSE)</f>
        <v>North</v>
      </c>
      <c r="R1940" t="str">
        <v>Flagship</v>
      </c>
      <c r="S1940" s="4">
        <f t="shared" si="30"/>
        <v>704.96</v>
      </c>
    </row>
    <row r="1941" spans="1:19">
      <c r="A1941" t="s">
        <v>2753</v>
      </c>
      <c r="B1941" s="3">
        <v>45382</v>
      </c>
      <c r="C1941" t="s">
        <v>1120</v>
      </c>
      <c r="D1941" t="s">
        <v>1259</v>
      </c>
      <c r="E1941" t="s">
        <v>149</v>
      </c>
      <c r="F1941">
        <v>2</v>
      </c>
      <c r="G1941" t="s">
        <v>33</v>
      </c>
      <c r="H1941">
        <v>46</v>
      </c>
      <c r="I1941" s="12" t="s">
        <v>24</v>
      </c>
      <c r="J1941" s="12" t="s">
        <v>188</v>
      </c>
      <c r="K1941" s="12" t="s">
        <v>73</v>
      </c>
      <c r="L1941" s="12" t="s">
        <v>1260</v>
      </c>
      <c r="M1941" s="12" t="s">
        <v>130</v>
      </c>
      <c r="N1941" s="14">
        <v>0.15</v>
      </c>
      <c r="O1941" s="23">
        <v>629.86</v>
      </c>
      <c r="P1941">
        <v>358.47</v>
      </c>
      <c r="Q1941" s="12" t="str" cm="1">
        <f t="array" ref="Q1941:R1941">VLOOKUP(E1941,store[],{3,5},FALSE)</f>
        <v>East</v>
      </c>
      <c r="R1941" t="str">
        <v>Flagship</v>
      </c>
      <c r="S1941" s="4">
        <f t="shared" si="30"/>
        <v>1259.42</v>
      </c>
    </row>
    <row r="1942" spans="1:19">
      <c r="A1942" t="s">
        <v>2754</v>
      </c>
      <c r="B1942" s="3">
        <v>45793</v>
      </c>
      <c r="C1942" t="s">
        <v>56</v>
      </c>
      <c r="D1942" t="s">
        <v>187</v>
      </c>
      <c r="E1942" t="s">
        <v>22</v>
      </c>
      <c r="F1942">
        <v>3</v>
      </c>
      <c r="G1942" t="s">
        <v>23</v>
      </c>
      <c r="H1942">
        <v>28</v>
      </c>
      <c r="I1942" s="12" t="s">
        <v>24</v>
      </c>
      <c r="J1942" s="12" t="s">
        <v>59</v>
      </c>
      <c r="K1942" s="12" t="s">
        <v>60</v>
      </c>
      <c r="L1942" s="12" t="s">
        <v>189</v>
      </c>
      <c r="M1942" s="12" t="s">
        <v>37</v>
      </c>
      <c r="N1942" s="14">
        <v>7.0000000000000007E-2</v>
      </c>
      <c r="O1942" s="23">
        <v>212.08</v>
      </c>
      <c r="P1942">
        <v>431.67</v>
      </c>
      <c r="Q1942" s="12" t="str" cm="1">
        <f t="array" ref="Q1942:R1942">VLOOKUP(E1942,store[],{3,5},FALSE)</f>
        <v>North</v>
      </c>
      <c r="R1942" t="str">
        <v>Outlet</v>
      </c>
      <c r="S1942" s="4">
        <f t="shared" si="30"/>
        <v>636.03</v>
      </c>
    </row>
    <row r="1943" spans="1:19">
      <c r="A1943" t="s">
        <v>2755</v>
      </c>
      <c r="B1943" s="3">
        <v>45590</v>
      </c>
      <c r="C1943" t="s">
        <v>954</v>
      </c>
      <c r="D1943" t="s">
        <v>509</v>
      </c>
      <c r="E1943" t="s">
        <v>198</v>
      </c>
      <c r="F1943">
        <v>3</v>
      </c>
      <c r="G1943" t="s">
        <v>33</v>
      </c>
      <c r="H1943">
        <v>18</v>
      </c>
      <c r="I1943" s="12" t="s">
        <v>34</v>
      </c>
      <c r="J1943" s="12" t="s">
        <v>251</v>
      </c>
      <c r="K1943" s="12" t="s">
        <v>60</v>
      </c>
      <c r="L1943" s="12" t="s">
        <v>511</v>
      </c>
      <c r="M1943" s="12" t="s">
        <v>28</v>
      </c>
      <c r="N1943" s="14">
        <v>0.05</v>
      </c>
      <c r="O1943" s="23">
        <v>878.62</v>
      </c>
      <c r="P1943">
        <v>30.62</v>
      </c>
      <c r="Q1943" s="12" t="str" cm="1">
        <f t="array" ref="Q1943:R1943">VLOOKUP(E1943,store[],{3,5},FALSE)</f>
        <v>South</v>
      </c>
      <c r="R1943" t="str">
        <v>Outlet</v>
      </c>
      <c r="S1943" s="4">
        <f t="shared" si="30"/>
        <v>2635.71</v>
      </c>
    </row>
    <row r="1944" spans="1:19">
      <c r="A1944" t="s">
        <v>2756</v>
      </c>
      <c r="B1944" s="3">
        <v>45679</v>
      </c>
      <c r="C1944" t="s">
        <v>1165</v>
      </c>
      <c r="D1944" t="s">
        <v>429</v>
      </c>
      <c r="E1944" t="s">
        <v>168</v>
      </c>
      <c r="F1944">
        <v>4</v>
      </c>
      <c r="G1944" t="s">
        <v>33</v>
      </c>
      <c r="H1944">
        <v>27</v>
      </c>
      <c r="I1944" s="12" t="s">
        <v>34</v>
      </c>
      <c r="J1944" s="12" t="s">
        <v>609</v>
      </c>
      <c r="K1944" s="12" t="s">
        <v>60</v>
      </c>
      <c r="L1944" s="12" t="s">
        <v>430</v>
      </c>
      <c r="M1944" s="12" t="s">
        <v>75</v>
      </c>
      <c r="N1944" s="14">
        <v>0.23</v>
      </c>
      <c r="O1944" s="23">
        <v>87.83</v>
      </c>
      <c r="P1944">
        <v>143.43</v>
      </c>
      <c r="Q1944" s="12" t="str" cm="1">
        <f t="array" ref="Q1944:R1944">VLOOKUP(E1944,store[],{3,5},FALSE)</f>
        <v>East</v>
      </c>
      <c r="R1944" t="str">
        <v>Online</v>
      </c>
      <c r="S1944" s="4">
        <f t="shared" si="30"/>
        <v>350.4</v>
      </c>
    </row>
    <row r="1945" spans="1:19">
      <c r="A1945" t="s">
        <v>2757</v>
      </c>
      <c r="B1945" s="3">
        <v>45814</v>
      </c>
      <c r="C1945" t="s">
        <v>712</v>
      </c>
      <c r="D1945" t="s">
        <v>71</v>
      </c>
      <c r="E1945" t="s">
        <v>127</v>
      </c>
      <c r="F1945">
        <v>3</v>
      </c>
      <c r="G1945" t="s">
        <v>50</v>
      </c>
      <c r="H1945">
        <v>22</v>
      </c>
      <c r="I1945" s="12" t="s">
        <v>24</v>
      </c>
      <c r="J1945" s="12" t="s">
        <v>239</v>
      </c>
      <c r="K1945" s="12" t="s">
        <v>26</v>
      </c>
      <c r="L1945" s="12" t="s">
        <v>74</v>
      </c>
      <c r="M1945" s="12" t="s">
        <v>75</v>
      </c>
      <c r="N1945" s="14">
        <v>0.15</v>
      </c>
      <c r="O1945" s="23">
        <v>442.64</v>
      </c>
      <c r="P1945">
        <v>461.47</v>
      </c>
      <c r="Q1945" s="12" t="str" cm="1">
        <f t="array" ref="Q1945:R1945">VLOOKUP(E1945,store[],{3,5},FALSE)</f>
        <v>South</v>
      </c>
      <c r="R1945" t="str">
        <v>Flagship</v>
      </c>
      <c r="S1945" s="4">
        <f t="shared" si="30"/>
        <v>1327.47</v>
      </c>
    </row>
    <row r="1946" spans="1:19">
      <c r="A1946" t="s">
        <v>2758</v>
      </c>
      <c r="B1946" s="3">
        <v>45795</v>
      </c>
      <c r="C1946" t="s">
        <v>546</v>
      </c>
      <c r="D1946" t="s">
        <v>340</v>
      </c>
      <c r="E1946" t="s">
        <v>198</v>
      </c>
      <c r="F1946">
        <v>3</v>
      </c>
      <c r="G1946" t="s">
        <v>50</v>
      </c>
      <c r="H1946">
        <v>28</v>
      </c>
      <c r="I1946" s="12" t="s">
        <v>34</v>
      </c>
      <c r="J1946" s="12" t="s">
        <v>457</v>
      </c>
      <c r="K1946" s="12" t="s">
        <v>26</v>
      </c>
      <c r="L1946" s="12" t="s">
        <v>341</v>
      </c>
      <c r="M1946" s="12" t="s">
        <v>28</v>
      </c>
      <c r="N1946" s="14">
        <v>0.09</v>
      </c>
      <c r="O1946" s="23">
        <v>410.04</v>
      </c>
      <c r="P1946">
        <v>135.61000000000001</v>
      </c>
      <c r="Q1946" s="12" t="str" cm="1">
        <f t="array" ref="Q1946:R1946">VLOOKUP(E1946,store[],{3,5},FALSE)</f>
        <v>South</v>
      </c>
      <c r="R1946" t="str">
        <v>Outlet</v>
      </c>
      <c r="S1946" s="4">
        <f t="shared" si="30"/>
        <v>1229.8499999999999</v>
      </c>
    </row>
    <row r="1947" spans="1:19">
      <c r="A1947" t="s">
        <v>2759</v>
      </c>
      <c r="B1947" s="3">
        <v>45797</v>
      </c>
      <c r="C1947" t="s">
        <v>893</v>
      </c>
      <c r="D1947" t="s">
        <v>242</v>
      </c>
      <c r="E1947" t="s">
        <v>32</v>
      </c>
      <c r="F1947">
        <v>1</v>
      </c>
      <c r="G1947" t="s">
        <v>23</v>
      </c>
      <c r="H1947">
        <v>62</v>
      </c>
      <c r="I1947" s="12" t="s">
        <v>34</v>
      </c>
      <c r="J1947" s="12" t="s">
        <v>235</v>
      </c>
      <c r="K1947" s="12" t="s">
        <v>73</v>
      </c>
      <c r="L1947" s="12" t="s">
        <v>243</v>
      </c>
      <c r="M1947" s="12" t="s">
        <v>46</v>
      </c>
      <c r="N1947" s="14">
        <v>0.27</v>
      </c>
      <c r="O1947" s="23">
        <v>355.31</v>
      </c>
      <c r="P1947">
        <v>358.47</v>
      </c>
      <c r="Q1947" s="12" t="str" cm="1">
        <f t="array" ref="Q1947:R1947">VLOOKUP(E1947,store[],{3,5},FALSE)</f>
        <v>North</v>
      </c>
      <c r="R1947" t="str">
        <v>Flagship</v>
      </c>
      <c r="S1947" s="4">
        <f t="shared" si="30"/>
        <v>355.04</v>
      </c>
    </row>
    <row r="1948" spans="1:19">
      <c r="A1948" t="s">
        <v>2760</v>
      </c>
      <c r="B1948" s="3">
        <v>45607</v>
      </c>
      <c r="C1948" t="s">
        <v>1343</v>
      </c>
      <c r="D1948" t="s">
        <v>810</v>
      </c>
      <c r="E1948" t="s">
        <v>149</v>
      </c>
      <c r="F1948">
        <v>4</v>
      </c>
      <c r="G1948" t="s">
        <v>50</v>
      </c>
      <c r="H1948">
        <v>30</v>
      </c>
      <c r="I1948" s="12" t="s">
        <v>24</v>
      </c>
      <c r="J1948" s="12" t="s">
        <v>440</v>
      </c>
      <c r="K1948" s="12" t="s">
        <v>73</v>
      </c>
      <c r="L1948" s="12" t="s">
        <v>811</v>
      </c>
      <c r="M1948" s="12" t="s">
        <v>28</v>
      </c>
      <c r="N1948" s="14">
        <v>0.25</v>
      </c>
      <c r="O1948" s="23">
        <v>243.13</v>
      </c>
      <c r="P1948">
        <v>495.72</v>
      </c>
      <c r="Q1948" s="12" t="str" cm="1">
        <f t="array" ref="Q1948:R1948">VLOOKUP(E1948,store[],{3,5},FALSE)</f>
        <v>East</v>
      </c>
      <c r="R1948" t="str">
        <v>Flagship</v>
      </c>
      <c r="S1948" s="4">
        <f t="shared" si="30"/>
        <v>971.52</v>
      </c>
    </row>
    <row r="1949" spans="1:19">
      <c r="A1949" t="s">
        <v>2761</v>
      </c>
      <c r="B1949" s="3">
        <v>45614</v>
      </c>
      <c r="C1949" t="s">
        <v>1073</v>
      </c>
      <c r="D1949" t="s">
        <v>57</v>
      </c>
      <c r="E1949" t="s">
        <v>272</v>
      </c>
      <c r="F1949">
        <v>2</v>
      </c>
      <c r="G1949" t="s">
        <v>50</v>
      </c>
      <c r="H1949">
        <v>32</v>
      </c>
      <c r="I1949" s="12" t="s">
        <v>34</v>
      </c>
      <c r="J1949" s="12" t="s">
        <v>336</v>
      </c>
      <c r="K1949" s="12" t="s">
        <v>73</v>
      </c>
      <c r="L1949" s="12" t="s">
        <v>61</v>
      </c>
      <c r="M1949" s="12" t="s">
        <v>46</v>
      </c>
      <c r="N1949" s="14">
        <v>0.28000000000000003</v>
      </c>
      <c r="O1949" s="23">
        <v>410.63</v>
      </c>
      <c r="P1949">
        <v>17.309999999999999</v>
      </c>
      <c r="Q1949" s="12" t="str" cm="1">
        <f t="array" ref="Q1949:R1949">VLOOKUP(E1949,store[],{3,5},FALSE)</f>
        <v>South</v>
      </c>
      <c r="R1949" t="str">
        <v>Online</v>
      </c>
      <c r="S1949" s="4">
        <f t="shared" si="30"/>
        <v>820.7</v>
      </c>
    </row>
    <row r="1950" spans="1:19">
      <c r="A1950" t="s">
        <v>2762</v>
      </c>
      <c r="B1950" s="3">
        <v>45293</v>
      </c>
      <c r="C1950" t="s">
        <v>1290</v>
      </c>
      <c r="D1950" t="s">
        <v>242</v>
      </c>
      <c r="E1950" t="s">
        <v>168</v>
      </c>
      <c r="F1950">
        <v>4</v>
      </c>
      <c r="G1950" t="s">
        <v>33</v>
      </c>
      <c r="H1950">
        <v>40</v>
      </c>
      <c r="I1950" s="12" t="s">
        <v>24</v>
      </c>
      <c r="J1950" s="12" t="s">
        <v>410</v>
      </c>
      <c r="K1950" s="12" t="s">
        <v>73</v>
      </c>
      <c r="L1950" s="12" t="s">
        <v>243</v>
      </c>
      <c r="M1950" s="12" t="s">
        <v>46</v>
      </c>
      <c r="N1950" s="14">
        <v>0.16</v>
      </c>
      <c r="O1950" s="23">
        <v>101.25</v>
      </c>
      <c r="P1950">
        <v>358.47</v>
      </c>
      <c r="Q1950" s="12" t="str" cm="1">
        <f t="array" ref="Q1950:R1950">VLOOKUP(E1950,store[],{3,5},FALSE)</f>
        <v>East</v>
      </c>
      <c r="R1950" t="str">
        <v>Online</v>
      </c>
      <c r="S1950" s="4">
        <f t="shared" si="30"/>
        <v>404.36</v>
      </c>
    </row>
    <row r="1951" spans="1:19">
      <c r="A1951" t="s">
        <v>2763</v>
      </c>
      <c r="B1951" s="3">
        <v>45301</v>
      </c>
      <c r="C1951" t="s">
        <v>2263</v>
      </c>
      <c r="D1951" t="s">
        <v>645</v>
      </c>
      <c r="E1951" t="s">
        <v>32</v>
      </c>
      <c r="F1951">
        <v>4</v>
      </c>
      <c r="G1951" t="s">
        <v>33</v>
      </c>
      <c r="H1951">
        <v>54</v>
      </c>
      <c r="I1951" s="12" t="s">
        <v>24</v>
      </c>
      <c r="J1951" s="12" t="s">
        <v>444</v>
      </c>
      <c r="K1951" s="12" t="s">
        <v>26</v>
      </c>
      <c r="L1951" s="12" t="s">
        <v>646</v>
      </c>
      <c r="M1951" s="12" t="s">
        <v>75</v>
      </c>
      <c r="N1951" s="14">
        <v>0.03</v>
      </c>
      <c r="O1951" s="23">
        <v>716.39</v>
      </c>
      <c r="P1951">
        <v>218.86</v>
      </c>
      <c r="Q1951" s="12" t="str" cm="1">
        <f t="array" ref="Q1951:R1951">VLOOKUP(E1951,store[],{3,5},FALSE)</f>
        <v>North</v>
      </c>
      <c r="R1951" t="str">
        <v>Flagship</v>
      </c>
      <c r="S1951" s="4">
        <f t="shared" si="30"/>
        <v>2865.44</v>
      </c>
    </row>
    <row r="1952" spans="1:19">
      <c r="A1952" t="s">
        <v>2764</v>
      </c>
      <c r="B1952" s="3">
        <v>45311</v>
      </c>
      <c r="C1952" t="s">
        <v>145</v>
      </c>
      <c r="D1952" t="s">
        <v>575</v>
      </c>
      <c r="E1952" t="s">
        <v>105</v>
      </c>
      <c r="F1952">
        <v>1</v>
      </c>
      <c r="G1952" t="s">
        <v>33</v>
      </c>
      <c r="H1952">
        <v>43</v>
      </c>
      <c r="I1952" s="12" t="s">
        <v>34</v>
      </c>
      <c r="J1952" s="12" t="s">
        <v>99</v>
      </c>
      <c r="K1952" s="12" t="s">
        <v>26</v>
      </c>
      <c r="L1952" s="12" t="s">
        <v>576</v>
      </c>
      <c r="M1952" s="12" t="s">
        <v>28</v>
      </c>
      <c r="N1952" s="14">
        <v>0.24</v>
      </c>
      <c r="O1952" s="23">
        <v>721.74</v>
      </c>
      <c r="P1952">
        <v>107.06</v>
      </c>
      <c r="Q1952" s="12" t="str" cm="1">
        <f t="array" ref="Q1952:R1952">VLOOKUP(E1952,store[],{3,5},FALSE)</f>
        <v>North</v>
      </c>
      <c r="R1952" t="str">
        <v>Flagship</v>
      </c>
      <c r="S1952" s="4">
        <f t="shared" si="30"/>
        <v>721.5</v>
      </c>
    </row>
    <row r="1953" spans="1:19">
      <c r="A1953" t="s">
        <v>2765</v>
      </c>
      <c r="B1953" s="3">
        <v>45702</v>
      </c>
      <c r="C1953" t="s">
        <v>384</v>
      </c>
      <c r="D1953" t="s">
        <v>661</v>
      </c>
      <c r="E1953" t="s">
        <v>272</v>
      </c>
      <c r="F1953">
        <v>2</v>
      </c>
      <c r="G1953" t="s">
        <v>23</v>
      </c>
      <c r="H1953">
        <v>24</v>
      </c>
      <c r="I1953" s="12" t="s">
        <v>24</v>
      </c>
      <c r="J1953" s="12" t="s">
        <v>169</v>
      </c>
      <c r="K1953" s="12" t="s">
        <v>52</v>
      </c>
      <c r="L1953" s="12" t="s">
        <v>662</v>
      </c>
      <c r="M1953" s="12" t="s">
        <v>37</v>
      </c>
      <c r="N1953" s="14">
        <v>0.02</v>
      </c>
      <c r="O1953" s="23">
        <v>527.91</v>
      </c>
      <c r="P1953">
        <v>86.42</v>
      </c>
      <c r="Q1953" s="12" t="str" cm="1">
        <f t="array" ref="Q1953:R1953">VLOOKUP(E1953,store[],{3,5},FALSE)</f>
        <v>South</v>
      </c>
      <c r="R1953" t="str">
        <v>Online</v>
      </c>
      <c r="S1953" s="4">
        <f t="shared" si="30"/>
        <v>1055.78</v>
      </c>
    </row>
    <row r="1954" spans="1:19">
      <c r="A1954" t="s">
        <v>2766</v>
      </c>
      <c r="B1954" s="3">
        <v>45525</v>
      </c>
      <c r="C1954" t="s">
        <v>562</v>
      </c>
      <c r="D1954" t="s">
        <v>282</v>
      </c>
      <c r="E1954" t="s">
        <v>149</v>
      </c>
      <c r="F1954">
        <v>2</v>
      </c>
      <c r="G1954" t="s">
        <v>50</v>
      </c>
      <c r="H1954">
        <v>54</v>
      </c>
      <c r="I1954" s="12" t="s">
        <v>24</v>
      </c>
      <c r="J1954" s="12" t="s">
        <v>231</v>
      </c>
      <c r="K1954" s="12" t="s">
        <v>52</v>
      </c>
      <c r="L1954" s="12" t="s">
        <v>283</v>
      </c>
      <c r="M1954" s="12" t="s">
        <v>28</v>
      </c>
      <c r="N1954" s="14">
        <v>0.19</v>
      </c>
      <c r="O1954" s="23">
        <v>945.92</v>
      </c>
      <c r="P1954">
        <v>212.26</v>
      </c>
      <c r="Q1954" s="12" t="str" cm="1">
        <f t="array" ref="Q1954:R1954">VLOOKUP(E1954,store[],{3,5},FALSE)</f>
        <v>East</v>
      </c>
      <c r="R1954" t="str">
        <v>Flagship</v>
      </c>
      <c r="S1954" s="4">
        <f t="shared" si="30"/>
        <v>1891.46</v>
      </c>
    </row>
    <row r="1955" spans="1:19">
      <c r="A1955" t="s">
        <v>2767</v>
      </c>
      <c r="B1955" s="3">
        <v>45780</v>
      </c>
      <c r="C1955" t="s">
        <v>613</v>
      </c>
      <c r="D1955" t="s">
        <v>71</v>
      </c>
      <c r="E1955" t="s">
        <v>32</v>
      </c>
      <c r="F1955">
        <v>2</v>
      </c>
      <c r="G1955" t="s">
        <v>33</v>
      </c>
      <c r="H1955">
        <v>34</v>
      </c>
      <c r="I1955" s="12" t="s">
        <v>34</v>
      </c>
      <c r="J1955" s="12" t="s">
        <v>251</v>
      </c>
      <c r="K1955" s="12" t="s">
        <v>52</v>
      </c>
      <c r="L1955" s="12" t="s">
        <v>74</v>
      </c>
      <c r="M1955" s="12" t="s">
        <v>75</v>
      </c>
      <c r="N1955" s="14">
        <v>0.16</v>
      </c>
      <c r="O1955" s="23">
        <v>981.35</v>
      </c>
      <c r="P1955">
        <v>461.47</v>
      </c>
      <c r="Q1955" s="12" t="str" cm="1">
        <f t="array" ref="Q1955:R1955">VLOOKUP(E1955,store[],{3,5},FALSE)</f>
        <v>North</v>
      </c>
      <c r="R1955" t="str">
        <v>Flagship</v>
      </c>
      <c r="S1955" s="4">
        <f t="shared" si="30"/>
        <v>1962.38</v>
      </c>
    </row>
    <row r="1956" spans="1:19">
      <c r="A1956" t="s">
        <v>2768</v>
      </c>
      <c r="B1956" s="3">
        <v>45819</v>
      </c>
      <c r="C1956" t="s">
        <v>1118</v>
      </c>
      <c r="D1956" t="s">
        <v>57</v>
      </c>
      <c r="E1956" t="s">
        <v>22</v>
      </c>
      <c r="F1956">
        <v>1</v>
      </c>
      <c r="G1956" t="s">
        <v>23</v>
      </c>
      <c r="H1956">
        <v>50</v>
      </c>
      <c r="I1956" s="12" t="s">
        <v>24</v>
      </c>
      <c r="J1956" s="12" t="s">
        <v>106</v>
      </c>
      <c r="K1956" s="12" t="s">
        <v>52</v>
      </c>
      <c r="L1956" s="12" t="s">
        <v>61</v>
      </c>
      <c r="M1956" s="12" t="s">
        <v>46</v>
      </c>
      <c r="N1956" s="14">
        <v>0.14000000000000001</v>
      </c>
      <c r="O1956" s="23">
        <v>913.99</v>
      </c>
      <c r="P1956">
        <v>17.309999999999999</v>
      </c>
      <c r="Q1956" s="12" t="str" cm="1">
        <f t="array" ref="Q1956:R1956">VLOOKUP(E1956,store[],{3,5},FALSE)</f>
        <v>North</v>
      </c>
      <c r="R1956" t="str">
        <v>Outlet</v>
      </c>
      <c r="S1956" s="4">
        <f t="shared" si="30"/>
        <v>913.85</v>
      </c>
    </row>
    <row r="1957" spans="1:19">
      <c r="A1957" t="s">
        <v>2769</v>
      </c>
      <c r="B1957" s="3">
        <v>45863</v>
      </c>
      <c r="C1957" t="s">
        <v>1132</v>
      </c>
      <c r="D1957" t="s">
        <v>532</v>
      </c>
      <c r="E1957" t="s">
        <v>43</v>
      </c>
      <c r="F1957">
        <v>4</v>
      </c>
      <c r="G1957" t="s">
        <v>33</v>
      </c>
      <c r="H1957">
        <v>28</v>
      </c>
      <c r="I1957" s="12" t="s">
        <v>34</v>
      </c>
      <c r="J1957" s="12" t="s">
        <v>161</v>
      </c>
      <c r="K1957" s="12" t="s">
        <v>26</v>
      </c>
      <c r="L1957" s="12" t="s">
        <v>533</v>
      </c>
      <c r="M1957" s="12" t="s">
        <v>46</v>
      </c>
      <c r="N1957" s="14">
        <v>0.18</v>
      </c>
      <c r="O1957" s="23">
        <v>270.69</v>
      </c>
      <c r="P1957">
        <v>340.39</v>
      </c>
      <c r="Q1957" s="12" t="str" cm="1">
        <f t="array" ref="Q1957:R1957">VLOOKUP(E1957,store[],{3,5},FALSE)</f>
        <v>West</v>
      </c>
      <c r="R1957" t="str">
        <v>Online</v>
      </c>
      <c r="S1957" s="4">
        <f t="shared" si="30"/>
        <v>1082.04</v>
      </c>
    </row>
    <row r="1958" spans="1:19">
      <c r="A1958" t="s">
        <v>2770</v>
      </c>
      <c r="B1958" s="3">
        <v>45687</v>
      </c>
      <c r="C1958" t="s">
        <v>954</v>
      </c>
      <c r="D1958" t="s">
        <v>192</v>
      </c>
      <c r="E1958" t="s">
        <v>179</v>
      </c>
      <c r="F1958">
        <v>3</v>
      </c>
      <c r="G1958" t="s">
        <v>23</v>
      </c>
      <c r="H1958">
        <v>18</v>
      </c>
      <c r="I1958" s="12" t="s">
        <v>34</v>
      </c>
      <c r="J1958" s="12" t="s">
        <v>251</v>
      </c>
      <c r="K1958" s="12" t="s">
        <v>60</v>
      </c>
      <c r="L1958" s="12" t="s">
        <v>194</v>
      </c>
      <c r="M1958" s="12" t="s">
        <v>37</v>
      </c>
      <c r="N1958" s="14">
        <v>0.02</v>
      </c>
      <c r="O1958" s="23">
        <v>998.58</v>
      </c>
      <c r="P1958">
        <v>480.9</v>
      </c>
      <c r="Q1958" s="12" t="str" cm="1">
        <f t="array" ref="Q1958:R1958">VLOOKUP(E1958,store[],{3,5},FALSE)</f>
        <v>East</v>
      </c>
      <c r="R1958" t="str">
        <v>Online</v>
      </c>
      <c r="S1958" s="4">
        <f t="shared" si="30"/>
        <v>2995.68</v>
      </c>
    </row>
    <row r="1959" spans="1:19">
      <c r="A1959" t="s">
        <v>2771</v>
      </c>
      <c r="B1959" s="3">
        <v>45806</v>
      </c>
      <c r="C1959" t="s">
        <v>1385</v>
      </c>
      <c r="D1959" t="s">
        <v>786</v>
      </c>
      <c r="E1959" t="s">
        <v>127</v>
      </c>
      <c r="F1959">
        <v>3</v>
      </c>
      <c r="G1959" t="s">
        <v>23</v>
      </c>
      <c r="H1959">
        <v>59</v>
      </c>
      <c r="I1959" s="12" t="s">
        <v>34</v>
      </c>
      <c r="J1959" s="12" t="s">
        <v>140</v>
      </c>
      <c r="K1959" s="12" t="s">
        <v>26</v>
      </c>
      <c r="L1959" s="12" t="s">
        <v>787</v>
      </c>
      <c r="M1959" s="12" t="s">
        <v>130</v>
      </c>
      <c r="N1959" s="14">
        <v>0.18</v>
      </c>
      <c r="O1959" s="23">
        <v>765.12</v>
      </c>
      <c r="P1959">
        <v>353.47</v>
      </c>
      <c r="Q1959" s="12" t="str" cm="1">
        <f t="array" ref="Q1959:R1959">VLOOKUP(E1959,store[],{3,5},FALSE)</f>
        <v>South</v>
      </c>
      <c r="R1959" t="str">
        <v>Flagship</v>
      </c>
      <c r="S1959" s="4">
        <f t="shared" si="30"/>
        <v>2294.8200000000002</v>
      </c>
    </row>
    <row r="1960" spans="1:19">
      <c r="A1960" t="s">
        <v>2772</v>
      </c>
      <c r="B1960" s="3">
        <v>45216</v>
      </c>
      <c r="C1960" t="s">
        <v>245</v>
      </c>
      <c r="D1960" t="s">
        <v>779</v>
      </c>
      <c r="E1960" t="s">
        <v>135</v>
      </c>
      <c r="F1960">
        <v>3</v>
      </c>
      <c r="G1960" t="s">
        <v>50</v>
      </c>
      <c r="H1960">
        <v>39</v>
      </c>
      <c r="I1960" s="12" t="s">
        <v>34</v>
      </c>
      <c r="J1960" s="12" t="s">
        <v>106</v>
      </c>
      <c r="K1960" s="12" t="s">
        <v>26</v>
      </c>
      <c r="L1960" s="12" t="s">
        <v>780</v>
      </c>
      <c r="M1960" s="12" t="s">
        <v>46</v>
      </c>
      <c r="N1960" s="14">
        <v>0.17</v>
      </c>
      <c r="O1960" s="23">
        <v>449.99</v>
      </c>
      <c r="P1960">
        <v>299.11</v>
      </c>
      <c r="Q1960" s="12" t="str" cm="1">
        <f t="array" ref="Q1960:R1960">VLOOKUP(E1960,store[],{3,5},FALSE)</f>
        <v>East</v>
      </c>
      <c r="R1960" t="str">
        <v>Online</v>
      </c>
      <c r="S1960" s="4">
        <f t="shared" si="30"/>
        <v>1349.46</v>
      </c>
    </row>
    <row r="1961" spans="1:19">
      <c r="A1961" t="s">
        <v>2773</v>
      </c>
      <c r="B1961" s="3">
        <v>45639</v>
      </c>
      <c r="C1961" t="s">
        <v>2578</v>
      </c>
      <c r="D1961" t="s">
        <v>159</v>
      </c>
      <c r="E1961" t="s">
        <v>272</v>
      </c>
      <c r="F1961">
        <v>2</v>
      </c>
      <c r="G1961" t="s">
        <v>50</v>
      </c>
      <c r="H1961">
        <v>26</v>
      </c>
      <c r="I1961" s="12" t="s">
        <v>24</v>
      </c>
      <c r="J1961" s="12" t="s">
        <v>345</v>
      </c>
      <c r="K1961" s="12" t="s">
        <v>60</v>
      </c>
      <c r="L1961" s="12" t="s">
        <v>162</v>
      </c>
      <c r="M1961" s="12" t="s">
        <v>37</v>
      </c>
      <c r="N1961" s="14">
        <v>0.01</v>
      </c>
      <c r="O1961" s="23">
        <v>249.02</v>
      </c>
      <c r="P1961">
        <v>253.33</v>
      </c>
      <c r="Q1961" s="12" t="str" cm="1">
        <f t="array" ref="Q1961:R1961">VLOOKUP(E1961,store[],{3,5},FALSE)</f>
        <v>South</v>
      </c>
      <c r="R1961" t="str">
        <v>Online</v>
      </c>
      <c r="S1961" s="4">
        <f t="shared" si="30"/>
        <v>498.02</v>
      </c>
    </row>
    <row r="1962" spans="1:19">
      <c r="A1962" t="s">
        <v>2774</v>
      </c>
      <c r="B1962" s="3">
        <v>45454</v>
      </c>
      <c r="C1962" t="s">
        <v>2630</v>
      </c>
      <c r="D1962" t="s">
        <v>509</v>
      </c>
      <c r="E1962" t="s">
        <v>135</v>
      </c>
      <c r="F1962">
        <v>3</v>
      </c>
      <c r="G1962" t="s">
        <v>23</v>
      </c>
      <c r="H1962">
        <v>55</v>
      </c>
      <c r="I1962" s="12" t="s">
        <v>34</v>
      </c>
      <c r="J1962" s="12" t="s">
        <v>308</v>
      </c>
      <c r="K1962" s="12" t="s">
        <v>52</v>
      </c>
      <c r="L1962" s="12" t="s">
        <v>511</v>
      </c>
      <c r="M1962" s="12" t="s">
        <v>28</v>
      </c>
      <c r="N1962" s="14">
        <v>0.05</v>
      </c>
      <c r="O1962" s="23">
        <v>223.64</v>
      </c>
      <c r="P1962">
        <v>30.62</v>
      </c>
      <c r="Q1962" s="12" t="str" cm="1">
        <f t="array" ref="Q1962:R1962">VLOOKUP(E1962,store[],{3,5},FALSE)</f>
        <v>East</v>
      </c>
      <c r="R1962" t="str">
        <v>Online</v>
      </c>
      <c r="S1962" s="4">
        <f t="shared" si="30"/>
        <v>670.77</v>
      </c>
    </row>
    <row r="1963" spans="1:19">
      <c r="A1963" t="s">
        <v>2775</v>
      </c>
      <c r="B1963" s="3">
        <v>45934</v>
      </c>
      <c r="C1963" t="s">
        <v>2320</v>
      </c>
      <c r="D1963" t="s">
        <v>97</v>
      </c>
      <c r="E1963" t="s">
        <v>72</v>
      </c>
      <c r="F1963">
        <v>2</v>
      </c>
      <c r="G1963" t="s">
        <v>23</v>
      </c>
      <c r="H1963">
        <v>53</v>
      </c>
      <c r="I1963" s="12" t="s">
        <v>34</v>
      </c>
      <c r="J1963" s="12" t="s">
        <v>67</v>
      </c>
      <c r="K1963" s="12" t="s">
        <v>73</v>
      </c>
      <c r="L1963" s="12" t="s">
        <v>100</v>
      </c>
      <c r="M1963" s="12" t="s">
        <v>28</v>
      </c>
      <c r="N1963" s="14">
        <v>0.12</v>
      </c>
      <c r="O1963" s="23">
        <v>92.94</v>
      </c>
      <c r="P1963">
        <v>166.06</v>
      </c>
      <c r="Q1963" s="12" t="str" cm="1">
        <f t="array" ref="Q1963:R1963">VLOOKUP(E1963,store[],{3,5},FALSE)</f>
        <v>South</v>
      </c>
      <c r="R1963" t="str">
        <v>Online</v>
      </c>
      <c r="S1963" s="4">
        <f t="shared" si="30"/>
        <v>185.64</v>
      </c>
    </row>
    <row r="1964" spans="1:19">
      <c r="A1964" t="s">
        <v>2776</v>
      </c>
      <c r="B1964" s="3">
        <v>45401</v>
      </c>
      <c r="C1964" t="s">
        <v>1895</v>
      </c>
      <c r="D1964" t="s">
        <v>226</v>
      </c>
      <c r="E1964" t="s">
        <v>198</v>
      </c>
      <c r="F1964">
        <v>4</v>
      </c>
      <c r="G1964" t="s">
        <v>50</v>
      </c>
      <c r="H1964">
        <v>64</v>
      </c>
      <c r="I1964" s="12" t="s">
        <v>24</v>
      </c>
      <c r="J1964" s="12" t="s">
        <v>260</v>
      </c>
      <c r="K1964" s="12" t="s">
        <v>52</v>
      </c>
      <c r="L1964" s="12" t="s">
        <v>228</v>
      </c>
      <c r="M1964" s="12" t="s">
        <v>46</v>
      </c>
      <c r="N1964" s="14">
        <v>0.02</v>
      </c>
      <c r="O1964" s="23">
        <v>268.3</v>
      </c>
      <c r="P1964">
        <v>337.42</v>
      </c>
      <c r="Q1964" s="12" t="str" cm="1">
        <f t="array" ref="Q1964:R1964">VLOOKUP(E1964,store[],{3,5},FALSE)</f>
        <v>South</v>
      </c>
      <c r="R1964" t="str">
        <v>Outlet</v>
      </c>
      <c r="S1964" s="4">
        <f t="shared" si="30"/>
        <v>1073.1199999999999</v>
      </c>
    </row>
    <row r="1965" spans="1:19">
      <c r="A1965" t="s">
        <v>2777</v>
      </c>
      <c r="B1965" s="3">
        <v>45770</v>
      </c>
      <c r="C1965" t="s">
        <v>679</v>
      </c>
      <c r="D1965" t="s">
        <v>57</v>
      </c>
      <c r="E1965" t="s">
        <v>135</v>
      </c>
      <c r="F1965">
        <v>4</v>
      </c>
      <c r="G1965" t="s">
        <v>23</v>
      </c>
      <c r="H1965">
        <v>42</v>
      </c>
      <c r="I1965" s="12" t="s">
        <v>34</v>
      </c>
      <c r="J1965" s="12" t="s">
        <v>609</v>
      </c>
      <c r="K1965" s="12" t="s">
        <v>73</v>
      </c>
      <c r="L1965" s="12" t="s">
        <v>61</v>
      </c>
      <c r="M1965" s="12" t="s">
        <v>46</v>
      </c>
      <c r="N1965" s="14">
        <v>0.03</v>
      </c>
      <c r="O1965" s="23">
        <v>835.61</v>
      </c>
      <c r="P1965">
        <v>17.309999999999999</v>
      </c>
      <c r="Q1965" s="12" t="str" cm="1">
        <f t="array" ref="Q1965:R1965">VLOOKUP(E1965,store[],{3,5},FALSE)</f>
        <v>East</v>
      </c>
      <c r="R1965" t="str">
        <v>Online</v>
      </c>
      <c r="S1965" s="4">
        <f t="shared" si="30"/>
        <v>3342.32</v>
      </c>
    </row>
    <row r="1966" spans="1:19">
      <c r="A1966" t="s">
        <v>2778</v>
      </c>
      <c r="B1966" s="3">
        <v>45405</v>
      </c>
      <c r="C1966" t="s">
        <v>633</v>
      </c>
      <c r="D1966" t="s">
        <v>741</v>
      </c>
      <c r="E1966" t="s">
        <v>58</v>
      </c>
      <c r="F1966">
        <v>3</v>
      </c>
      <c r="G1966" t="s">
        <v>23</v>
      </c>
      <c r="H1966">
        <v>20</v>
      </c>
      <c r="I1966" s="12" t="s">
        <v>34</v>
      </c>
      <c r="J1966" s="12" t="s">
        <v>227</v>
      </c>
      <c r="K1966" s="12" t="s">
        <v>26</v>
      </c>
      <c r="L1966" s="12" t="s">
        <v>742</v>
      </c>
      <c r="M1966" s="12" t="s">
        <v>75</v>
      </c>
      <c r="N1966" s="14">
        <v>0.11</v>
      </c>
      <c r="O1966" s="23">
        <v>120.97</v>
      </c>
      <c r="P1966">
        <v>243.7</v>
      </c>
      <c r="Q1966" s="12" t="str" cm="1">
        <f t="array" ref="Q1966:R1966">VLOOKUP(E1966,store[],{3,5},FALSE)</f>
        <v>North</v>
      </c>
      <c r="R1966" t="str">
        <v>Outlet</v>
      </c>
      <c r="S1966" s="4">
        <f t="shared" si="30"/>
        <v>362.58</v>
      </c>
    </row>
    <row r="1967" spans="1:19">
      <c r="A1967" t="s">
        <v>2779</v>
      </c>
      <c r="B1967" s="3">
        <v>45424</v>
      </c>
      <c r="C1967" t="s">
        <v>1997</v>
      </c>
      <c r="D1967" t="s">
        <v>295</v>
      </c>
      <c r="E1967" t="s">
        <v>127</v>
      </c>
      <c r="F1967">
        <v>2</v>
      </c>
      <c r="G1967" t="s">
        <v>50</v>
      </c>
      <c r="H1967">
        <v>64</v>
      </c>
      <c r="I1967" s="12" t="s">
        <v>34</v>
      </c>
      <c r="J1967" s="12" t="s">
        <v>44</v>
      </c>
      <c r="K1967" s="12" t="s">
        <v>73</v>
      </c>
      <c r="L1967" s="12" t="s">
        <v>296</v>
      </c>
      <c r="M1967" s="12" t="s">
        <v>37</v>
      </c>
      <c r="N1967" s="14">
        <v>0.03</v>
      </c>
      <c r="O1967" s="23">
        <v>26.36</v>
      </c>
      <c r="P1967">
        <v>38.520000000000003</v>
      </c>
      <c r="Q1967" s="12" t="str" cm="1">
        <f t="array" ref="Q1967:R1967">VLOOKUP(E1967,store[],{3,5},FALSE)</f>
        <v>South</v>
      </c>
      <c r="R1967" t="str">
        <v>Flagship</v>
      </c>
      <c r="S1967" s="4">
        <f t="shared" si="30"/>
        <v>52.66</v>
      </c>
    </row>
    <row r="1968" spans="1:19">
      <c r="A1968" t="s">
        <v>2780</v>
      </c>
      <c r="B1968" s="3">
        <v>45881</v>
      </c>
      <c r="C1968" t="s">
        <v>620</v>
      </c>
      <c r="D1968" t="s">
        <v>192</v>
      </c>
      <c r="E1968" t="s">
        <v>179</v>
      </c>
      <c r="F1968">
        <v>1</v>
      </c>
      <c r="G1968" t="s">
        <v>33</v>
      </c>
      <c r="H1968">
        <v>25</v>
      </c>
      <c r="I1968" s="12" t="s">
        <v>24</v>
      </c>
      <c r="J1968" s="12" t="s">
        <v>169</v>
      </c>
      <c r="K1968" s="12" t="s">
        <v>52</v>
      </c>
      <c r="L1968" s="12" t="s">
        <v>194</v>
      </c>
      <c r="M1968" s="12" t="s">
        <v>37</v>
      </c>
      <c r="N1968" s="14">
        <v>0.11</v>
      </c>
      <c r="O1968" s="23">
        <v>918.87</v>
      </c>
      <c r="P1968">
        <v>480.9</v>
      </c>
      <c r="Q1968" s="12" t="str" cm="1">
        <f t="array" ref="Q1968:R1968">VLOOKUP(E1968,store[],{3,5},FALSE)</f>
        <v>East</v>
      </c>
      <c r="R1968" t="str">
        <v>Online</v>
      </c>
      <c r="S1968" s="4">
        <f t="shared" si="30"/>
        <v>918.76</v>
      </c>
    </row>
    <row r="1969" spans="1:19">
      <c r="A1969" t="s">
        <v>2781</v>
      </c>
      <c r="B1969" s="3">
        <v>45794</v>
      </c>
      <c r="C1969" t="s">
        <v>727</v>
      </c>
      <c r="D1969" t="s">
        <v>178</v>
      </c>
      <c r="E1969" t="s">
        <v>272</v>
      </c>
      <c r="F1969">
        <v>2</v>
      </c>
      <c r="G1969" t="s">
        <v>33</v>
      </c>
      <c r="H1969">
        <v>41</v>
      </c>
      <c r="I1969" s="12" t="s">
        <v>24</v>
      </c>
      <c r="J1969" s="12" t="s">
        <v>609</v>
      </c>
      <c r="K1969" s="12" t="s">
        <v>60</v>
      </c>
      <c r="L1969" s="12" t="s">
        <v>180</v>
      </c>
      <c r="M1969" s="12" t="s">
        <v>37</v>
      </c>
      <c r="N1969" s="14">
        <v>0.28999999999999998</v>
      </c>
      <c r="O1969" s="23">
        <v>924.73</v>
      </c>
      <c r="P1969">
        <v>349.17</v>
      </c>
      <c r="Q1969" s="12" t="str" cm="1">
        <f t="array" ref="Q1969:R1969">VLOOKUP(E1969,store[],{3,5},FALSE)</f>
        <v>South</v>
      </c>
      <c r="R1969" t="str">
        <v>Online</v>
      </c>
      <c r="S1969" s="4">
        <f t="shared" si="30"/>
        <v>1848.88</v>
      </c>
    </row>
    <row r="1970" spans="1:19">
      <c r="A1970" t="s">
        <v>2782</v>
      </c>
      <c r="B1970" s="3">
        <v>45665</v>
      </c>
      <c r="C1970" t="s">
        <v>2097</v>
      </c>
      <c r="D1970" t="s">
        <v>173</v>
      </c>
      <c r="E1970" t="s">
        <v>168</v>
      </c>
      <c r="F1970">
        <v>3</v>
      </c>
      <c r="G1970" t="s">
        <v>50</v>
      </c>
      <c r="H1970">
        <v>36</v>
      </c>
      <c r="I1970" s="12" t="s">
        <v>34</v>
      </c>
      <c r="J1970" s="12" t="s">
        <v>169</v>
      </c>
      <c r="K1970" s="12" t="s">
        <v>26</v>
      </c>
      <c r="L1970" s="12" t="s">
        <v>174</v>
      </c>
      <c r="M1970" s="12" t="s">
        <v>46</v>
      </c>
      <c r="N1970" s="14">
        <v>0.13</v>
      </c>
      <c r="O1970" s="23">
        <v>195.31</v>
      </c>
      <c r="P1970">
        <v>115.82</v>
      </c>
      <c r="Q1970" s="12" t="str" cm="1">
        <f t="array" ref="Q1970:R1970">VLOOKUP(E1970,store[],{3,5},FALSE)</f>
        <v>East</v>
      </c>
      <c r="R1970" t="str">
        <v>Online</v>
      </c>
      <c r="S1970" s="4">
        <f t="shared" si="30"/>
        <v>585.54</v>
      </c>
    </row>
    <row r="1971" spans="1:19">
      <c r="A1971" t="s">
        <v>2783</v>
      </c>
      <c r="B1971" s="3">
        <v>45793</v>
      </c>
      <c r="C1971" t="s">
        <v>285</v>
      </c>
      <c r="D1971" t="s">
        <v>340</v>
      </c>
      <c r="E1971" t="s">
        <v>43</v>
      </c>
      <c r="F1971">
        <v>1</v>
      </c>
      <c r="G1971" t="s">
        <v>23</v>
      </c>
      <c r="H1971">
        <v>37</v>
      </c>
      <c r="I1971" s="12" t="s">
        <v>24</v>
      </c>
      <c r="J1971" s="12" t="s">
        <v>111</v>
      </c>
      <c r="K1971" s="12" t="s">
        <v>73</v>
      </c>
      <c r="L1971" s="12" t="s">
        <v>341</v>
      </c>
      <c r="M1971" s="12" t="s">
        <v>28</v>
      </c>
      <c r="N1971" s="14">
        <v>0.14000000000000001</v>
      </c>
      <c r="O1971" s="23">
        <v>91.38</v>
      </c>
      <c r="P1971">
        <v>135.61000000000001</v>
      </c>
      <c r="Q1971" s="12" t="str" cm="1">
        <f t="array" ref="Q1971:R1971">VLOOKUP(E1971,store[],{3,5},FALSE)</f>
        <v>West</v>
      </c>
      <c r="R1971" t="str">
        <v>Online</v>
      </c>
      <c r="S1971" s="4">
        <f t="shared" si="30"/>
        <v>91.24</v>
      </c>
    </row>
    <row r="1972" spans="1:19">
      <c r="A1972" t="s">
        <v>2784</v>
      </c>
      <c r="B1972" s="3">
        <v>45563</v>
      </c>
      <c r="C1972" t="s">
        <v>328</v>
      </c>
      <c r="D1972" t="s">
        <v>400</v>
      </c>
      <c r="E1972" t="s">
        <v>272</v>
      </c>
      <c r="F1972">
        <v>2</v>
      </c>
      <c r="G1972" t="s">
        <v>23</v>
      </c>
      <c r="H1972">
        <v>48</v>
      </c>
      <c r="I1972" s="12" t="s">
        <v>24</v>
      </c>
      <c r="J1972" s="12" t="s">
        <v>99</v>
      </c>
      <c r="K1972" s="12" t="s">
        <v>26</v>
      </c>
      <c r="L1972" s="12" t="s">
        <v>401</v>
      </c>
      <c r="M1972" s="12" t="s">
        <v>75</v>
      </c>
      <c r="N1972" s="14">
        <v>0.1</v>
      </c>
      <c r="O1972" s="23">
        <v>494.35</v>
      </c>
      <c r="P1972">
        <v>176.07</v>
      </c>
      <c r="Q1972" s="12" t="str" cm="1">
        <f t="array" ref="Q1972:R1972">VLOOKUP(E1972,store[],{3,5},FALSE)</f>
        <v>South</v>
      </c>
      <c r="R1972" t="str">
        <v>Online</v>
      </c>
      <c r="S1972" s="4">
        <f t="shared" si="30"/>
        <v>988.5</v>
      </c>
    </row>
    <row r="1973" spans="1:19">
      <c r="A1973" t="s">
        <v>2785</v>
      </c>
      <c r="B1973" s="3">
        <v>45577</v>
      </c>
      <c r="C1973" t="s">
        <v>322</v>
      </c>
      <c r="D1973" t="s">
        <v>97</v>
      </c>
      <c r="E1973" t="s">
        <v>168</v>
      </c>
      <c r="F1973">
        <v>1</v>
      </c>
      <c r="G1973" t="s">
        <v>23</v>
      </c>
      <c r="H1973">
        <v>21</v>
      </c>
      <c r="I1973" s="12" t="s">
        <v>24</v>
      </c>
      <c r="J1973" s="12" t="s">
        <v>308</v>
      </c>
      <c r="K1973" s="12" t="s">
        <v>26</v>
      </c>
      <c r="L1973" s="12" t="s">
        <v>100</v>
      </c>
      <c r="M1973" s="12" t="s">
        <v>28</v>
      </c>
      <c r="N1973" s="14">
        <v>0.11</v>
      </c>
      <c r="O1973" s="23">
        <v>412.2</v>
      </c>
      <c r="P1973">
        <v>166.06</v>
      </c>
      <c r="Q1973" s="12" t="str" cm="1">
        <f t="array" ref="Q1973:R1973">VLOOKUP(E1973,store[],{3,5},FALSE)</f>
        <v>East</v>
      </c>
      <c r="R1973" t="str">
        <v>Online</v>
      </c>
      <c r="S1973" s="4">
        <f t="shared" si="30"/>
        <v>412.09</v>
      </c>
    </row>
    <row r="1974" spans="1:19">
      <c r="A1974" t="s">
        <v>2786</v>
      </c>
      <c r="B1974" s="3">
        <v>45466</v>
      </c>
      <c r="C1974" t="s">
        <v>570</v>
      </c>
      <c r="D1974" t="s">
        <v>221</v>
      </c>
      <c r="E1974" t="s">
        <v>117</v>
      </c>
      <c r="F1974">
        <v>1</v>
      </c>
      <c r="G1974" t="s">
        <v>33</v>
      </c>
      <c r="H1974">
        <v>43</v>
      </c>
      <c r="I1974" s="12" t="s">
        <v>34</v>
      </c>
      <c r="J1974" s="12" t="s">
        <v>440</v>
      </c>
      <c r="K1974" s="12" t="s">
        <v>73</v>
      </c>
      <c r="L1974" s="12" t="s">
        <v>223</v>
      </c>
      <c r="M1974" s="12" t="s">
        <v>75</v>
      </c>
      <c r="N1974" s="14">
        <v>0.13</v>
      </c>
      <c r="O1974" s="23">
        <v>650.47</v>
      </c>
      <c r="P1974">
        <v>228.53</v>
      </c>
      <c r="Q1974" s="12" t="str" cm="1">
        <f t="array" ref="Q1974:R1974">VLOOKUP(E1974,store[],{3,5},FALSE)</f>
        <v>West</v>
      </c>
      <c r="R1974" t="str">
        <v>Flagship</v>
      </c>
      <c r="S1974" s="4">
        <f t="shared" si="30"/>
        <v>650.34</v>
      </c>
    </row>
    <row r="1975" spans="1:19">
      <c r="A1975" t="s">
        <v>2787</v>
      </c>
      <c r="B1975" s="3">
        <v>45256</v>
      </c>
      <c r="C1975" t="s">
        <v>1803</v>
      </c>
      <c r="D1975" t="s">
        <v>480</v>
      </c>
      <c r="E1975" t="s">
        <v>208</v>
      </c>
      <c r="F1975">
        <v>1</v>
      </c>
      <c r="G1975" t="s">
        <v>33</v>
      </c>
      <c r="H1975">
        <v>60</v>
      </c>
      <c r="I1975" s="12" t="s">
        <v>34</v>
      </c>
      <c r="J1975" s="12" t="s">
        <v>106</v>
      </c>
      <c r="K1975" s="12" t="s">
        <v>26</v>
      </c>
      <c r="L1975" s="12" t="s">
        <v>481</v>
      </c>
      <c r="M1975" s="12" t="s">
        <v>75</v>
      </c>
      <c r="N1975" s="14">
        <v>0.05</v>
      </c>
      <c r="O1975" s="23">
        <v>68.209999999999994</v>
      </c>
      <c r="P1975">
        <v>48.01</v>
      </c>
      <c r="Q1975" s="12" t="str" cm="1">
        <f t="array" ref="Q1975:R1975">VLOOKUP(E1975,store[],{3,5},FALSE)</f>
        <v>North</v>
      </c>
      <c r="R1975" t="str">
        <v>Online</v>
      </c>
      <c r="S1975" s="4">
        <f t="shared" si="30"/>
        <v>68.16</v>
      </c>
    </row>
    <row r="1976" spans="1:19">
      <c r="A1976" t="s">
        <v>2788</v>
      </c>
      <c r="B1976" s="3">
        <v>45886</v>
      </c>
      <c r="C1976" t="s">
        <v>652</v>
      </c>
      <c r="D1976" t="s">
        <v>207</v>
      </c>
      <c r="E1976" t="s">
        <v>66</v>
      </c>
      <c r="F1976">
        <v>2</v>
      </c>
      <c r="G1976" t="s">
        <v>50</v>
      </c>
      <c r="H1976">
        <v>33</v>
      </c>
      <c r="I1976" s="12" t="s">
        <v>34</v>
      </c>
      <c r="J1976" s="12" t="s">
        <v>209</v>
      </c>
      <c r="K1976" s="12" t="s">
        <v>52</v>
      </c>
      <c r="L1976" s="12" t="s">
        <v>210</v>
      </c>
      <c r="M1976" s="12" t="s">
        <v>130</v>
      </c>
      <c r="N1976" s="14">
        <v>0.25</v>
      </c>
      <c r="O1976" s="23">
        <v>842.89</v>
      </c>
      <c r="P1976">
        <v>386.56</v>
      </c>
      <c r="Q1976" s="12" t="str" cm="1">
        <f t="array" ref="Q1976:R1976">VLOOKUP(E1976,store[],{3,5},FALSE)</f>
        <v>South</v>
      </c>
      <c r="R1976" t="str">
        <v>Online</v>
      </c>
      <c r="S1976" s="4">
        <f t="shared" si="30"/>
        <v>1685.28</v>
      </c>
    </row>
    <row r="1977" spans="1:19">
      <c r="A1977" t="s">
        <v>2789</v>
      </c>
      <c r="B1977" s="3">
        <v>45390</v>
      </c>
      <c r="C1977" t="s">
        <v>1085</v>
      </c>
      <c r="D1977" t="s">
        <v>183</v>
      </c>
      <c r="E1977" t="s">
        <v>72</v>
      </c>
      <c r="F1977">
        <v>2</v>
      </c>
      <c r="G1977" t="s">
        <v>50</v>
      </c>
      <c r="H1977">
        <v>29</v>
      </c>
      <c r="I1977" s="12" t="s">
        <v>24</v>
      </c>
      <c r="J1977" s="12" t="s">
        <v>609</v>
      </c>
      <c r="K1977" s="12" t="s">
        <v>60</v>
      </c>
      <c r="L1977" s="12" t="s">
        <v>184</v>
      </c>
      <c r="M1977" s="12" t="s">
        <v>130</v>
      </c>
      <c r="N1977" s="14">
        <v>0.24</v>
      </c>
      <c r="O1977" s="23">
        <v>227.95</v>
      </c>
      <c r="P1977">
        <v>261</v>
      </c>
      <c r="Q1977" s="12" t="str" cm="1">
        <f t="array" ref="Q1977:R1977">VLOOKUP(E1977,store[],{3,5},FALSE)</f>
        <v>South</v>
      </c>
      <c r="R1977" t="str">
        <v>Online</v>
      </c>
      <c r="S1977" s="4">
        <f t="shared" si="30"/>
        <v>455.42</v>
      </c>
    </row>
    <row r="1978" spans="1:19">
      <c r="A1978" t="s">
        <v>2790</v>
      </c>
      <c r="B1978" s="3">
        <v>45388</v>
      </c>
      <c r="C1978" t="s">
        <v>1383</v>
      </c>
      <c r="D1978" t="s">
        <v>532</v>
      </c>
      <c r="E1978" t="s">
        <v>208</v>
      </c>
      <c r="F1978">
        <v>3</v>
      </c>
      <c r="G1978" t="s">
        <v>33</v>
      </c>
      <c r="H1978">
        <v>26</v>
      </c>
      <c r="I1978" s="12" t="s">
        <v>24</v>
      </c>
      <c r="J1978" s="12" t="s">
        <v>128</v>
      </c>
      <c r="K1978" s="12" t="s">
        <v>26</v>
      </c>
      <c r="L1978" s="12" t="s">
        <v>533</v>
      </c>
      <c r="M1978" s="12" t="s">
        <v>46</v>
      </c>
      <c r="N1978" s="14">
        <v>0.24</v>
      </c>
      <c r="O1978" s="23">
        <v>685.97</v>
      </c>
      <c r="P1978">
        <v>340.39</v>
      </c>
      <c r="Q1978" s="12" t="str" cm="1">
        <f t="array" ref="Q1978:R1978">VLOOKUP(E1978,store[],{3,5},FALSE)</f>
        <v>North</v>
      </c>
      <c r="R1978" t="str">
        <v>Online</v>
      </c>
      <c r="S1978" s="4">
        <f t="shared" si="30"/>
        <v>2057.19</v>
      </c>
    </row>
    <row r="1979" spans="1:19">
      <c r="A1979" t="s">
        <v>2791</v>
      </c>
      <c r="B1979" s="3">
        <v>45793</v>
      </c>
      <c r="C1979" t="s">
        <v>1152</v>
      </c>
      <c r="D1979" t="s">
        <v>255</v>
      </c>
      <c r="E1979" t="s">
        <v>198</v>
      </c>
      <c r="F1979">
        <v>1</v>
      </c>
      <c r="G1979" t="s">
        <v>23</v>
      </c>
      <c r="H1979">
        <v>63</v>
      </c>
      <c r="I1979" s="12" t="s">
        <v>34</v>
      </c>
      <c r="J1979" s="12" t="s">
        <v>444</v>
      </c>
      <c r="K1979" s="12" t="s">
        <v>52</v>
      </c>
      <c r="L1979" s="12" t="s">
        <v>257</v>
      </c>
      <c r="M1979" s="12" t="s">
        <v>75</v>
      </c>
      <c r="N1979" s="14">
        <v>0.18</v>
      </c>
      <c r="O1979" s="23">
        <v>722.57</v>
      </c>
      <c r="P1979">
        <v>218.48</v>
      </c>
      <c r="Q1979" s="12" t="str" cm="1">
        <f t="array" ref="Q1979:R1979">VLOOKUP(E1979,store[],{3,5},FALSE)</f>
        <v>South</v>
      </c>
      <c r="R1979" t="str">
        <v>Outlet</v>
      </c>
      <c r="S1979" s="4">
        <f t="shared" si="30"/>
        <v>722.39</v>
      </c>
    </row>
    <row r="1980" spans="1:19">
      <c r="A1980" t="s">
        <v>2792</v>
      </c>
      <c r="B1980" s="3">
        <v>45615</v>
      </c>
      <c r="C1980" t="s">
        <v>1699</v>
      </c>
      <c r="D1980" t="s">
        <v>487</v>
      </c>
      <c r="E1980" t="s">
        <v>58</v>
      </c>
      <c r="F1980">
        <v>3</v>
      </c>
      <c r="G1980" t="s">
        <v>50</v>
      </c>
      <c r="H1980">
        <v>63</v>
      </c>
      <c r="I1980" s="12" t="s">
        <v>34</v>
      </c>
      <c r="J1980" s="12" t="s">
        <v>44</v>
      </c>
      <c r="K1980" s="12" t="s">
        <v>26</v>
      </c>
      <c r="L1980" s="12" t="s">
        <v>488</v>
      </c>
      <c r="M1980" s="12" t="s">
        <v>75</v>
      </c>
      <c r="N1980" s="14">
        <v>0.14000000000000001</v>
      </c>
      <c r="O1980" s="23">
        <v>585.54999999999995</v>
      </c>
      <c r="P1980">
        <v>382.22</v>
      </c>
      <c r="Q1980" s="12" t="str" cm="1">
        <f t="array" ref="Q1980:R1980">VLOOKUP(E1980,store[],{3,5},FALSE)</f>
        <v>North</v>
      </c>
      <c r="R1980" t="str">
        <v>Outlet</v>
      </c>
      <c r="S1980" s="4">
        <f t="shared" si="30"/>
        <v>1756.23</v>
      </c>
    </row>
    <row r="1981" spans="1:19">
      <c r="A1981" t="s">
        <v>2793</v>
      </c>
      <c r="B1981" s="3">
        <v>45666</v>
      </c>
      <c r="C1981" t="s">
        <v>1704</v>
      </c>
      <c r="D1981" t="s">
        <v>381</v>
      </c>
      <c r="E1981" t="s">
        <v>149</v>
      </c>
      <c r="F1981">
        <v>2</v>
      </c>
      <c r="G1981" t="s">
        <v>33</v>
      </c>
      <c r="H1981">
        <v>41</v>
      </c>
      <c r="I1981" s="12" t="s">
        <v>34</v>
      </c>
      <c r="J1981" s="12" t="s">
        <v>227</v>
      </c>
      <c r="K1981" s="12" t="s">
        <v>73</v>
      </c>
      <c r="L1981" s="12" t="s">
        <v>382</v>
      </c>
      <c r="M1981" s="12" t="s">
        <v>130</v>
      </c>
      <c r="N1981" s="14">
        <v>0.13</v>
      </c>
      <c r="O1981" s="23">
        <v>635.80999999999995</v>
      </c>
      <c r="P1981">
        <v>167.34</v>
      </c>
      <c r="Q1981" s="12" t="str" cm="1">
        <f t="array" ref="Q1981:R1981">VLOOKUP(E1981,store[],{3,5},FALSE)</f>
        <v>East</v>
      </c>
      <c r="R1981" t="str">
        <v>Flagship</v>
      </c>
      <c r="S1981" s="4">
        <f t="shared" si="30"/>
        <v>1271.3599999999999</v>
      </c>
    </row>
    <row r="1982" spans="1:19">
      <c r="A1982" t="s">
        <v>2794</v>
      </c>
      <c r="B1982" s="3">
        <v>45644</v>
      </c>
      <c r="C1982" t="s">
        <v>490</v>
      </c>
      <c r="D1982" t="s">
        <v>480</v>
      </c>
      <c r="E1982" t="s">
        <v>72</v>
      </c>
      <c r="F1982">
        <v>2</v>
      </c>
      <c r="G1982" t="s">
        <v>23</v>
      </c>
      <c r="H1982">
        <v>22</v>
      </c>
      <c r="I1982" s="12" t="s">
        <v>34</v>
      </c>
      <c r="J1982" s="12" t="s">
        <v>491</v>
      </c>
      <c r="K1982" s="12" t="s">
        <v>52</v>
      </c>
      <c r="L1982" s="12" t="s">
        <v>481</v>
      </c>
      <c r="M1982" s="12" t="s">
        <v>75</v>
      </c>
      <c r="N1982" s="14">
        <v>0.01</v>
      </c>
      <c r="O1982" s="23">
        <v>353.74</v>
      </c>
      <c r="P1982">
        <v>48.01</v>
      </c>
      <c r="Q1982" s="12" t="str" cm="1">
        <f t="array" ref="Q1982:R1982">VLOOKUP(E1982,store[],{3,5},FALSE)</f>
        <v>South</v>
      </c>
      <c r="R1982" t="str">
        <v>Online</v>
      </c>
      <c r="S1982" s="4">
        <f t="shared" si="30"/>
        <v>707.46</v>
      </c>
    </row>
    <row r="1983" spans="1:19">
      <c r="A1983" t="s">
        <v>2795</v>
      </c>
      <c r="B1983" s="3">
        <v>45648</v>
      </c>
      <c r="C1983" t="s">
        <v>476</v>
      </c>
      <c r="D1983" t="s">
        <v>126</v>
      </c>
      <c r="E1983" t="s">
        <v>66</v>
      </c>
      <c r="F1983">
        <v>1</v>
      </c>
      <c r="G1983" t="s">
        <v>23</v>
      </c>
      <c r="H1983">
        <v>25</v>
      </c>
      <c r="I1983" s="12" t="s">
        <v>24</v>
      </c>
      <c r="J1983" s="12" t="s">
        <v>25</v>
      </c>
      <c r="K1983" s="12" t="s">
        <v>26</v>
      </c>
      <c r="L1983" s="12" t="s">
        <v>129</v>
      </c>
      <c r="M1983" s="12" t="s">
        <v>130</v>
      </c>
      <c r="N1983" s="14">
        <v>0.15</v>
      </c>
      <c r="O1983" s="23">
        <v>377.52</v>
      </c>
      <c r="P1983">
        <v>223.43</v>
      </c>
      <c r="Q1983" s="12" t="str" cm="1">
        <f t="array" ref="Q1983:R1983">VLOOKUP(E1983,store[],{3,5},FALSE)</f>
        <v>South</v>
      </c>
      <c r="R1983" t="str">
        <v>Online</v>
      </c>
      <c r="S1983" s="4">
        <f t="shared" si="30"/>
        <v>377.37</v>
      </c>
    </row>
    <row r="1984" spans="1:19">
      <c r="A1984" t="s">
        <v>2796</v>
      </c>
      <c r="B1984" s="3">
        <v>45500</v>
      </c>
      <c r="C1984" t="s">
        <v>1075</v>
      </c>
      <c r="D1984" t="s">
        <v>741</v>
      </c>
      <c r="E1984" t="s">
        <v>198</v>
      </c>
      <c r="F1984">
        <v>3</v>
      </c>
      <c r="G1984" t="s">
        <v>23</v>
      </c>
      <c r="H1984">
        <v>44</v>
      </c>
      <c r="I1984" s="12" t="s">
        <v>34</v>
      </c>
      <c r="J1984" s="12" t="s">
        <v>204</v>
      </c>
      <c r="K1984" s="12" t="s">
        <v>26</v>
      </c>
      <c r="L1984" s="12" t="s">
        <v>742</v>
      </c>
      <c r="M1984" s="12" t="s">
        <v>75</v>
      </c>
      <c r="N1984" s="14">
        <v>0</v>
      </c>
      <c r="O1984" s="23">
        <v>901.49</v>
      </c>
      <c r="P1984">
        <v>243.7</v>
      </c>
      <c r="Q1984" s="12" t="str" cm="1">
        <f t="array" ref="Q1984:R1984">VLOOKUP(E1984,store[],{3,5},FALSE)</f>
        <v>South</v>
      </c>
      <c r="R1984" t="str">
        <v>Outlet</v>
      </c>
      <c r="S1984" s="4">
        <f t="shared" si="30"/>
        <v>2704.47</v>
      </c>
    </row>
    <row r="1985" spans="1:19">
      <c r="A1985" t="s">
        <v>2797</v>
      </c>
      <c r="B1985" s="3">
        <v>45806</v>
      </c>
      <c r="C1985" t="s">
        <v>191</v>
      </c>
      <c r="D1985" t="s">
        <v>271</v>
      </c>
      <c r="E1985" t="s">
        <v>58</v>
      </c>
      <c r="F1985">
        <v>1</v>
      </c>
      <c r="G1985" t="s">
        <v>23</v>
      </c>
      <c r="H1985">
        <v>30</v>
      </c>
      <c r="I1985" s="12" t="s">
        <v>24</v>
      </c>
      <c r="J1985" s="12" t="s">
        <v>193</v>
      </c>
      <c r="K1985" s="12" t="s">
        <v>52</v>
      </c>
      <c r="L1985" s="12" t="s">
        <v>273</v>
      </c>
      <c r="M1985" s="12" t="s">
        <v>75</v>
      </c>
      <c r="N1985" s="14">
        <v>0.1</v>
      </c>
      <c r="O1985" s="23">
        <v>563.01</v>
      </c>
      <c r="P1985">
        <v>19.52</v>
      </c>
      <c r="Q1985" s="12" t="str" cm="1">
        <f t="array" ref="Q1985:R1985">VLOOKUP(E1985,store[],{3,5},FALSE)</f>
        <v>North</v>
      </c>
      <c r="R1985" t="str">
        <v>Outlet</v>
      </c>
      <c r="S1985" s="4">
        <f t="shared" si="30"/>
        <v>562.91</v>
      </c>
    </row>
    <row r="1986" spans="1:19">
      <c r="A1986" t="s">
        <v>2798</v>
      </c>
      <c r="B1986" s="3">
        <v>45365</v>
      </c>
      <c r="C1986" t="s">
        <v>1526</v>
      </c>
      <c r="D1986" t="s">
        <v>79</v>
      </c>
      <c r="E1986" t="s">
        <v>179</v>
      </c>
      <c r="F1986">
        <v>4</v>
      </c>
      <c r="G1986" t="s">
        <v>23</v>
      </c>
      <c r="H1986">
        <v>55</v>
      </c>
      <c r="I1986" s="12" t="s">
        <v>24</v>
      </c>
      <c r="J1986" s="12" t="s">
        <v>510</v>
      </c>
      <c r="K1986" s="12" t="s">
        <v>73</v>
      </c>
      <c r="L1986" s="12" t="s">
        <v>81</v>
      </c>
      <c r="M1986" s="12" t="s">
        <v>75</v>
      </c>
      <c r="N1986" s="14">
        <v>0.11</v>
      </c>
      <c r="O1986" s="23">
        <v>167.25</v>
      </c>
      <c r="P1986">
        <v>138.05000000000001</v>
      </c>
      <c r="Q1986" s="12" t="str" cm="1">
        <f t="array" ref="Q1986:R1986">VLOOKUP(E1986,store[],{3,5},FALSE)</f>
        <v>East</v>
      </c>
      <c r="R1986" t="str">
        <v>Online</v>
      </c>
      <c r="S1986" s="4">
        <f t="shared" ref="S1986:S2001" si="31">(O1986-N1986)*F1986</f>
        <v>668.56</v>
      </c>
    </row>
    <row r="1987" spans="1:19">
      <c r="A1987" t="s">
        <v>2799</v>
      </c>
      <c r="B1987" s="3">
        <v>45229</v>
      </c>
      <c r="C1987" t="s">
        <v>2800</v>
      </c>
      <c r="D1987" t="s">
        <v>148</v>
      </c>
      <c r="E1987" t="s">
        <v>160</v>
      </c>
      <c r="F1987">
        <v>3</v>
      </c>
      <c r="G1987" t="s">
        <v>50</v>
      </c>
      <c r="H1987">
        <v>60</v>
      </c>
      <c r="I1987" s="12" t="s">
        <v>24</v>
      </c>
      <c r="J1987" s="12" t="s">
        <v>169</v>
      </c>
      <c r="K1987" s="12" t="s">
        <v>26</v>
      </c>
      <c r="L1987" s="12" t="s">
        <v>150</v>
      </c>
      <c r="M1987" s="12" t="s">
        <v>46</v>
      </c>
      <c r="N1987" s="14">
        <v>0.08</v>
      </c>
      <c r="O1987" s="23">
        <v>345.43</v>
      </c>
      <c r="P1987">
        <v>482.75</v>
      </c>
      <c r="Q1987" s="12" t="str" cm="1">
        <f t="array" ref="Q1987:R1987">VLOOKUP(E1987,store[],{3,5},FALSE)</f>
        <v>East</v>
      </c>
      <c r="R1987" t="str">
        <v>Flagship</v>
      </c>
      <c r="S1987" s="4">
        <f t="shared" si="31"/>
        <v>1036.05</v>
      </c>
    </row>
    <row r="1988" spans="1:19">
      <c r="A1988" t="s">
        <v>2801</v>
      </c>
      <c r="B1988" s="3">
        <v>45349</v>
      </c>
      <c r="C1988" t="s">
        <v>2448</v>
      </c>
      <c r="D1988" t="s">
        <v>542</v>
      </c>
      <c r="E1988" t="s">
        <v>127</v>
      </c>
      <c r="F1988">
        <v>4</v>
      </c>
      <c r="G1988" t="s">
        <v>23</v>
      </c>
      <c r="H1988">
        <v>60</v>
      </c>
      <c r="I1988" s="12" t="s">
        <v>34</v>
      </c>
      <c r="J1988" s="12" t="s">
        <v>106</v>
      </c>
      <c r="K1988" s="12" t="s">
        <v>26</v>
      </c>
      <c r="L1988" s="12" t="s">
        <v>543</v>
      </c>
      <c r="M1988" s="12" t="s">
        <v>28</v>
      </c>
      <c r="N1988" s="14">
        <v>0.23</v>
      </c>
      <c r="O1988" s="23">
        <v>752.48</v>
      </c>
      <c r="P1988">
        <v>152.91999999999999</v>
      </c>
      <c r="Q1988" s="12" t="str" cm="1">
        <f t="array" ref="Q1988:R1988">VLOOKUP(E1988,store[],{3,5},FALSE)</f>
        <v>South</v>
      </c>
      <c r="R1988" t="str">
        <v>Flagship</v>
      </c>
      <c r="S1988" s="4">
        <f t="shared" si="31"/>
        <v>3009</v>
      </c>
    </row>
    <row r="1989" spans="1:19">
      <c r="A1989" t="s">
        <v>2802</v>
      </c>
      <c r="B1989" s="3">
        <v>45886</v>
      </c>
      <c r="C1989" t="s">
        <v>748</v>
      </c>
      <c r="D1989" t="s">
        <v>509</v>
      </c>
      <c r="E1989" t="s">
        <v>135</v>
      </c>
      <c r="F1989">
        <v>1</v>
      </c>
      <c r="G1989" t="s">
        <v>23</v>
      </c>
      <c r="H1989">
        <v>29</v>
      </c>
      <c r="I1989" s="12" t="s">
        <v>24</v>
      </c>
      <c r="J1989" s="12" t="s">
        <v>308</v>
      </c>
      <c r="K1989" s="12" t="s">
        <v>73</v>
      </c>
      <c r="L1989" s="12" t="s">
        <v>511</v>
      </c>
      <c r="M1989" s="12" t="s">
        <v>28</v>
      </c>
      <c r="N1989" s="14">
        <v>0.26</v>
      </c>
      <c r="O1989" s="23">
        <v>120.02</v>
      </c>
      <c r="P1989">
        <v>30.62</v>
      </c>
      <c r="Q1989" s="12" t="str" cm="1">
        <f t="array" ref="Q1989:R1989">VLOOKUP(E1989,store[],{3,5},FALSE)</f>
        <v>East</v>
      </c>
      <c r="R1989" t="str">
        <v>Online</v>
      </c>
      <c r="S1989" s="4">
        <f t="shared" si="31"/>
        <v>119.76</v>
      </c>
    </row>
    <row r="1990" spans="1:19">
      <c r="A1990" t="s">
        <v>2803</v>
      </c>
      <c r="B1990" s="3">
        <v>45359</v>
      </c>
      <c r="C1990" t="s">
        <v>648</v>
      </c>
      <c r="D1990" t="s">
        <v>745</v>
      </c>
      <c r="E1990" t="s">
        <v>43</v>
      </c>
      <c r="F1990">
        <v>3</v>
      </c>
      <c r="G1990" t="s">
        <v>23</v>
      </c>
      <c r="H1990">
        <v>64</v>
      </c>
      <c r="I1990" s="12" t="s">
        <v>34</v>
      </c>
      <c r="J1990" s="12" t="s">
        <v>256</v>
      </c>
      <c r="K1990" s="12" t="s">
        <v>52</v>
      </c>
      <c r="L1990" s="12" t="s">
        <v>746</v>
      </c>
      <c r="M1990" s="12" t="s">
        <v>28</v>
      </c>
      <c r="N1990" s="14">
        <v>0.28000000000000003</v>
      </c>
      <c r="O1990" s="23">
        <v>146.71</v>
      </c>
      <c r="P1990">
        <v>313.26</v>
      </c>
      <c r="Q1990" s="12" t="str" cm="1">
        <f t="array" ref="Q1990:R1990">VLOOKUP(E1990,store[],{3,5},FALSE)</f>
        <v>West</v>
      </c>
      <c r="R1990" t="str">
        <v>Online</v>
      </c>
      <c r="S1990" s="4">
        <f t="shared" si="31"/>
        <v>439.29</v>
      </c>
    </row>
    <row r="1991" spans="1:19">
      <c r="A1991" t="s">
        <v>2804</v>
      </c>
      <c r="B1991" s="3">
        <v>45730</v>
      </c>
      <c r="C1991" t="s">
        <v>752</v>
      </c>
      <c r="D1991" t="s">
        <v>779</v>
      </c>
      <c r="E1991" t="s">
        <v>90</v>
      </c>
      <c r="F1991">
        <v>2</v>
      </c>
      <c r="G1991" t="s">
        <v>23</v>
      </c>
      <c r="H1991">
        <v>53</v>
      </c>
      <c r="I1991" s="12" t="s">
        <v>24</v>
      </c>
      <c r="J1991" s="12" t="s">
        <v>235</v>
      </c>
      <c r="K1991" s="12" t="s">
        <v>73</v>
      </c>
      <c r="L1991" s="12" t="s">
        <v>780</v>
      </c>
      <c r="M1991" s="12" t="s">
        <v>46</v>
      </c>
      <c r="N1991" s="14">
        <v>0.24</v>
      </c>
      <c r="O1991" s="23">
        <v>358.87</v>
      </c>
      <c r="P1991">
        <v>299.11</v>
      </c>
      <c r="Q1991" s="12" t="str" cm="1">
        <f t="array" ref="Q1991:R1991">VLOOKUP(E1991,store[],{3,5},FALSE)</f>
        <v>East</v>
      </c>
      <c r="R1991" t="str">
        <v>Flagship</v>
      </c>
      <c r="S1991" s="4">
        <f t="shared" si="31"/>
        <v>717.26</v>
      </c>
    </row>
    <row r="1992" spans="1:19">
      <c r="A1992" t="s">
        <v>2805</v>
      </c>
      <c r="B1992" s="3">
        <v>45456</v>
      </c>
      <c r="C1992" t="s">
        <v>926</v>
      </c>
      <c r="D1992" t="s">
        <v>282</v>
      </c>
      <c r="E1992" t="s">
        <v>22</v>
      </c>
      <c r="F1992">
        <v>4</v>
      </c>
      <c r="G1992" t="s">
        <v>50</v>
      </c>
      <c r="H1992">
        <v>31</v>
      </c>
      <c r="I1992" s="12" t="s">
        <v>24</v>
      </c>
      <c r="J1992" s="12" t="s">
        <v>498</v>
      </c>
      <c r="K1992" s="12" t="s">
        <v>52</v>
      </c>
      <c r="L1992" s="12" t="s">
        <v>283</v>
      </c>
      <c r="M1992" s="12" t="s">
        <v>28</v>
      </c>
      <c r="N1992" s="14">
        <v>0.11</v>
      </c>
      <c r="O1992" s="23">
        <v>212.75</v>
      </c>
      <c r="P1992">
        <v>212.26</v>
      </c>
      <c r="Q1992" s="12" t="str" cm="1">
        <f t="array" ref="Q1992:R1992">VLOOKUP(E1992,store[],{3,5},FALSE)</f>
        <v>North</v>
      </c>
      <c r="R1992" t="str">
        <v>Outlet</v>
      </c>
      <c r="S1992" s="4">
        <f t="shared" si="31"/>
        <v>850.56</v>
      </c>
    </row>
    <row r="1993" spans="1:19">
      <c r="A1993" t="s">
        <v>2806</v>
      </c>
      <c r="B1993" s="3">
        <v>45450</v>
      </c>
      <c r="C1993" t="s">
        <v>388</v>
      </c>
      <c r="D1993" t="s">
        <v>344</v>
      </c>
      <c r="E1993" t="s">
        <v>272</v>
      </c>
      <c r="F1993">
        <v>1</v>
      </c>
      <c r="G1993" t="s">
        <v>33</v>
      </c>
      <c r="H1993">
        <v>62</v>
      </c>
      <c r="I1993" s="12" t="s">
        <v>34</v>
      </c>
      <c r="J1993" s="12" t="s">
        <v>161</v>
      </c>
      <c r="K1993" s="12" t="s">
        <v>73</v>
      </c>
      <c r="L1993" s="12" t="s">
        <v>347</v>
      </c>
      <c r="M1993" s="12" t="s">
        <v>28</v>
      </c>
      <c r="N1993" s="14">
        <v>0.17</v>
      </c>
      <c r="O1993" s="23">
        <v>183.47</v>
      </c>
      <c r="P1993">
        <v>318.91000000000003</v>
      </c>
      <c r="Q1993" s="12" t="str" cm="1">
        <f t="array" ref="Q1993:R1993">VLOOKUP(E1993,store[],{3,5},FALSE)</f>
        <v>South</v>
      </c>
      <c r="R1993" t="str">
        <v>Online</v>
      </c>
      <c r="S1993" s="4">
        <f t="shared" si="31"/>
        <v>183.3</v>
      </c>
    </row>
    <row r="1994" spans="1:19">
      <c r="A1994" t="s">
        <v>2807</v>
      </c>
      <c r="B1994" s="3">
        <v>45493</v>
      </c>
      <c r="C1994" t="s">
        <v>548</v>
      </c>
      <c r="D1994" t="s">
        <v>287</v>
      </c>
      <c r="E1994" t="s">
        <v>122</v>
      </c>
      <c r="F1994">
        <v>4</v>
      </c>
      <c r="G1994" t="s">
        <v>23</v>
      </c>
      <c r="H1994">
        <v>24</v>
      </c>
      <c r="I1994" s="12" t="s">
        <v>34</v>
      </c>
      <c r="J1994" s="12" t="s">
        <v>260</v>
      </c>
      <c r="K1994" s="12" t="s">
        <v>60</v>
      </c>
      <c r="L1994" s="12" t="s">
        <v>288</v>
      </c>
      <c r="M1994" s="12" t="s">
        <v>46</v>
      </c>
      <c r="N1994" s="14">
        <v>0.23</v>
      </c>
      <c r="O1994" s="23">
        <v>569.98</v>
      </c>
      <c r="P1994">
        <v>183.04</v>
      </c>
      <c r="Q1994" s="12" t="str" cm="1">
        <f t="array" ref="Q1994:R1994">VLOOKUP(E1994,store[],{3,5},FALSE)</f>
        <v>North</v>
      </c>
      <c r="R1994" t="str">
        <v>Flagship</v>
      </c>
      <c r="S1994" s="4">
        <f t="shared" si="31"/>
        <v>2279</v>
      </c>
    </row>
    <row r="1995" spans="1:19">
      <c r="A1995" t="s">
        <v>2808</v>
      </c>
      <c r="B1995" s="3">
        <v>45274</v>
      </c>
      <c r="C1995" t="s">
        <v>664</v>
      </c>
      <c r="D1995" t="s">
        <v>279</v>
      </c>
      <c r="E1995" t="s">
        <v>208</v>
      </c>
      <c r="F1995">
        <v>3</v>
      </c>
      <c r="G1995" t="s">
        <v>23</v>
      </c>
      <c r="H1995">
        <v>42</v>
      </c>
      <c r="I1995" s="12" t="s">
        <v>24</v>
      </c>
      <c r="J1995" s="12" t="s">
        <v>463</v>
      </c>
      <c r="K1995" s="12" t="s">
        <v>60</v>
      </c>
      <c r="L1995" s="12" t="s">
        <v>280</v>
      </c>
      <c r="M1995" s="12" t="s">
        <v>75</v>
      </c>
      <c r="N1995" s="14">
        <v>0.27</v>
      </c>
      <c r="O1995" s="23">
        <v>984.12</v>
      </c>
      <c r="P1995">
        <v>123.46</v>
      </c>
      <c r="Q1995" s="12" t="str" cm="1">
        <f t="array" ref="Q1995:R1995">VLOOKUP(E1995,store[],{3,5},FALSE)</f>
        <v>North</v>
      </c>
      <c r="R1995" t="str">
        <v>Online</v>
      </c>
      <c r="S1995" s="4">
        <f t="shared" si="31"/>
        <v>2951.55</v>
      </c>
    </row>
    <row r="1996" spans="1:19">
      <c r="A1996" t="s">
        <v>2809</v>
      </c>
      <c r="B1996" s="3">
        <v>45844</v>
      </c>
      <c r="C1996" t="s">
        <v>521</v>
      </c>
      <c r="D1996" t="s">
        <v>814</v>
      </c>
      <c r="E1996" t="s">
        <v>43</v>
      </c>
      <c r="F1996">
        <v>1</v>
      </c>
      <c r="G1996" t="s">
        <v>23</v>
      </c>
      <c r="H1996">
        <v>53</v>
      </c>
      <c r="I1996" s="12" t="s">
        <v>24</v>
      </c>
      <c r="J1996" s="12" t="s">
        <v>199</v>
      </c>
      <c r="K1996" s="12" t="s">
        <v>73</v>
      </c>
      <c r="L1996" s="12" t="s">
        <v>815</v>
      </c>
      <c r="M1996" s="12" t="s">
        <v>75</v>
      </c>
      <c r="N1996" s="14">
        <v>0</v>
      </c>
      <c r="O1996" s="23">
        <v>905.23</v>
      </c>
      <c r="P1996">
        <v>388.46</v>
      </c>
      <c r="Q1996" s="12" t="str" cm="1">
        <f t="array" ref="Q1996:R1996">VLOOKUP(E1996,store[],{3,5},FALSE)</f>
        <v>West</v>
      </c>
      <c r="R1996" t="str">
        <v>Online</v>
      </c>
      <c r="S1996" s="4">
        <f t="shared" si="31"/>
        <v>905.23</v>
      </c>
    </row>
    <row r="1997" spans="1:19">
      <c r="A1997" t="s">
        <v>2810</v>
      </c>
      <c r="B1997" s="3">
        <v>45264</v>
      </c>
      <c r="C1997" t="s">
        <v>177</v>
      </c>
      <c r="D1997" t="s">
        <v>85</v>
      </c>
      <c r="E1997" t="s">
        <v>135</v>
      </c>
      <c r="F1997">
        <v>3</v>
      </c>
      <c r="G1997" t="s">
        <v>23</v>
      </c>
      <c r="H1997">
        <v>53</v>
      </c>
      <c r="I1997" s="12" t="s">
        <v>24</v>
      </c>
      <c r="J1997" s="12" t="s">
        <v>80</v>
      </c>
      <c r="K1997" s="12" t="s">
        <v>60</v>
      </c>
      <c r="L1997" s="12" t="s">
        <v>86</v>
      </c>
      <c r="M1997" s="12" t="s">
        <v>75</v>
      </c>
      <c r="N1997" s="14">
        <v>0.19</v>
      </c>
      <c r="O1997" s="23">
        <v>112.77</v>
      </c>
      <c r="P1997">
        <v>201.41</v>
      </c>
      <c r="Q1997" s="12" t="str" cm="1">
        <f t="array" ref="Q1997:R1997">VLOOKUP(E1997,store[],{3,5},FALSE)</f>
        <v>East</v>
      </c>
      <c r="R1997" t="str">
        <v>Online</v>
      </c>
      <c r="S1997" s="4">
        <f t="shared" si="31"/>
        <v>337.74</v>
      </c>
    </row>
    <row r="1998" spans="1:19">
      <c r="A1998" t="s">
        <v>2811</v>
      </c>
      <c r="B1998" s="3">
        <v>45773</v>
      </c>
      <c r="C1998" t="s">
        <v>954</v>
      </c>
      <c r="D1998" t="s">
        <v>487</v>
      </c>
      <c r="E1998" t="s">
        <v>43</v>
      </c>
      <c r="F1998">
        <v>3</v>
      </c>
      <c r="G1998" t="s">
        <v>33</v>
      </c>
      <c r="H1998">
        <v>18</v>
      </c>
      <c r="I1998" s="12" t="s">
        <v>34</v>
      </c>
      <c r="J1998" s="12" t="s">
        <v>251</v>
      </c>
      <c r="K1998" s="12" t="s">
        <v>60</v>
      </c>
      <c r="L1998" s="12" t="s">
        <v>488</v>
      </c>
      <c r="M1998" s="12" t="s">
        <v>75</v>
      </c>
      <c r="N1998" s="14">
        <v>0.09</v>
      </c>
      <c r="O1998" s="23">
        <v>875.99</v>
      </c>
      <c r="P1998">
        <v>382.22</v>
      </c>
      <c r="Q1998" s="12" t="str" cm="1">
        <f t="array" ref="Q1998:R1998">VLOOKUP(E1998,store[],{3,5},FALSE)</f>
        <v>West</v>
      </c>
      <c r="R1998" t="str">
        <v>Online</v>
      </c>
      <c r="S1998" s="4">
        <f t="shared" si="31"/>
        <v>2627.7</v>
      </c>
    </row>
    <row r="1999" spans="1:19">
      <c r="A1999" t="s">
        <v>2812</v>
      </c>
      <c r="B1999" s="3">
        <v>45460</v>
      </c>
      <c r="C1999" t="s">
        <v>606</v>
      </c>
      <c r="D1999" t="s">
        <v>287</v>
      </c>
      <c r="E1999" t="s">
        <v>168</v>
      </c>
      <c r="F1999">
        <v>2</v>
      </c>
      <c r="G1999" t="s">
        <v>33</v>
      </c>
      <c r="H1999">
        <v>45</v>
      </c>
      <c r="I1999" s="12" t="s">
        <v>24</v>
      </c>
      <c r="J1999" s="12" t="s">
        <v>140</v>
      </c>
      <c r="K1999" s="12" t="s">
        <v>60</v>
      </c>
      <c r="L1999" s="12" t="s">
        <v>288</v>
      </c>
      <c r="M1999" s="12" t="s">
        <v>46</v>
      </c>
      <c r="N1999" s="14">
        <v>0.26</v>
      </c>
      <c r="O1999" s="23">
        <v>685.31</v>
      </c>
      <c r="P1999">
        <v>183.04</v>
      </c>
      <c r="Q1999" s="12" t="str" cm="1">
        <f t="array" ref="Q1999:R1999">VLOOKUP(E1999,store[],{3,5},FALSE)</f>
        <v>East</v>
      </c>
      <c r="R1999" t="str">
        <v>Online</v>
      </c>
      <c r="S1999" s="4">
        <f t="shared" si="31"/>
        <v>1370.1</v>
      </c>
    </row>
    <row r="2000" spans="1:19">
      <c r="A2000" t="s">
        <v>2813</v>
      </c>
      <c r="B2000" s="3">
        <v>45607</v>
      </c>
      <c r="C2000" t="s">
        <v>1526</v>
      </c>
      <c r="D2000" t="s">
        <v>698</v>
      </c>
      <c r="E2000" t="s">
        <v>272</v>
      </c>
      <c r="F2000">
        <v>3</v>
      </c>
      <c r="G2000" t="s">
        <v>23</v>
      </c>
      <c r="H2000">
        <v>55</v>
      </c>
      <c r="I2000" s="12" t="s">
        <v>24</v>
      </c>
      <c r="J2000" s="12" t="s">
        <v>510</v>
      </c>
      <c r="K2000" s="12" t="s">
        <v>73</v>
      </c>
      <c r="L2000" s="12" t="s">
        <v>699</v>
      </c>
      <c r="M2000" s="12" t="s">
        <v>28</v>
      </c>
      <c r="N2000" s="14">
        <v>0.05</v>
      </c>
      <c r="O2000" s="23">
        <v>945.37</v>
      </c>
      <c r="P2000">
        <v>103.45</v>
      </c>
      <c r="Q2000" s="12" t="str" cm="1">
        <f t="array" ref="Q2000:R2000">VLOOKUP(E2000,store[],{3,5},FALSE)</f>
        <v>South</v>
      </c>
      <c r="R2000" t="str">
        <v>Online</v>
      </c>
      <c r="S2000" s="4">
        <f t="shared" si="31"/>
        <v>2835.96</v>
      </c>
    </row>
    <row r="2001" spans="1:19">
      <c r="A2001" t="s">
        <v>2814</v>
      </c>
      <c r="B2001" s="3">
        <v>45267</v>
      </c>
      <c r="C2001" t="s">
        <v>740</v>
      </c>
      <c r="D2001" t="s">
        <v>49</v>
      </c>
      <c r="E2001" t="s">
        <v>135</v>
      </c>
      <c r="F2001">
        <v>3</v>
      </c>
      <c r="G2001" t="s">
        <v>33</v>
      </c>
      <c r="H2001">
        <v>52</v>
      </c>
      <c r="I2001" s="12" t="s">
        <v>34</v>
      </c>
      <c r="J2001" s="12" t="s">
        <v>609</v>
      </c>
      <c r="K2001" s="12" t="s">
        <v>60</v>
      </c>
      <c r="L2001" s="12" t="s">
        <v>53</v>
      </c>
      <c r="M2001" s="12" t="s">
        <v>37</v>
      </c>
      <c r="N2001" s="14">
        <v>0.17</v>
      </c>
      <c r="O2001" s="23">
        <v>68.45</v>
      </c>
      <c r="P2001">
        <v>392.89</v>
      </c>
      <c r="Q2001" s="12" t="str" cm="1">
        <f t="array" ref="Q2001:R2001">VLOOKUP(E2001,store[],{3,5},FALSE)</f>
        <v>East</v>
      </c>
      <c r="R2001" t="str">
        <v>Online</v>
      </c>
      <c r="S2001" s="4">
        <f t="shared" si="31"/>
        <v>204.84</v>
      </c>
    </row>
    <row r="2002" spans="1:19">
      <c r="N2002" s="35">
        <f>AVERAGE(N2:N2001)</f>
        <v>0.14808817636572399</v>
      </c>
      <c r="O2002" s="36">
        <f>AVERAGE(O2:O2001)</f>
        <v>513.98477215823698</v>
      </c>
      <c r="P2002" s="20">
        <f>SUM(P2:P2001)</f>
        <v>513551.57002747402</v>
      </c>
      <c r="S2002" s="37">
        <f>SUM(S2:S2001)</f>
        <v>2554136.7461408102</v>
      </c>
    </row>
  </sheetData>
  <autoFilter ref="A1:T2002" xr:uid="{00000000-0009-0000-0000-000000000000}"/>
  <conditionalFormatting sqref="N200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{DE9587F4-E0B0-4777-9378-C2A39B7C418B}</x14:id>
        </ext>
      </extLst>
    </cfRule>
  </conditionalFormatting>
  <conditionalFormatting sqref="S200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{A67C07F9-95E0-469B-90DF-902F7084C87C}</x14:id>
        </ext>
      </extLst>
    </cfRule>
  </conditionalFormatting>
  <conditionalFormatting sqref="O1:O104857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{7C29F133-57BA-4490-ADF3-61F231C42021}</x14:id>
        </ext>
      </extLst>
    </cfRule>
  </conditionalFormatting>
  <conditionalFormatting sqref="P1:P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{BCE0DF2D-5CC7-4925-98E1-0409A2885422}</x14:id>
        </ext>
      </extLst>
    </cfRule>
  </conditionalFormatting>
  <conditionalFormatting sqref="P2:P200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{FBA6D526-4080-4EA4-A80D-45DE5559F69B}</x14:id>
        </ext>
      </extLst>
    </cfRule>
  </conditionalFormatting>
  <conditionalFormatting sqref="S1:S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{803675B0-6F1E-4010-8365-5D7BF6A990A1}</x14:id>
        </ext>
      </extLst>
    </cfRule>
  </conditionalFormatting>
  <conditionalFormatting sqref="S2:S20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{3585EB1A-F920-4D33-97AD-6D362F888914}</x14:id>
        </ext>
      </extLst>
    </cfRule>
  </conditionalFormatting>
  <conditionalFormatting sqref="I1:I1048576 S1:S1048576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{DAAB0E60-546C-49FE-9638-4A8BE14A63F2}</x14:id>
        </ext>
      </extLst>
    </cfRule>
  </conditionalFormatting>
  <pageMargins left="0.75" right="0.75" top="1" bottom="1" header="0.5" footer="0.5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9587F4-E0B0-4777-9378-C2A39B7C4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N2002</xm:sqref>
        </x14:conditionalFormatting>
        <x14:conditionalFormatting xmlns:xm="http://schemas.microsoft.com/office/excel/2006/main">
          <x14:cfRule type="dataBar" id="{A67C07F9-95E0-469B-90DF-902F7084C8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S2002</xm:sqref>
        </x14:conditionalFormatting>
        <x14:conditionalFormatting xmlns:xm="http://schemas.microsoft.com/office/excel/2006/main">
          <x14:cfRule type="dataBar" id="{7C29F133-57BA-4490-ADF3-61F231C420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BCE0DF2D-5CC7-4925-98E1-0409A2885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FBA6D526-4080-4EA4-A80D-45DE5559F6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P2:P2001</xm:sqref>
        </x14:conditionalFormatting>
        <x14:conditionalFormatting xmlns:xm="http://schemas.microsoft.com/office/excel/2006/main">
          <x14:cfRule type="dataBar" id="{803675B0-6F1E-4010-8365-5D7BF6A990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3585EB1A-F920-4D33-97AD-6D362F8889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S2:S2001</xm:sqref>
        </x14:conditionalFormatting>
        <x14:conditionalFormatting xmlns:xm="http://schemas.microsoft.com/office/excel/2006/main">
          <x14:cfRule type="dataBar" id="{DAAB0E60-546C-49FE-9638-4A8BE14A63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 S1:S1048576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topLeftCell="B1" workbookViewId="0">
      <selection activeCell="J1" sqref="J1:J31"/>
    </sheetView>
  </sheetViews>
  <sheetFormatPr defaultColWidth="9" defaultRowHeight="14.4"/>
  <cols>
    <col min="1" max="1" width="16.33203125" customWidth="1"/>
    <col min="2" max="2" width="20.109375" style="12" customWidth="1"/>
    <col min="4" max="4" width="11.5546875" style="12" customWidth="1"/>
    <col min="5" max="5" width="24.33203125" style="12" customWidth="1"/>
    <col min="6" max="6" width="14" style="12" customWidth="1"/>
    <col min="7" max="7" width="21.5546875" style="12" customWidth="1"/>
    <col min="8" max="8" width="16.88671875" style="12" customWidth="1"/>
    <col min="10" max="10" width="81.6640625" customWidth="1"/>
  </cols>
  <sheetData>
    <row r="1" spans="1:10">
      <c r="A1" s="11" t="s">
        <v>2</v>
      </c>
      <c r="B1" s="13" t="s">
        <v>2815</v>
      </c>
      <c r="C1" s="11" t="s">
        <v>7</v>
      </c>
      <c r="D1" s="13" t="s">
        <v>8</v>
      </c>
      <c r="E1" s="13" t="s">
        <v>2816</v>
      </c>
      <c r="F1" s="13" t="s">
        <v>9</v>
      </c>
      <c r="G1" s="13" t="s">
        <v>2817</v>
      </c>
      <c r="H1" s="13" t="s">
        <v>10</v>
      </c>
      <c r="J1" s="20" t="s">
        <v>2818</v>
      </c>
    </row>
    <row r="2" spans="1:10">
      <c r="A2" t="s">
        <v>975</v>
      </c>
      <c r="B2" s="12" t="s">
        <v>2819</v>
      </c>
      <c r="C2">
        <v>55</v>
      </c>
      <c r="D2" s="12" t="s">
        <v>24</v>
      </c>
      <c r="E2" s="12" t="s">
        <v>2820</v>
      </c>
      <c r="F2" s="12" t="s">
        <v>256</v>
      </c>
      <c r="G2" s="12" t="s">
        <v>2821</v>
      </c>
      <c r="H2" s="12" t="s">
        <v>346</v>
      </c>
    </row>
    <row r="3" spans="1:10">
      <c r="A3" t="s">
        <v>1033</v>
      </c>
      <c r="B3" s="12" t="s">
        <v>2822</v>
      </c>
      <c r="C3">
        <v>26</v>
      </c>
      <c r="D3" s="12" t="s">
        <v>34</v>
      </c>
      <c r="E3" s="12" t="s">
        <v>2823</v>
      </c>
      <c r="F3" s="12" t="s">
        <v>188</v>
      </c>
      <c r="G3" s="12" t="s">
        <v>2821</v>
      </c>
      <c r="H3" s="12" t="s">
        <v>52</v>
      </c>
      <c r="J3" t="s">
        <v>2824</v>
      </c>
    </row>
    <row r="4" spans="1:10">
      <c r="A4" t="s">
        <v>436</v>
      </c>
      <c r="B4" s="12" t="s">
        <v>2825</v>
      </c>
      <c r="C4">
        <v>29</v>
      </c>
      <c r="D4" s="12" t="s">
        <v>34</v>
      </c>
      <c r="E4" s="12" t="s">
        <v>2826</v>
      </c>
      <c r="F4" s="12" t="s">
        <v>59</v>
      </c>
      <c r="G4" s="12" t="s">
        <v>2821</v>
      </c>
      <c r="H4" s="12" t="s">
        <v>52</v>
      </c>
      <c r="J4" t="s">
        <v>2827</v>
      </c>
    </row>
    <row r="5" spans="1:10">
      <c r="A5" t="s">
        <v>2059</v>
      </c>
      <c r="B5" s="12" t="s">
        <v>2828</v>
      </c>
      <c r="C5">
        <v>59</v>
      </c>
      <c r="D5" s="12" t="s">
        <v>34</v>
      </c>
      <c r="E5" s="12" t="s">
        <v>2829</v>
      </c>
      <c r="F5" s="12" t="s">
        <v>308</v>
      </c>
      <c r="G5" s="12" t="s">
        <v>2821</v>
      </c>
      <c r="H5" s="12" t="s">
        <v>73</v>
      </c>
    </row>
    <row r="6" spans="1:10">
      <c r="A6" t="s">
        <v>1747</v>
      </c>
      <c r="B6" s="12" t="s">
        <v>2830</v>
      </c>
      <c r="C6">
        <v>64</v>
      </c>
      <c r="D6" s="12" t="s">
        <v>34</v>
      </c>
      <c r="E6" s="12" t="s">
        <v>2831</v>
      </c>
      <c r="F6" s="12" t="s">
        <v>227</v>
      </c>
      <c r="G6" s="12" t="s">
        <v>2821</v>
      </c>
      <c r="H6" s="12" t="s">
        <v>60</v>
      </c>
      <c r="J6" s="20" t="s">
        <v>2832</v>
      </c>
    </row>
    <row r="7" spans="1:10">
      <c r="A7" t="s">
        <v>1483</v>
      </c>
      <c r="B7" s="12" t="s">
        <v>2833</v>
      </c>
      <c r="C7">
        <v>24</v>
      </c>
      <c r="D7" s="12" t="s">
        <v>24</v>
      </c>
      <c r="E7" s="12" t="s">
        <v>2834</v>
      </c>
      <c r="F7" s="12" t="s">
        <v>609</v>
      </c>
      <c r="G7" s="12" t="s">
        <v>2821</v>
      </c>
      <c r="H7" s="12" t="s">
        <v>73</v>
      </c>
    </row>
    <row r="8" spans="1:10">
      <c r="A8" t="s">
        <v>1013</v>
      </c>
      <c r="B8" s="12" t="s">
        <v>2835</v>
      </c>
      <c r="C8">
        <v>29</v>
      </c>
      <c r="D8" s="12" t="s">
        <v>34</v>
      </c>
      <c r="E8" s="12" t="s">
        <v>2836</v>
      </c>
      <c r="F8" s="12" t="s">
        <v>345</v>
      </c>
      <c r="G8" s="12" t="s">
        <v>2821</v>
      </c>
      <c r="H8" s="12" t="s">
        <v>52</v>
      </c>
      <c r="J8" t="s">
        <v>2837</v>
      </c>
    </row>
    <row r="9" spans="1:10">
      <c r="A9" t="s">
        <v>355</v>
      </c>
      <c r="B9" s="12" t="s">
        <v>2838</v>
      </c>
      <c r="C9">
        <v>29</v>
      </c>
      <c r="D9" s="12" t="s">
        <v>34</v>
      </c>
      <c r="E9" s="12" t="s">
        <v>2839</v>
      </c>
      <c r="F9" s="12" t="s">
        <v>356</v>
      </c>
      <c r="G9" s="12" t="s">
        <v>2821</v>
      </c>
      <c r="H9" s="12" t="s">
        <v>73</v>
      </c>
      <c r="J9" t="s">
        <v>2840</v>
      </c>
    </row>
    <row r="10" spans="1:10">
      <c r="A10" t="s">
        <v>270</v>
      </c>
      <c r="B10" s="12" t="s">
        <v>2841</v>
      </c>
      <c r="C10">
        <v>53</v>
      </c>
      <c r="D10" s="12" t="s">
        <v>34</v>
      </c>
      <c r="E10" s="12" t="s">
        <v>2842</v>
      </c>
      <c r="F10" s="12" t="s">
        <v>214</v>
      </c>
      <c r="G10" s="12" t="s">
        <v>2821</v>
      </c>
      <c r="H10" s="12" t="s">
        <v>26</v>
      </c>
      <c r="J10" t="s">
        <v>2843</v>
      </c>
    </row>
    <row r="11" spans="1:10">
      <c r="A11" t="s">
        <v>1825</v>
      </c>
      <c r="B11" s="12" t="s">
        <v>2844</v>
      </c>
      <c r="C11">
        <v>64</v>
      </c>
      <c r="D11" s="12" t="s">
        <v>24</v>
      </c>
      <c r="E11" s="12" t="s">
        <v>2845</v>
      </c>
      <c r="F11" s="12" t="s">
        <v>44</v>
      </c>
      <c r="G11" s="12" t="s">
        <v>2821</v>
      </c>
      <c r="H11" s="12" t="s">
        <v>52</v>
      </c>
      <c r="J11" t="s">
        <v>2846</v>
      </c>
    </row>
    <row r="12" spans="1:10">
      <c r="A12" t="s">
        <v>396</v>
      </c>
      <c r="B12" s="12" t="s">
        <v>2847</v>
      </c>
      <c r="C12">
        <v>53</v>
      </c>
      <c r="D12" s="12" t="s">
        <v>24</v>
      </c>
      <c r="E12" s="12" t="s">
        <v>2848</v>
      </c>
      <c r="F12" s="12" t="s">
        <v>44</v>
      </c>
      <c r="G12" s="12" t="s">
        <v>2821</v>
      </c>
      <c r="H12" s="12" t="s">
        <v>73</v>
      </c>
      <c r="J12" s="21" t="s">
        <v>2849</v>
      </c>
    </row>
    <row r="13" spans="1:10">
      <c r="A13" t="s">
        <v>1132</v>
      </c>
      <c r="B13" s="12" t="s">
        <v>2850</v>
      </c>
      <c r="C13">
        <v>28</v>
      </c>
      <c r="D13" s="12" t="s">
        <v>34</v>
      </c>
      <c r="E13" s="12" t="s">
        <v>2851</v>
      </c>
      <c r="F13" s="12" t="s">
        <v>161</v>
      </c>
      <c r="G13" s="12" t="s">
        <v>2821</v>
      </c>
      <c r="H13" s="12" t="s">
        <v>26</v>
      </c>
    </row>
    <row r="14" spans="1:10">
      <c r="A14" t="s">
        <v>677</v>
      </c>
      <c r="B14" s="12" t="s">
        <v>2852</v>
      </c>
      <c r="C14">
        <v>55</v>
      </c>
      <c r="D14" s="12" t="s">
        <v>34</v>
      </c>
      <c r="E14" s="12" t="s">
        <v>2853</v>
      </c>
      <c r="F14" s="12" t="s">
        <v>333</v>
      </c>
      <c r="G14" s="12" t="s">
        <v>2821</v>
      </c>
      <c r="H14" s="12" t="s">
        <v>52</v>
      </c>
      <c r="J14" s="20" t="s">
        <v>2854</v>
      </c>
    </row>
    <row r="15" spans="1:10">
      <c r="A15" t="s">
        <v>758</v>
      </c>
      <c r="B15" s="12" t="s">
        <v>2855</v>
      </c>
      <c r="C15">
        <v>32</v>
      </c>
      <c r="D15" s="12" t="s">
        <v>34</v>
      </c>
      <c r="E15" s="12" t="s">
        <v>2856</v>
      </c>
      <c r="F15" s="12" t="s">
        <v>111</v>
      </c>
      <c r="G15" s="12" t="s">
        <v>2821</v>
      </c>
      <c r="H15" s="12" t="s">
        <v>60</v>
      </c>
    </row>
    <row r="16" spans="1:10">
      <c r="A16" t="s">
        <v>912</v>
      </c>
      <c r="B16" s="12" t="s">
        <v>2857</v>
      </c>
      <c r="C16">
        <v>53</v>
      </c>
      <c r="D16" s="12" t="s">
        <v>34</v>
      </c>
      <c r="E16" s="12" t="s">
        <v>2858</v>
      </c>
      <c r="F16" s="12" t="s">
        <v>761</v>
      </c>
      <c r="G16" s="12" t="s">
        <v>2821</v>
      </c>
      <c r="H16" s="12" t="s">
        <v>60</v>
      </c>
      <c r="J16" t="s">
        <v>2859</v>
      </c>
    </row>
    <row r="17" spans="1:10">
      <c r="A17" t="s">
        <v>986</v>
      </c>
      <c r="B17" s="12" t="s">
        <v>2860</v>
      </c>
      <c r="C17">
        <v>49</v>
      </c>
      <c r="D17" s="12" t="s">
        <v>34</v>
      </c>
      <c r="E17" s="12" t="s">
        <v>2861</v>
      </c>
      <c r="F17" s="12" t="s">
        <v>91</v>
      </c>
      <c r="G17" s="12" t="s">
        <v>2821</v>
      </c>
      <c r="H17" s="12" t="s">
        <v>52</v>
      </c>
      <c r="J17" t="s">
        <v>2862</v>
      </c>
    </row>
    <row r="18" spans="1:10">
      <c r="A18" t="s">
        <v>70</v>
      </c>
      <c r="B18" s="12" t="s">
        <v>2863</v>
      </c>
      <c r="C18">
        <v>24</v>
      </c>
      <c r="D18" s="12" t="s">
        <v>34</v>
      </c>
      <c r="E18" s="12" t="s">
        <v>2864</v>
      </c>
      <c r="F18" s="12" t="s">
        <v>44</v>
      </c>
      <c r="G18" s="12" t="s">
        <v>2821</v>
      </c>
      <c r="H18" s="12" t="s">
        <v>73</v>
      </c>
      <c r="J18" t="s">
        <v>2865</v>
      </c>
    </row>
    <row r="19" spans="1:10">
      <c r="A19" t="s">
        <v>827</v>
      </c>
      <c r="B19" s="12" t="s">
        <v>2866</v>
      </c>
      <c r="C19">
        <v>60</v>
      </c>
      <c r="D19" s="12" t="s">
        <v>34</v>
      </c>
      <c r="E19" s="12" t="s">
        <v>2867</v>
      </c>
      <c r="F19" s="12" t="s">
        <v>360</v>
      </c>
      <c r="G19" s="12" t="s">
        <v>2821</v>
      </c>
      <c r="H19" s="12" t="s">
        <v>52</v>
      </c>
      <c r="J19" s="22" t="s">
        <v>2868</v>
      </c>
    </row>
    <row r="20" spans="1:10">
      <c r="A20" t="s">
        <v>2010</v>
      </c>
      <c r="B20" s="12" t="s">
        <v>2869</v>
      </c>
      <c r="C20">
        <v>43</v>
      </c>
      <c r="D20" s="12" t="s">
        <v>24</v>
      </c>
      <c r="E20" s="12" t="s">
        <v>2870</v>
      </c>
      <c r="F20" s="12" t="s">
        <v>333</v>
      </c>
      <c r="G20" s="12" t="s">
        <v>2821</v>
      </c>
      <c r="H20" s="12" t="s">
        <v>346</v>
      </c>
    </row>
    <row r="21" spans="1:10">
      <c r="A21" t="s">
        <v>353</v>
      </c>
      <c r="B21" s="12" t="s">
        <v>2871</v>
      </c>
      <c r="C21">
        <v>46</v>
      </c>
      <c r="D21" s="12" t="s">
        <v>34</v>
      </c>
      <c r="E21" s="12" t="s">
        <v>2872</v>
      </c>
      <c r="F21" s="12" t="s">
        <v>204</v>
      </c>
      <c r="G21" s="12" t="s">
        <v>2821</v>
      </c>
      <c r="H21" s="12" t="s">
        <v>52</v>
      </c>
    </row>
    <row r="22" spans="1:10">
      <c r="A22" t="s">
        <v>572</v>
      </c>
      <c r="B22" s="12" t="s">
        <v>2873</v>
      </c>
      <c r="C22">
        <v>59</v>
      </c>
      <c r="D22" s="12" t="s">
        <v>24</v>
      </c>
      <c r="E22" s="12" t="s">
        <v>2874</v>
      </c>
      <c r="F22" s="12" t="s">
        <v>373</v>
      </c>
      <c r="G22" s="12" t="s">
        <v>2821</v>
      </c>
      <c r="H22" s="12" t="s">
        <v>60</v>
      </c>
      <c r="J22" s="20" t="s">
        <v>2875</v>
      </c>
    </row>
    <row r="23" spans="1:10">
      <c r="A23" t="s">
        <v>2097</v>
      </c>
      <c r="B23" s="12" t="s">
        <v>2876</v>
      </c>
      <c r="C23">
        <v>36</v>
      </c>
      <c r="D23" s="12" t="s">
        <v>34</v>
      </c>
      <c r="E23" s="12" t="s">
        <v>2877</v>
      </c>
      <c r="F23" s="12" t="s">
        <v>169</v>
      </c>
      <c r="G23" s="12" t="s">
        <v>2821</v>
      </c>
      <c r="H23" s="12" t="s">
        <v>26</v>
      </c>
    </row>
    <row r="24" spans="1:10">
      <c r="A24" t="s">
        <v>550</v>
      </c>
      <c r="B24" s="12" t="s">
        <v>2878</v>
      </c>
      <c r="C24">
        <v>33</v>
      </c>
      <c r="D24" s="12" t="s">
        <v>34</v>
      </c>
      <c r="E24" s="12" t="s">
        <v>2879</v>
      </c>
      <c r="F24" s="12" t="s">
        <v>218</v>
      </c>
      <c r="G24" s="12" t="s">
        <v>2821</v>
      </c>
      <c r="H24" s="12" t="s">
        <v>60</v>
      </c>
      <c r="J24" t="s">
        <v>2880</v>
      </c>
    </row>
    <row r="25" spans="1:10">
      <c r="A25" t="s">
        <v>740</v>
      </c>
      <c r="B25" s="12" t="s">
        <v>2881</v>
      </c>
      <c r="C25">
        <v>52</v>
      </c>
      <c r="D25" s="12" t="s">
        <v>34</v>
      </c>
      <c r="E25" s="12" t="s">
        <v>2882</v>
      </c>
      <c r="F25" s="12" t="s">
        <v>609</v>
      </c>
      <c r="G25" s="12" t="s">
        <v>2821</v>
      </c>
      <c r="H25" s="12" t="s">
        <v>60</v>
      </c>
      <c r="J25" t="s">
        <v>2883</v>
      </c>
    </row>
    <row r="26" spans="1:10">
      <c r="A26" t="s">
        <v>1422</v>
      </c>
      <c r="B26" s="12" t="s">
        <v>2884</v>
      </c>
      <c r="C26">
        <v>40</v>
      </c>
      <c r="D26" s="12" t="s">
        <v>24</v>
      </c>
      <c r="E26" s="12" t="s">
        <v>2885</v>
      </c>
      <c r="F26" s="12" t="s">
        <v>128</v>
      </c>
      <c r="G26" s="12" t="s">
        <v>2821</v>
      </c>
      <c r="H26" s="12" t="s">
        <v>52</v>
      </c>
    </row>
    <row r="27" spans="1:10">
      <c r="A27" t="s">
        <v>2395</v>
      </c>
      <c r="B27" s="12" t="s">
        <v>2886</v>
      </c>
      <c r="C27">
        <v>59</v>
      </c>
      <c r="D27" s="12" t="s">
        <v>34</v>
      </c>
      <c r="E27" s="12" t="s">
        <v>2887</v>
      </c>
      <c r="F27" s="12" t="s">
        <v>227</v>
      </c>
      <c r="G27" s="12" t="s">
        <v>2821</v>
      </c>
      <c r="H27" s="12" t="s">
        <v>73</v>
      </c>
      <c r="J27" s="20" t="s">
        <v>2888</v>
      </c>
    </row>
    <row r="28" spans="1:10">
      <c r="A28" t="s">
        <v>1223</v>
      </c>
      <c r="B28" s="12" t="s">
        <v>2889</v>
      </c>
      <c r="C28">
        <v>18</v>
      </c>
      <c r="D28" s="12" t="s">
        <v>34</v>
      </c>
      <c r="E28" s="12" t="s">
        <v>2890</v>
      </c>
      <c r="F28" s="12" t="s">
        <v>80</v>
      </c>
      <c r="G28" s="12" t="s">
        <v>2821</v>
      </c>
      <c r="H28" s="12" t="s">
        <v>26</v>
      </c>
    </row>
    <row r="29" spans="1:10">
      <c r="A29" t="s">
        <v>910</v>
      </c>
      <c r="B29" s="12" t="s">
        <v>2891</v>
      </c>
      <c r="C29">
        <v>31</v>
      </c>
      <c r="D29" s="12" t="s">
        <v>24</v>
      </c>
      <c r="E29" s="12" t="s">
        <v>2892</v>
      </c>
      <c r="F29" s="12" t="s">
        <v>410</v>
      </c>
      <c r="G29" s="12" t="s">
        <v>2821</v>
      </c>
      <c r="H29" s="12" t="s">
        <v>346</v>
      </c>
      <c r="J29" t="s">
        <v>2893</v>
      </c>
    </row>
    <row r="30" spans="1:10">
      <c r="A30" t="s">
        <v>203</v>
      </c>
      <c r="B30" s="12" t="s">
        <v>2894</v>
      </c>
      <c r="C30">
        <v>27</v>
      </c>
      <c r="D30" s="12" t="s">
        <v>34</v>
      </c>
      <c r="E30" s="12" t="s">
        <v>2895</v>
      </c>
      <c r="F30" s="12" t="s">
        <v>204</v>
      </c>
      <c r="G30" s="12" t="s">
        <v>2821</v>
      </c>
      <c r="H30" s="12" t="s">
        <v>52</v>
      </c>
      <c r="J30" t="s">
        <v>2896</v>
      </c>
    </row>
    <row r="31" spans="1:10">
      <c r="A31" t="s">
        <v>434</v>
      </c>
      <c r="B31" s="12" t="s">
        <v>2897</v>
      </c>
      <c r="C31">
        <v>54</v>
      </c>
      <c r="D31" s="12" t="s">
        <v>34</v>
      </c>
      <c r="E31" s="12" t="s">
        <v>2898</v>
      </c>
      <c r="F31" s="12" t="s">
        <v>227</v>
      </c>
      <c r="G31" s="12" t="s">
        <v>2821</v>
      </c>
      <c r="H31" s="12" t="s">
        <v>60</v>
      </c>
      <c r="J31" t="s">
        <v>2899</v>
      </c>
    </row>
    <row r="32" spans="1:10">
      <c r="A32" t="s">
        <v>1997</v>
      </c>
      <c r="B32" s="12" t="s">
        <v>2900</v>
      </c>
      <c r="C32">
        <v>64</v>
      </c>
      <c r="D32" s="12" t="s">
        <v>34</v>
      </c>
      <c r="E32" s="12" t="s">
        <v>2901</v>
      </c>
      <c r="F32" s="12" t="s">
        <v>44</v>
      </c>
      <c r="G32" s="12" t="s">
        <v>2821</v>
      </c>
      <c r="H32" s="12" t="s">
        <v>73</v>
      </c>
    </row>
    <row r="33" spans="1:8">
      <c r="A33" t="s">
        <v>727</v>
      </c>
      <c r="B33" s="12" t="s">
        <v>2902</v>
      </c>
      <c r="C33">
        <v>41</v>
      </c>
      <c r="D33" s="12" t="s">
        <v>24</v>
      </c>
      <c r="E33" s="12" t="s">
        <v>2903</v>
      </c>
      <c r="F33" s="12" t="s">
        <v>609</v>
      </c>
      <c r="G33" s="12" t="s">
        <v>2821</v>
      </c>
      <c r="H33" s="12" t="s">
        <v>60</v>
      </c>
    </row>
    <row r="34" spans="1:8">
      <c r="A34" t="s">
        <v>1183</v>
      </c>
      <c r="B34" s="12" t="s">
        <v>2904</v>
      </c>
      <c r="C34">
        <v>48</v>
      </c>
      <c r="D34" s="12" t="s">
        <v>34</v>
      </c>
      <c r="E34" s="12" t="s">
        <v>2905</v>
      </c>
      <c r="F34" s="12" t="s">
        <v>251</v>
      </c>
      <c r="G34" s="12" t="s">
        <v>2821</v>
      </c>
      <c r="H34" s="12" t="s">
        <v>26</v>
      </c>
    </row>
    <row r="35" spans="1:8">
      <c r="A35" t="s">
        <v>620</v>
      </c>
      <c r="B35" s="12" t="s">
        <v>2906</v>
      </c>
      <c r="C35">
        <v>25</v>
      </c>
      <c r="D35" s="12" t="s">
        <v>24</v>
      </c>
      <c r="E35" s="12" t="s">
        <v>2907</v>
      </c>
      <c r="F35" s="12" t="s">
        <v>169</v>
      </c>
      <c r="G35" s="12" t="s">
        <v>2821</v>
      </c>
      <c r="H35" s="12" t="s">
        <v>52</v>
      </c>
    </row>
    <row r="36" spans="1:8">
      <c r="A36" t="s">
        <v>900</v>
      </c>
      <c r="B36" s="12" t="s">
        <v>2908</v>
      </c>
      <c r="C36">
        <v>27</v>
      </c>
      <c r="D36" s="12" t="s">
        <v>34</v>
      </c>
      <c r="E36" s="12" t="s">
        <v>2909</v>
      </c>
      <c r="F36" s="12" t="s">
        <v>336</v>
      </c>
      <c r="G36" s="12" t="s">
        <v>2821</v>
      </c>
      <c r="H36" s="12" t="s">
        <v>52</v>
      </c>
    </row>
    <row r="37" spans="1:8">
      <c r="A37" t="s">
        <v>351</v>
      </c>
      <c r="B37" s="12" t="s">
        <v>2910</v>
      </c>
      <c r="C37">
        <v>52</v>
      </c>
      <c r="D37" s="12" t="s">
        <v>24</v>
      </c>
      <c r="E37" s="12" t="s">
        <v>2911</v>
      </c>
      <c r="F37" s="12" t="s">
        <v>188</v>
      </c>
      <c r="G37" s="12" t="s">
        <v>2821</v>
      </c>
      <c r="H37" s="12" t="s">
        <v>60</v>
      </c>
    </row>
    <row r="38" spans="1:8">
      <c r="A38" t="s">
        <v>1303</v>
      </c>
      <c r="B38" s="12" t="s">
        <v>2912</v>
      </c>
      <c r="C38">
        <v>20</v>
      </c>
      <c r="D38" s="12" t="s">
        <v>34</v>
      </c>
      <c r="E38" s="12" t="s">
        <v>2913</v>
      </c>
      <c r="F38" s="12" t="s">
        <v>360</v>
      </c>
      <c r="G38" s="12" t="s">
        <v>2821</v>
      </c>
      <c r="H38" s="12" t="s">
        <v>26</v>
      </c>
    </row>
    <row r="39" spans="1:8">
      <c r="A39" t="s">
        <v>343</v>
      </c>
      <c r="B39" s="12" t="s">
        <v>2914</v>
      </c>
      <c r="C39">
        <v>27</v>
      </c>
      <c r="D39" s="12" t="s">
        <v>34</v>
      </c>
      <c r="E39" s="12" t="s">
        <v>2915</v>
      </c>
      <c r="F39" s="12" t="s">
        <v>345</v>
      </c>
      <c r="G39" s="12" t="s">
        <v>2821</v>
      </c>
      <c r="H39" s="12" t="s">
        <v>346</v>
      </c>
    </row>
    <row r="40" spans="1:8">
      <c r="A40" t="s">
        <v>656</v>
      </c>
      <c r="B40" s="12" t="s">
        <v>2916</v>
      </c>
      <c r="C40">
        <v>35</v>
      </c>
      <c r="D40" s="12" t="s">
        <v>34</v>
      </c>
      <c r="E40" s="12" t="s">
        <v>2917</v>
      </c>
      <c r="F40" s="12" t="s">
        <v>188</v>
      </c>
      <c r="G40" s="12" t="s">
        <v>2821</v>
      </c>
      <c r="H40" s="12" t="s">
        <v>73</v>
      </c>
    </row>
    <row r="41" spans="1:8">
      <c r="A41" t="s">
        <v>1004</v>
      </c>
      <c r="B41" s="12" t="s">
        <v>2918</v>
      </c>
      <c r="C41">
        <v>55</v>
      </c>
      <c r="D41" s="12" t="s">
        <v>34</v>
      </c>
      <c r="E41" s="12" t="s">
        <v>2919</v>
      </c>
      <c r="F41" s="12" t="s">
        <v>209</v>
      </c>
      <c r="G41" s="12" t="s">
        <v>2821</v>
      </c>
      <c r="H41" s="12" t="s">
        <v>26</v>
      </c>
    </row>
    <row r="42" spans="1:8">
      <c r="A42" t="s">
        <v>1239</v>
      </c>
      <c r="B42" s="12" t="s">
        <v>2920</v>
      </c>
      <c r="C42">
        <v>50</v>
      </c>
      <c r="D42" s="12" t="s">
        <v>24</v>
      </c>
      <c r="E42" s="12" t="s">
        <v>2921</v>
      </c>
      <c r="F42" s="12" t="s">
        <v>333</v>
      </c>
      <c r="G42" s="12" t="s">
        <v>2821</v>
      </c>
      <c r="H42" s="12" t="s">
        <v>26</v>
      </c>
    </row>
    <row r="43" spans="1:8">
      <c r="A43" t="s">
        <v>442</v>
      </c>
      <c r="B43" s="12" t="s">
        <v>2922</v>
      </c>
      <c r="C43">
        <v>21</v>
      </c>
      <c r="D43" s="12" t="s">
        <v>24</v>
      </c>
      <c r="E43" s="12" t="s">
        <v>2923</v>
      </c>
      <c r="F43" s="12" t="s">
        <v>444</v>
      </c>
      <c r="G43" s="12" t="s">
        <v>2821</v>
      </c>
      <c r="H43" s="12" t="s">
        <v>52</v>
      </c>
    </row>
    <row r="44" spans="1:8">
      <c r="A44" t="s">
        <v>846</v>
      </c>
      <c r="B44" s="12" t="s">
        <v>2924</v>
      </c>
      <c r="C44">
        <v>19</v>
      </c>
      <c r="D44" s="12" t="s">
        <v>24</v>
      </c>
      <c r="E44" s="12" t="s">
        <v>2925</v>
      </c>
      <c r="F44" s="12" t="s">
        <v>440</v>
      </c>
      <c r="G44" s="12" t="s">
        <v>2821</v>
      </c>
      <c r="H44" s="12" t="s">
        <v>52</v>
      </c>
    </row>
    <row r="45" spans="1:8">
      <c r="A45" t="s">
        <v>1009</v>
      </c>
      <c r="B45" s="12" t="s">
        <v>2926</v>
      </c>
      <c r="C45">
        <v>45</v>
      </c>
      <c r="D45" s="12" t="s">
        <v>24</v>
      </c>
      <c r="E45" s="12" t="s">
        <v>2927</v>
      </c>
      <c r="F45" s="12" t="s">
        <v>35</v>
      </c>
      <c r="G45" s="12" t="s">
        <v>2821</v>
      </c>
      <c r="H45" s="12" t="s">
        <v>26</v>
      </c>
    </row>
    <row r="46" spans="1:8">
      <c r="A46" t="s">
        <v>754</v>
      </c>
      <c r="B46" s="12" t="s">
        <v>2928</v>
      </c>
      <c r="C46">
        <v>34</v>
      </c>
      <c r="D46" s="12" t="s">
        <v>24</v>
      </c>
      <c r="E46" s="12" t="s">
        <v>2929</v>
      </c>
      <c r="F46" s="12" t="s">
        <v>218</v>
      </c>
      <c r="G46" s="12" t="s">
        <v>2821</v>
      </c>
      <c r="H46" s="12" t="s">
        <v>73</v>
      </c>
    </row>
    <row r="47" spans="1:8">
      <c r="A47" t="s">
        <v>1844</v>
      </c>
      <c r="B47" s="12" t="s">
        <v>2930</v>
      </c>
      <c r="C47">
        <v>54</v>
      </c>
      <c r="D47" s="12" t="s">
        <v>24</v>
      </c>
      <c r="E47" s="12" t="s">
        <v>2931</v>
      </c>
      <c r="F47" s="12" t="s">
        <v>251</v>
      </c>
      <c r="G47" s="12" t="s">
        <v>2821</v>
      </c>
      <c r="H47" s="12" t="s">
        <v>26</v>
      </c>
    </row>
    <row r="48" spans="1:8">
      <c r="A48" t="s">
        <v>1199</v>
      </c>
      <c r="B48" s="12" t="s">
        <v>2932</v>
      </c>
      <c r="C48">
        <v>55</v>
      </c>
      <c r="D48" s="12" t="s">
        <v>34</v>
      </c>
      <c r="E48" s="12" t="s">
        <v>2933</v>
      </c>
      <c r="F48" s="12" t="s">
        <v>308</v>
      </c>
      <c r="G48" s="12" t="s">
        <v>2821</v>
      </c>
      <c r="H48" s="12" t="s">
        <v>52</v>
      </c>
    </row>
    <row r="49" spans="1:8">
      <c r="A49" t="s">
        <v>857</v>
      </c>
      <c r="B49" s="12" t="s">
        <v>2934</v>
      </c>
      <c r="C49">
        <v>54</v>
      </c>
      <c r="D49" s="12" t="s">
        <v>34</v>
      </c>
      <c r="E49" s="12" t="s">
        <v>2935</v>
      </c>
      <c r="F49" s="12" t="s">
        <v>99</v>
      </c>
      <c r="G49" s="12" t="s">
        <v>2821</v>
      </c>
      <c r="H49" s="12" t="s">
        <v>60</v>
      </c>
    </row>
    <row r="50" spans="1:8">
      <c r="A50" t="s">
        <v>1358</v>
      </c>
      <c r="B50" s="12" t="s">
        <v>2936</v>
      </c>
      <c r="C50">
        <v>54</v>
      </c>
      <c r="D50" s="12" t="s">
        <v>24</v>
      </c>
      <c r="E50" s="12" t="s">
        <v>2937</v>
      </c>
      <c r="F50" s="12" t="s">
        <v>256</v>
      </c>
      <c r="G50" s="12" t="s">
        <v>2821</v>
      </c>
      <c r="H50" s="12" t="s">
        <v>52</v>
      </c>
    </row>
    <row r="51" spans="1:8">
      <c r="A51" t="s">
        <v>710</v>
      </c>
      <c r="B51" s="12" t="s">
        <v>2938</v>
      </c>
      <c r="C51">
        <v>45</v>
      </c>
      <c r="D51" s="12" t="s">
        <v>34</v>
      </c>
      <c r="E51" s="12" t="s">
        <v>2939</v>
      </c>
      <c r="F51" s="12" t="s">
        <v>308</v>
      </c>
      <c r="G51" s="12" t="s">
        <v>2821</v>
      </c>
      <c r="H51" s="12" t="s">
        <v>26</v>
      </c>
    </row>
    <row r="52" spans="1:8">
      <c r="A52" t="s">
        <v>1000</v>
      </c>
      <c r="B52" s="12" t="s">
        <v>2940</v>
      </c>
      <c r="C52">
        <v>61</v>
      </c>
      <c r="D52" s="12" t="s">
        <v>34</v>
      </c>
      <c r="E52" s="12" t="s">
        <v>2941</v>
      </c>
      <c r="F52" s="12" t="s">
        <v>932</v>
      </c>
      <c r="G52" s="12" t="s">
        <v>2821</v>
      </c>
      <c r="H52" s="12" t="s">
        <v>26</v>
      </c>
    </row>
    <row r="53" spans="1:8">
      <c r="A53" t="s">
        <v>1361</v>
      </c>
      <c r="B53" s="12" t="s">
        <v>2942</v>
      </c>
      <c r="C53">
        <v>23</v>
      </c>
      <c r="D53" s="12" t="s">
        <v>34</v>
      </c>
      <c r="E53" s="12" t="s">
        <v>2943</v>
      </c>
      <c r="F53" s="12" t="s">
        <v>356</v>
      </c>
      <c r="G53" s="12" t="s">
        <v>2821</v>
      </c>
      <c r="H53" s="12" t="s">
        <v>26</v>
      </c>
    </row>
    <row r="54" spans="1:8">
      <c r="A54" t="s">
        <v>1526</v>
      </c>
      <c r="B54" s="12" t="s">
        <v>2944</v>
      </c>
      <c r="C54">
        <v>55</v>
      </c>
      <c r="D54" s="12" t="s">
        <v>24</v>
      </c>
      <c r="E54" s="12" t="s">
        <v>2945</v>
      </c>
      <c r="F54" s="12" t="s">
        <v>510</v>
      </c>
      <c r="G54" s="12" t="s">
        <v>2821</v>
      </c>
      <c r="H54" s="12" t="s">
        <v>73</v>
      </c>
    </row>
    <row r="55" spans="1:8">
      <c r="A55" t="s">
        <v>1042</v>
      </c>
      <c r="B55" s="12" t="s">
        <v>2946</v>
      </c>
      <c r="C55">
        <v>37</v>
      </c>
      <c r="D55" s="12" t="s">
        <v>34</v>
      </c>
      <c r="E55" s="12" t="s">
        <v>2947</v>
      </c>
      <c r="F55" s="12" t="s">
        <v>209</v>
      </c>
      <c r="G55" s="12" t="s">
        <v>2821</v>
      </c>
      <c r="H55" s="12" t="s">
        <v>26</v>
      </c>
    </row>
    <row r="56" spans="1:8">
      <c r="A56" t="s">
        <v>384</v>
      </c>
      <c r="B56" s="12" t="s">
        <v>2948</v>
      </c>
      <c r="C56">
        <v>24</v>
      </c>
      <c r="D56" s="12" t="s">
        <v>24</v>
      </c>
      <c r="E56" s="12" t="s">
        <v>2949</v>
      </c>
      <c r="F56" s="12" t="s">
        <v>169</v>
      </c>
      <c r="G56" s="12" t="s">
        <v>2821</v>
      </c>
      <c r="H56" s="12" t="s">
        <v>52</v>
      </c>
    </row>
    <row r="57" spans="1:8">
      <c r="A57" t="s">
        <v>1348</v>
      </c>
      <c r="B57" s="12" t="s">
        <v>2950</v>
      </c>
      <c r="C57">
        <v>56</v>
      </c>
      <c r="D57" s="12" t="s">
        <v>34</v>
      </c>
      <c r="E57" s="12" t="s">
        <v>2951</v>
      </c>
      <c r="F57" s="12" t="s">
        <v>510</v>
      </c>
      <c r="G57" s="12" t="s">
        <v>2821</v>
      </c>
      <c r="H57" s="12" t="s">
        <v>73</v>
      </c>
    </row>
    <row r="58" spans="1:8">
      <c r="A58" t="s">
        <v>41</v>
      </c>
      <c r="B58" s="12" t="s">
        <v>2952</v>
      </c>
      <c r="C58">
        <v>49</v>
      </c>
      <c r="D58" s="12" t="s">
        <v>34</v>
      </c>
      <c r="E58" s="12" t="s">
        <v>2953</v>
      </c>
      <c r="F58" s="12" t="s">
        <v>44</v>
      </c>
      <c r="G58" s="12" t="s">
        <v>2821</v>
      </c>
      <c r="H58" s="12" t="s">
        <v>26</v>
      </c>
    </row>
    <row r="59" spans="1:8">
      <c r="A59" t="s">
        <v>1208</v>
      </c>
      <c r="B59" s="12" t="s">
        <v>2954</v>
      </c>
      <c r="C59">
        <v>43</v>
      </c>
      <c r="D59" s="12" t="s">
        <v>34</v>
      </c>
      <c r="E59" s="12" t="s">
        <v>2955</v>
      </c>
      <c r="F59" s="12" t="s">
        <v>67</v>
      </c>
      <c r="G59" s="12" t="s">
        <v>2821</v>
      </c>
      <c r="H59" s="12" t="s">
        <v>52</v>
      </c>
    </row>
    <row r="60" spans="1:8">
      <c r="A60" t="s">
        <v>335</v>
      </c>
      <c r="B60" s="12" t="s">
        <v>2956</v>
      </c>
      <c r="C60">
        <v>51</v>
      </c>
      <c r="D60" s="12" t="s">
        <v>24</v>
      </c>
      <c r="E60" s="12" t="s">
        <v>2957</v>
      </c>
      <c r="F60" s="12" t="s">
        <v>336</v>
      </c>
      <c r="G60" s="12" t="s">
        <v>2821</v>
      </c>
      <c r="H60" s="12" t="s">
        <v>52</v>
      </c>
    </row>
    <row r="61" spans="1:8">
      <c r="A61" t="s">
        <v>1306</v>
      </c>
      <c r="B61" s="12" t="s">
        <v>2958</v>
      </c>
      <c r="C61">
        <v>53</v>
      </c>
      <c r="D61" s="12" t="s">
        <v>24</v>
      </c>
      <c r="E61" s="12" t="s">
        <v>2959</v>
      </c>
      <c r="F61" s="12" t="s">
        <v>111</v>
      </c>
      <c r="G61" s="12" t="s">
        <v>2821</v>
      </c>
      <c r="H61" s="12" t="s">
        <v>52</v>
      </c>
    </row>
    <row r="62" spans="1:8">
      <c r="A62" t="s">
        <v>1683</v>
      </c>
      <c r="B62" s="12" t="s">
        <v>2960</v>
      </c>
      <c r="C62">
        <v>22</v>
      </c>
      <c r="D62" s="12" t="s">
        <v>34</v>
      </c>
      <c r="E62" s="12" t="s">
        <v>2961</v>
      </c>
      <c r="F62" s="12" t="s">
        <v>444</v>
      </c>
      <c r="G62" s="12" t="s">
        <v>2821</v>
      </c>
      <c r="H62" s="12" t="s">
        <v>60</v>
      </c>
    </row>
    <row r="63" spans="1:8">
      <c r="A63" t="s">
        <v>915</v>
      </c>
      <c r="B63" s="12" t="s">
        <v>2962</v>
      </c>
      <c r="C63">
        <v>23</v>
      </c>
      <c r="D63" s="12" t="s">
        <v>24</v>
      </c>
      <c r="E63" s="12" t="s">
        <v>2963</v>
      </c>
      <c r="F63" s="12" t="s">
        <v>80</v>
      </c>
      <c r="G63" s="12" t="s">
        <v>2821</v>
      </c>
      <c r="H63" s="12" t="s">
        <v>60</v>
      </c>
    </row>
    <row r="64" spans="1:8">
      <c r="A64" t="s">
        <v>1215</v>
      </c>
      <c r="B64" s="12" t="s">
        <v>2964</v>
      </c>
      <c r="C64">
        <v>50</v>
      </c>
      <c r="D64" s="12" t="s">
        <v>24</v>
      </c>
      <c r="E64" s="12" t="s">
        <v>2965</v>
      </c>
      <c r="F64" s="12" t="s">
        <v>222</v>
      </c>
      <c r="G64" s="12" t="s">
        <v>2821</v>
      </c>
      <c r="H64" s="12" t="s">
        <v>73</v>
      </c>
    </row>
    <row r="65" spans="1:8">
      <c r="A65" t="s">
        <v>2966</v>
      </c>
      <c r="B65" s="12" t="s">
        <v>2967</v>
      </c>
      <c r="C65">
        <v>51</v>
      </c>
      <c r="D65" s="12" t="s">
        <v>24</v>
      </c>
      <c r="E65" s="12" t="s">
        <v>2968</v>
      </c>
      <c r="F65" s="12" t="s">
        <v>51</v>
      </c>
      <c r="G65" s="12" t="s">
        <v>2821</v>
      </c>
      <c r="H65" s="12" t="s">
        <v>52</v>
      </c>
    </row>
    <row r="66" spans="1:8">
      <c r="A66" t="s">
        <v>2166</v>
      </c>
      <c r="B66" s="12" t="s">
        <v>2969</v>
      </c>
      <c r="C66">
        <v>33</v>
      </c>
      <c r="D66" s="12" t="s">
        <v>24</v>
      </c>
      <c r="E66" s="12" t="s">
        <v>2970</v>
      </c>
      <c r="F66" s="12" t="s">
        <v>251</v>
      </c>
      <c r="G66" s="12" t="s">
        <v>2821</v>
      </c>
      <c r="H66" s="12" t="s">
        <v>26</v>
      </c>
    </row>
    <row r="67" spans="1:8">
      <c r="A67" t="s">
        <v>96</v>
      </c>
      <c r="B67" s="12" t="s">
        <v>2971</v>
      </c>
      <c r="C67">
        <v>21</v>
      </c>
      <c r="D67" s="12" t="s">
        <v>34</v>
      </c>
      <c r="E67" s="12" t="s">
        <v>2972</v>
      </c>
      <c r="F67" s="12" t="s">
        <v>99</v>
      </c>
      <c r="G67" s="12" t="s">
        <v>2821</v>
      </c>
      <c r="H67" s="12" t="s">
        <v>60</v>
      </c>
    </row>
    <row r="68" spans="1:8">
      <c r="A68" t="s">
        <v>611</v>
      </c>
      <c r="B68" s="12" t="s">
        <v>2973</v>
      </c>
      <c r="C68">
        <v>27</v>
      </c>
      <c r="D68" s="12" t="s">
        <v>34</v>
      </c>
      <c r="E68" s="12" t="s">
        <v>2974</v>
      </c>
      <c r="F68" s="12" t="s">
        <v>214</v>
      </c>
      <c r="G68" s="12" t="s">
        <v>2821</v>
      </c>
      <c r="H68" s="12" t="s">
        <v>60</v>
      </c>
    </row>
    <row r="69" spans="1:8">
      <c r="A69" t="s">
        <v>468</v>
      </c>
      <c r="B69" s="12" t="s">
        <v>2975</v>
      </c>
      <c r="C69">
        <v>58</v>
      </c>
      <c r="D69" s="12" t="s">
        <v>24</v>
      </c>
      <c r="E69" s="12" t="s">
        <v>2976</v>
      </c>
      <c r="F69" s="12" t="s">
        <v>235</v>
      </c>
      <c r="G69" s="12" t="s">
        <v>2821</v>
      </c>
      <c r="H69" s="12" t="s">
        <v>60</v>
      </c>
    </row>
    <row r="70" spans="1:8">
      <c r="A70" t="s">
        <v>548</v>
      </c>
      <c r="B70" s="12" t="s">
        <v>2977</v>
      </c>
      <c r="C70">
        <v>24</v>
      </c>
      <c r="D70" s="12" t="s">
        <v>34</v>
      </c>
      <c r="E70" s="12" t="s">
        <v>2978</v>
      </c>
      <c r="F70" s="12" t="s">
        <v>260</v>
      </c>
      <c r="G70" s="12" t="s">
        <v>2821</v>
      </c>
      <c r="H70" s="12" t="s">
        <v>60</v>
      </c>
    </row>
    <row r="71" spans="1:8">
      <c r="A71" t="s">
        <v>703</v>
      </c>
      <c r="B71" s="12" t="s">
        <v>2979</v>
      </c>
      <c r="C71">
        <v>24</v>
      </c>
      <c r="D71" s="12" t="s">
        <v>34</v>
      </c>
      <c r="E71" s="12" t="s">
        <v>2980</v>
      </c>
      <c r="F71" s="12" t="s">
        <v>204</v>
      </c>
      <c r="G71" s="12" t="s">
        <v>2821</v>
      </c>
      <c r="H71" s="12" t="s">
        <v>52</v>
      </c>
    </row>
    <row r="72" spans="1:8">
      <c r="A72" t="s">
        <v>266</v>
      </c>
      <c r="B72" s="12" t="s">
        <v>2981</v>
      </c>
      <c r="C72">
        <v>29</v>
      </c>
      <c r="D72" s="12" t="s">
        <v>34</v>
      </c>
      <c r="E72" s="12" t="s">
        <v>2982</v>
      </c>
      <c r="F72" s="12" t="s">
        <v>222</v>
      </c>
      <c r="G72" s="12" t="s">
        <v>2821</v>
      </c>
      <c r="H72" s="12" t="s">
        <v>26</v>
      </c>
    </row>
    <row r="73" spans="1:8">
      <c r="A73" t="s">
        <v>1060</v>
      </c>
      <c r="B73" s="12" t="s">
        <v>2983</v>
      </c>
      <c r="C73">
        <v>61</v>
      </c>
      <c r="D73" s="12" t="s">
        <v>34</v>
      </c>
      <c r="E73" s="12" t="s">
        <v>2984</v>
      </c>
      <c r="F73" s="12" t="s">
        <v>222</v>
      </c>
      <c r="G73" s="12" t="s">
        <v>2821</v>
      </c>
      <c r="H73" s="12" t="s">
        <v>26</v>
      </c>
    </row>
    <row r="74" spans="1:8">
      <c r="A74" t="s">
        <v>245</v>
      </c>
      <c r="B74" s="12" t="s">
        <v>2985</v>
      </c>
      <c r="C74">
        <v>39</v>
      </c>
      <c r="D74" s="12" t="s">
        <v>34</v>
      </c>
      <c r="E74" s="12" t="s">
        <v>2986</v>
      </c>
      <c r="F74" s="12" t="s">
        <v>106</v>
      </c>
      <c r="G74" s="12" t="s">
        <v>2821</v>
      </c>
      <c r="H74" s="12" t="s">
        <v>26</v>
      </c>
    </row>
    <row r="75" spans="1:8">
      <c r="A75" t="s">
        <v>583</v>
      </c>
      <c r="B75" s="12" t="s">
        <v>2987</v>
      </c>
      <c r="C75">
        <v>56</v>
      </c>
      <c r="D75" s="12" t="s">
        <v>34</v>
      </c>
      <c r="E75" s="12" t="s">
        <v>2988</v>
      </c>
      <c r="F75" s="12" t="s">
        <v>356</v>
      </c>
      <c r="G75" s="12" t="s">
        <v>2821</v>
      </c>
      <c r="H75" s="12" t="s">
        <v>60</v>
      </c>
    </row>
    <row r="76" spans="1:8">
      <c r="A76" t="s">
        <v>2424</v>
      </c>
      <c r="B76" s="12" t="s">
        <v>2989</v>
      </c>
      <c r="C76">
        <v>58</v>
      </c>
      <c r="D76" s="12" t="s">
        <v>24</v>
      </c>
      <c r="E76" s="12" t="s">
        <v>2990</v>
      </c>
      <c r="F76" s="12" t="s">
        <v>491</v>
      </c>
      <c r="G76" s="12" t="s">
        <v>2821</v>
      </c>
      <c r="H76" s="12" t="s">
        <v>73</v>
      </c>
    </row>
    <row r="77" spans="1:8">
      <c r="A77" t="s">
        <v>692</v>
      </c>
      <c r="B77" s="12" t="s">
        <v>2991</v>
      </c>
      <c r="C77">
        <v>61</v>
      </c>
      <c r="D77" s="12" t="s">
        <v>34</v>
      </c>
      <c r="E77" s="12" t="s">
        <v>2992</v>
      </c>
      <c r="F77" s="12" t="s">
        <v>227</v>
      </c>
      <c r="G77" s="12" t="s">
        <v>2821</v>
      </c>
      <c r="H77" s="12" t="s">
        <v>26</v>
      </c>
    </row>
    <row r="78" spans="1:8">
      <c r="A78" t="s">
        <v>578</v>
      </c>
      <c r="B78" s="12" t="s">
        <v>2993</v>
      </c>
      <c r="C78">
        <v>37</v>
      </c>
      <c r="D78" s="12" t="s">
        <v>24</v>
      </c>
      <c r="E78" s="12" t="s">
        <v>2994</v>
      </c>
      <c r="F78" s="12" t="s">
        <v>169</v>
      </c>
      <c r="G78" s="12" t="s">
        <v>2821</v>
      </c>
      <c r="H78" s="12" t="s">
        <v>26</v>
      </c>
    </row>
    <row r="79" spans="1:8">
      <c r="A79" t="s">
        <v>944</v>
      </c>
      <c r="B79" s="12" t="s">
        <v>2995</v>
      </c>
      <c r="C79">
        <v>29</v>
      </c>
      <c r="D79" s="12" t="s">
        <v>24</v>
      </c>
      <c r="E79" s="12" t="s">
        <v>2996</v>
      </c>
      <c r="F79" s="12" t="s">
        <v>35</v>
      </c>
      <c r="G79" s="12" t="s">
        <v>2821</v>
      </c>
      <c r="H79" s="12" t="s">
        <v>26</v>
      </c>
    </row>
    <row r="80" spans="1:8">
      <c r="A80" t="s">
        <v>1596</v>
      </c>
      <c r="B80" s="12" t="s">
        <v>2997</v>
      </c>
      <c r="C80">
        <v>21</v>
      </c>
      <c r="D80" s="12" t="s">
        <v>24</v>
      </c>
      <c r="E80" s="12" t="s">
        <v>2998</v>
      </c>
      <c r="F80" s="12" t="s">
        <v>498</v>
      </c>
      <c r="G80" s="12" t="s">
        <v>2821</v>
      </c>
      <c r="H80" s="12" t="s">
        <v>26</v>
      </c>
    </row>
    <row r="81" spans="1:8">
      <c r="A81" t="s">
        <v>138</v>
      </c>
      <c r="B81" s="12" t="s">
        <v>2999</v>
      </c>
      <c r="C81">
        <v>22</v>
      </c>
      <c r="D81" s="12" t="s">
        <v>34</v>
      </c>
      <c r="E81" s="12" t="s">
        <v>3000</v>
      </c>
      <c r="F81" s="12" t="s">
        <v>140</v>
      </c>
      <c r="G81" s="12" t="s">
        <v>2821</v>
      </c>
      <c r="H81" s="12" t="s">
        <v>52</v>
      </c>
    </row>
    <row r="82" spans="1:8">
      <c r="A82" t="s">
        <v>300</v>
      </c>
      <c r="B82" s="12" t="s">
        <v>3001</v>
      </c>
      <c r="C82">
        <v>61</v>
      </c>
      <c r="D82" s="12" t="s">
        <v>34</v>
      </c>
      <c r="E82" s="12" t="s">
        <v>3002</v>
      </c>
      <c r="F82" s="12" t="s">
        <v>222</v>
      </c>
      <c r="G82" s="12" t="s">
        <v>2821</v>
      </c>
      <c r="H82" s="12" t="s">
        <v>73</v>
      </c>
    </row>
    <row r="83" spans="1:8">
      <c r="A83" t="s">
        <v>613</v>
      </c>
      <c r="B83" s="12" t="s">
        <v>3003</v>
      </c>
      <c r="C83">
        <v>34</v>
      </c>
      <c r="D83" s="12" t="s">
        <v>34</v>
      </c>
      <c r="E83" s="12" t="s">
        <v>3004</v>
      </c>
      <c r="F83" s="12" t="s">
        <v>251</v>
      </c>
      <c r="G83" s="12" t="s">
        <v>2821</v>
      </c>
      <c r="H83" s="12" t="s">
        <v>52</v>
      </c>
    </row>
    <row r="84" spans="1:8">
      <c r="A84" t="s">
        <v>752</v>
      </c>
      <c r="B84" s="12" t="s">
        <v>3005</v>
      </c>
      <c r="C84">
        <v>53</v>
      </c>
      <c r="D84" s="12" t="s">
        <v>24</v>
      </c>
      <c r="E84" s="12" t="s">
        <v>3006</v>
      </c>
      <c r="F84" s="12" t="s">
        <v>235</v>
      </c>
      <c r="G84" s="12" t="s">
        <v>2821</v>
      </c>
      <c r="H84" s="12" t="s">
        <v>73</v>
      </c>
    </row>
    <row r="85" spans="1:8">
      <c r="A85" t="s">
        <v>738</v>
      </c>
      <c r="B85" s="12" t="s">
        <v>3007</v>
      </c>
      <c r="C85">
        <v>48</v>
      </c>
      <c r="D85" s="12" t="s">
        <v>34</v>
      </c>
      <c r="E85" s="12" t="s">
        <v>3008</v>
      </c>
      <c r="F85" s="12" t="s">
        <v>360</v>
      </c>
      <c r="G85" s="12" t="s">
        <v>2821</v>
      </c>
      <c r="H85" s="12" t="s">
        <v>73</v>
      </c>
    </row>
    <row r="86" spans="1:8">
      <c r="A86" t="s">
        <v>259</v>
      </c>
      <c r="B86" s="12" t="s">
        <v>3009</v>
      </c>
      <c r="C86">
        <v>26</v>
      </c>
      <c r="D86" s="12" t="s">
        <v>34</v>
      </c>
      <c r="E86" s="12" t="s">
        <v>3010</v>
      </c>
      <c r="F86" s="12" t="s">
        <v>260</v>
      </c>
      <c r="G86" s="12" t="s">
        <v>2821</v>
      </c>
      <c r="H86" s="12" t="s">
        <v>52</v>
      </c>
    </row>
    <row r="87" spans="1:8">
      <c r="A87" t="s">
        <v>895</v>
      </c>
      <c r="B87" s="12" t="s">
        <v>3011</v>
      </c>
      <c r="C87">
        <v>36</v>
      </c>
      <c r="D87" s="12" t="s">
        <v>24</v>
      </c>
      <c r="E87" s="12" t="s">
        <v>3012</v>
      </c>
      <c r="F87" s="12" t="s">
        <v>44</v>
      </c>
      <c r="G87" s="12" t="s">
        <v>2821</v>
      </c>
      <c r="H87" s="12" t="s">
        <v>60</v>
      </c>
    </row>
    <row r="88" spans="1:8">
      <c r="A88" t="s">
        <v>230</v>
      </c>
      <c r="B88" s="12" t="s">
        <v>3013</v>
      </c>
      <c r="C88">
        <v>19</v>
      </c>
      <c r="D88" s="12" t="s">
        <v>34</v>
      </c>
      <c r="E88" s="12" t="s">
        <v>3014</v>
      </c>
      <c r="F88" s="12" t="s">
        <v>231</v>
      </c>
      <c r="G88" s="12" t="s">
        <v>2821</v>
      </c>
      <c r="H88" s="12" t="s">
        <v>26</v>
      </c>
    </row>
    <row r="89" spans="1:8">
      <c r="A89" t="s">
        <v>456</v>
      </c>
      <c r="B89" s="12" t="s">
        <v>3015</v>
      </c>
      <c r="C89">
        <v>58</v>
      </c>
      <c r="D89" s="12" t="s">
        <v>34</v>
      </c>
      <c r="E89" s="12" t="s">
        <v>3016</v>
      </c>
      <c r="F89" s="12" t="s">
        <v>457</v>
      </c>
      <c r="G89" s="12" t="s">
        <v>2821</v>
      </c>
      <c r="H89" s="12" t="s">
        <v>73</v>
      </c>
    </row>
    <row r="90" spans="1:8">
      <c r="A90" t="s">
        <v>867</v>
      </c>
      <c r="B90" s="12" t="s">
        <v>3017</v>
      </c>
      <c r="C90">
        <v>58</v>
      </c>
      <c r="D90" s="12" t="s">
        <v>24</v>
      </c>
      <c r="E90" s="12" t="s">
        <v>3018</v>
      </c>
      <c r="F90" s="12" t="s">
        <v>140</v>
      </c>
      <c r="G90" s="12" t="s">
        <v>2821</v>
      </c>
      <c r="H90" s="12" t="s">
        <v>60</v>
      </c>
    </row>
    <row r="91" spans="1:8">
      <c r="A91" t="s">
        <v>979</v>
      </c>
      <c r="B91" s="12" t="s">
        <v>3019</v>
      </c>
      <c r="C91">
        <v>43</v>
      </c>
      <c r="D91" s="12" t="s">
        <v>24</v>
      </c>
      <c r="E91" s="12" t="s">
        <v>3020</v>
      </c>
      <c r="F91" s="12" t="s">
        <v>199</v>
      </c>
      <c r="G91" s="12" t="s">
        <v>2821</v>
      </c>
      <c r="H91" s="12" t="s">
        <v>52</v>
      </c>
    </row>
    <row r="92" spans="1:8">
      <c r="A92" t="s">
        <v>2169</v>
      </c>
      <c r="B92" s="12" t="s">
        <v>3021</v>
      </c>
      <c r="C92">
        <v>58</v>
      </c>
      <c r="D92" s="12" t="s">
        <v>34</v>
      </c>
      <c r="E92" s="12" t="s">
        <v>3022</v>
      </c>
      <c r="F92" s="12" t="s">
        <v>378</v>
      </c>
      <c r="G92" s="12" t="s">
        <v>2821</v>
      </c>
      <c r="H92" s="12" t="s">
        <v>52</v>
      </c>
    </row>
    <row r="93" spans="1:8">
      <c r="A93" t="s">
        <v>637</v>
      </c>
      <c r="B93" s="12" t="s">
        <v>3023</v>
      </c>
      <c r="C93">
        <v>29</v>
      </c>
      <c r="D93" s="12" t="s">
        <v>34</v>
      </c>
      <c r="E93" s="12" t="s">
        <v>3024</v>
      </c>
      <c r="F93" s="12" t="s">
        <v>251</v>
      </c>
      <c r="G93" s="12" t="s">
        <v>2821</v>
      </c>
      <c r="H93" s="12" t="s">
        <v>60</v>
      </c>
    </row>
    <row r="94" spans="1:8">
      <c r="A94" t="s">
        <v>1175</v>
      </c>
      <c r="B94" s="12" t="s">
        <v>3025</v>
      </c>
      <c r="C94">
        <v>44</v>
      </c>
      <c r="D94" s="12" t="s">
        <v>34</v>
      </c>
      <c r="E94" s="12" t="s">
        <v>3026</v>
      </c>
      <c r="F94" s="12" t="s">
        <v>51</v>
      </c>
      <c r="G94" s="12" t="s">
        <v>2821</v>
      </c>
      <c r="H94" s="12" t="s">
        <v>52</v>
      </c>
    </row>
    <row r="95" spans="1:8">
      <c r="A95" t="s">
        <v>546</v>
      </c>
      <c r="B95" s="12" t="s">
        <v>3027</v>
      </c>
      <c r="C95">
        <v>28</v>
      </c>
      <c r="D95" s="12" t="s">
        <v>34</v>
      </c>
      <c r="E95" s="12" t="s">
        <v>3028</v>
      </c>
      <c r="F95" s="12" t="s">
        <v>457</v>
      </c>
      <c r="G95" s="12" t="s">
        <v>2821</v>
      </c>
      <c r="H95" s="12" t="s">
        <v>26</v>
      </c>
    </row>
    <row r="96" spans="1:8">
      <c r="A96" t="s">
        <v>145</v>
      </c>
      <c r="B96" s="12" t="s">
        <v>3029</v>
      </c>
      <c r="C96">
        <v>43</v>
      </c>
      <c r="D96" s="12" t="s">
        <v>34</v>
      </c>
      <c r="E96" s="12" t="s">
        <v>3030</v>
      </c>
      <c r="F96" s="12" t="s">
        <v>99</v>
      </c>
      <c r="G96" s="12" t="s">
        <v>2821</v>
      </c>
      <c r="H96" s="12" t="s">
        <v>26</v>
      </c>
    </row>
    <row r="97" spans="1:8">
      <c r="A97" t="s">
        <v>294</v>
      </c>
      <c r="B97" s="12" t="s">
        <v>3031</v>
      </c>
      <c r="C97">
        <v>62</v>
      </c>
      <c r="D97" s="12" t="s">
        <v>34</v>
      </c>
      <c r="E97" s="12" t="s">
        <v>3032</v>
      </c>
      <c r="F97" s="12" t="s">
        <v>161</v>
      </c>
      <c r="G97" s="12" t="s">
        <v>2821</v>
      </c>
      <c r="H97" s="12" t="s">
        <v>52</v>
      </c>
    </row>
    <row r="98" spans="1:8">
      <c r="A98" t="s">
        <v>701</v>
      </c>
      <c r="B98" s="12" t="s">
        <v>3033</v>
      </c>
      <c r="C98">
        <v>30</v>
      </c>
      <c r="D98" s="12" t="s">
        <v>34</v>
      </c>
      <c r="E98" s="12" t="s">
        <v>3034</v>
      </c>
      <c r="F98" s="12" t="s">
        <v>378</v>
      </c>
      <c r="G98" s="12" t="s">
        <v>2821</v>
      </c>
      <c r="H98" s="12" t="s">
        <v>52</v>
      </c>
    </row>
    <row r="99" spans="1:8">
      <c r="A99" t="s">
        <v>428</v>
      </c>
      <c r="B99" s="12" t="s">
        <v>3035</v>
      </c>
      <c r="C99">
        <v>36</v>
      </c>
      <c r="D99" s="12" t="s">
        <v>24</v>
      </c>
      <c r="E99" s="12" t="s">
        <v>3036</v>
      </c>
      <c r="F99" s="12" t="s">
        <v>345</v>
      </c>
      <c r="G99" s="12" t="s">
        <v>2821</v>
      </c>
      <c r="H99" s="12" t="s">
        <v>60</v>
      </c>
    </row>
    <row r="100" spans="1:8">
      <c r="A100" t="s">
        <v>1047</v>
      </c>
      <c r="B100" s="12" t="s">
        <v>3037</v>
      </c>
      <c r="C100">
        <v>24</v>
      </c>
      <c r="D100" s="12" t="s">
        <v>24</v>
      </c>
      <c r="E100" s="12" t="s">
        <v>3038</v>
      </c>
      <c r="F100" s="12" t="s">
        <v>444</v>
      </c>
      <c r="G100" s="12" t="s">
        <v>2821</v>
      </c>
      <c r="H100" s="12" t="s">
        <v>26</v>
      </c>
    </row>
    <row r="101" spans="1:8">
      <c r="A101" t="s">
        <v>694</v>
      </c>
      <c r="B101" s="12" t="s">
        <v>3039</v>
      </c>
      <c r="C101">
        <v>35</v>
      </c>
      <c r="D101" s="12" t="s">
        <v>24</v>
      </c>
      <c r="E101" s="12" t="s">
        <v>3040</v>
      </c>
      <c r="F101" s="12" t="s">
        <v>51</v>
      </c>
      <c r="G101" s="12" t="s">
        <v>2821</v>
      </c>
      <c r="H101" s="12" t="s">
        <v>60</v>
      </c>
    </row>
    <row r="102" spans="1:8">
      <c r="A102" t="s">
        <v>1169</v>
      </c>
      <c r="B102" s="12" t="s">
        <v>3041</v>
      </c>
      <c r="C102">
        <v>53</v>
      </c>
      <c r="D102" s="12" t="s">
        <v>34</v>
      </c>
      <c r="E102" s="12" t="s">
        <v>3042</v>
      </c>
      <c r="F102" s="12" t="s">
        <v>118</v>
      </c>
      <c r="G102" s="12" t="s">
        <v>2821</v>
      </c>
      <c r="H102" s="12" t="s">
        <v>52</v>
      </c>
    </row>
    <row r="103" spans="1:8">
      <c r="A103" t="s">
        <v>789</v>
      </c>
      <c r="B103" s="12" t="s">
        <v>3043</v>
      </c>
      <c r="C103">
        <v>29</v>
      </c>
      <c r="D103" s="12" t="s">
        <v>24</v>
      </c>
      <c r="E103" s="12" t="s">
        <v>3044</v>
      </c>
      <c r="F103" s="12" t="s">
        <v>410</v>
      </c>
      <c r="G103" s="12" t="s">
        <v>2821</v>
      </c>
      <c r="H103" s="12" t="s">
        <v>26</v>
      </c>
    </row>
    <row r="104" spans="1:8">
      <c r="A104" t="s">
        <v>938</v>
      </c>
      <c r="B104" s="12" t="s">
        <v>3045</v>
      </c>
      <c r="C104">
        <v>34</v>
      </c>
      <c r="D104" s="12" t="s">
        <v>34</v>
      </c>
      <c r="E104" s="12" t="s">
        <v>3046</v>
      </c>
      <c r="F104" s="12" t="s">
        <v>44</v>
      </c>
      <c r="G104" s="12" t="s">
        <v>2821</v>
      </c>
      <c r="H104" s="12" t="s">
        <v>73</v>
      </c>
    </row>
    <row r="105" spans="1:8">
      <c r="A105" t="s">
        <v>765</v>
      </c>
      <c r="B105" s="12" t="s">
        <v>3047</v>
      </c>
      <c r="C105">
        <v>21</v>
      </c>
      <c r="D105" s="12" t="s">
        <v>24</v>
      </c>
      <c r="E105" s="12" t="s">
        <v>3048</v>
      </c>
      <c r="F105" s="12" t="s">
        <v>440</v>
      </c>
      <c r="G105" s="12" t="s">
        <v>2821</v>
      </c>
      <c r="H105" s="12" t="s">
        <v>73</v>
      </c>
    </row>
    <row r="106" spans="1:8">
      <c r="A106" t="s">
        <v>923</v>
      </c>
      <c r="B106" s="12" t="s">
        <v>3049</v>
      </c>
      <c r="C106">
        <v>64</v>
      </c>
      <c r="D106" s="12" t="s">
        <v>24</v>
      </c>
      <c r="E106" s="12" t="s">
        <v>3050</v>
      </c>
      <c r="F106" s="12" t="s">
        <v>360</v>
      </c>
      <c r="G106" s="12" t="s">
        <v>2821</v>
      </c>
      <c r="H106" s="12" t="s">
        <v>60</v>
      </c>
    </row>
    <row r="107" spans="1:8">
      <c r="A107" t="s">
        <v>470</v>
      </c>
      <c r="B107" s="12" t="s">
        <v>3051</v>
      </c>
      <c r="C107">
        <v>50</v>
      </c>
      <c r="D107" s="12" t="s">
        <v>34</v>
      </c>
      <c r="E107" s="12" t="s">
        <v>3052</v>
      </c>
      <c r="F107" s="12" t="s">
        <v>235</v>
      </c>
      <c r="G107" s="12" t="s">
        <v>2821</v>
      </c>
      <c r="H107" s="12" t="s">
        <v>26</v>
      </c>
    </row>
    <row r="108" spans="1:8">
      <c r="A108" t="s">
        <v>2320</v>
      </c>
      <c r="B108" s="12" t="s">
        <v>3053</v>
      </c>
      <c r="C108">
        <v>53</v>
      </c>
      <c r="D108" s="12" t="s">
        <v>34</v>
      </c>
      <c r="E108" s="12" t="s">
        <v>3054</v>
      </c>
      <c r="F108" s="12" t="s">
        <v>67</v>
      </c>
      <c r="G108" s="12" t="s">
        <v>2821</v>
      </c>
      <c r="H108" s="12" t="s">
        <v>73</v>
      </c>
    </row>
    <row r="109" spans="1:8">
      <c r="A109" t="s">
        <v>707</v>
      </c>
      <c r="B109" s="12" t="s">
        <v>3055</v>
      </c>
      <c r="C109">
        <v>62</v>
      </c>
      <c r="D109" s="12" t="s">
        <v>34</v>
      </c>
      <c r="E109" s="12" t="s">
        <v>3056</v>
      </c>
      <c r="F109" s="12" t="s">
        <v>188</v>
      </c>
      <c r="G109" s="12" t="s">
        <v>2821</v>
      </c>
      <c r="H109" s="12" t="s">
        <v>52</v>
      </c>
    </row>
    <row r="110" spans="1:8">
      <c r="A110" t="s">
        <v>589</v>
      </c>
      <c r="B110" s="12" t="s">
        <v>3057</v>
      </c>
      <c r="C110">
        <v>38</v>
      </c>
      <c r="D110" s="12" t="s">
        <v>24</v>
      </c>
      <c r="E110" s="12" t="s">
        <v>3058</v>
      </c>
      <c r="F110" s="12" t="s">
        <v>214</v>
      </c>
      <c r="G110" s="12" t="s">
        <v>2821</v>
      </c>
      <c r="H110" s="12" t="s">
        <v>73</v>
      </c>
    </row>
    <row r="111" spans="1:8">
      <c r="A111" t="s">
        <v>1653</v>
      </c>
      <c r="B111" s="12" t="s">
        <v>3059</v>
      </c>
      <c r="C111">
        <v>27</v>
      </c>
      <c r="D111" s="12" t="s">
        <v>24</v>
      </c>
      <c r="E111" s="12" t="s">
        <v>3060</v>
      </c>
      <c r="F111" s="12" t="s">
        <v>356</v>
      </c>
      <c r="G111" s="12" t="s">
        <v>2821</v>
      </c>
      <c r="H111" s="12" t="s">
        <v>60</v>
      </c>
    </row>
    <row r="112" spans="1:8">
      <c r="A112" t="s">
        <v>1528</v>
      </c>
      <c r="B112" s="12" t="s">
        <v>3061</v>
      </c>
      <c r="C112">
        <v>40</v>
      </c>
      <c r="D112" s="12" t="s">
        <v>34</v>
      </c>
      <c r="E112" s="12" t="s">
        <v>3062</v>
      </c>
      <c r="F112" s="12" t="s">
        <v>336</v>
      </c>
      <c r="G112" s="12" t="s">
        <v>2821</v>
      </c>
      <c r="H112" s="12" t="s">
        <v>26</v>
      </c>
    </row>
    <row r="113" spans="1:8">
      <c r="A113" t="s">
        <v>2658</v>
      </c>
      <c r="B113" s="12" t="s">
        <v>3063</v>
      </c>
      <c r="C113">
        <v>18</v>
      </c>
      <c r="D113" s="12" t="s">
        <v>34</v>
      </c>
      <c r="E113" s="12" t="s">
        <v>3064</v>
      </c>
      <c r="F113" s="12" t="s">
        <v>251</v>
      </c>
      <c r="G113" s="12" t="s">
        <v>2821</v>
      </c>
      <c r="H113" s="12" t="s">
        <v>52</v>
      </c>
    </row>
    <row r="114" spans="1:8">
      <c r="A114" t="s">
        <v>2075</v>
      </c>
      <c r="B114" s="12" t="s">
        <v>3065</v>
      </c>
      <c r="C114">
        <v>27</v>
      </c>
      <c r="D114" s="12" t="s">
        <v>34</v>
      </c>
      <c r="E114" s="12" t="s">
        <v>3066</v>
      </c>
      <c r="F114" s="12" t="s">
        <v>209</v>
      </c>
      <c r="G114" s="12" t="s">
        <v>2821</v>
      </c>
      <c r="H114" s="12" t="s">
        <v>60</v>
      </c>
    </row>
    <row r="115" spans="1:8">
      <c r="A115" t="s">
        <v>529</v>
      </c>
      <c r="B115" s="12" t="s">
        <v>3067</v>
      </c>
      <c r="C115">
        <v>51</v>
      </c>
      <c r="D115" s="12" t="s">
        <v>24</v>
      </c>
      <c r="E115" s="12" t="s">
        <v>3068</v>
      </c>
      <c r="F115" s="12" t="s">
        <v>222</v>
      </c>
      <c r="G115" s="12" t="s">
        <v>2821</v>
      </c>
      <c r="H115" s="12" t="s">
        <v>26</v>
      </c>
    </row>
    <row r="116" spans="1:8">
      <c r="A116" t="s">
        <v>1037</v>
      </c>
      <c r="B116" s="12" t="s">
        <v>3069</v>
      </c>
      <c r="C116">
        <v>30</v>
      </c>
      <c r="D116" s="12" t="s">
        <v>24</v>
      </c>
      <c r="E116" s="12" t="s">
        <v>3070</v>
      </c>
      <c r="F116" s="12" t="s">
        <v>99</v>
      </c>
      <c r="G116" s="12" t="s">
        <v>2821</v>
      </c>
      <c r="H116" s="12" t="s">
        <v>73</v>
      </c>
    </row>
    <row r="117" spans="1:8">
      <c r="A117" t="s">
        <v>363</v>
      </c>
      <c r="B117" s="12" t="s">
        <v>3071</v>
      </c>
      <c r="C117">
        <v>53</v>
      </c>
      <c r="D117" s="12" t="s">
        <v>34</v>
      </c>
      <c r="E117" s="12" t="s">
        <v>3072</v>
      </c>
      <c r="F117" s="12" t="s">
        <v>188</v>
      </c>
      <c r="G117" s="12" t="s">
        <v>2821</v>
      </c>
      <c r="H117" s="12" t="s">
        <v>52</v>
      </c>
    </row>
    <row r="118" spans="1:8">
      <c r="A118" t="s">
        <v>64</v>
      </c>
      <c r="B118" s="12" t="s">
        <v>3073</v>
      </c>
      <c r="C118">
        <v>18</v>
      </c>
      <c r="D118" s="12" t="s">
        <v>34</v>
      </c>
      <c r="E118" s="12" t="s">
        <v>3074</v>
      </c>
      <c r="F118" s="12" t="s">
        <v>67</v>
      </c>
      <c r="G118" s="12" t="s">
        <v>2821</v>
      </c>
      <c r="H118" s="12" t="s">
        <v>52</v>
      </c>
    </row>
    <row r="119" spans="1:8">
      <c r="A119" t="s">
        <v>1299</v>
      </c>
      <c r="B119" s="12" t="s">
        <v>3075</v>
      </c>
      <c r="C119">
        <v>21</v>
      </c>
      <c r="D119" s="12" t="s">
        <v>34</v>
      </c>
      <c r="E119" s="12" t="s">
        <v>3076</v>
      </c>
      <c r="F119" s="12" t="s">
        <v>91</v>
      </c>
      <c r="G119" s="12" t="s">
        <v>2821</v>
      </c>
      <c r="H119" s="12" t="s">
        <v>52</v>
      </c>
    </row>
    <row r="120" spans="1:8">
      <c r="A120" t="s">
        <v>782</v>
      </c>
      <c r="B120" s="12" t="s">
        <v>3077</v>
      </c>
      <c r="C120">
        <v>36</v>
      </c>
      <c r="D120" s="12" t="s">
        <v>24</v>
      </c>
      <c r="E120" s="12" t="s">
        <v>3078</v>
      </c>
      <c r="F120" s="12" t="s">
        <v>761</v>
      </c>
      <c r="G120" s="12" t="s">
        <v>2821</v>
      </c>
      <c r="H120" s="12" t="s">
        <v>52</v>
      </c>
    </row>
    <row r="121" spans="1:8">
      <c r="A121" t="s">
        <v>452</v>
      </c>
      <c r="B121" s="12" t="s">
        <v>3079</v>
      </c>
      <c r="C121">
        <v>40</v>
      </c>
      <c r="D121" s="12" t="s">
        <v>24</v>
      </c>
      <c r="E121" s="12" t="s">
        <v>3080</v>
      </c>
      <c r="F121" s="12" t="s">
        <v>51</v>
      </c>
      <c r="G121" s="12" t="s">
        <v>2821</v>
      </c>
      <c r="H121" s="12" t="s">
        <v>73</v>
      </c>
    </row>
    <row r="122" spans="1:8">
      <c r="A122" t="s">
        <v>959</v>
      </c>
      <c r="B122" s="12" t="s">
        <v>3081</v>
      </c>
      <c r="C122">
        <v>44</v>
      </c>
      <c r="D122" s="12" t="s">
        <v>34</v>
      </c>
      <c r="E122" s="12" t="s">
        <v>3082</v>
      </c>
      <c r="F122" s="12" t="s">
        <v>44</v>
      </c>
      <c r="G122" s="12" t="s">
        <v>2821</v>
      </c>
      <c r="H122" s="12" t="s">
        <v>52</v>
      </c>
    </row>
    <row r="123" spans="1:8">
      <c r="A123" t="s">
        <v>1609</v>
      </c>
      <c r="B123" s="12" t="s">
        <v>3083</v>
      </c>
      <c r="C123">
        <v>62</v>
      </c>
      <c r="D123" s="12" t="s">
        <v>24</v>
      </c>
      <c r="E123" s="12" t="s">
        <v>3084</v>
      </c>
      <c r="F123" s="12" t="s">
        <v>218</v>
      </c>
      <c r="G123" s="12" t="s">
        <v>2821</v>
      </c>
      <c r="H123" s="12" t="s">
        <v>52</v>
      </c>
    </row>
    <row r="124" spans="1:8">
      <c r="A124" t="s">
        <v>1468</v>
      </c>
      <c r="B124" s="12" t="s">
        <v>3085</v>
      </c>
      <c r="C124">
        <v>50</v>
      </c>
      <c r="D124" s="12" t="s">
        <v>24</v>
      </c>
      <c r="E124" s="12" t="s">
        <v>3086</v>
      </c>
      <c r="F124" s="12" t="s">
        <v>256</v>
      </c>
      <c r="G124" s="12" t="s">
        <v>2821</v>
      </c>
      <c r="H124" s="12" t="s">
        <v>52</v>
      </c>
    </row>
    <row r="125" spans="1:8">
      <c r="A125" t="s">
        <v>1201</v>
      </c>
      <c r="B125" s="12" t="s">
        <v>3087</v>
      </c>
      <c r="C125">
        <v>40</v>
      </c>
      <c r="D125" s="12" t="s">
        <v>24</v>
      </c>
      <c r="E125" s="12" t="s">
        <v>3088</v>
      </c>
      <c r="F125" s="12" t="s">
        <v>106</v>
      </c>
      <c r="G125" s="12" t="s">
        <v>2821</v>
      </c>
      <c r="H125" s="12" t="s">
        <v>60</v>
      </c>
    </row>
    <row r="126" spans="1:8">
      <c r="A126" t="s">
        <v>1392</v>
      </c>
      <c r="B126" s="12" t="s">
        <v>3089</v>
      </c>
      <c r="C126">
        <v>26</v>
      </c>
      <c r="D126" s="12" t="s">
        <v>24</v>
      </c>
      <c r="E126" s="12" t="s">
        <v>3090</v>
      </c>
      <c r="F126" s="12" t="s">
        <v>932</v>
      </c>
      <c r="G126" s="12" t="s">
        <v>2821</v>
      </c>
      <c r="H126" s="12" t="s">
        <v>73</v>
      </c>
    </row>
    <row r="127" spans="1:8">
      <c r="A127" t="s">
        <v>963</v>
      </c>
      <c r="B127" s="12" t="s">
        <v>3091</v>
      </c>
      <c r="C127">
        <v>64</v>
      </c>
      <c r="D127" s="12" t="s">
        <v>34</v>
      </c>
      <c r="E127" s="12" t="s">
        <v>3092</v>
      </c>
      <c r="F127" s="12" t="s">
        <v>193</v>
      </c>
      <c r="G127" s="12" t="s">
        <v>2821</v>
      </c>
      <c r="H127" s="12" t="s">
        <v>52</v>
      </c>
    </row>
    <row r="128" spans="1:8">
      <c r="A128" t="s">
        <v>320</v>
      </c>
      <c r="B128" s="12" t="s">
        <v>3093</v>
      </c>
      <c r="C128">
        <v>62</v>
      </c>
      <c r="D128" s="12" t="s">
        <v>34</v>
      </c>
      <c r="E128" s="12" t="s">
        <v>3094</v>
      </c>
      <c r="F128" s="12" t="s">
        <v>251</v>
      </c>
      <c r="G128" s="12" t="s">
        <v>2821</v>
      </c>
      <c r="H128" s="12" t="s">
        <v>26</v>
      </c>
    </row>
    <row r="129" spans="1:8">
      <c r="A129" t="s">
        <v>1067</v>
      </c>
      <c r="B129" s="12" t="s">
        <v>3095</v>
      </c>
      <c r="C129">
        <v>39</v>
      </c>
      <c r="D129" s="12" t="s">
        <v>24</v>
      </c>
      <c r="E129" s="12" t="s">
        <v>3096</v>
      </c>
      <c r="F129" s="12" t="s">
        <v>35</v>
      </c>
      <c r="G129" s="12" t="s">
        <v>2821</v>
      </c>
      <c r="H129" s="12" t="s">
        <v>52</v>
      </c>
    </row>
    <row r="130" spans="1:8">
      <c r="A130" t="s">
        <v>606</v>
      </c>
      <c r="B130" s="12" t="s">
        <v>3097</v>
      </c>
      <c r="C130">
        <v>45</v>
      </c>
      <c r="D130" s="12" t="s">
        <v>24</v>
      </c>
      <c r="E130" s="12" t="s">
        <v>3098</v>
      </c>
      <c r="F130" s="12" t="s">
        <v>140</v>
      </c>
      <c r="G130" s="12" t="s">
        <v>2821</v>
      </c>
      <c r="H130" s="12" t="s">
        <v>60</v>
      </c>
    </row>
    <row r="131" spans="1:8">
      <c r="A131" t="s">
        <v>1079</v>
      </c>
      <c r="B131" s="12" t="s">
        <v>3099</v>
      </c>
      <c r="C131">
        <v>43</v>
      </c>
      <c r="D131" s="12" t="s">
        <v>34</v>
      </c>
      <c r="E131" s="12" t="s">
        <v>3100</v>
      </c>
      <c r="F131" s="12" t="s">
        <v>345</v>
      </c>
      <c r="G131" s="12" t="s">
        <v>2821</v>
      </c>
      <c r="H131" s="12" t="s">
        <v>60</v>
      </c>
    </row>
    <row r="132" spans="1:8">
      <c r="A132" t="s">
        <v>1440</v>
      </c>
      <c r="B132" s="12" t="s">
        <v>3101</v>
      </c>
      <c r="C132">
        <v>29</v>
      </c>
      <c r="D132" s="12" t="s">
        <v>24</v>
      </c>
      <c r="E132" s="12" t="s">
        <v>3102</v>
      </c>
      <c r="F132" s="12" t="s">
        <v>440</v>
      </c>
      <c r="G132" s="12" t="s">
        <v>2821</v>
      </c>
      <c r="H132" s="12" t="s">
        <v>52</v>
      </c>
    </row>
    <row r="133" spans="1:8">
      <c r="A133" t="s">
        <v>417</v>
      </c>
      <c r="B133" s="12" t="s">
        <v>3103</v>
      </c>
      <c r="C133">
        <v>34</v>
      </c>
      <c r="D133" s="12" t="s">
        <v>34</v>
      </c>
      <c r="E133" s="12" t="s">
        <v>3104</v>
      </c>
      <c r="F133" s="12" t="s">
        <v>59</v>
      </c>
      <c r="G133" s="12" t="s">
        <v>2821</v>
      </c>
      <c r="H133" s="12" t="s">
        <v>73</v>
      </c>
    </row>
    <row r="134" spans="1:8">
      <c r="A134" t="s">
        <v>2454</v>
      </c>
      <c r="B134" s="12" t="s">
        <v>3105</v>
      </c>
      <c r="C134">
        <v>57</v>
      </c>
      <c r="D134" s="12" t="s">
        <v>34</v>
      </c>
      <c r="E134" s="12" t="s">
        <v>3106</v>
      </c>
      <c r="F134" s="12" t="s">
        <v>308</v>
      </c>
      <c r="G134" s="12" t="s">
        <v>2821</v>
      </c>
      <c r="H134" s="12" t="s">
        <v>26</v>
      </c>
    </row>
    <row r="135" spans="1:8">
      <c r="A135" t="s">
        <v>893</v>
      </c>
      <c r="B135" s="12" t="s">
        <v>3107</v>
      </c>
      <c r="C135">
        <v>62</v>
      </c>
      <c r="D135" s="12" t="s">
        <v>34</v>
      </c>
      <c r="E135" s="12" t="s">
        <v>3108</v>
      </c>
      <c r="F135" s="12" t="s">
        <v>235</v>
      </c>
      <c r="G135" s="12" t="s">
        <v>2821</v>
      </c>
      <c r="H135" s="12" t="s">
        <v>73</v>
      </c>
    </row>
    <row r="136" spans="1:8">
      <c r="A136" t="s">
        <v>791</v>
      </c>
      <c r="B136" s="12" t="s">
        <v>3109</v>
      </c>
      <c r="C136">
        <v>54</v>
      </c>
      <c r="D136" s="12" t="s">
        <v>24</v>
      </c>
      <c r="E136" s="12" t="s">
        <v>3110</v>
      </c>
      <c r="F136" s="12" t="s">
        <v>91</v>
      </c>
      <c r="G136" s="12" t="s">
        <v>2821</v>
      </c>
      <c r="H136" s="12" t="s">
        <v>26</v>
      </c>
    </row>
    <row r="137" spans="1:8">
      <c r="A137" t="s">
        <v>652</v>
      </c>
      <c r="B137" s="12" t="s">
        <v>3111</v>
      </c>
      <c r="C137">
        <v>33</v>
      </c>
      <c r="D137" s="12" t="s">
        <v>34</v>
      </c>
      <c r="E137" s="12" t="s">
        <v>3112</v>
      </c>
      <c r="F137" s="12" t="s">
        <v>209</v>
      </c>
      <c r="G137" s="12" t="s">
        <v>2821</v>
      </c>
      <c r="H137" s="12" t="s">
        <v>52</v>
      </c>
    </row>
    <row r="138" spans="1:8">
      <c r="A138" t="s">
        <v>760</v>
      </c>
      <c r="B138" s="12" t="s">
        <v>3113</v>
      </c>
      <c r="C138">
        <v>29</v>
      </c>
      <c r="D138" s="12" t="s">
        <v>24</v>
      </c>
      <c r="E138" s="12" t="s">
        <v>3114</v>
      </c>
      <c r="F138" s="12" t="s">
        <v>761</v>
      </c>
      <c r="G138" s="12" t="s">
        <v>2821</v>
      </c>
      <c r="H138" s="12" t="s">
        <v>60</v>
      </c>
    </row>
    <row r="139" spans="1:8">
      <c r="A139" t="s">
        <v>2630</v>
      </c>
      <c r="B139" s="12" t="s">
        <v>3115</v>
      </c>
      <c r="C139">
        <v>55</v>
      </c>
      <c r="D139" s="12" t="s">
        <v>34</v>
      </c>
      <c r="E139" s="12" t="s">
        <v>3116</v>
      </c>
      <c r="F139" s="12" t="s">
        <v>308</v>
      </c>
      <c r="G139" s="12" t="s">
        <v>2821</v>
      </c>
      <c r="H139" s="12" t="s">
        <v>52</v>
      </c>
    </row>
    <row r="140" spans="1:8">
      <c r="A140" t="s">
        <v>641</v>
      </c>
      <c r="B140" s="12" t="s">
        <v>3117</v>
      </c>
      <c r="C140">
        <v>43</v>
      </c>
      <c r="D140" s="12" t="s">
        <v>24</v>
      </c>
      <c r="E140" s="12" t="s">
        <v>3066</v>
      </c>
      <c r="F140" s="12" t="s">
        <v>498</v>
      </c>
      <c r="G140" s="12" t="s">
        <v>2821</v>
      </c>
      <c r="H140" s="12" t="s">
        <v>26</v>
      </c>
    </row>
    <row r="141" spans="1:8">
      <c r="A141" t="s">
        <v>1400</v>
      </c>
      <c r="B141" s="12" t="s">
        <v>3118</v>
      </c>
      <c r="C141">
        <v>32</v>
      </c>
      <c r="D141" s="12" t="s">
        <v>24</v>
      </c>
      <c r="E141" s="12" t="s">
        <v>3119</v>
      </c>
      <c r="F141" s="12" t="s">
        <v>410</v>
      </c>
      <c r="G141" s="12" t="s">
        <v>2821</v>
      </c>
      <c r="H141" s="12" t="s">
        <v>73</v>
      </c>
    </row>
    <row r="142" spans="1:8">
      <c r="A142" t="s">
        <v>1699</v>
      </c>
      <c r="B142" s="12" t="s">
        <v>3120</v>
      </c>
      <c r="C142">
        <v>63</v>
      </c>
      <c r="D142" s="12" t="s">
        <v>34</v>
      </c>
      <c r="E142" s="12" t="s">
        <v>3121</v>
      </c>
      <c r="F142" s="12" t="s">
        <v>44</v>
      </c>
      <c r="G142" s="12" t="s">
        <v>2821</v>
      </c>
      <c r="H142" s="12" t="s">
        <v>26</v>
      </c>
    </row>
    <row r="143" spans="1:8">
      <c r="A143" t="s">
        <v>776</v>
      </c>
      <c r="B143" s="12" t="s">
        <v>3122</v>
      </c>
      <c r="C143">
        <v>30</v>
      </c>
      <c r="D143" s="12" t="s">
        <v>24</v>
      </c>
      <c r="E143" s="12" t="s">
        <v>3123</v>
      </c>
      <c r="F143" s="12" t="s">
        <v>227</v>
      </c>
      <c r="G143" s="12" t="s">
        <v>2821</v>
      </c>
      <c r="H143" s="12" t="s">
        <v>73</v>
      </c>
    </row>
    <row r="144" spans="1:8">
      <c r="A144" t="s">
        <v>285</v>
      </c>
      <c r="B144" s="12" t="s">
        <v>3124</v>
      </c>
      <c r="C144">
        <v>37</v>
      </c>
      <c r="D144" s="12" t="s">
        <v>24</v>
      </c>
      <c r="E144" s="12" t="s">
        <v>3125</v>
      </c>
      <c r="F144" s="12" t="s">
        <v>111</v>
      </c>
      <c r="G144" s="12" t="s">
        <v>2821</v>
      </c>
      <c r="H144" s="12" t="s">
        <v>73</v>
      </c>
    </row>
    <row r="145" spans="1:8">
      <c r="A145" t="s">
        <v>394</v>
      </c>
      <c r="B145" s="12" t="s">
        <v>3126</v>
      </c>
      <c r="C145">
        <v>46</v>
      </c>
      <c r="D145" s="12" t="s">
        <v>24</v>
      </c>
      <c r="E145" s="12" t="s">
        <v>3127</v>
      </c>
      <c r="F145" s="12" t="s">
        <v>59</v>
      </c>
      <c r="G145" s="12" t="s">
        <v>2821</v>
      </c>
      <c r="H145" s="12" t="s">
        <v>73</v>
      </c>
    </row>
    <row r="146" spans="1:8">
      <c r="A146" t="s">
        <v>154</v>
      </c>
      <c r="B146" s="12" t="s">
        <v>3128</v>
      </c>
      <c r="C146">
        <v>62</v>
      </c>
      <c r="D146" s="12" t="s">
        <v>34</v>
      </c>
      <c r="E146" s="12" t="s">
        <v>3129</v>
      </c>
      <c r="F146" s="12" t="s">
        <v>99</v>
      </c>
      <c r="G146" s="12" t="s">
        <v>2821</v>
      </c>
      <c r="H146" s="12" t="s">
        <v>73</v>
      </c>
    </row>
    <row r="147" spans="1:8">
      <c r="A147" t="s">
        <v>1024</v>
      </c>
      <c r="B147" s="12" t="s">
        <v>3130</v>
      </c>
      <c r="C147">
        <v>46</v>
      </c>
      <c r="D147" s="12" t="s">
        <v>24</v>
      </c>
      <c r="E147" s="12" t="s">
        <v>3131</v>
      </c>
      <c r="F147" s="12" t="s">
        <v>260</v>
      </c>
      <c r="G147" s="12" t="s">
        <v>2821</v>
      </c>
      <c r="H147" s="12" t="s">
        <v>52</v>
      </c>
    </row>
    <row r="148" spans="1:8">
      <c r="A148" t="s">
        <v>1130</v>
      </c>
      <c r="B148" s="12" t="s">
        <v>3132</v>
      </c>
      <c r="C148">
        <v>32</v>
      </c>
      <c r="D148" s="12" t="s">
        <v>34</v>
      </c>
      <c r="E148" s="12" t="s">
        <v>3133</v>
      </c>
      <c r="F148" s="12" t="s">
        <v>457</v>
      </c>
      <c r="G148" s="12" t="s">
        <v>2821</v>
      </c>
      <c r="H148" s="12" t="s">
        <v>26</v>
      </c>
    </row>
    <row r="149" spans="1:8">
      <c r="A149" t="s">
        <v>1256</v>
      </c>
      <c r="B149" s="12" t="s">
        <v>3134</v>
      </c>
      <c r="C149">
        <v>49</v>
      </c>
      <c r="D149" s="12" t="s">
        <v>34</v>
      </c>
      <c r="E149" s="12" t="s">
        <v>3135</v>
      </c>
      <c r="F149" s="12" t="s">
        <v>444</v>
      </c>
      <c r="G149" s="12" t="s">
        <v>2821</v>
      </c>
      <c r="H149" s="12" t="s">
        <v>52</v>
      </c>
    </row>
    <row r="150" spans="1:8">
      <c r="A150" t="s">
        <v>196</v>
      </c>
      <c r="B150" s="12" t="s">
        <v>3136</v>
      </c>
      <c r="C150">
        <v>42</v>
      </c>
      <c r="D150" s="12" t="s">
        <v>34</v>
      </c>
      <c r="E150" s="12" t="s">
        <v>3137</v>
      </c>
      <c r="F150" s="12" t="s">
        <v>199</v>
      </c>
      <c r="G150" s="12" t="s">
        <v>2821</v>
      </c>
      <c r="H150" s="12" t="s">
        <v>73</v>
      </c>
    </row>
    <row r="151" spans="1:8">
      <c r="A151" t="s">
        <v>1228</v>
      </c>
      <c r="B151" s="12" t="s">
        <v>3138</v>
      </c>
      <c r="C151">
        <v>33</v>
      </c>
      <c r="D151" s="12" t="s">
        <v>24</v>
      </c>
      <c r="E151" s="12" t="s">
        <v>3139</v>
      </c>
      <c r="F151" s="12" t="s">
        <v>235</v>
      </c>
      <c r="G151" s="12" t="s">
        <v>2821</v>
      </c>
      <c r="H151" s="12" t="s">
        <v>52</v>
      </c>
    </row>
    <row r="152" spans="1:8">
      <c r="A152" t="s">
        <v>907</v>
      </c>
      <c r="B152" s="12" t="s">
        <v>3140</v>
      </c>
      <c r="C152">
        <v>24</v>
      </c>
      <c r="D152" s="12" t="s">
        <v>24</v>
      </c>
      <c r="E152" s="12" t="s">
        <v>3141</v>
      </c>
      <c r="F152" s="12" t="s">
        <v>231</v>
      </c>
      <c r="G152" s="12" t="s">
        <v>2821</v>
      </c>
      <c r="H152" s="12" t="s">
        <v>26</v>
      </c>
    </row>
    <row r="153" spans="1:8">
      <c r="A153" t="s">
        <v>1412</v>
      </c>
      <c r="B153" s="12" t="s">
        <v>3142</v>
      </c>
      <c r="C153">
        <v>25</v>
      </c>
      <c r="D153" s="12" t="s">
        <v>34</v>
      </c>
      <c r="E153" s="12" t="s">
        <v>3143</v>
      </c>
      <c r="F153" s="12" t="s">
        <v>609</v>
      </c>
      <c r="G153" s="12" t="s">
        <v>2821</v>
      </c>
      <c r="H153" s="12" t="s">
        <v>26</v>
      </c>
    </row>
    <row r="154" spans="1:8">
      <c r="A154" t="s">
        <v>78</v>
      </c>
      <c r="B154" s="12" t="s">
        <v>3144</v>
      </c>
      <c r="C154">
        <v>41</v>
      </c>
      <c r="D154" s="12" t="s">
        <v>34</v>
      </c>
      <c r="E154" s="12" t="s">
        <v>3145</v>
      </c>
      <c r="F154" s="12" t="s">
        <v>80</v>
      </c>
      <c r="G154" s="12" t="s">
        <v>2821</v>
      </c>
      <c r="H154" s="12" t="s">
        <v>52</v>
      </c>
    </row>
    <row r="155" spans="1:8">
      <c r="A155" t="s">
        <v>685</v>
      </c>
      <c r="B155" s="12" t="s">
        <v>3146</v>
      </c>
      <c r="C155">
        <v>31</v>
      </c>
      <c r="D155" s="12" t="s">
        <v>24</v>
      </c>
      <c r="E155" s="12" t="s">
        <v>3147</v>
      </c>
      <c r="F155" s="12" t="s">
        <v>188</v>
      </c>
      <c r="G155" s="12" t="s">
        <v>2821</v>
      </c>
      <c r="H155" s="12" t="s">
        <v>73</v>
      </c>
    </row>
    <row r="156" spans="1:8">
      <c r="A156" t="s">
        <v>1706</v>
      </c>
      <c r="B156" s="12" t="s">
        <v>3148</v>
      </c>
      <c r="C156">
        <v>35</v>
      </c>
      <c r="D156" s="12" t="s">
        <v>34</v>
      </c>
      <c r="E156" s="12" t="s">
        <v>3149</v>
      </c>
      <c r="F156" s="12" t="s">
        <v>35</v>
      </c>
      <c r="G156" s="12" t="s">
        <v>2821</v>
      </c>
      <c r="H156" s="12" t="s">
        <v>26</v>
      </c>
    </row>
    <row r="157" spans="1:8">
      <c r="A157" t="s">
        <v>1803</v>
      </c>
      <c r="B157" s="12" t="s">
        <v>3150</v>
      </c>
      <c r="C157">
        <v>60</v>
      </c>
      <c r="D157" s="12" t="s">
        <v>34</v>
      </c>
      <c r="E157" s="12" t="s">
        <v>3151</v>
      </c>
      <c r="F157" s="12" t="s">
        <v>106</v>
      </c>
      <c r="G157" s="12" t="s">
        <v>2821</v>
      </c>
      <c r="H157" s="12" t="s">
        <v>26</v>
      </c>
    </row>
    <row r="158" spans="1:8">
      <c r="A158" t="s">
        <v>1120</v>
      </c>
      <c r="B158" s="12" t="s">
        <v>3152</v>
      </c>
      <c r="C158">
        <v>46</v>
      </c>
      <c r="D158" s="12" t="s">
        <v>24</v>
      </c>
      <c r="E158" s="12" t="s">
        <v>3153</v>
      </c>
      <c r="F158" s="12" t="s">
        <v>188</v>
      </c>
      <c r="G158" s="12" t="s">
        <v>2821</v>
      </c>
      <c r="H158" s="12" t="s">
        <v>73</v>
      </c>
    </row>
    <row r="159" spans="1:8">
      <c r="A159" t="s">
        <v>1203</v>
      </c>
      <c r="B159" s="12" t="s">
        <v>3154</v>
      </c>
      <c r="C159">
        <v>59</v>
      </c>
      <c r="D159" s="12" t="s">
        <v>24</v>
      </c>
      <c r="E159" s="12" t="s">
        <v>3155</v>
      </c>
      <c r="F159" s="12" t="s">
        <v>188</v>
      </c>
      <c r="G159" s="12" t="s">
        <v>2821</v>
      </c>
      <c r="H159" s="12" t="s">
        <v>52</v>
      </c>
    </row>
    <row r="160" spans="1:8">
      <c r="A160" t="s">
        <v>472</v>
      </c>
      <c r="B160" s="12" t="s">
        <v>3156</v>
      </c>
      <c r="C160">
        <v>43</v>
      </c>
      <c r="D160" s="12" t="s">
        <v>24</v>
      </c>
      <c r="E160" s="12" t="s">
        <v>3157</v>
      </c>
      <c r="F160" s="12" t="s">
        <v>35</v>
      </c>
      <c r="G160" s="12" t="s">
        <v>2821</v>
      </c>
      <c r="H160" s="12" t="s">
        <v>73</v>
      </c>
    </row>
    <row r="161" spans="1:8">
      <c r="A161" t="s">
        <v>1045</v>
      </c>
      <c r="B161" s="12" t="s">
        <v>3158</v>
      </c>
      <c r="C161">
        <v>46</v>
      </c>
      <c r="D161" s="12" t="s">
        <v>34</v>
      </c>
      <c r="E161" s="12" t="s">
        <v>3159</v>
      </c>
      <c r="F161" s="12" t="s">
        <v>204</v>
      </c>
      <c r="G161" s="12" t="s">
        <v>2821</v>
      </c>
      <c r="H161" s="12" t="s">
        <v>26</v>
      </c>
    </row>
    <row r="162" spans="1:8">
      <c r="A162" t="s">
        <v>1155</v>
      </c>
      <c r="B162" s="12" t="s">
        <v>3160</v>
      </c>
      <c r="C162">
        <v>41</v>
      </c>
      <c r="D162" s="12" t="s">
        <v>34</v>
      </c>
      <c r="E162" s="12" t="s">
        <v>3161</v>
      </c>
      <c r="F162" s="12" t="s">
        <v>256</v>
      </c>
      <c r="G162" s="12" t="s">
        <v>2821</v>
      </c>
      <c r="H162" s="12" t="s">
        <v>52</v>
      </c>
    </row>
    <row r="163" spans="1:8">
      <c r="A163" t="s">
        <v>954</v>
      </c>
      <c r="B163" s="12" t="s">
        <v>3162</v>
      </c>
      <c r="C163">
        <v>18</v>
      </c>
      <c r="D163" s="12" t="s">
        <v>34</v>
      </c>
      <c r="E163" s="12" t="s">
        <v>3163</v>
      </c>
      <c r="F163" s="12" t="s">
        <v>251</v>
      </c>
      <c r="G163" s="12" t="s">
        <v>2821</v>
      </c>
      <c r="H163" s="12" t="s">
        <v>60</v>
      </c>
    </row>
    <row r="164" spans="1:8">
      <c r="A164" t="s">
        <v>324</v>
      </c>
      <c r="B164" s="12" t="s">
        <v>3164</v>
      </c>
      <c r="C164">
        <v>37</v>
      </c>
      <c r="D164" s="12" t="s">
        <v>24</v>
      </c>
      <c r="E164" s="12" t="s">
        <v>3165</v>
      </c>
      <c r="F164" s="12" t="s">
        <v>51</v>
      </c>
      <c r="G164" s="12" t="s">
        <v>2821</v>
      </c>
      <c r="H164" s="12" t="s">
        <v>60</v>
      </c>
    </row>
    <row r="165" spans="1:8">
      <c r="A165" t="s">
        <v>1083</v>
      </c>
      <c r="B165" s="12" t="s">
        <v>3166</v>
      </c>
      <c r="C165">
        <v>21</v>
      </c>
      <c r="D165" s="12" t="s">
        <v>24</v>
      </c>
      <c r="E165" s="12" t="s">
        <v>3167</v>
      </c>
      <c r="F165" s="12" t="s">
        <v>932</v>
      </c>
      <c r="G165" s="12" t="s">
        <v>2821</v>
      </c>
      <c r="H165" s="12" t="s">
        <v>73</v>
      </c>
    </row>
    <row r="166" spans="1:8">
      <c r="A166" t="s">
        <v>504</v>
      </c>
      <c r="B166" s="12" t="s">
        <v>3168</v>
      </c>
      <c r="C166">
        <v>39</v>
      </c>
      <c r="D166" s="12" t="s">
        <v>34</v>
      </c>
      <c r="E166" s="12" t="s">
        <v>3169</v>
      </c>
      <c r="F166" s="12" t="s">
        <v>360</v>
      </c>
      <c r="G166" s="12" t="s">
        <v>2821</v>
      </c>
      <c r="H166" s="12" t="s">
        <v>60</v>
      </c>
    </row>
    <row r="167" spans="1:8">
      <c r="A167" t="s">
        <v>931</v>
      </c>
      <c r="B167" s="12" t="s">
        <v>3170</v>
      </c>
      <c r="C167">
        <v>47</v>
      </c>
      <c r="D167" s="12" t="s">
        <v>34</v>
      </c>
      <c r="E167" s="12" t="s">
        <v>3171</v>
      </c>
      <c r="F167" s="12" t="s">
        <v>932</v>
      </c>
      <c r="G167" s="12" t="s">
        <v>2821</v>
      </c>
      <c r="H167" s="12" t="s">
        <v>52</v>
      </c>
    </row>
    <row r="168" spans="1:8">
      <c r="A168" t="s">
        <v>1100</v>
      </c>
      <c r="B168" s="12" t="s">
        <v>3172</v>
      </c>
      <c r="C168">
        <v>25</v>
      </c>
      <c r="D168" s="12" t="s">
        <v>34</v>
      </c>
      <c r="E168" s="12" t="s">
        <v>3173</v>
      </c>
      <c r="F168" s="12" t="s">
        <v>209</v>
      </c>
      <c r="G168" s="12" t="s">
        <v>2821</v>
      </c>
      <c r="H168" s="12" t="s">
        <v>60</v>
      </c>
    </row>
    <row r="169" spans="1:8">
      <c r="A169" t="s">
        <v>1139</v>
      </c>
      <c r="B169" s="12" t="s">
        <v>3174</v>
      </c>
      <c r="C169">
        <v>36</v>
      </c>
      <c r="D169" s="12" t="s">
        <v>34</v>
      </c>
      <c r="E169" s="12" t="s">
        <v>3175</v>
      </c>
      <c r="F169" s="12" t="s">
        <v>51</v>
      </c>
      <c r="G169" s="12" t="s">
        <v>2821</v>
      </c>
      <c r="H169" s="12" t="s">
        <v>26</v>
      </c>
    </row>
    <row r="170" spans="1:8">
      <c r="A170" t="s">
        <v>338</v>
      </c>
      <c r="B170" s="12" t="s">
        <v>3176</v>
      </c>
      <c r="C170">
        <v>36</v>
      </c>
      <c r="D170" s="12" t="s">
        <v>34</v>
      </c>
      <c r="E170" s="12" t="s">
        <v>3177</v>
      </c>
      <c r="F170" s="12" t="s">
        <v>235</v>
      </c>
      <c r="G170" s="12" t="s">
        <v>2821</v>
      </c>
      <c r="H170" s="12" t="s">
        <v>52</v>
      </c>
    </row>
    <row r="171" spans="1:8">
      <c r="A171" t="s">
        <v>720</v>
      </c>
      <c r="B171" s="12" t="s">
        <v>3178</v>
      </c>
      <c r="C171">
        <v>64</v>
      </c>
      <c r="D171" s="12" t="s">
        <v>24</v>
      </c>
      <c r="E171" s="12" t="s">
        <v>3179</v>
      </c>
      <c r="F171" s="12" t="s">
        <v>214</v>
      </c>
      <c r="G171" s="12" t="s">
        <v>2821</v>
      </c>
      <c r="H171" s="12" t="s">
        <v>73</v>
      </c>
    </row>
    <row r="172" spans="1:8">
      <c r="A172" t="s">
        <v>658</v>
      </c>
      <c r="B172" s="12" t="s">
        <v>3180</v>
      </c>
      <c r="C172">
        <v>18</v>
      </c>
      <c r="D172" s="12" t="s">
        <v>24</v>
      </c>
      <c r="E172" s="12" t="s">
        <v>3181</v>
      </c>
      <c r="F172" s="12" t="s">
        <v>80</v>
      </c>
      <c r="G172" s="12" t="s">
        <v>2821</v>
      </c>
      <c r="H172" s="12" t="s">
        <v>26</v>
      </c>
    </row>
    <row r="173" spans="1:8">
      <c r="A173" t="s">
        <v>527</v>
      </c>
      <c r="B173" s="12" t="s">
        <v>3182</v>
      </c>
      <c r="C173">
        <v>44</v>
      </c>
      <c r="D173" s="12" t="s">
        <v>34</v>
      </c>
      <c r="E173" s="12" t="s">
        <v>3183</v>
      </c>
      <c r="F173" s="12" t="s">
        <v>260</v>
      </c>
      <c r="G173" s="12" t="s">
        <v>2821</v>
      </c>
      <c r="H173" s="12" t="s">
        <v>52</v>
      </c>
    </row>
    <row r="174" spans="1:8">
      <c r="A174" t="s">
        <v>1463</v>
      </c>
      <c r="B174" s="12" t="s">
        <v>3184</v>
      </c>
      <c r="C174">
        <v>41</v>
      </c>
      <c r="D174" s="12" t="s">
        <v>34</v>
      </c>
      <c r="E174" s="12" t="s">
        <v>3185</v>
      </c>
      <c r="F174" s="12" t="s">
        <v>356</v>
      </c>
      <c r="G174" s="12" t="s">
        <v>2821</v>
      </c>
      <c r="H174" s="12" t="s">
        <v>73</v>
      </c>
    </row>
    <row r="175" spans="1:8">
      <c r="A175" t="s">
        <v>1267</v>
      </c>
      <c r="B175" s="12" t="s">
        <v>3186</v>
      </c>
      <c r="C175">
        <v>41</v>
      </c>
      <c r="D175" s="12" t="s">
        <v>34</v>
      </c>
      <c r="E175" s="12" t="s">
        <v>3068</v>
      </c>
      <c r="F175" s="12" t="s">
        <v>106</v>
      </c>
      <c r="G175" s="12" t="s">
        <v>3187</v>
      </c>
      <c r="H175" s="12" t="s">
        <v>52</v>
      </c>
    </row>
    <row r="176" spans="1:8">
      <c r="A176" t="s">
        <v>2228</v>
      </c>
      <c r="B176" s="12" t="s">
        <v>3188</v>
      </c>
      <c r="C176">
        <v>26</v>
      </c>
      <c r="D176" s="12" t="s">
        <v>34</v>
      </c>
      <c r="E176" s="12" t="s">
        <v>3189</v>
      </c>
      <c r="F176" s="12" t="s">
        <v>35</v>
      </c>
      <c r="G176" s="12" t="s">
        <v>2821</v>
      </c>
      <c r="H176" s="12" t="s">
        <v>26</v>
      </c>
    </row>
    <row r="177" spans="1:8">
      <c r="A177" t="s">
        <v>595</v>
      </c>
      <c r="B177" s="12" t="s">
        <v>3190</v>
      </c>
      <c r="C177">
        <v>56</v>
      </c>
      <c r="D177" s="12" t="s">
        <v>24</v>
      </c>
      <c r="E177" s="12" t="s">
        <v>3191</v>
      </c>
      <c r="F177" s="12" t="s">
        <v>218</v>
      </c>
      <c r="G177" s="12" t="s">
        <v>2821</v>
      </c>
      <c r="H177" s="12" t="s">
        <v>52</v>
      </c>
    </row>
    <row r="178" spans="1:8">
      <c r="A178" t="s">
        <v>365</v>
      </c>
      <c r="B178" s="12" t="s">
        <v>3192</v>
      </c>
      <c r="C178">
        <v>48</v>
      </c>
      <c r="D178" s="12" t="s">
        <v>24</v>
      </c>
      <c r="E178" s="12" t="s">
        <v>3193</v>
      </c>
      <c r="F178" s="12" t="s">
        <v>35</v>
      </c>
      <c r="G178" s="12" t="s">
        <v>2821</v>
      </c>
      <c r="H178" s="12" t="s">
        <v>60</v>
      </c>
    </row>
    <row r="179" spans="1:8">
      <c r="A179" t="s">
        <v>1373</v>
      </c>
      <c r="B179" s="12" t="s">
        <v>3194</v>
      </c>
      <c r="C179">
        <v>55</v>
      </c>
      <c r="D179" s="12" t="s">
        <v>24</v>
      </c>
      <c r="E179" s="12" t="s">
        <v>3195</v>
      </c>
      <c r="F179" s="12" t="s">
        <v>239</v>
      </c>
      <c r="G179" s="12" t="s">
        <v>2821</v>
      </c>
      <c r="H179" s="12" t="s">
        <v>52</v>
      </c>
    </row>
    <row r="180" spans="1:8">
      <c r="A180" t="s">
        <v>523</v>
      </c>
      <c r="B180" s="12" t="s">
        <v>3196</v>
      </c>
      <c r="C180">
        <v>33</v>
      </c>
      <c r="D180" s="12" t="s">
        <v>34</v>
      </c>
      <c r="E180" s="12" t="s">
        <v>3197</v>
      </c>
      <c r="F180" s="12" t="s">
        <v>457</v>
      </c>
      <c r="G180" s="12" t="s">
        <v>2821</v>
      </c>
      <c r="H180" s="12" t="s">
        <v>73</v>
      </c>
    </row>
    <row r="181" spans="1:8">
      <c r="A181" t="s">
        <v>1913</v>
      </c>
      <c r="B181" s="12" t="s">
        <v>3198</v>
      </c>
      <c r="C181">
        <v>43</v>
      </c>
      <c r="D181" s="12" t="s">
        <v>34</v>
      </c>
      <c r="E181" s="12" t="s">
        <v>3199</v>
      </c>
      <c r="F181" s="12" t="s">
        <v>410</v>
      </c>
      <c r="G181" s="12" t="s">
        <v>2821</v>
      </c>
      <c r="H181" s="12" t="s">
        <v>60</v>
      </c>
    </row>
    <row r="182" spans="1:8">
      <c r="A182" t="s">
        <v>1351</v>
      </c>
      <c r="B182" s="12" t="s">
        <v>3200</v>
      </c>
      <c r="C182">
        <v>38</v>
      </c>
      <c r="D182" s="12" t="s">
        <v>24</v>
      </c>
      <c r="E182" s="12" t="s">
        <v>3201</v>
      </c>
      <c r="F182" s="12" t="s">
        <v>193</v>
      </c>
      <c r="G182" s="12" t="s">
        <v>2821</v>
      </c>
      <c r="H182" s="12" t="s">
        <v>73</v>
      </c>
    </row>
    <row r="183" spans="1:8">
      <c r="A183" t="s">
        <v>1029</v>
      </c>
      <c r="B183" s="12" t="s">
        <v>3202</v>
      </c>
      <c r="C183">
        <v>60</v>
      </c>
      <c r="D183" s="12" t="s">
        <v>24</v>
      </c>
      <c r="E183" s="12" t="s">
        <v>3203</v>
      </c>
      <c r="F183" s="12" t="s">
        <v>161</v>
      </c>
      <c r="G183" s="12" t="s">
        <v>2821</v>
      </c>
      <c r="H183" s="12" t="s">
        <v>73</v>
      </c>
    </row>
    <row r="184" spans="1:8">
      <c r="A184" t="s">
        <v>432</v>
      </c>
      <c r="B184" s="12" t="s">
        <v>3204</v>
      </c>
      <c r="C184">
        <v>23</v>
      </c>
      <c r="D184" s="12" t="s">
        <v>34</v>
      </c>
      <c r="E184" s="12" t="s">
        <v>3205</v>
      </c>
      <c r="F184" s="12" t="s">
        <v>169</v>
      </c>
      <c r="G184" s="12" t="s">
        <v>2821</v>
      </c>
      <c r="H184" s="12" t="s">
        <v>60</v>
      </c>
    </row>
    <row r="185" spans="1:8">
      <c r="A185" t="s">
        <v>392</v>
      </c>
      <c r="B185" s="12" t="s">
        <v>3206</v>
      </c>
      <c r="C185">
        <v>18</v>
      </c>
      <c r="D185" s="12" t="s">
        <v>24</v>
      </c>
      <c r="E185" s="12" t="s">
        <v>3207</v>
      </c>
      <c r="F185" s="12" t="s">
        <v>161</v>
      </c>
      <c r="G185" s="12" t="s">
        <v>2821</v>
      </c>
      <c r="H185" s="12" t="s">
        <v>52</v>
      </c>
    </row>
    <row r="186" spans="1:8">
      <c r="A186" t="s">
        <v>672</v>
      </c>
      <c r="B186" s="12" t="s">
        <v>3208</v>
      </c>
      <c r="C186">
        <v>46</v>
      </c>
      <c r="D186" s="12" t="s">
        <v>34</v>
      </c>
      <c r="E186" s="12" t="s">
        <v>3209</v>
      </c>
      <c r="F186" s="12" t="s">
        <v>188</v>
      </c>
      <c r="G186" s="12" t="s">
        <v>2821</v>
      </c>
      <c r="H186" s="12" t="s">
        <v>60</v>
      </c>
    </row>
    <row r="187" spans="1:8">
      <c r="A187" t="s">
        <v>670</v>
      </c>
      <c r="B187" s="12" t="s">
        <v>3210</v>
      </c>
      <c r="C187">
        <v>54</v>
      </c>
      <c r="D187" s="12" t="s">
        <v>34</v>
      </c>
      <c r="E187" s="12" t="s">
        <v>3211</v>
      </c>
      <c r="F187" s="12" t="s">
        <v>204</v>
      </c>
      <c r="G187" s="12" t="s">
        <v>2821</v>
      </c>
      <c r="H187" s="12" t="s">
        <v>52</v>
      </c>
    </row>
    <row r="188" spans="1:8">
      <c r="A188" t="s">
        <v>177</v>
      </c>
      <c r="B188" s="12" t="s">
        <v>3212</v>
      </c>
      <c r="C188">
        <v>53</v>
      </c>
      <c r="D188" s="12" t="s">
        <v>24</v>
      </c>
      <c r="E188" s="12" t="s">
        <v>3213</v>
      </c>
      <c r="F188" s="12" t="s">
        <v>80</v>
      </c>
      <c r="G188" s="12" t="s">
        <v>2821</v>
      </c>
      <c r="H188" s="12" t="s">
        <v>60</v>
      </c>
    </row>
    <row r="189" spans="1:8">
      <c r="A189" t="s">
        <v>84</v>
      </c>
      <c r="B189" s="12" t="s">
        <v>3214</v>
      </c>
      <c r="C189">
        <v>60</v>
      </c>
      <c r="D189" s="12" t="s">
        <v>34</v>
      </c>
      <c r="E189" s="12" t="s">
        <v>3215</v>
      </c>
      <c r="F189" s="12" t="s">
        <v>59</v>
      </c>
      <c r="G189" s="12" t="s">
        <v>2821</v>
      </c>
      <c r="H189" s="12" t="s">
        <v>52</v>
      </c>
    </row>
    <row r="190" spans="1:8">
      <c r="A190" t="s">
        <v>1220</v>
      </c>
      <c r="B190" s="12" t="s">
        <v>3216</v>
      </c>
      <c r="C190">
        <v>42</v>
      </c>
      <c r="D190" s="12" t="s">
        <v>24</v>
      </c>
      <c r="E190" s="12" t="s">
        <v>3217</v>
      </c>
      <c r="F190" s="12" t="s">
        <v>222</v>
      </c>
      <c r="G190" s="12" t="s">
        <v>2821</v>
      </c>
      <c r="H190" s="12" t="s">
        <v>60</v>
      </c>
    </row>
    <row r="191" spans="1:8">
      <c r="A191" t="s">
        <v>238</v>
      </c>
      <c r="B191" s="12" t="s">
        <v>3218</v>
      </c>
      <c r="C191">
        <v>29</v>
      </c>
      <c r="D191" s="12" t="s">
        <v>24</v>
      </c>
      <c r="E191" s="12" t="s">
        <v>3219</v>
      </c>
      <c r="F191" s="12" t="s">
        <v>239</v>
      </c>
      <c r="G191" s="12" t="s">
        <v>2821</v>
      </c>
      <c r="H191" s="12" t="s">
        <v>26</v>
      </c>
    </row>
    <row r="192" spans="1:8">
      <c r="A192" t="s">
        <v>1551</v>
      </c>
      <c r="B192" s="12" t="s">
        <v>3220</v>
      </c>
      <c r="C192">
        <v>21</v>
      </c>
      <c r="D192" s="12" t="s">
        <v>24</v>
      </c>
      <c r="E192" s="12" t="s">
        <v>3221</v>
      </c>
      <c r="F192" s="12" t="s">
        <v>161</v>
      </c>
      <c r="G192" s="12" t="s">
        <v>2821</v>
      </c>
      <c r="H192" s="12" t="s">
        <v>73</v>
      </c>
    </row>
    <row r="193" spans="1:8">
      <c r="A193" t="s">
        <v>836</v>
      </c>
      <c r="B193" s="12" t="s">
        <v>3222</v>
      </c>
      <c r="C193">
        <v>29</v>
      </c>
      <c r="D193" s="12" t="s">
        <v>34</v>
      </c>
      <c r="E193" s="12" t="s">
        <v>3223</v>
      </c>
      <c r="F193" s="12" t="s">
        <v>308</v>
      </c>
      <c r="G193" s="12" t="s">
        <v>2821</v>
      </c>
      <c r="H193" s="12" t="s">
        <v>73</v>
      </c>
    </row>
    <row r="194" spans="1:8">
      <c r="A194" t="s">
        <v>1383</v>
      </c>
      <c r="B194" s="12" t="s">
        <v>3224</v>
      </c>
      <c r="C194">
        <v>26</v>
      </c>
      <c r="D194" s="12" t="s">
        <v>24</v>
      </c>
      <c r="E194" s="12" t="s">
        <v>3225</v>
      </c>
      <c r="F194" s="12" t="s">
        <v>128</v>
      </c>
      <c r="G194" s="12" t="s">
        <v>2821</v>
      </c>
      <c r="H194" s="12" t="s">
        <v>26</v>
      </c>
    </row>
    <row r="195" spans="1:8">
      <c r="A195" t="s">
        <v>1661</v>
      </c>
      <c r="B195" s="12" t="s">
        <v>3226</v>
      </c>
      <c r="C195">
        <v>38</v>
      </c>
      <c r="D195" s="12" t="s">
        <v>24</v>
      </c>
      <c r="E195" s="12" t="s">
        <v>3227</v>
      </c>
      <c r="F195" s="12" t="s">
        <v>360</v>
      </c>
      <c r="G195" s="12" t="s">
        <v>2821</v>
      </c>
      <c r="H195" s="12" t="s">
        <v>26</v>
      </c>
    </row>
    <row r="196" spans="1:8">
      <c r="A196" t="s">
        <v>1766</v>
      </c>
      <c r="B196" s="12" t="s">
        <v>3228</v>
      </c>
      <c r="C196">
        <v>46</v>
      </c>
      <c r="D196" s="12" t="s">
        <v>24</v>
      </c>
      <c r="E196" s="12" t="s">
        <v>3229</v>
      </c>
      <c r="F196" s="12" t="s">
        <v>44</v>
      </c>
      <c r="G196" s="12" t="s">
        <v>2821</v>
      </c>
      <c r="H196" s="12" t="s">
        <v>26</v>
      </c>
    </row>
    <row r="197" spans="1:8">
      <c r="A197" t="s">
        <v>1618</v>
      </c>
      <c r="B197" s="12" t="s">
        <v>3230</v>
      </c>
      <c r="C197">
        <v>60</v>
      </c>
      <c r="D197" s="12" t="s">
        <v>24</v>
      </c>
      <c r="E197" s="12" t="s">
        <v>3231</v>
      </c>
      <c r="F197" s="12" t="s">
        <v>251</v>
      </c>
      <c r="G197" s="12" t="s">
        <v>2821</v>
      </c>
      <c r="H197" s="12" t="s">
        <v>60</v>
      </c>
    </row>
    <row r="198" spans="1:8">
      <c r="A198" t="s">
        <v>1408</v>
      </c>
      <c r="B198" s="12" t="s">
        <v>3232</v>
      </c>
      <c r="C198">
        <v>18</v>
      </c>
      <c r="D198" s="12" t="s">
        <v>34</v>
      </c>
      <c r="E198" s="12" t="s">
        <v>3233</v>
      </c>
      <c r="F198" s="12" t="s">
        <v>444</v>
      </c>
      <c r="G198" s="12" t="s">
        <v>2821</v>
      </c>
      <c r="H198" s="12" t="s">
        <v>52</v>
      </c>
    </row>
    <row r="199" spans="1:8">
      <c r="A199" t="s">
        <v>1095</v>
      </c>
      <c r="B199" s="12" t="s">
        <v>3234</v>
      </c>
      <c r="C199">
        <v>45</v>
      </c>
      <c r="D199" s="12" t="s">
        <v>34</v>
      </c>
      <c r="E199" s="12" t="s">
        <v>2949</v>
      </c>
      <c r="F199" s="12" t="s">
        <v>510</v>
      </c>
      <c r="G199" s="12" t="s">
        <v>2821</v>
      </c>
      <c r="H199" s="12" t="s">
        <v>52</v>
      </c>
    </row>
    <row r="200" spans="1:8">
      <c r="A200" t="s">
        <v>840</v>
      </c>
      <c r="B200" s="12" t="s">
        <v>3235</v>
      </c>
      <c r="C200">
        <v>54</v>
      </c>
      <c r="D200" s="12" t="s">
        <v>24</v>
      </c>
      <c r="E200" s="12" t="s">
        <v>3236</v>
      </c>
      <c r="F200" s="12" t="s">
        <v>35</v>
      </c>
      <c r="G200" s="12" t="s">
        <v>2821</v>
      </c>
      <c r="H200" s="12" t="s">
        <v>73</v>
      </c>
    </row>
    <row r="201" spans="1:8">
      <c r="A201" t="s">
        <v>682</v>
      </c>
      <c r="B201" s="12" t="s">
        <v>3237</v>
      </c>
      <c r="C201">
        <v>46</v>
      </c>
      <c r="D201" s="12" t="s">
        <v>24</v>
      </c>
      <c r="E201" s="12" t="s">
        <v>3238</v>
      </c>
      <c r="F201" s="12" t="s">
        <v>51</v>
      </c>
      <c r="G201" s="12" t="s">
        <v>2821</v>
      </c>
      <c r="H201" s="12" t="s">
        <v>73</v>
      </c>
    </row>
    <row r="202" spans="1:8">
      <c r="A202" t="s">
        <v>191</v>
      </c>
      <c r="B202" s="12" t="s">
        <v>3239</v>
      </c>
      <c r="C202">
        <v>30</v>
      </c>
      <c r="D202" s="12" t="s">
        <v>24</v>
      </c>
      <c r="E202" s="12" t="s">
        <v>3240</v>
      </c>
      <c r="F202" s="12" t="s">
        <v>193</v>
      </c>
      <c r="G202" s="12" t="s">
        <v>2821</v>
      </c>
      <c r="H202" s="12" t="s">
        <v>52</v>
      </c>
    </row>
    <row r="203" spans="1:8">
      <c r="A203" t="s">
        <v>513</v>
      </c>
      <c r="B203" s="12" t="s">
        <v>3241</v>
      </c>
      <c r="C203">
        <v>25</v>
      </c>
      <c r="D203" s="12" t="s">
        <v>34</v>
      </c>
      <c r="E203" s="12" t="s">
        <v>3242</v>
      </c>
      <c r="F203" s="12" t="s">
        <v>209</v>
      </c>
      <c r="G203" s="12" t="s">
        <v>2821</v>
      </c>
      <c r="H203" s="12" t="s">
        <v>73</v>
      </c>
    </row>
    <row r="204" spans="1:8">
      <c r="A204" t="s">
        <v>1269</v>
      </c>
      <c r="B204" s="12" t="s">
        <v>3243</v>
      </c>
      <c r="C204">
        <v>37</v>
      </c>
      <c r="D204" s="12" t="s">
        <v>34</v>
      </c>
      <c r="E204" s="12" t="s">
        <v>3244</v>
      </c>
      <c r="F204" s="12" t="s">
        <v>333</v>
      </c>
      <c r="G204" s="12" t="s">
        <v>2821</v>
      </c>
      <c r="H204" s="12" t="s">
        <v>52</v>
      </c>
    </row>
    <row r="205" spans="1:8">
      <c r="A205" t="s">
        <v>262</v>
      </c>
      <c r="B205" s="12" t="s">
        <v>3245</v>
      </c>
      <c r="C205">
        <v>47</v>
      </c>
      <c r="D205" s="12" t="s">
        <v>24</v>
      </c>
      <c r="E205" s="12" t="s">
        <v>3246</v>
      </c>
      <c r="F205" s="12" t="s">
        <v>106</v>
      </c>
      <c r="G205" s="12" t="s">
        <v>2821</v>
      </c>
      <c r="H205" s="12" t="s">
        <v>52</v>
      </c>
    </row>
    <row r="206" spans="1:8">
      <c r="A206" t="s">
        <v>1193</v>
      </c>
      <c r="B206" s="12" t="s">
        <v>3247</v>
      </c>
      <c r="C206">
        <v>52</v>
      </c>
      <c r="D206" s="12" t="s">
        <v>24</v>
      </c>
      <c r="E206" s="12" t="s">
        <v>3248</v>
      </c>
      <c r="F206" s="12" t="s">
        <v>498</v>
      </c>
      <c r="G206" s="12" t="s">
        <v>2821</v>
      </c>
      <c r="H206" s="12" t="s">
        <v>52</v>
      </c>
    </row>
    <row r="207" spans="1:8">
      <c r="A207" t="s">
        <v>1075</v>
      </c>
      <c r="B207" s="12" t="s">
        <v>3249</v>
      </c>
      <c r="C207">
        <v>44</v>
      </c>
      <c r="D207" s="12" t="s">
        <v>34</v>
      </c>
      <c r="E207" s="12" t="s">
        <v>3250</v>
      </c>
      <c r="F207" s="12" t="s">
        <v>204</v>
      </c>
      <c r="G207" s="12" t="s">
        <v>2821</v>
      </c>
      <c r="H207" s="12" t="s">
        <v>26</v>
      </c>
    </row>
    <row r="208" spans="1:8">
      <c r="A208" t="s">
        <v>989</v>
      </c>
      <c r="B208" s="12" t="s">
        <v>3251</v>
      </c>
      <c r="C208">
        <v>26</v>
      </c>
      <c r="D208" s="12" t="s">
        <v>34</v>
      </c>
      <c r="E208" s="12" t="s">
        <v>3252</v>
      </c>
      <c r="F208" s="12" t="s">
        <v>51</v>
      </c>
      <c r="G208" s="12" t="s">
        <v>2821</v>
      </c>
      <c r="H208" s="12" t="s">
        <v>60</v>
      </c>
    </row>
    <row r="209" spans="1:8">
      <c r="A209" t="s">
        <v>2346</v>
      </c>
      <c r="B209" s="12" t="s">
        <v>3253</v>
      </c>
      <c r="C209">
        <v>28</v>
      </c>
      <c r="D209" s="12" t="s">
        <v>34</v>
      </c>
      <c r="E209" s="12" t="s">
        <v>3254</v>
      </c>
      <c r="F209" s="12" t="s">
        <v>204</v>
      </c>
      <c r="G209" s="12" t="s">
        <v>2821</v>
      </c>
      <c r="H209" s="12" t="s">
        <v>73</v>
      </c>
    </row>
    <row r="210" spans="1:8">
      <c r="A210" t="s">
        <v>968</v>
      </c>
      <c r="B210" s="12" t="s">
        <v>3255</v>
      </c>
      <c r="C210">
        <v>54</v>
      </c>
      <c r="D210" s="12" t="s">
        <v>24</v>
      </c>
      <c r="E210" s="12" t="s">
        <v>3256</v>
      </c>
      <c r="F210" s="12" t="s">
        <v>378</v>
      </c>
      <c r="G210" s="12" t="s">
        <v>2821</v>
      </c>
      <c r="H210" s="12" t="s">
        <v>52</v>
      </c>
    </row>
    <row r="211" spans="1:8">
      <c r="A211" t="s">
        <v>771</v>
      </c>
      <c r="B211" s="12" t="s">
        <v>3257</v>
      </c>
      <c r="C211">
        <v>50</v>
      </c>
      <c r="D211" s="12" t="s">
        <v>34</v>
      </c>
      <c r="E211" s="12" t="s">
        <v>3258</v>
      </c>
      <c r="F211" s="12" t="s">
        <v>193</v>
      </c>
      <c r="G211" s="12" t="s">
        <v>2821</v>
      </c>
      <c r="H211" s="12" t="s">
        <v>52</v>
      </c>
    </row>
    <row r="212" spans="1:8">
      <c r="A212" t="s">
        <v>934</v>
      </c>
      <c r="B212" s="12" t="s">
        <v>3259</v>
      </c>
      <c r="C212">
        <v>48</v>
      </c>
      <c r="D212" s="12" t="s">
        <v>24</v>
      </c>
      <c r="E212" s="12" t="s">
        <v>3260</v>
      </c>
      <c r="F212" s="12" t="s">
        <v>360</v>
      </c>
      <c r="G212" s="12" t="s">
        <v>2821</v>
      </c>
      <c r="H212" s="12" t="s">
        <v>60</v>
      </c>
    </row>
    <row r="213" spans="1:8">
      <c r="A213" t="s">
        <v>833</v>
      </c>
      <c r="B213" s="12" t="s">
        <v>3261</v>
      </c>
      <c r="C213">
        <v>20</v>
      </c>
      <c r="D213" s="12" t="s">
        <v>34</v>
      </c>
      <c r="E213" s="12" t="s">
        <v>3262</v>
      </c>
      <c r="F213" s="12" t="s">
        <v>373</v>
      </c>
      <c r="G213" s="12" t="s">
        <v>2821</v>
      </c>
      <c r="H213" s="12" t="s">
        <v>60</v>
      </c>
    </row>
    <row r="214" spans="1:8">
      <c r="A214" t="s">
        <v>1143</v>
      </c>
      <c r="B214" s="12" t="s">
        <v>3263</v>
      </c>
      <c r="C214">
        <v>63</v>
      </c>
      <c r="D214" s="12" t="s">
        <v>34</v>
      </c>
      <c r="E214" s="12" t="s">
        <v>3264</v>
      </c>
      <c r="F214" s="12" t="s">
        <v>91</v>
      </c>
      <c r="G214" s="12" t="s">
        <v>2821</v>
      </c>
      <c r="H214" s="12" t="s">
        <v>52</v>
      </c>
    </row>
    <row r="215" spans="1:8">
      <c r="A215" t="s">
        <v>186</v>
      </c>
      <c r="B215" s="12" t="s">
        <v>3265</v>
      </c>
      <c r="C215">
        <v>42</v>
      </c>
      <c r="D215" s="12" t="s">
        <v>34</v>
      </c>
      <c r="E215" s="12" t="s">
        <v>3266</v>
      </c>
      <c r="F215" s="12" t="s">
        <v>188</v>
      </c>
      <c r="G215" s="12" t="s">
        <v>2821</v>
      </c>
      <c r="H215" s="12" t="s">
        <v>52</v>
      </c>
    </row>
    <row r="216" spans="1:8">
      <c r="A216" t="s">
        <v>447</v>
      </c>
      <c r="B216" s="12" t="s">
        <v>3267</v>
      </c>
      <c r="C216">
        <v>61</v>
      </c>
      <c r="D216" s="12" t="s">
        <v>24</v>
      </c>
      <c r="E216" s="12" t="s">
        <v>3268</v>
      </c>
      <c r="F216" s="12" t="s">
        <v>111</v>
      </c>
      <c r="G216" s="12" t="s">
        <v>2821</v>
      </c>
      <c r="H216" s="12" t="s">
        <v>26</v>
      </c>
    </row>
    <row r="217" spans="1:8">
      <c r="A217" t="s">
        <v>1071</v>
      </c>
      <c r="B217" s="12" t="s">
        <v>3269</v>
      </c>
      <c r="C217">
        <v>50</v>
      </c>
      <c r="D217" s="12" t="s">
        <v>34</v>
      </c>
      <c r="E217" s="12" t="s">
        <v>3270</v>
      </c>
      <c r="F217" s="12" t="s">
        <v>609</v>
      </c>
      <c r="G217" s="12" t="s">
        <v>2821</v>
      </c>
      <c r="H217" s="12" t="s">
        <v>26</v>
      </c>
    </row>
    <row r="218" spans="1:8">
      <c r="A218" t="s">
        <v>725</v>
      </c>
      <c r="B218" s="12" t="s">
        <v>3271</v>
      </c>
      <c r="C218">
        <v>44</v>
      </c>
      <c r="D218" s="12" t="s">
        <v>24</v>
      </c>
      <c r="E218" s="12" t="s">
        <v>3272</v>
      </c>
      <c r="F218" s="12" t="s">
        <v>227</v>
      </c>
      <c r="G218" s="12" t="s">
        <v>2821</v>
      </c>
      <c r="H218" s="12" t="s">
        <v>52</v>
      </c>
    </row>
    <row r="219" spans="1:8">
      <c r="A219" t="s">
        <v>2349</v>
      </c>
      <c r="B219" s="12" t="s">
        <v>3273</v>
      </c>
      <c r="C219">
        <v>42</v>
      </c>
      <c r="D219" s="12" t="s">
        <v>24</v>
      </c>
      <c r="E219" s="12" t="s">
        <v>3274</v>
      </c>
      <c r="F219" s="12" t="s">
        <v>80</v>
      </c>
      <c r="G219" s="12" t="s">
        <v>2821</v>
      </c>
      <c r="H219" s="12" t="s">
        <v>60</v>
      </c>
    </row>
    <row r="220" spans="1:8">
      <c r="A220" t="s">
        <v>225</v>
      </c>
      <c r="B220" s="12" t="s">
        <v>3275</v>
      </c>
      <c r="C220">
        <v>46</v>
      </c>
      <c r="D220" s="12" t="s">
        <v>24</v>
      </c>
      <c r="E220" s="12" t="s">
        <v>3276</v>
      </c>
      <c r="F220" s="12" t="s">
        <v>227</v>
      </c>
      <c r="G220" s="12" t="s">
        <v>2821</v>
      </c>
      <c r="H220" s="12" t="s">
        <v>52</v>
      </c>
    </row>
    <row r="221" spans="1:8">
      <c r="A221" t="s">
        <v>785</v>
      </c>
      <c r="B221" s="12" t="s">
        <v>3277</v>
      </c>
      <c r="C221">
        <v>47</v>
      </c>
      <c r="D221" s="12" t="s">
        <v>34</v>
      </c>
      <c r="E221" s="12" t="s">
        <v>3278</v>
      </c>
      <c r="F221" s="12" t="s">
        <v>204</v>
      </c>
      <c r="G221" s="12" t="s">
        <v>2821</v>
      </c>
      <c r="H221" s="12" t="s">
        <v>26</v>
      </c>
    </row>
    <row r="222" spans="1:8">
      <c r="A222" t="s">
        <v>855</v>
      </c>
      <c r="B222" s="12" t="s">
        <v>3279</v>
      </c>
      <c r="C222">
        <v>50</v>
      </c>
      <c r="D222" s="12" t="s">
        <v>34</v>
      </c>
      <c r="E222" s="12" t="s">
        <v>3280</v>
      </c>
      <c r="F222" s="12" t="s">
        <v>463</v>
      </c>
      <c r="G222" s="12" t="s">
        <v>3187</v>
      </c>
      <c r="H222" s="12" t="s">
        <v>73</v>
      </c>
    </row>
    <row r="223" spans="1:8">
      <c r="A223" t="s">
        <v>358</v>
      </c>
      <c r="B223" s="12" t="s">
        <v>3281</v>
      </c>
      <c r="C223">
        <v>38</v>
      </c>
      <c r="D223" s="12" t="s">
        <v>24</v>
      </c>
      <c r="E223" s="12" t="s">
        <v>3282</v>
      </c>
      <c r="F223" s="12" t="s">
        <v>360</v>
      </c>
      <c r="G223" s="12" t="s">
        <v>2821</v>
      </c>
      <c r="H223" s="12" t="s">
        <v>52</v>
      </c>
    </row>
    <row r="224" spans="1:8">
      <c r="A224" t="s">
        <v>904</v>
      </c>
      <c r="B224" s="12" t="s">
        <v>3283</v>
      </c>
      <c r="C224">
        <v>35</v>
      </c>
      <c r="D224" s="12" t="s">
        <v>24</v>
      </c>
      <c r="E224" s="12" t="s">
        <v>3284</v>
      </c>
      <c r="F224" s="12" t="s">
        <v>222</v>
      </c>
      <c r="G224" s="12" t="s">
        <v>2821</v>
      </c>
      <c r="H224" s="12" t="s">
        <v>52</v>
      </c>
    </row>
    <row r="225" spans="1:8">
      <c r="A225" t="s">
        <v>1118</v>
      </c>
      <c r="B225" s="12" t="s">
        <v>3285</v>
      </c>
      <c r="C225">
        <v>50</v>
      </c>
      <c r="D225" s="12" t="s">
        <v>24</v>
      </c>
      <c r="E225" s="12" t="s">
        <v>3286</v>
      </c>
      <c r="F225" s="12" t="s">
        <v>106</v>
      </c>
      <c r="G225" s="12" t="s">
        <v>2821</v>
      </c>
      <c r="H225" s="12" t="s">
        <v>52</v>
      </c>
    </row>
    <row r="226" spans="1:8">
      <c r="A226" t="s">
        <v>830</v>
      </c>
      <c r="B226" s="12" t="s">
        <v>3287</v>
      </c>
      <c r="C226">
        <v>29</v>
      </c>
      <c r="D226" s="12" t="s">
        <v>24</v>
      </c>
      <c r="E226" s="12" t="s">
        <v>3288</v>
      </c>
      <c r="F226" s="12" t="s">
        <v>80</v>
      </c>
      <c r="G226" s="12" t="s">
        <v>2821</v>
      </c>
      <c r="H226" s="12" t="s">
        <v>60</v>
      </c>
    </row>
    <row r="227" spans="1:8">
      <c r="A227" t="s">
        <v>817</v>
      </c>
      <c r="B227" s="12" t="s">
        <v>3289</v>
      </c>
      <c r="C227">
        <v>46</v>
      </c>
      <c r="D227" s="12" t="s">
        <v>34</v>
      </c>
      <c r="E227" s="12" t="s">
        <v>3290</v>
      </c>
      <c r="F227" s="12" t="s">
        <v>410</v>
      </c>
      <c r="G227" s="12" t="s">
        <v>2821</v>
      </c>
      <c r="H227" s="12" t="s">
        <v>52</v>
      </c>
    </row>
    <row r="228" spans="1:8">
      <c r="A228" t="s">
        <v>2263</v>
      </c>
      <c r="B228" s="12" t="s">
        <v>3291</v>
      </c>
      <c r="C228">
        <v>54</v>
      </c>
      <c r="D228" s="12" t="s">
        <v>24</v>
      </c>
      <c r="E228" s="12" t="s">
        <v>2955</v>
      </c>
      <c r="F228" s="12" t="s">
        <v>444</v>
      </c>
      <c r="G228" s="12" t="s">
        <v>2821</v>
      </c>
      <c r="H228" s="12" t="s">
        <v>26</v>
      </c>
    </row>
    <row r="229" spans="1:8">
      <c r="A229" t="s">
        <v>2175</v>
      </c>
      <c r="B229" s="12" t="s">
        <v>3292</v>
      </c>
      <c r="C229">
        <v>63</v>
      </c>
      <c r="D229" s="12" t="s">
        <v>34</v>
      </c>
      <c r="E229" s="12" t="s">
        <v>3293</v>
      </c>
      <c r="F229" s="12" t="s">
        <v>333</v>
      </c>
      <c r="G229" s="12" t="s">
        <v>2821</v>
      </c>
      <c r="H229" s="12" t="s">
        <v>26</v>
      </c>
    </row>
    <row r="230" spans="1:8">
      <c r="A230" t="s">
        <v>1172</v>
      </c>
      <c r="B230" s="12" t="s">
        <v>3294</v>
      </c>
      <c r="C230">
        <v>52</v>
      </c>
      <c r="D230" s="12" t="s">
        <v>34</v>
      </c>
      <c r="E230" s="12" t="s">
        <v>3066</v>
      </c>
      <c r="F230" s="12" t="s">
        <v>410</v>
      </c>
      <c r="G230" s="12" t="s">
        <v>2821</v>
      </c>
      <c r="H230" s="12" t="s">
        <v>26</v>
      </c>
    </row>
    <row r="231" spans="1:8">
      <c r="A231" t="s">
        <v>1073</v>
      </c>
      <c r="B231" s="12" t="s">
        <v>3295</v>
      </c>
      <c r="C231">
        <v>32</v>
      </c>
      <c r="D231" s="12" t="s">
        <v>34</v>
      </c>
      <c r="E231" s="12" t="s">
        <v>3296</v>
      </c>
      <c r="F231" s="12" t="s">
        <v>336</v>
      </c>
      <c r="G231" s="12" t="s">
        <v>2821</v>
      </c>
      <c r="H231" s="12" t="s">
        <v>73</v>
      </c>
    </row>
    <row r="232" spans="1:8">
      <c r="A232" t="s">
        <v>1545</v>
      </c>
      <c r="B232" s="12" t="s">
        <v>3297</v>
      </c>
      <c r="C232">
        <v>29</v>
      </c>
      <c r="D232" s="12" t="s">
        <v>24</v>
      </c>
      <c r="E232" s="12" t="s">
        <v>3298</v>
      </c>
      <c r="F232" s="12" t="s">
        <v>235</v>
      </c>
      <c r="G232" s="12" t="s">
        <v>2821</v>
      </c>
      <c r="H232" s="12" t="s">
        <v>73</v>
      </c>
    </row>
    <row r="233" spans="1:8">
      <c r="A233" t="s">
        <v>474</v>
      </c>
      <c r="B233" s="12" t="s">
        <v>3299</v>
      </c>
      <c r="C233">
        <v>22</v>
      </c>
      <c r="D233" s="12" t="s">
        <v>34</v>
      </c>
      <c r="E233" s="12" t="s">
        <v>3300</v>
      </c>
      <c r="F233" s="12" t="s">
        <v>457</v>
      </c>
      <c r="G233" s="12" t="s">
        <v>2821</v>
      </c>
      <c r="H233" s="12" t="s">
        <v>73</v>
      </c>
    </row>
    <row r="234" spans="1:8">
      <c r="A234" t="s">
        <v>1125</v>
      </c>
      <c r="B234" s="12" t="s">
        <v>3301</v>
      </c>
      <c r="C234">
        <v>27</v>
      </c>
      <c r="D234" s="12" t="s">
        <v>34</v>
      </c>
      <c r="E234" s="12" t="s">
        <v>3302</v>
      </c>
      <c r="F234" s="12" t="s">
        <v>204</v>
      </c>
      <c r="G234" s="12" t="s">
        <v>2821</v>
      </c>
      <c r="H234" s="12" t="s">
        <v>52</v>
      </c>
    </row>
    <row r="235" spans="1:8">
      <c r="A235" t="s">
        <v>1161</v>
      </c>
      <c r="B235" s="12" t="s">
        <v>3303</v>
      </c>
      <c r="C235">
        <v>59</v>
      </c>
      <c r="D235" s="12" t="s">
        <v>24</v>
      </c>
      <c r="E235" s="12" t="s">
        <v>3304</v>
      </c>
      <c r="F235" s="12" t="s">
        <v>356</v>
      </c>
      <c r="G235" s="12" t="s">
        <v>2821</v>
      </c>
      <c r="H235" s="12" t="s">
        <v>60</v>
      </c>
    </row>
    <row r="236" spans="1:8">
      <c r="A236" t="s">
        <v>880</v>
      </c>
      <c r="B236" s="12" t="s">
        <v>3305</v>
      </c>
      <c r="C236">
        <v>43</v>
      </c>
      <c r="D236" s="12" t="s">
        <v>34</v>
      </c>
      <c r="E236" s="12" t="s">
        <v>3306</v>
      </c>
      <c r="F236" s="12" t="s">
        <v>333</v>
      </c>
      <c r="G236" s="12" t="s">
        <v>2821</v>
      </c>
      <c r="H236" s="12" t="s">
        <v>26</v>
      </c>
    </row>
    <row r="237" spans="1:8">
      <c r="A237" t="s">
        <v>1190</v>
      </c>
      <c r="B237" s="12" t="s">
        <v>3307</v>
      </c>
      <c r="C237">
        <v>28</v>
      </c>
      <c r="D237" s="12" t="s">
        <v>34</v>
      </c>
      <c r="E237" s="12" t="s">
        <v>3308</v>
      </c>
      <c r="F237" s="12" t="s">
        <v>373</v>
      </c>
      <c r="G237" s="12" t="s">
        <v>2821</v>
      </c>
      <c r="H237" s="12" t="s">
        <v>73</v>
      </c>
    </row>
    <row r="238" spans="1:8">
      <c r="A238" t="s">
        <v>2250</v>
      </c>
      <c r="B238" s="12" t="s">
        <v>3309</v>
      </c>
      <c r="C238">
        <v>42</v>
      </c>
      <c r="D238" s="12" t="s">
        <v>34</v>
      </c>
      <c r="E238" s="12" t="s">
        <v>3310</v>
      </c>
      <c r="F238" s="12" t="s">
        <v>498</v>
      </c>
      <c r="G238" s="12" t="s">
        <v>2821</v>
      </c>
      <c r="H238" s="12" t="s">
        <v>73</v>
      </c>
    </row>
    <row r="239" spans="1:8">
      <c r="A239" t="s">
        <v>109</v>
      </c>
      <c r="B239" s="12" t="s">
        <v>3311</v>
      </c>
      <c r="C239">
        <v>41</v>
      </c>
      <c r="D239" s="12" t="s">
        <v>34</v>
      </c>
      <c r="E239" s="12" t="s">
        <v>3312</v>
      </c>
      <c r="F239" s="12" t="s">
        <v>111</v>
      </c>
      <c r="G239" s="12" t="s">
        <v>2821</v>
      </c>
      <c r="H239" s="12" t="s">
        <v>26</v>
      </c>
    </row>
    <row r="240" spans="1:8">
      <c r="A240" t="s">
        <v>2253</v>
      </c>
      <c r="B240" s="12" t="s">
        <v>3313</v>
      </c>
      <c r="C240">
        <v>40</v>
      </c>
      <c r="D240" s="12" t="s">
        <v>24</v>
      </c>
      <c r="E240" s="12" t="s">
        <v>3314</v>
      </c>
      <c r="F240" s="12" t="s">
        <v>356</v>
      </c>
      <c r="G240" s="12" t="s">
        <v>2821</v>
      </c>
      <c r="H240" s="12" t="s">
        <v>52</v>
      </c>
    </row>
    <row r="241" spans="1:8">
      <c r="A241" t="s">
        <v>147</v>
      </c>
      <c r="B241" s="12" t="s">
        <v>3315</v>
      </c>
      <c r="C241">
        <v>58</v>
      </c>
      <c r="D241" s="12" t="s">
        <v>34</v>
      </c>
      <c r="E241" s="12" t="s">
        <v>3316</v>
      </c>
      <c r="F241" s="12" t="s">
        <v>99</v>
      </c>
      <c r="G241" s="12" t="s">
        <v>2821</v>
      </c>
      <c r="H241" s="12" t="s">
        <v>52</v>
      </c>
    </row>
    <row r="242" spans="1:8">
      <c r="A242" t="s">
        <v>750</v>
      </c>
      <c r="B242" s="12" t="s">
        <v>3317</v>
      </c>
      <c r="C242">
        <v>59</v>
      </c>
      <c r="D242" s="12" t="s">
        <v>34</v>
      </c>
      <c r="E242" s="12" t="s">
        <v>3318</v>
      </c>
      <c r="F242" s="12" t="s">
        <v>209</v>
      </c>
      <c r="G242" s="12" t="s">
        <v>2821</v>
      </c>
      <c r="H242" s="12" t="s">
        <v>52</v>
      </c>
    </row>
    <row r="243" spans="1:8">
      <c r="A243" t="s">
        <v>926</v>
      </c>
      <c r="B243" s="12" t="s">
        <v>3319</v>
      </c>
      <c r="C243">
        <v>31</v>
      </c>
      <c r="D243" s="12" t="s">
        <v>24</v>
      </c>
      <c r="E243" s="12" t="s">
        <v>3320</v>
      </c>
      <c r="F243" s="12" t="s">
        <v>498</v>
      </c>
      <c r="G243" s="12" t="s">
        <v>2821</v>
      </c>
      <c r="H243" s="12" t="s">
        <v>52</v>
      </c>
    </row>
    <row r="244" spans="1:8">
      <c r="A244" t="s">
        <v>1248</v>
      </c>
      <c r="B244" s="12" t="s">
        <v>3321</v>
      </c>
      <c r="C244">
        <v>58</v>
      </c>
      <c r="D244" s="12" t="s">
        <v>34</v>
      </c>
      <c r="E244" s="12" t="s">
        <v>3322</v>
      </c>
      <c r="F244" s="12" t="s">
        <v>440</v>
      </c>
      <c r="G244" s="12" t="s">
        <v>2821</v>
      </c>
      <c r="H244" s="12" t="s">
        <v>60</v>
      </c>
    </row>
    <row r="245" spans="1:8">
      <c r="A245" t="s">
        <v>552</v>
      </c>
      <c r="B245" s="12" t="s">
        <v>3323</v>
      </c>
      <c r="C245">
        <v>56</v>
      </c>
      <c r="D245" s="12" t="s">
        <v>34</v>
      </c>
      <c r="E245" s="12" t="s">
        <v>3324</v>
      </c>
      <c r="F245" s="12" t="s">
        <v>118</v>
      </c>
      <c r="G245" s="12" t="s">
        <v>2821</v>
      </c>
      <c r="H245" s="12" t="s">
        <v>26</v>
      </c>
    </row>
    <row r="246" spans="1:8">
      <c r="A246" t="s">
        <v>408</v>
      </c>
      <c r="B246" s="12" t="s">
        <v>3325</v>
      </c>
      <c r="C246">
        <v>19</v>
      </c>
      <c r="D246" s="12" t="s">
        <v>24</v>
      </c>
      <c r="E246" s="12" t="s">
        <v>3326</v>
      </c>
      <c r="F246" s="12" t="s">
        <v>410</v>
      </c>
      <c r="G246" s="12" t="s">
        <v>2821</v>
      </c>
      <c r="H246" s="12" t="s">
        <v>73</v>
      </c>
    </row>
    <row r="247" spans="1:8">
      <c r="A247" t="s">
        <v>1685</v>
      </c>
      <c r="B247" s="12" t="s">
        <v>3327</v>
      </c>
      <c r="C247">
        <v>57</v>
      </c>
      <c r="D247" s="12" t="s">
        <v>34</v>
      </c>
      <c r="E247" s="12" t="s">
        <v>3328</v>
      </c>
      <c r="F247" s="12" t="s">
        <v>209</v>
      </c>
      <c r="G247" s="12" t="s">
        <v>2821</v>
      </c>
      <c r="H247" s="12" t="s">
        <v>52</v>
      </c>
    </row>
    <row r="248" spans="1:8">
      <c r="A248" t="s">
        <v>689</v>
      </c>
      <c r="B248" s="12" t="s">
        <v>3329</v>
      </c>
      <c r="C248">
        <v>58</v>
      </c>
      <c r="D248" s="12" t="s">
        <v>24</v>
      </c>
      <c r="E248" s="12" t="s">
        <v>3330</v>
      </c>
      <c r="F248" s="12" t="s">
        <v>140</v>
      </c>
      <c r="G248" s="12" t="s">
        <v>2821</v>
      </c>
      <c r="H248" s="12" t="s">
        <v>73</v>
      </c>
    </row>
    <row r="249" spans="1:8">
      <c r="A249" t="s">
        <v>1495</v>
      </c>
      <c r="B249" s="12" t="s">
        <v>3331</v>
      </c>
      <c r="C249">
        <v>32</v>
      </c>
      <c r="D249" s="12" t="s">
        <v>24</v>
      </c>
      <c r="E249" s="12" t="s">
        <v>3332</v>
      </c>
      <c r="F249" s="12" t="s">
        <v>214</v>
      </c>
      <c r="G249" s="12" t="s">
        <v>2821</v>
      </c>
      <c r="H249" s="12" t="s">
        <v>52</v>
      </c>
    </row>
    <row r="250" spans="1:8">
      <c r="A250" t="s">
        <v>763</v>
      </c>
      <c r="B250" s="12" t="s">
        <v>3333</v>
      </c>
      <c r="C250">
        <v>19</v>
      </c>
      <c r="D250" s="12" t="s">
        <v>24</v>
      </c>
      <c r="E250" s="12" t="s">
        <v>3334</v>
      </c>
      <c r="F250" s="12" t="s">
        <v>99</v>
      </c>
      <c r="G250" s="12" t="s">
        <v>2821</v>
      </c>
      <c r="H250" s="12" t="s">
        <v>26</v>
      </c>
    </row>
    <row r="251" spans="1:8">
      <c r="A251" t="s">
        <v>1734</v>
      </c>
      <c r="B251" s="12" t="s">
        <v>3335</v>
      </c>
      <c r="C251">
        <v>41</v>
      </c>
      <c r="D251" s="12" t="s">
        <v>34</v>
      </c>
      <c r="E251" s="12" t="s">
        <v>3336</v>
      </c>
      <c r="F251" s="12" t="s">
        <v>161</v>
      </c>
      <c r="G251" s="12" t="s">
        <v>2821</v>
      </c>
      <c r="H251" s="12" t="s">
        <v>26</v>
      </c>
    </row>
    <row r="252" spans="1:8">
      <c r="A252" t="s">
        <v>2310</v>
      </c>
      <c r="B252" s="12" t="s">
        <v>3337</v>
      </c>
      <c r="C252">
        <v>48</v>
      </c>
      <c r="D252" s="12" t="s">
        <v>24</v>
      </c>
      <c r="E252" s="12" t="s">
        <v>3338</v>
      </c>
      <c r="F252" s="12" t="s">
        <v>373</v>
      </c>
      <c r="G252" s="12" t="s">
        <v>2821</v>
      </c>
      <c r="H252" s="12" t="s">
        <v>52</v>
      </c>
    </row>
    <row r="253" spans="1:8">
      <c r="A253" t="s">
        <v>890</v>
      </c>
      <c r="B253" s="12" t="s">
        <v>3339</v>
      </c>
      <c r="C253">
        <v>64</v>
      </c>
      <c r="D253" s="12" t="s">
        <v>24</v>
      </c>
      <c r="E253" s="12" t="s">
        <v>3340</v>
      </c>
      <c r="F253" s="12" t="s">
        <v>59</v>
      </c>
      <c r="G253" s="12" t="s">
        <v>2821</v>
      </c>
      <c r="H253" s="12" t="s">
        <v>60</v>
      </c>
    </row>
    <row r="254" spans="1:8">
      <c r="A254" t="s">
        <v>2578</v>
      </c>
      <c r="B254" s="12" t="s">
        <v>3341</v>
      </c>
      <c r="C254">
        <v>26</v>
      </c>
      <c r="D254" s="12" t="s">
        <v>24</v>
      </c>
      <c r="E254" s="12" t="s">
        <v>3342</v>
      </c>
      <c r="F254" s="12" t="s">
        <v>345</v>
      </c>
      <c r="G254" s="12" t="s">
        <v>2821</v>
      </c>
      <c r="H254" s="12" t="s">
        <v>60</v>
      </c>
    </row>
    <row r="255" spans="1:8">
      <c r="A255" t="s">
        <v>367</v>
      </c>
      <c r="B255" s="12" t="s">
        <v>3343</v>
      </c>
      <c r="C255">
        <v>32</v>
      </c>
      <c r="D255" s="12" t="s">
        <v>24</v>
      </c>
      <c r="E255" s="12" t="s">
        <v>3344</v>
      </c>
      <c r="F255" s="12" t="s">
        <v>199</v>
      </c>
      <c r="G255" s="12" t="s">
        <v>2821</v>
      </c>
      <c r="H255" s="12" t="s">
        <v>73</v>
      </c>
    </row>
    <row r="256" spans="1:8">
      <c r="A256" t="s">
        <v>2160</v>
      </c>
      <c r="B256" s="12" t="s">
        <v>3345</v>
      </c>
      <c r="C256">
        <v>34</v>
      </c>
      <c r="D256" s="12" t="s">
        <v>24</v>
      </c>
      <c r="E256" s="12" t="s">
        <v>3346</v>
      </c>
      <c r="F256" s="12" t="s">
        <v>444</v>
      </c>
      <c r="G256" s="12" t="s">
        <v>2821</v>
      </c>
      <c r="H256" s="12" t="s">
        <v>60</v>
      </c>
    </row>
    <row r="257" spans="1:8">
      <c r="A257" t="s">
        <v>322</v>
      </c>
      <c r="B257" s="12" t="s">
        <v>3347</v>
      </c>
      <c r="C257">
        <v>21</v>
      </c>
      <c r="D257" s="12" t="s">
        <v>24</v>
      </c>
      <c r="E257" s="12" t="s">
        <v>3348</v>
      </c>
      <c r="F257" s="12" t="s">
        <v>308</v>
      </c>
      <c r="G257" s="12" t="s">
        <v>2821</v>
      </c>
      <c r="H257" s="12" t="s">
        <v>26</v>
      </c>
    </row>
    <row r="258" spans="1:8">
      <c r="A258" t="s">
        <v>593</v>
      </c>
      <c r="B258" s="12" t="s">
        <v>3349</v>
      </c>
      <c r="C258">
        <v>57</v>
      </c>
      <c r="D258" s="12" t="s">
        <v>24</v>
      </c>
      <c r="E258" s="12" t="s">
        <v>3350</v>
      </c>
      <c r="F258" s="12" t="s">
        <v>140</v>
      </c>
      <c r="G258" s="12" t="s">
        <v>2821</v>
      </c>
      <c r="H258" s="12" t="s">
        <v>52</v>
      </c>
    </row>
    <row r="259" spans="1:8">
      <c r="A259" t="s">
        <v>461</v>
      </c>
      <c r="B259" s="12" t="s">
        <v>3351</v>
      </c>
      <c r="C259">
        <v>42</v>
      </c>
      <c r="D259" s="12" t="s">
        <v>24</v>
      </c>
      <c r="E259" s="12" t="s">
        <v>3352</v>
      </c>
      <c r="F259" s="12" t="s">
        <v>463</v>
      </c>
      <c r="G259" s="12" t="s">
        <v>2821</v>
      </c>
      <c r="H259" s="12" t="s">
        <v>60</v>
      </c>
    </row>
    <row r="260" spans="1:8">
      <c r="A260" t="s">
        <v>2235</v>
      </c>
      <c r="B260" s="12" t="s">
        <v>3353</v>
      </c>
      <c r="C260">
        <v>24</v>
      </c>
      <c r="D260" s="12" t="s">
        <v>34</v>
      </c>
      <c r="E260" s="12" t="s">
        <v>3354</v>
      </c>
      <c r="F260" s="12" t="s">
        <v>118</v>
      </c>
      <c r="G260" s="12" t="s">
        <v>2821</v>
      </c>
      <c r="H260" s="12" t="s">
        <v>52</v>
      </c>
    </row>
    <row r="261" spans="1:8">
      <c r="A261" t="s">
        <v>1591</v>
      </c>
      <c r="B261" s="12" t="s">
        <v>3355</v>
      </c>
      <c r="C261">
        <v>32</v>
      </c>
      <c r="D261" s="12" t="s">
        <v>34</v>
      </c>
      <c r="E261" s="12" t="s">
        <v>3356</v>
      </c>
      <c r="F261" s="12" t="s">
        <v>169</v>
      </c>
      <c r="G261" s="12" t="s">
        <v>2821</v>
      </c>
      <c r="H261" s="12" t="s">
        <v>60</v>
      </c>
    </row>
    <row r="262" spans="1:8">
      <c r="A262" t="s">
        <v>813</v>
      </c>
      <c r="B262" s="12" t="s">
        <v>3357</v>
      </c>
      <c r="C262">
        <v>63</v>
      </c>
      <c r="D262" s="12" t="s">
        <v>34</v>
      </c>
      <c r="E262" s="12" t="s">
        <v>3358</v>
      </c>
      <c r="F262" s="12" t="s">
        <v>251</v>
      </c>
      <c r="G262" s="12" t="s">
        <v>2821</v>
      </c>
      <c r="H262" s="12" t="s">
        <v>52</v>
      </c>
    </row>
    <row r="263" spans="1:8">
      <c r="A263" t="s">
        <v>1165</v>
      </c>
      <c r="B263" s="12" t="s">
        <v>3359</v>
      </c>
      <c r="C263">
        <v>27</v>
      </c>
      <c r="D263" s="12" t="s">
        <v>34</v>
      </c>
      <c r="E263" s="12" t="s">
        <v>3360</v>
      </c>
      <c r="F263" s="12" t="s">
        <v>609</v>
      </c>
      <c r="G263" s="12" t="s">
        <v>2821</v>
      </c>
      <c r="H263" s="12" t="s">
        <v>60</v>
      </c>
    </row>
    <row r="264" spans="1:8">
      <c r="A264" t="s">
        <v>808</v>
      </c>
      <c r="B264" s="12" t="s">
        <v>3361</v>
      </c>
      <c r="C264">
        <v>60</v>
      </c>
      <c r="D264" s="12" t="s">
        <v>34</v>
      </c>
      <c r="E264" s="12" t="s">
        <v>3362</v>
      </c>
      <c r="F264" s="12" t="s">
        <v>111</v>
      </c>
      <c r="G264" s="12" t="s">
        <v>2821</v>
      </c>
      <c r="H264" s="12" t="s">
        <v>60</v>
      </c>
    </row>
    <row r="265" spans="1:8">
      <c r="A265" t="s">
        <v>823</v>
      </c>
      <c r="B265" s="12" t="s">
        <v>3363</v>
      </c>
      <c r="C265">
        <v>50</v>
      </c>
      <c r="D265" s="12" t="s">
        <v>24</v>
      </c>
      <c r="E265" s="12" t="s">
        <v>3364</v>
      </c>
      <c r="F265" s="12" t="s">
        <v>378</v>
      </c>
      <c r="G265" s="12" t="s">
        <v>2821</v>
      </c>
      <c r="H265" s="12" t="s">
        <v>73</v>
      </c>
    </row>
    <row r="266" spans="1:8">
      <c r="A266" t="s">
        <v>476</v>
      </c>
      <c r="B266" s="12" t="s">
        <v>3365</v>
      </c>
      <c r="C266">
        <v>25</v>
      </c>
      <c r="D266" s="12" t="s">
        <v>24</v>
      </c>
      <c r="E266" s="12" t="s">
        <v>3366</v>
      </c>
      <c r="F266" s="12" t="s">
        <v>25</v>
      </c>
      <c r="G266" s="12" t="s">
        <v>2821</v>
      </c>
      <c r="H266" s="12" t="s">
        <v>26</v>
      </c>
    </row>
    <row r="267" spans="1:8">
      <c r="A267" t="s">
        <v>1081</v>
      </c>
      <c r="B267" s="12" t="s">
        <v>3367</v>
      </c>
      <c r="C267">
        <v>38</v>
      </c>
      <c r="D267" s="12" t="s">
        <v>24</v>
      </c>
      <c r="E267" s="12" t="s">
        <v>3368</v>
      </c>
      <c r="F267" s="12" t="s">
        <v>51</v>
      </c>
      <c r="G267" s="12" t="s">
        <v>2821</v>
      </c>
      <c r="H267" s="12" t="s">
        <v>60</v>
      </c>
    </row>
    <row r="268" spans="1:8">
      <c r="A268" t="s">
        <v>687</v>
      </c>
      <c r="B268" s="12" t="s">
        <v>3369</v>
      </c>
      <c r="C268">
        <v>32</v>
      </c>
      <c r="D268" s="12" t="s">
        <v>34</v>
      </c>
      <c r="E268" s="12" t="s">
        <v>3370</v>
      </c>
      <c r="F268" s="12" t="s">
        <v>239</v>
      </c>
      <c r="G268" s="12" t="s">
        <v>2821</v>
      </c>
      <c r="H268" s="12" t="s">
        <v>73</v>
      </c>
    </row>
    <row r="269" spans="1:8">
      <c r="A269" t="s">
        <v>3371</v>
      </c>
      <c r="B269" s="12" t="s">
        <v>3372</v>
      </c>
      <c r="C269">
        <v>18</v>
      </c>
      <c r="D269" s="12" t="s">
        <v>24</v>
      </c>
      <c r="E269" s="12" t="s">
        <v>3324</v>
      </c>
      <c r="F269" s="12" t="s">
        <v>111</v>
      </c>
      <c r="G269" s="12" t="s">
        <v>2821</v>
      </c>
      <c r="H269" s="12" t="s">
        <v>73</v>
      </c>
    </row>
    <row r="270" spans="1:8">
      <c r="A270" t="s">
        <v>1655</v>
      </c>
      <c r="B270" s="12" t="s">
        <v>3373</v>
      </c>
      <c r="C270">
        <v>53</v>
      </c>
      <c r="D270" s="12" t="s">
        <v>34</v>
      </c>
      <c r="E270" s="12" t="s">
        <v>3374</v>
      </c>
      <c r="F270" s="12" t="s">
        <v>510</v>
      </c>
      <c r="G270" s="12" t="s">
        <v>2821</v>
      </c>
      <c r="H270" s="12" t="s">
        <v>73</v>
      </c>
    </row>
    <row r="271" spans="1:8">
      <c r="A271" t="s">
        <v>326</v>
      </c>
      <c r="B271" s="12" t="s">
        <v>3375</v>
      </c>
      <c r="C271">
        <v>45</v>
      </c>
      <c r="D271" s="12" t="s">
        <v>34</v>
      </c>
      <c r="E271" s="12" t="s">
        <v>3376</v>
      </c>
      <c r="F271" s="12" t="s">
        <v>227</v>
      </c>
      <c r="G271" s="12" t="s">
        <v>2821</v>
      </c>
      <c r="H271" s="12" t="s">
        <v>60</v>
      </c>
    </row>
    <row r="272" spans="1:8">
      <c r="A272" t="s">
        <v>1210</v>
      </c>
      <c r="B272" s="12" t="s">
        <v>3377</v>
      </c>
      <c r="C272">
        <v>31</v>
      </c>
      <c r="D272" s="12" t="s">
        <v>34</v>
      </c>
      <c r="E272" s="12" t="s">
        <v>3378</v>
      </c>
      <c r="F272" s="12" t="s">
        <v>378</v>
      </c>
      <c r="G272" s="12" t="s">
        <v>2821</v>
      </c>
      <c r="H272" s="12" t="s">
        <v>26</v>
      </c>
    </row>
    <row r="273" spans="1:8">
      <c r="A273" t="s">
        <v>1481</v>
      </c>
      <c r="B273" s="12" t="s">
        <v>3379</v>
      </c>
      <c r="C273">
        <v>64</v>
      </c>
      <c r="D273" s="12" t="s">
        <v>24</v>
      </c>
      <c r="E273" s="12" t="s">
        <v>3380</v>
      </c>
      <c r="F273" s="12" t="s">
        <v>761</v>
      </c>
      <c r="G273" s="12" t="s">
        <v>2821</v>
      </c>
      <c r="H273" s="12" t="s">
        <v>52</v>
      </c>
    </row>
    <row r="274" spans="1:8">
      <c r="A274" t="s">
        <v>629</v>
      </c>
      <c r="B274" s="12" t="s">
        <v>3381</v>
      </c>
      <c r="C274">
        <v>48</v>
      </c>
      <c r="D274" s="12" t="s">
        <v>34</v>
      </c>
      <c r="E274" s="12" t="s">
        <v>3382</v>
      </c>
      <c r="F274" s="12" t="s">
        <v>227</v>
      </c>
      <c r="G274" s="12" t="s">
        <v>2821</v>
      </c>
      <c r="H274" s="12" t="s">
        <v>26</v>
      </c>
    </row>
    <row r="275" spans="1:8">
      <c r="A275" t="s">
        <v>349</v>
      </c>
      <c r="B275" s="12" t="s">
        <v>3383</v>
      </c>
      <c r="C275">
        <v>23</v>
      </c>
      <c r="D275" s="12" t="s">
        <v>24</v>
      </c>
      <c r="E275" s="12" t="s">
        <v>3384</v>
      </c>
      <c r="F275" s="12" t="s">
        <v>231</v>
      </c>
      <c r="G275" s="12" t="s">
        <v>2821</v>
      </c>
      <c r="H275" s="12" t="s">
        <v>73</v>
      </c>
    </row>
    <row r="276" spans="1:8">
      <c r="A276" t="s">
        <v>1426</v>
      </c>
      <c r="B276" s="12" t="s">
        <v>3385</v>
      </c>
      <c r="C276">
        <v>38</v>
      </c>
      <c r="D276" s="12" t="s">
        <v>24</v>
      </c>
      <c r="E276" s="12" t="s">
        <v>3386</v>
      </c>
      <c r="F276" s="12" t="s">
        <v>35</v>
      </c>
      <c r="G276" s="12" t="s">
        <v>2821</v>
      </c>
      <c r="H276" s="12" t="s">
        <v>60</v>
      </c>
    </row>
    <row r="277" spans="1:8">
      <c r="A277" t="s">
        <v>712</v>
      </c>
      <c r="B277" s="12" t="s">
        <v>3387</v>
      </c>
      <c r="C277">
        <v>22</v>
      </c>
      <c r="D277" s="12" t="s">
        <v>24</v>
      </c>
      <c r="E277" s="12" t="s">
        <v>3388</v>
      </c>
      <c r="F277" s="12" t="s">
        <v>239</v>
      </c>
      <c r="G277" s="12" t="s">
        <v>2821</v>
      </c>
      <c r="H277" s="12" t="s">
        <v>26</v>
      </c>
    </row>
    <row r="278" spans="1:8">
      <c r="A278" t="s">
        <v>133</v>
      </c>
      <c r="B278" s="12" t="s">
        <v>3389</v>
      </c>
      <c r="C278">
        <v>38</v>
      </c>
      <c r="D278" s="12" t="s">
        <v>24</v>
      </c>
      <c r="E278" s="12" t="s">
        <v>3390</v>
      </c>
      <c r="F278" s="12" t="s">
        <v>99</v>
      </c>
      <c r="G278" s="12" t="s">
        <v>2821</v>
      </c>
      <c r="H278" s="12" t="s">
        <v>26</v>
      </c>
    </row>
    <row r="279" spans="1:8">
      <c r="A279" t="s">
        <v>490</v>
      </c>
      <c r="B279" s="12" t="s">
        <v>3391</v>
      </c>
      <c r="C279">
        <v>22</v>
      </c>
      <c r="D279" s="12" t="s">
        <v>34</v>
      </c>
      <c r="E279" s="12" t="s">
        <v>3392</v>
      </c>
      <c r="F279" s="12" t="s">
        <v>491</v>
      </c>
      <c r="G279" s="12" t="s">
        <v>2821</v>
      </c>
      <c r="H279" s="12" t="s">
        <v>52</v>
      </c>
    </row>
    <row r="280" spans="1:8">
      <c r="A280" t="s">
        <v>1212</v>
      </c>
      <c r="B280" s="12" t="s">
        <v>3393</v>
      </c>
      <c r="C280">
        <v>42</v>
      </c>
      <c r="D280" s="12" t="s">
        <v>34</v>
      </c>
      <c r="E280" s="12" t="s">
        <v>3394</v>
      </c>
      <c r="F280" s="12" t="s">
        <v>67</v>
      </c>
      <c r="G280" s="12" t="s">
        <v>2821</v>
      </c>
      <c r="H280" s="12" t="s">
        <v>52</v>
      </c>
    </row>
    <row r="281" spans="1:8">
      <c r="A281" t="s">
        <v>1612</v>
      </c>
      <c r="B281" s="12" t="s">
        <v>3395</v>
      </c>
      <c r="C281">
        <v>21</v>
      </c>
      <c r="D281" s="12" t="s">
        <v>34</v>
      </c>
      <c r="E281" s="12" t="s">
        <v>3396</v>
      </c>
      <c r="F281" s="12" t="s">
        <v>308</v>
      </c>
      <c r="G281" s="12" t="s">
        <v>2821</v>
      </c>
      <c r="H281" s="12" t="s">
        <v>73</v>
      </c>
    </row>
    <row r="282" spans="1:8">
      <c r="A282" t="s">
        <v>1727</v>
      </c>
      <c r="B282" s="12" t="s">
        <v>3397</v>
      </c>
      <c r="C282">
        <v>48</v>
      </c>
      <c r="D282" s="12" t="s">
        <v>24</v>
      </c>
      <c r="E282" s="12" t="s">
        <v>3398</v>
      </c>
      <c r="F282" s="12" t="s">
        <v>218</v>
      </c>
      <c r="G282" s="12" t="s">
        <v>2821</v>
      </c>
      <c r="H282" s="12" t="s">
        <v>73</v>
      </c>
    </row>
    <row r="283" spans="1:8">
      <c r="A283" t="s">
        <v>1379</v>
      </c>
      <c r="B283" s="12" t="s">
        <v>3399</v>
      </c>
      <c r="C283">
        <v>59</v>
      </c>
      <c r="D283" s="12" t="s">
        <v>24</v>
      </c>
      <c r="E283" s="12" t="s">
        <v>3400</v>
      </c>
      <c r="F283" s="12" t="s">
        <v>440</v>
      </c>
      <c r="G283" s="12" t="s">
        <v>2821</v>
      </c>
      <c r="H283" s="12" t="s">
        <v>52</v>
      </c>
    </row>
    <row r="284" spans="1:8">
      <c r="A284" t="s">
        <v>773</v>
      </c>
      <c r="B284" s="12" t="s">
        <v>3401</v>
      </c>
      <c r="C284">
        <v>46</v>
      </c>
      <c r="D284" s="12" t="s">
        <v>34</v>
      </c>
      <c r="E284" s="12" t="s">
        <v>3402</v>
      </c>
      <c r="F284" s="12" t="s">
        <v>204</v>
      </c>
      <c r="G284" s="12" t="s">
        <v>2821</v>
      </c>
      <c r="H284" s="12" t="s">
        <v>26</v>
      </c>
    </row>
    <row r="285" spans="1:8">
      <c r="A285" t="s">
        <v>1567</v>
      </c>
      <c r="B285" s="12" t="s">
        <v>3403</v>
      </c>
      <c r="C285">
        <v>54</v>
      </c>
      <c r="D285" s="12" t="s">
        <v>34</v>
      </c>
      <c r="E285" s="12" t="s">
        <v>3404</v>
      </c>
      <c r="F285" s="12" t="s">
        <v>25</v>
      </c>
      <c r="G285" s="12" t="s">
        <v>2821</v>
      </c>
      <c r="H285" s="12" t="s">
        <v>60</v>
      </c>
    </row>
    <row r="286" spans="1:8">
      <c r="A286" t="s">
        <v>1237</v>
      </c>
      <c r="B286" s="12" t="s">
        <v>3405</v>
      </c>
      <c r="C286">
        <v>54</v>
      </c>
      <c r="D286" s="12" t="s">
        <v>24</v>
      </c>
      <c r="E286" s="12" t="s">
        <v>3406</v>
      </c>
      <c r="F286" s="12" t="s">
        <v>440</v>
      </c>
      <c r="G286" s="12" t="s">
        <v>2821</v>
      </c>
      <c r="H286" s="12" t="s">
        <v>26</v>
      </c>
    </row>
    <row r="287" spans="1:8">
      <c r="A287" t="s">
        <v>1404</v>
      </c>
      <c r="B287" s="12" t="s">
        <v>3407</v>
      </c>
      <c r="C287">
        <v>46</v>
      </c>
      <c r="D287" s="12" t="s">
        <v>34</v>
      </c>
      <c r="E287" s="12" t="s">
        <v>3408</v>
      </c>
      <c r="F287" s="12" t="s">
        <v>463</v>
      </c>
      <c r="G287" s="12" t="s">
        <v>2821</v>
      </c>
      <c r="H287" s="12" t="s">
        <v>60</v>
      </c>
    </row>
    <row r="288" spans="1:8">
      <c r="A288" t="s">
        <v>1167</v>
      </c>
      <c r="B288" s="12" t="s">
        <v>3409</v>
      </c>
      <c r="C288">
        <v>22</v>
      </c>
      <c r="D288" s="12" t="s">
        <v>24</v>
      </c>
      <c r="E288" s="12" t="s">
        <v>3410</v>
      </c>
      <c r="F288" s="12" t="s">
        <v>345</v>
      </c>
      <c r="G288" s="12" t="s">
        <v>2821</v>
      </c>
      <c r="H288" s="12" t="s">
        <v>60</v>
      </c>
    </row>
    <row r="289" spans="1:8">
      <c r="A289" t="s">
        <v>413</v>
      </c>
      <c r="B289" s="12" t="s">
        <v>3411</v>
      </c>
      <c r="C289">
        <v>22</v>
      </c>
      <c r="D289" s="12" t="s">
        <v>34</v>
      </c>
      <c r="E289" s="12" t="s">
        <v>3412</v>
      </c>
      <c r="F289" s="12" t="s">
        <v>35</v>
      </c>
      <c r="G289" s="12" t="s">
        <v>2821</v>
      </c>
      <c r="H289" s="12" t="s">
        <v>26</v>
      </c>
    </row>
    <row r="290" spans="1:8">
      <c r="A290" t="s">
        <v>1040</v>
      </c>
      <c r="B290" s="12" t="s">
        <v>3413</v>
      </c>
      <c r="C290">
        <v>58</v>
      </c>
      <c r="D290" s="12" t="s">
        <v>24</v>
      </c>
      <c r="E290" s="12" t="s">
        <v>3414</v>
      </c>
      <c r="F290" s="12" t="s">
        <v>440</v>
      </c>
      <c r="G290" s="12" t="s">
        <v>2821</v>
      </c>
      <c r="H290" s="12" t="s">
        <v>26</v>
      </c>
    </row>
    <row r="291" spans="1:8">
      <c r="A291" t="s">
        <v>2531</v>
      </c>
      <c r="B291" s="12" t="s">
        <v>3415</v>
      </c>
      <c r="C291">
        <v>45</v>
      </c>
      <c r="D291" s="12" t="s">
        <v>24</v>
      </c>
      <c r="E291" s="12" t="s">
        <v>3416</v>
      </c>
      <c r="F291" s="12" t="s">
        <v>308</v>
      </c>
      <c r="G291" s="12" t="s">
        <v>2821</v>
      </c>
      <c r="H291" s="12" t="s">
        <v>73</v>
      </c>
    </row>
    <row r="292" spans="1:8">
      <c r="A292" t="s">
        <v>3417</v>
      </c>
      <c r="B292" s="12" t="s">
        <v>3418</v>
      </c>
      <c r="C292">
        <v>52</v>
      </c>
      <c r="D292" s="12" t="s">
        <v>34</v>
      </c>
      <c r="E292" s="12" t="s">
        <v>3419</v>
      </c>
      <c r="F292" s="12" t="s">
        <v>498</v>
      </c>
      <c r="G292" s="12" t="s">
        <v>2821</v>
      </c>
      <c r="H292" s="12" t="s">
        <v>60</v>
      </c>
    </row>
    <row r="293" spans="1:8">
      <c r="A293" t="s">
        <v>2232</v>
      </c>
      <c r="B293" s="12" t="s">
        <v>3420</v>
      </c>
      <c r="C293">
        <v>40</v>
      </c>
      <c r="D293" s="12" t="s">
        <v>34</v>
      </c>
      <c r="E293" s="12" t="s">
        <v>3421</v>
      </c>
      <c r="F293" s="12" t="s">
        <v>80</v>
      </c>
      <c r="G293" s="12" t="s">
        <v>2821</v>
      </c>
      <c r="H293" s="12" t="s">
        <v>73</v>
      </c>
    </row>
    <row r="294" spans="1:8">
      <c r="A294" t="s">
        <v>1514</v>
      </c>
      <c r="B294" s="12" t="s">
        <v>3422</v>
      </c>
      <c r="C294">
        <v>30</v>
      </c>
      <c r="D294" s="12" t="s">
        <v>24</v>
      </c>
      <c r="E294" s="12" t="s">
        <v>3423</v>
      </c>
      <c r="F294" s="12" t="s">
        <v>510</v>
      </c>
      <c r="G294" s="12" t="s">
        <v>2821</v>
      </c>
      <c r="H294" s="12" t="s">
        <v>60</v>
      </c>
    </row>
    <row r="295" spans="1:8">
      <c r="A295" t="s">
        <v>600</v>
      </c>
      <c r="B295" s="12" t="s">
        <v>3424</v>
      </c>
      <c r="C295">
        <v>56</v>
      </c>
      <c r="D295" s="12" t="s">
        <v>34</v>
      </c>
      <c r="E295" s="12" t="s">
        <v>3425</v>
      </c>
      <c r="F295" s="12" t="s">
        <v>378</v>
      </c>
      <c r="G295" s="12" t="s">
        <v>2821</v>
      </c>
      <c r="H295" s="12" t="s">
        <v>52</v>
      </c>
    </row>
    <row r="296" spans="1:8">
      <c r="A296" t="s">
        <v>541</v>
      </c>
      <c r="B296" s="12" t="s">
        <v>3426</v>
      </c>
      <c r="C296">
        <v>29</v>
      </c>
      <c r="D296" s="12" t="s">
        <v>24</v>
      </c>
      <c r="E296" s="12" t="s">
        <v>3185</v>
      </c>
      <c r="F296" s="12" t="s">
        <v>111</v>
      </c>
      <c r="G296" s="12" t="s">
        <v>2821</v>
      </c>
      <c r="H296" s="12" t="s">
        <v>52</v>
      </c>
    </row>
    <row r="297" spans="1:8">
      <c r="A297" t="s">
        <v>585</v>
      </c>
      <c r="B297" s="12" t="s">
        <v>3427</v>
      </c>
      <c r="C297">
        <v>19</v>
      </c>
      <c r="D297" s="12" t="s">
        <v>34</v>
      </c>
      <c r="E297" s="12" t="s">
        <v>3428</v>
      </c>
      <c r="F297" s="12" t="s">
        <v>333</v>
      </c>
      <c r="G297" s="12" t="s">
        <v>2821</v>
      </c>
      <c r="H297" s="12" t="s">
        <v>73</v>
      </c>
    </row>
    <row r="298" spans="1:8">
      <c r="A298" t="s">
        <v>994</v>
      </c>
      <c r="B298" s="12" t="s">
        <v>3429</v>
      </c>
      <c r="C298">
        <v>28</v>
      </c>
      <c r="D298" s="12" t="s">
        <v>34</v>
      </c>
      <c r="E298" s="12" t="s">
        <v>3004</v>
      </c>
      <c r="F298" s="12" t="s">
        <v>356</v>
      </c>
      <c r="G298" s="12" t="s">
        <v>2821</v>
      </c>
      <c r="H298" s="12" t="s">
        <v>73</v>
      </c>
    </row>
    <row r="299" spans="1:8">
      <c r="A299" t="s">
        <v>875</v>
      </c>
      <c r="B299" s="12" t="s">
        <v>3430</v>
      </c>
      <c r="C299">
        <v>47</v>
      </c>
      <c r="D299" s="12" t="s">
        <v>34</v>
      </c>
      <c r="E299" s="12" t="s">
        <v>3431</v>
      </c>
      <c r="F299" s="12" t="s">
        <v>80</v>
      </c>
      <c r="G299" s="12" t="s">
        <v>2821</v>
      </c>
      <c r="H299" s="12" t="s">
        <v>60</v>
      </c>
    </row>
    <row r="300" spans="1:8">
      <c r="A300" t="s">
        <v>404</v>
      </c>
      <c r="B300" s="12" t="s">
        <v>3432</v>
      </c>
      <c r="C300">
        <v>64</v>
      </c>
      <c r="D300" s="12" t="s">
        <v>24</v>
      </c>
      <c r="E300" s="12" t="s">
        <v>3433</v>
      </c>
      <c r="F300" s="12" t="s">
        <v>193</v>
      </c>
      <c r="G300" s="12" t="s">
        <v>2821</v>
      </c>
      <c r="H300" s="12" t="s">
        <v>52</v>
      </c>
    </row>
    <row r="301" spans="1:8">
      <c r="A301" t="s">
        <v>2153</v>
      </c>
      <c r="B301" s="12" t="s">
        <v>3434</v>
      </c>
      <c r="C301">
        <v>48</v>
      </c>
      <c r="D301" s="12" t="s">
        <v>34</v>
      </c>
      <c r="E301" s="12" t="s">
        <v>3435</v>
      </c>
      <c r="F301" s="12" t="s">
        <v>378</v>
      </c>
      <c r="G301" s="12" t="s">
        <v>2821</v>
      </c>
      <c r="H301" s="12" t="s">
        <v>52</v>
      </c>
    </row>
    <row r="302" spans="1:8">
      <c r="A302" t="s">
        <v>1085</v>
      </c>
      <c r="B302" s="12" t="s">
        <v>3436</v>
      </c>
      <c r="C302">
        <v>29</v>
      </c>
      <c r="D302" s="12" t="s">
        <v>24</v>
      </c>
      <c r="E302" s="12" t="s">
        <v>3437</v>
      </c>
      <c r="F302" s="12" t="s">
        <v>609</v>
      </c>
      <c r="G302" s="12" t="s">
        <v>2821</v>
      </c>
      <c r="H302" s="12" t="s">
        <v>60</v>
      </c>
    </row>
    <row r="303" spans="1:8">
      <c r="A303" t="s">
        <v>1842</v>
      </c>
      <c r="B303" s="12" t="s">
        <v>3438</v>
      </c>
      <c r="C303">
        <v>50</v>
      </c>
      <c r="D303" s="12" t="s">
        <v>24</v>
      </c>
      <c r="E303" s="12" t="s">
        <v>3439</v>
      </c>
      <c r="F303" s="12" t="s">
        <v>498</v>
      </c>
      <c r="G303" s="12" t="s">
        <v>2821</v>
      </c>
      <c r="H303" s="12" t="s">
        <v>26</v>
      </c>
    </row>
    <row r="304" spans="1:8">
      <c r="A304" t="s">
        <v>249</v>
      </c>
      <c r="B304" s="12" t="s">
        <v>3440</v>
      </c>
      <c r="C304">
        <v>36</v>
      </c>
      <c r="D304" s="12" t="s">
        <v>24</v>
      </c>
      <c r="E304" s="12" t="s">
        <v>3441</v>
      </c>
      <c r="F304" s="12" t="s">
        <v>251</v>
      </c>
      <c r="G304" s="12" t="s">
        <v>2821</v>
      </c>
      <c r="H304" s="12" t="s">
        <v>26</v>
      </c>
    </row>
    <row r="305" spans="1:8">
      <c r="A305" t="s">
        <v>386</v>
      </c>
      <c r="B305" s="12" t="s">
        <v>3442</v>
      </c>
      <c r="C305">
        <v>23</v>
      </c>
      <c r="D305" s="12" t="s">
        <v>34</v>
      </c>
      <c r="E305" s="12" t="s">
        <v>3443</v>
      </c>
      <c r="F305" s="12" t="s">
        <v>373</v>
      </c>
      <c r="G305" s="12" t="s">
        <v>2821</v>
      </c>
      <c r="H305" s="12" t="s">
        <v>52</v>
      </c>
    </row>
    <row r="306" spans="1:8">
      <c r="A306" t="s">
        <v>861</v>
      </c>
      <c r="B306" s="12" t="s">
        <v>3444</v>
      </c>
      <c r="C306">
        <v>41</v>
      </c>
      <c r="D306" s="12" t="s">
        <v>24</v>
      </c>
      <c r="E306" s="12" t="s">
        <v>3445</v>
      </c>
      <c r="F306" s="12" t="s">
        <v>333</v>
      </c>
      <c r="G306" s="12" t="s">
        <v>2821</v>
      </c>
      <c r="H306" s="12" t="s">
        <v>60</v>
      </c>
    </row>
    <row r="307" spans="1:8">
      <c r="A307" t="s">
        <v>1691</v>
      </c>
      <c r="B307" s="12" t="s">
        <v>3446</v>
      </c>
      <c r="C307">
        <v>64</v>
      </c>
      <c r="D307" s="12" t="s">
        <v>24</v>
      </c>
      <c r="E307" s="12" t="s">
        <v>3447</v>
      </c>
      <c r="F307" s="12" t="s">
        <v>91</v>
      </c>
      <c r="G307" s="12" t="s">
        <v>2821</v>
      </c>
      <c r="H307" s="12" t="s">
        <v>52</v>
      </c>
    </row>
    <row r="308" spans="1:8">
      <c r="A308" t="s">
        <v>1536</v>
      </c>
      <c r="B308" s="12" t="s">
        <v>3448</v>
      </c>
      <c r="C308">
        <v>44</v>
      </c>
      <c r="D308" s="12" t="s">
        <v>24</v>
      </c>
      <c r="E308" s="12" t="s">
        <v>3449</v>
      </c>
      <c r="F308" s="12" t="s">
        <v>51</v>
      </c>
      <c r="G308" s="12" t="s">
        <v>2821</v>
      </c>
      <c r="H308" s="12" t="s">
        <v>52</v>
      </c>
    </row>
    <row r="309" spans="1:8">
      <c r="A309" t="s">
        <v>560</v>
      </c>
      <c r="B309" s="12" t="s">
        <v>3450</v>
      </c>
      <c r="C309">
        <v>56</v>
      </c>
      <c r="D309" s="12" t="s">
        <v>34</v>
      </c>
      <c r="E309" s="12" t="s">
        <v>3451</v>
      </c>
      <c r="F309" s="12" t="s">
        <v>59</v>
      </c>
      <c r="G309" s="12" t="s">
        <v>2821</v>
      </c>
      <c r="H309" s="12" t="s">
        <v>73</v>
      </c>
    </row>
    <row r="310" spans="1:8">
      <c r="A310" t="s">
        <v>2448</v>
      </c>
      <c r="B310" s="12" t="s">
        <v>3452</v>
      </c>
      <c r="C310">
        <v>60</v>
      </c>
      <c r="D310" s="12" t="s">
        <v>34</v>
      </c>
      <c r="E310" s="12" t="s">
        <v>3453</v>
      </c>
      <c r="F310" s="12" t="s">
        <v>106</v>
      </c>
      <c r="G310" s="12" t="s">
        <v>2821</v>
      </c>
      <c r="H310" s="12" t="s">
        <v>26</v>
      </c>
    </row>
    <row r="311" spans="1:8">
      <c r="A311" t="s">
        <v>1704</v>
      </c>
      <c r="B311" s="12" t="s">
        <v>3454</v>
      </c>
      <c r="C311">
        <v>41</v>
      </c>
      <c r="D311" s="12" t="s">
        <v>34</v>
      </c>
      <c r="E311" s="12" t="s">
        <v>3455</v>
      </c>
      <c r="F311" s="12" t="s">
        <v>227</v>
      </c>
      <c r="G311" s="12" t="s">
        <v>2821</v>
      </c>
      <c r="H311" s="12" t="s">
        <v>73</v>
      </c>
    </row>
    <row r="312" spans="1:8">
      <c r="A312" t="s">
        <v>1806</v>
      </c>
      <c r="B312" s="12" t="s">
        <v>3456</v>
      </c>
      <c r="C312">
        <v>20</v>
      </c>
      <c r="D312" s="12" t="s">
        <v>24</v>
      </c>
      <c r="E312" s="12" t="s">
        <v>3457</v>
      </c>
      <c r="F312" s="12" t="s">
        <v>35</v>
      </c>
      <c r="G312" s="12" t="s">
        <v>2821</v>
      </c>
      <c r="H312" s="12" t="s">
        <v>60</v>
      </c>
    </row>
    <row r="313" spans="1:8">
      <c r="A313" t="s">
        <v>1146</v>
      </c>
      <c r="B313" s="12" t="s">
        <v>3458</v>
      </c>
      <c r="C313">
        <v>35</v>
      </c>
      <c r="D313" s="12" t="s">
        <v>24</v>
      </c>
      <c r="E313" s="12" t="s">
        <v>3459</v>
      </c>
      <c r="F313" s="12" t="s">
        <v>609</v>
      </c>
      <c r="G313" s="12" t="s">
        <v>2821</v>
      </c>
      <c r="H313" s="12" t="s">
        <v>52</v>
      </c>
    </row>
    <row r="314" spans="1:8">
      <c r="A314" t="s">
        <v>794</v>
      </c>
      <c r="B314" s="12" t="s">
        <v>3460</v>
      </c>
      <c r="C314">
        <v>47</v>
      </c>
      <c r="D314" s="12" t="s">
        <v>34</v>
      </c>
      <c r="E314" s="12" t="s">
        <v>3461</v>
      </c>
      <c r="F314" s="12" t="s">
        <v>373</v>
      </c>
      <c r="G314" s="12" t="s">
        <v>2821</v>
      </c>
      <c r="H314" s="12" t="s">
        <v>60</v>
      </c>
    </row>
    <row r="315" spans="1:8">
      <c r="A315" t="s">
        <v>1999</v>
      </c>
      <c r="B315" s="12" t="s">
        <v>3462</v>
      </c>
      <c r="C315">
        <v>62</v>
      </c>
      <c r="D315" s="12" t="s">
        <v>24</v>
      </c>
      <c r="E315" s="12" t="s">
        <v>3463</v>
      </c>
      <c r="F315" s="12" t="s">
        <v>336</v>
      </c>
      <c r="G315" s="12" t="s">
        <v>2821</v>
      </c>
      <c r="H315" s="12" t="s">
        <v>52</v>
      </c>
    </row>
    <row r="316" spans="1:8">
      <c r="A316" t="s">
        <v>554</v>
      </c>
      <c r="B316" s="12" t="s">
        <v>3464</v>
      </c>
      <c r="C316">
        <v>53</v>
      </c>
      <c r="D316" s="12" t="s">
        <v>34</v>
      </c>
      <c r="E316" s="12" t="s">
        <v>3465</v>
      </c>
      <c r="F316" s="12" t="s">
        <v>91</v>
      </c>
      <c r="G316" s="12" t="s">
        <v>2821</v>
      </c>
      <c r="H316" s="12" t="s">
        <v>60</v>
      </c>
    </row>
    <row r="317" spans="1:8">
      <c r="A317" t="s">
        <v>495</v>
      </c>
      <c r="B317" s="12" t="s">
        <v>3466</v>
      </c>
      <c r="C317">
        <v>49</v>
      </c>
      <c r="D317" s="12" t="s">
        <v>24</v>
      </c>
      <c r="E317" s="12" t="s">
        <v>3467</v>
      </c>
      <c r="F317" s="12" t="s">
        <v>463</v>
      </c>
      <c r="G317" s="12" t="s">
        <v>2821</v>
      </c>
      <c r="H317" s="12" t="s">
        <v>60</v>
      </c>
    </row>
    <row r="318" spans="1:8">
      <c r="A318" t="s">
        <v>801</v>
      </c>
      <c r="B318" s="12" t="s">
        <v>3468</v>
      </c>
      <c r="C318">
        <v>34</v>
      </c>
      <c r="D318" s="12" t="s">
        <v>24</v>
      </c>
      <c r="E318" s="12" t="s">
        <v>3469</v>
      </c>
      <c r="F318" s="12" t="s">
        <v>336</v>
      </c>
      <c r="G318" s="12" t="s">
        <v>2821</v>
      </c>
      <c r="H318" s="12" t="s">
        <v>26</v>
      </c>
    </row>
    <row r="319" spans="1:8">
      <c r="A319" t="s">
        <v>1284</v>
      </c>
      <c r="B319" s="12" t="s">
        <v>3470</v>
      </c>
      <c r="C319">
        <v>64</v>
      </c>
      <c r="D319" s="12" t="s">
        <v>34</v>
      </c>
      <c r="E319" s="12" t="s">
        <v>3471</v>
      </c>
      <c r="F319" s="12" t="s">
        <v>214</v>
      </c>
      <c r="G319" s="12" t="s">
        <v>2821</v>
      </c>
      <c r="H319" s="12" t="s">
        <v>26</v>
      </c>
    </row>
    <row r="320" spans="1:8">
      <c r="A320" t="s">
        <v>2387</v>
      </c>
      <c r="B320" s="12" t="s">
        <v>3472</v>
      </c>
      <c r="C320">
        <v>25</v>
      </c>
      <c r="D320" s="12" t="s">
        <v>24</v>
      </c>
      <c r="E320" s="12" t="s">
        <v>3473</v>
      </c>
      <c r="F320" s="12" t="s">
        <v>333</v>
      </c>
      <c r="G320" s="12" t="s">
        <v>2821</v>
      </c>
      <c r="H320" s="12" t="s">
        <v>52</v>
      </c>
    </row>
    <row r="321" spans="1:8">
      <c r="A321" t="s">
        <v>562</v>
      </c>
      <c r="B321" s="12" t="s">
        <v>3474</v>
      </c>
      <c r="C321">
        <v>54</v>
      </c>
      <c r="D321" s="12" t="s">
        <v>24</v>
      </c>
      <c r="E321" s="12" t="s">
        <v>3475</v>
      </c>
      <c r="F321" s="12" t="s">
        <v>231</v>
      </c>
      <c r="G321" s="12" t="s">
        <v>2821</v>
      </c>
      <c r="H321" s="12" t="s">
        <v>52</v>
      </c>
    </row>
    <row r="322" spans="1:8">
      <c r="A322" t="s">
        <v>103</v>
      </c>
      <c r="B322" s="12" t="s">
        <v>3476</v>
      </c>
      <c r="C322">
        <v>34</v>
      </c>
      <c r="D322" s="12" t="s">
        <v>34</v>
      </c>
      <c r="E322" s="12" t="s">
        <v>3477</v>
      </c>
      <c r="F322" s="12" t="s">
        <v>106</v>
      </c>
      <c r="G322" s="12" t="s">
        <v>2821</v>
      </c>
      <c r="H322" s="12" t="s">
        <v>73</v>
      </c>
    </row>
    <row r="323" spans="1:8">
      <c r="A323" t="s">
        <v>406</v>
      </c>
      <c r="B323" s="12" t="s">
        <v>3478</v>
      </c>
      <c r="C323">
        <v>21</v>
      </c>
      <c r="D323" s="12" t="s">
        <v>34</v>
      </c>
      <c r="E323" s="12" t="s">
        <v>3479</v>
      </c>
      <c r="F323" s="12" t="s">
        <v>51</v>
      </c>
      <c r="G323" s="12" t="s">
        <v>2821</v>
      </c>
      <c r="H323" s="12" t="s">
        <v>73</v>
      </c>
    </row>
    <row r="324" spans="1:8">
      <c r="A324" t="s">
        <v>886</v>
      </c>
      <c r="B324" s="12" t="s">
        <v>3480</v>
      </c>
      <c r="C324">
        <v>54</v>
      </c>
      <c r="D324" s="12" t="s">
        <v>24</v>
      </c>
      <c r="E324" s="12" t="s">
        <v>3481</v>
      </c>
      <c r="F324" s="12" t="s">
        <v>25</v>
      </c>
      <c r="G324" s="12" t="s">
        <v>2821</v>
      </c>
      <c r="H324" s="12" t="s">
        <v>73</v>
      </c>
    </row>
    <row r="325" spans="1:8">
      <c r="A325" t="s">
        <v>648</v>
      </c>
      <c r="B325" s="12" t="s">
        <v>3482</v>
      </c>
      <c r="C325">
        <v>64</v>
      </c>
      <c r="D325" s="12" t="s">
        <v>34</v>
      </c>
      <c r="E325" s="12" t="s">
        <v>3483</v>
      </c>
      <c r="F325" s="12" t="s">
        <v>256</v>
      </c>
      <c r="G325" s="12" t="s">
        <v>2821</v>
      </c>
      <c r="H325" s="12" t="s">
        <v>52</v>
      </c>
    </row>
    <row r="326" spans="1:8">
      <c r="A326" t="s">
        <v>290</v>
      </c>
      <c r="B326" s="12" t="s">
        <v>3484</v>
      </c>
      <c r="C326">
        <v>58</v>
      </c>
      <c r="D326" s="12" t="s">
        <v>24</v>
      </c>
      <c r="E326" s="12" t="s">
        <v>3485</v>
      </c>
      <c r="F326" s="12" t="s">
        <v>169</v>
      </c>
      <c r="G326" s="12" t="s">
        <v>2821</v>
      </c>
      <c r="H326" s="12" t="s">
        <v>73</v>
      </c>
    </row>
    <row r="327" spans="1:8">
      <c r="A327" t="s">
        <v>419</v>
      </c>
      <c r="B327" s="12" t="s">
        <v>3486</v>
      </c>
      <c r="C327">
        <v>60</v>
      </c>
      <c r="D327" s="12" t="s">
        <v>24</v>
      </c>
      <c r="E327" s="12" t="s">
        <v>3487</v>
      </c>
      <c r="F327" s="12" t="s">
        <v>199</v>
      </c>
      <c r="G327" s="12" t="s">
        <v>2821</v>
      </c>
      <c r="H327" s="12" t="s">
        <v>73</v>
      </c>
    </row>
    <row r="328" spans="1:8">
      <c r="A328" t="s">
        <v>803</v>
      </c>
      <c r="B328" s="12" t="s">
        <v>3488</v>
      </c>
      <c r="C328">
        <v>58</v>
      </c>
      <c r="D328" s="12" t="s">
        <v>34</v>
      </c>
      <c r="E328" s="12" t="s">
        <v>3489</v>
      </c>
      <c r="F328" s="12" t="s">
        <v>67</v>
      </c>
      <c r="G328" s="12" t="s">
        <v>2821</v>
      </c>
      <c r="H328" s="12" t="s">
        <v>26</v>
      </c>
    </row>
    <row r="329" spans="1:8">
      <c r="A329" t="s">
        <v>388</v>
      </c>
      <c r="B329" s="12" t="s">
        <v>3490</v>
      </c>
      <c r="C329">
        <v>62</v>
      </c>
      <c r="D329" s="12" t="s">
        <v>34</v>
      </c>
      <c r="E329" s="12" t="s">
        <v>3491</v>
      </c>
      <c r="F329" s="12" t="s">
        <v>161</v>
      </c>
      <c r="G329" s="12" t="s">
        <v>2821</v>
      </c>
      <c r="H329" s="12" t="s">
        <v>73</v>
      </c>
    </row>
    <row r="330" spans="1:8">
      <c r="A330" t="s">
        <v>1232</v>
      </c>
      <c r="B330" s="12" t="s">
        <v>3492</v>
      </c>
      <c r="C330">
        <v>46</v>
      </c>
      <c r="D330" s="12" t="s">
        <v>24</v>
      </c>
      <c r="E330" s="12" t="s">
        <v>3493</v>
      </c>
      <c r="F330" s="12" t="s">
        <v>510</v>
      </c>
      <c r="G330" s="12" t="s">
        <v>2821</v>
      </c>
      <c r="H330" s="12" t="s">
        <v>52</v>
      </c>
    </row>
    <row r="331" spans="1:8">
      <c r="A331" t="s">
        <v>508</v>
      </c>
      <c r="B331" s="12" t="s">
        <v>3494</v>
      </c>
      <c r="C331">
        <v>62</v>
      </c>
      <c r="D331" s="12" t="s">
        <v>34</v>
      </c>
      <c r="E331" s="12" t="s">
        <v>3495</v>
      </c>
      <c r="F331" s="12" t="s">
        <v>510</v>
      </c>
      <c r="G331" s="12" t="s">
        <v>2821</v>
      </c>
      <c r="H331" s="12" t="s">
        <v>73</v>
      </c>
    </row>
    <row r="332" spans="1:8">
      <c r="A332" t="s">
        <v>1450</v>
      </c>
      <c r="B332" s="12" t="s">
        <v>3496</v>
      </c>
      <c r="C332">
        <v>54</v>
      </c>
      <c r="D332" s="12" t="s">
        <v>24</v>
      </c>
      <c r="E332" s="12" t="s">
        <v>3497</v>
      </c>
      <c r="F332" s="12" t="s">
        <v>932</v>
      </c>
      <c r="G332" s="12" t="s">
        <v>2821</v>
      </c>
      <c r="H332" s="12" t="s">
        <v>52</v>
      </c>
    </row>
    <row r="333" spans="1:8">
      <c r="A333" t="s">
        <v>2294</v>
      </c>
      <c r="B333" s="12" t="s">
        <v>3498</v>
      </c>
      <c r="C333">
        <v>38</v>
      </c>
      <c r="D333" s="12" t="s">
        <v>34</v>
      </c>
      <c r="E333" s="12" t="s">
        <v>3499</v>
      </c>
      <c r="F333" s="12" t="s">
        <v>111</v>
      </c>
      <c r="G333" s="12" t="s">
        <v>2821</v>
      </c>
      <c r="H333" s="12" t="s">
        <v>73</v>
      </c>
    </row>
    <row r="334" spans="1:8">
      <c r="A334" t="s">
        <v>873</v>
      </c>
      <c r="B334" s="12" t="s">
        <v>3500</v>
      </c>
      <c r="C334">
        <v>34</v>
      </c>
      <c r="D334" s="12" t="s">
        <v>34</v>
      </c>
      <c r="E334" s="12" t="s">
        <v>3501</v>
      </c>
      <c r="F334" s="12" t="s">
        <v>218</v>
      </c>
      <c r="G334" s="12" t="s">
        <v>2821</v>
      </c>
      <c r="H334" s="12" t="s">
        <v>73</v>
      </c>
    </row>
    <row r="335" spans="1:8">
      <c r="A335" t="s">
        <v>767</v>
      </c>
      <c r="B335" s="12" t="s">
        <v>3502</v>
      </c>
      <c r="C335">
        <v>64</v>
      </c>
      <c r="D335" s="12" t="s">
        <v>34</v>
      </c>
      <c r="E335" s="12" t="s">
        <v>3503</v>
      </c>
      <c r="F335" s="12" t="s">
        <v>360</v>
      </c>
      <c r="G335" s="12" t="s">
        <v>2821</v>
      </c>
      <c r="H335" s="12" t="s">
        <v>26</v>
      </c>
    </row>
    <row r="336" spans="1:8">
      <c r="A336" t="s">
        <v>639</v>
      </c>
      <c r="B336" s="12" t="s">
        <v>3504</v>
      </c>
      <c r="C336">
        <v>50</v>
      </c>
      <c r="D336" s="12" t="s">
        <v>34</v>
      </c>
      <c r="E336" s="12" t="s">
        <v>3505</v>
      </c>
      <c r="F336" s="12" t="s">
        <v>440</v>
      </c>
      <c r="G336" s="12" t="s">
        <v>2821</v>
      </c>
      <c r="H336" s="12" t="s">
        <v>60</v>
      </c>
    </row>
    <row r="337" spans="1:8">
      <c r="A337" t="s">
        <v>254</v>
      </c>
      <c r="B337" s="12" t="s">
        <v>3506</v>
      </c>
      <c r="C337">
        <v>37</v>
      </c>
      <c r="D337" s="12" t="s">
        <v>24</v>
      </c>
      <c r="E337" s="12" t="s">
        <v>3507</v>
      </c>
      <c r="F337" s="12" t="s">
        <v>256</v>
      </c>
      <c r="G337" s="12" t="s">
        <v>2821</v>
      </c>
      <c r="H337" s="12" t="s">
        <v>52</v>
      </c>
    </row>
    <row r="338" spans="1:8">
      <c r="A338" t="s">
        <v>1324</v>
      </c>
      <c r="B338" s="12" t="s">
        <v>3508</v>
      </c>
      <c r="C338">
        <v>58</v>
      </c>
      <c r="D338" s="12" t="s">
        <v>34</v>
      </c>
      <c r="E338" s="12" t="s">
        <v>3509</v>
      </c>
      <c r="F338" s="12" t="s">
        <v>609</v>
      </c>
      <c r="G338" s="12" t="s">
        <v>2821</v>
      </c>
      <c r="H338" s="12" t="s">
        <v>60</v>
      </c>
    </row>
    <row r="339" spans="1:8">
      <c r="A339" t="s">
        <v>525</v>
      </c>
      <c r="B339" s="12" t="s">
        <v>3510</v>
      </c>
      <c r="C339">
        <v>40</v>
      </c>
      <c r="D339" s="12" t="s">
        <v>34</v>
      </c>
      <c r="E339" s="12" t="s">
        <v>3511</v>
      </c>
      <c r="F339" s="12" t="s">
        <v>256</v>
      </c>
      <c r="G339" s="12" t="s">
        <v>2821</v>
      </c>
      <c r="H339" s="12" t="s">
        <v>73</v>
      </c>
    </row>
    <row r="340" spans="1:8">
      <c r="A340" t="s">
        <v>439</v>
      </c>
      <c r="B340" s="12" t="s">
        <v>3512</v>
      </c>
      <c r="C340">
        <v>46</v>
      </c>
      <c r="D340" s="12" t="s">
        <v>34</v>
      </c>
      <c r="E340" s="12" t="s">
        <v>3513</v>
      </c>
      <c r="F340" s="12" t="s">
        <v>440</v>
      </c>
      <c r="G340" s="12" t="s">
        <v>2821</v>
      </c>
      <c r="H340" s="12" t="s">
        <v>60</v>
      </c>
    </row>
    <row r="341" spans="1:8">
      <c r="A341" t="s">
        <v>1273</v>
      </c>
      <c r="B341" s="12" t="s">
        <v>3514</v>
      </c>
      <c r="C341">
        <v>52</v>
      </c>
      <c r="D341" s="12" t="s">
        <v>34</v>
      </c>
      <c r="E341" s="12" t="s">
        <v>3515</v>
      </c>
      <c r="F341" s="12" t="s">
        <v>251</v>
      </c>
      <c r="G341" s="12" t="s">
        <v>2821</v>
      </c>
      <c r="H341" s="12" t="s">
        <v>52</v>
      </c>
    </row>
    <row r="342" spans="1:8">
      <c r="A342" t="s">
        <v>1931</v>
      </c>
      <c r="B342" s="12" t="s">
        <v>3516</v>
      </c>
      <c r="C342">
        <v>27</v>
      </c>
      <c r="D342" s="12" t="s">
        <v>24</v>
      </c>
      <c r="E342" s="12" t="s">
        <v>3517</v>
      </c>
      <c r="F342" s="12" t="s">
        <v>491</v>
      </c>
      <c r="G342" s="12" t="s">
        <v>2821</v>
      </c>
      <c r="H342" s="12" t="s">
        <v>73</v>
      </c>
    </row>
    <row r="343" spans="1:8">
      <c r="A343" t="s">
        <v>1436</v>
      </c>
      <c r="B343" s="12" t="s">
        <v>3518</v>
      </c>
      <c r="C343">
        <v>56</v>
      </c>
      <c r="D343" s="12" t="s">
        <v>34</v>
      </c>
      <c r="E343" s="12" t="s">
        <v>3519</v>
      </c>
      <c r="F343" s="12" t="s">
        <v>932</v>
      </c>
      <c r="G343" s="12" t="s">
        <v>2821</v>
      </c>
      <c r="H343" s="12" t="s">
        <v>73</v>
      </c>
    </row>
    <row r="344" spans="1:8">
      <c r="A344" t="s">
        <v>1455</v>
      </c>
      <c r="B344" s="12" t="s">
        <v>3520</v>
      </c>
      <c r="C344">
        <v>30</v>
      </c>
      <c r="D344" s="12" t="s">
        <v>34</v>
      </c>
      <c r="E344" s="12" t="s">
        <v>3521</v>
      </c>
      <c r="F344" s="12" t="s">
        <v>440</v>
      </c>
      <c r="G344" s="12" t="s">
        <v>2821</v>
      </c>
      <c r="H344" s="12" t="s">
        <v>73</v>
      </c>
    </row>
    <row r="345" spans="1:8">
      <c r="A345" t="s">
        <v>497</v>
      </c>
      <c r="B345" s="12" t="s">
        <v>3522</v>
      </c>
      <c r="C345">
        <v>38</v>
      </c>
      <c r="D345" s="12" t="s">
        <v>24</v>
      </c>
      <c r="E345" s="12" t="s">
        <v>3523</v>
      </c>
      <c r="F345" s="12" t="s">
        <v>498</v>
      </c>
      <c r="G345" s="12" t="s">
        <v>2821</v>
      </c>
      <c r="H345" s="12" t="s">
        <v>73</v>
      </c>
    </row>
    <row r="346" spans="1:8">
      <c r="A346" t="s">
        <v>220</v>
      </c>
      <c r="B346" s="12" t="s">
        <v>3524</v>
      </c>
      <c r="C346">
        <v>39</v>
      </c>
      <c r="D346" s="12" t="s">
        <v>24</v>
      </c>
      <c r="E346" s="12" t="s">
        <v>3525</v>
      </c>
      <c r="F346" s="12" t="s">
        <v>222</v>
      </c>
      <c r="G346" s="12" t="s">
        <v>2821</v>
      </c>
      <c r="H346" s="12" t="s">
        <v>26</v>
      </c>
    </row>
    <row r="347" spans="1:8">
      <c r="A347" t="s">
        <v>1055</v>
      </c>
      <c r="B347" s="12" t="s">
        <v>3526</v>
      </c>
      <c r="C347">
        <v>33</v>
      </c>
      <c r="D347" s="12" t="s">
        <v>24</v>
      </c>
      <c r="E347" s="12" t="s">
        <v>3527</v>
      </c>
      <c r="F347" s="12" t="s">
        <v>169</v>
      </c>
      <c r="G347" s="12" t="s">
        <v>2821</v>
      </c>
      <c r="H347" s="12" t="s">
        <v>73</v>
      </c>
    </row>
    <row r="348" spans="1:8">
      <c r="A348" t="s">
        <v>48</v>
      </c>
      <c r="B348" s="12" t="s">
        <v>3528</v>
      </c>
      <c r="C348">
        <v>58</v>
      </c>
      <c r="D348" s="12" t="s">
        <v>34</v>
      </c>
      <c r="E348" s="12" t="s">
        <v>3529</v>
      </c>
      <c r="F348" s="12" t="s">
        <v>51</v>
      </c>
      <c r="G348" s="12" t="s">
        <v>2821</v>
      </c>
      <c r="H348" s="12" t="s">
        <v>52</v>
      </c>
    </row>
    <row r="349" spans="1:8">
      <c r="A349" t="s">
        <v>977</v>
      </c>
      <c r="B349" s="12" t="s">
        <v>3530</v>
      </c>
      <c r="C349">
        <v>39</v>
      </c>
      <c r="D349" s="12" t="s">
        <v>34</v>
      </c>
      <c r="E349" s="12" t="s">
        <v>3531</v>
      </c>
      <c r="F349" s="12" t="s">
        <v>440</v>
      </c>
      <c r="G349" s="12" t="s">
        <v>2821</v>
      </c>
      <c r="H349" s="12" t="s">
        <v>26</v>
      </c>
    </row>
    <row r="350" spans="1:8">
      <c r="A350" t="s">
        <v>121</v>
      </c>
      <c r="B350" s="12" t="s">
        <v>3532</v>
      </c>
      <c r="C350">
        <v>55</v>
      </c>
      <c r="D350" s="12" t="s">
        <v>24</v>
      </c>
      <c r="E350" s="12" t="s">
        <v>3533</v>
      </c>
      <c r="F350" s="12" t="s">
        <v>44</v>
      </c>
      <c r="G350" s="12" t="s">
        <v>2821</v>
      </c>
      <c r="H350" s="12" t="s">
        <v>60</v>
      </c>
    </row>
    <row r="351" spans="1:8">
      <c r="A351" t="s">
        <v>519</v>
      </c>
      <c r="B351" s="12" t="s">
        <v>3534</v>
      </c>
      <c r="C351">
        <v>31</v>
      </c>
      <c r="D351" s="12" t="s">
        <v>24</v>
      </c>
      <c r="E351" s="12" t="s">
        <v>3535</v>
      </c>
      <c r="F351" s="12" t="s">
        <v>444</v>
      </c>
      <c r="G351" s="12" t="s">
        <v>2821</v>
      </c>
      <c r="H351" s="12" t="s">
        <v>73</v>
      </c>
    </row>
    <row r="352" spans="1:8">
      <c r="A352" t="s">
        <v>1497</v>
      </c>
      <c r="B352" s="12" t="s">
        <v>3536</v>
      </c>
      <c r="C352">
        <v>26</v>
      </c>
      <c r="D352" s="12" t="s">
        <v>24</v>
      </c>
      <c r="E352" s="12" t="s">
        <v>3537</v>
      </c>
      <c r="F352" s="12" t="s">
        <v>106</v>
      </c>
      <c r="G352" s="12" t="s">
        <v>2821</v>
      </c>
      <c r="H352" s="12" t="s">
        <v>60</v>
      </c>
    </row>
    <row r="353" spans="1:8">
      <c r="A353" t="s">
        <v>1397</v>
      </c>
      <c r="B353" s="12" t="s">
        <v>3538</v>
      </c>
      <c r="C353">
        <v>25</v>
      </c>
      <c r="D353" s="12" t="s">
        <v>34</v>
      </c>
      <c r="E353" s="12" t="s">
        <v>3539</v>
      </c>
      <c r="F353" s="12" t="s">
        <v>761</v>
      </c>
      <c r="G353" s="12" t="s">
        <v>2821</v>
      </c>
      <c r="H353" s="12" t="s">
        <v>73</v>
      </c>
    </row>
    <row r="354" spans="1:8">
      <c r="A354" t="s">
        <v>1149</v>
      </c>
      <c r="B354" s="12" t="s">
        <v>3540</v>
      </c>
      <c r="C354">
        <v>52</v>
      </c>
      <c r="D354" s="12" t="s">
        <v>34</v>
      </c>
      <c r="E354" s="12" t="s">
        <v>3541</v>
      </c>
      <c r="F354" s="12" t="s">
        <v>199</v>
      </c>
      <c r="G354" s="12" t="s">
        <v>2821</v>
      </c>
      <c r="H354" s="12" t="s">
        <v>60</v>
      </c>
    </row>
    <row r="355" spans="1:8">
      <c r="A355" t="s">
        <v>1301</v>
      </c>
      <c r="B355" s="12" t="s">
        <v>3542</v>
      </c>
      <c r="C355">
        <v>56</v>
      </c>
      <c r="D355" s="12" t="s">
        <v>34</v>
      </c>
      <c r="E355" s="12" t="s">
        <v>3543</v>
      </c>
      <c r="F355" s="12" t="s">
        <v>609</v>
      </c>
      <c r="G355" s="12" t="s">
        <v>2821</v>
      </c>
      <c r="H355" s="12" t="s">
        <v>52</v>
      </c>
    </row>
    <row r="356" spans="1:8">
      <c r="A356" t="s">
        <v>1354</v>
      </c>
      <c r="B356" s="12" t="s">
        <v>3544</v>
      </c>
      <c r="C356">
        <v>38</v>
      </c>
      <c r="D356" s="12" t="s">
        <v>24</v>
      </c>
      <c r="E356" s="12" t="s">
        <v>3545</v>
      </c>
      <c r="F356" s="12" t="s">
        <v>440</v>
      </c>
      <c r="G356" s="12" t="s">
        <v>2821</v>
      </c>
      <c r="H356" s="12" t="s">
        <v>60</v>
      </c>
    </row>
    <row r="357" spans="1:8">
      <c r="A357" t="s">
        <v>1453</v>
      </c>
      <c r="B357" s="12" t="s">
        <v>3546</v>
      </c>
      <c r="C357">
        <v>20</v>
      </c>
      <c r="D357" s="12" t="s">
        <v>24</v>
      </c>
      <c r="E357" s="12" t="s">
        <v>3547</v>
      </c>
      <c r="F357" s="12" t="s">
        <v>91</v>
      </c>
      <c r="G357" s="12" t="s">
        <v>2821</v>
      </c>
      <c r="H357" s="12" t="s">
        <v>26</v>
      </c>
    </row>
    <row r="358" spans="1:8">
      <c r="A358" t="s">
        <v>1564</v>
      </c>
      <c r="B358" s="12" t="s">
        <v>3548</v>
      </c>
      <c r="C358">
        <v>54</v>
      </c>
      <c r="D358" s="12" t="s">
        <v>24</v>
      </c>
      <c r="E358" s="12" t="s">
        <v>3549</v>
      </c>
      <c r="F358" s="12" t="s">
        <v>498</v>
      </c>
      <c r="G358" s="12" t="s">
        <v>2821</v>
      </c>
      <c r="H358" s="12" t="s">
        <v>73</v>
      </c>
    </row>
    <row r="359" spans="1:8">
      <c r="A359" t="s">
        <v>1381</v>
      </c>
      <c r="B359" s="12" t="s">
        <v>3550</v>
      </c>
      <c r="C359">
        <v>41</v>
      </c>
      <c r="D359" s="12" t="s">
        <v>24</v>
      </c>
      <c r="E359" s="12" t="s">
        <v>3551</v>
      </c>
      <c r="F359" s="12" t="s">
        <v>51</v>
      </c>
      <c r="G359" s="12" t="s">
        <v>2821</v>
      </c>
      <c r="H359" s="12" t="s">
        <v>26</v>
      </c>
    </row>
    <row r="360" spans="1:8">
      <c r="A360" t="s">
        <v>871</v>
      </c>
      <c r="B360" s="12" t="s">
        <v>3552</v>
      </c>
      <c r="C360">
        <v>60</v>
      </c>
      <c r="D360" s="12" t="s">
        <v>34</v>
      </c>
      <c r="E360" s="12" t="s">
        <v>3553</v>
      </c>
      <c r="F360" s="12" t="s">
        <v>231</v>
      </c>
      <c r="G360" s="12" t="s">
        <v>2821</v>
      </c>
      <c r="H360" s="12" t="s">
        <v>26</v>
      </c>
    </row>
    <row r="361" spans="1:8">
      <c r="A361" t="s">
        <v>1908</v>
      </c>
      <c r="B361" s="12" t="s">
        <v>3554</v>
      </c>
      <c r="C361">
        <v>32</v>
      </c>
      <c r="D361" s="12" t="s">
        <v>24</v>
      </c>
      <c r="E361" s="12" t="s">
        <v>3555</v>
      </c>
      <c r="F361" s="12" t="s">
        <v>333</v>
      </c>
      <c r="G361" s="12" t="s">
        <v>2821</v>
      </c>
      <c r="H361" s="12" t="s">
        <v>60</v>
      </c>
    </row>
    <row r="362" spans="1:8">
      <c r="A362" t="s">
        <v>940</v>
      </c>
      <c r="B362" s="12" t="s">
        <v>3556</v>
      </c>
      <c r="C362">
        <v>34</v>
      </c>
      <c r="D362" s="12" t="s">
        <v>24</v>
      </c>
      <c r="E362" s="12" t="s">
        <v>3557</v>
      </c>
      <c r="F362" s="12" t="s">
        <v>140</v>
      </c>
      <c r="G362" s="12" t="s">
        <v>2821</v>
      </c>
      <c r="H362" s="12" t="s">
        <v>52</v>
      </c>
    </row>
    <row r="363" spans="1:8">
      <c r="A363" t="s">
        <v>1895</v>
      </c>
      <c r="B363" s="12" t="s">
        <v>3558</v>
      </c>
      <c r="C363">
        <v>64</v>
      </c>
      <c r="D363" s="12" t="s">
        <v>24</v>
      </c>
      <c r="E363" s="12" t="s">
        <v>3559</v>
      </c>
      <c r="F363" s="12" t="s">
        <v>260</v>
      </c>
      <c r="G363" s="12" t="s">
        <v>2821</v>
      </c>
      <c r="H363" s="12" t="s">
        <v>52</v>
      </c>
    </row>
    <row r="364" spans="1:8">
      <c r="A364" t="s">
        <v>1159</v>
      </c>
      <c r="B364" s="12" t="s">
        <v>3560</v>
      </c>
      <c r="C364">
        <v>60</v>
      </c>
      <c r="D364" s="12" t="s">
        <v>24</v>
      </c>
      <c r="E364" s="12" t="s">
        <v>3561</v>
      </c>
      <c r="F364" s="12" t="s">
        <v>444</v>
      </c>
      <c r="G364" s="12" t="s">
        <v>2821</v>
      </c>
      <c r="H364" s="12" t="s">
        <v>26</v>
      </c>
    </row>
    <row r="365" spans="1:8">
      <c r="A365" t="s">
        <v>1503</v>
      </c>
      <c r="B365" s="12" t="s">
        <v>3562</v>
      </c>
      <c r="C365">
        <v>23</v>
      </c>
      <c r="D365" s="12" t="s">
        <v>24</v>
      </c>
      <c r="E365" s="12" t="s">
        <v>3563</v>
      </c>
      <c r="F365" s="12" t="s">
        <v>308</v>
      </c>
      <c r="G365" s="12" t="s">
        <v>2821</v>
      </c>
      <c r="H365" s="12" t="s">
        <v>73</v>
      </c>
    </row>
    <row r="366" spans="1:8">
      <c r="A366" t="s">
        <v>731</v>
      </c>
      <c r="B366" s="12" t="s">
        <v>3564</v>
      </c>
      <c r="C366">
        <v>58</v>
      </c>
      <c r="D366" s="12" t="s">
        <v>24</v>
      </c>
      <c r="E366" s="12" t="s">
        <v>3565</v>
      </c>
      <c r="F366" s="12" t="s">
        <v>251</v>
      </c>
      <c r="G366" s="12" t="s">
        <v>2821</v>
      </c>
      <c r="H366" s="12" t="s">
        <v>73</v>
      </c>
    </row>
    <row r="367" spans="1:8">
      <c r="A367" t="s">
        <v>1152</v>
      </c>
      <c r="B367" s="12" t="s">
        <v>3566</v>
      </c>
      <c r="C367">
        <v>63</v>
      </c>
      <c r="D367" s="12" t="s">
        <v>34</v>
      </c>
      <c r="E367" s="12" t="s">
        <v>3567</v>
      </c>
      <c r="F367" s="12" t="s">
        <v>444</v>
      </c>
      <c r="G367" s="12" t="s">
        <v>2821</v>
      </c>
      <c r="H367" s="12" t="s">
        <v>52</v>
      </c>
    </row>
    <row r="368" spans="1:8">
      <c r="A368" t="s">
        <v>1089</v>
      </c>
      <c r="B368" s="12" t="s">
        <v>3568</v>
      </c>
      <c r="C368">
        <v>40</v>
      </c>
      <c r="D368" s="12" t="s">
        <v>34</v>
      </c>
      <c r="E368" s="12" t="s">
        <v>3569</v>
      </c>
      <c r="F368" s="12" t="s">
        <v>59</v>
      </c>
      <c r="G368" s="12" t="s">
        <v>2821</v>
      </c>
      <c r="H368" s="12" t="s">
        <v>52</v>
      </c>
    </row>
    <row r="369" spans="1:8">
      <c r="A369" t="s">
        <v>307</v>
      </c>
      <c r="B369" s="12" t="s">
        <v>3570</v>
      </c>
      <c r="C369">
        <v>51</v>
      </c>
      <c r="D369" s="12" t="s">
        <v>24</v>
      </c>
      <c r="E369" s="12" t="s">
        <v>3571</v>
      </c>
      <c r="F369" s="12" t="s">
        <v>308</v>
      </c>
      <c r="G369" s="12" t="s">
        <v>2821</v>
      </c>
      <c r="H369" s="12" t="s">
        <v>73</v>
      </c>
    </row>
    <row r="370" spans="1:8">
      <c r="A370" t="s">
        <v>172</v>
      </c>
      <c r="B370" s="12" t="s">
        <v>3572</v>
      </c>
      <c r="C370">
        <v>34</v>
      </c>
      <c r="D370" s="12" t="s">
        <v>34</v>
      </c>
      <c r="E370" s="12" t="s">
        <v>3573</v>
      </c>
      <c r="F370" s="12" t="s">
        <v>161</v>
      </c>
      <c r="G370" s="12" t="s">
        <v>2821</v>
      </c>
      <c r="H370" s="12" t="s">
        <v>52</v>
      </c>
    </row>
    <row r="371" spans="1:8">
      <c r="A371" t="s">
        <v>423</v>
      </c>
      <c r="B371" s="12" t="s">
        <v>3574</v>
      </c>
      <c r="C371">
        <v>20</v>
      </c>
      <c r="D371" s="12" t="s">
        <v>34</v>
      </c>
      <c r="E371" s="12" t="s">
        <v>3575</v>
      </c>
      <c r="F371" s="12" t="s">
        <v>35</v>
      </c>
      <c r="G371" s="12" t="s">
        <v>2821</v>
      </c>
      <c r="H371" s="12" t="s">
        <v>52</v>
      </c>
    </row>
    <row r="372" spans="1:8">
      <c r="A372" t="s">
        <v>946</v>
      </c>
      <c r="B372" s="12" t="s">
        <v>3576</v>
      </c>
      <c r="C372">
        <v>45</v>
      </c>
      <c r="D372" s="12" t="s">
        <v>24</v>
      </c>
      <c r="E372" s="12" t="s">
        <v>3577</v>
      </c>
      <c r="F372" s="12" t="s">
        <v>260</v>
      </c>
      <c r="G372" s="12" t="s">
        <v>2821</v>
      </c>
      <c r="H372" s="12" t="s">
        <v>60</v>
      </c>
    </row>
    <row r="373" spans="1:8">
      <c r="A373" t="s">
        <v>674</v>
      </c>
      <c r="B373" s="12" t="s">
        <v>3578</v>
      </c>
      <c r="C373">
        <v>21</v>
      </c>
      <c r="D373" s="12" t="s">
        <v>34</v>
      </c>
      <c r="E373" s="12" t="s">
        <v>3579</v>
      </c>
      <c r="F373" s="12" t="s">
        <v>214</v>
      </c>
      <c r="G373" s="12" t="s">
        <v>2821</v>
      </c>
      <c r="H373" s="12" t="s">
        <v>52</v>
      </c>
    </row>
    <row r="374" spans="1:8">
      <c r="A374" t="s">
        <v>330</v>
      </c>
      <c r="B374" s="12" t="s">
        <v>3580</v>
      </c>
      <c r="C374">
        <v>28</v>
      </c>
      <c r="D374" s="12" t="s">
        <v>24</v>
      </c>
      <c r="E374" s="12" t="s">
        <v>3581</v>
      </c>
      <c r="F374" s="12" t="s">
        <v>308</v>
      </c>
      <c r="G374" s="12" t="s">
        <v>2821</v>
      </c>
      <c r="H374" s="12" t="s">
        <v>73</v>
      </c>
    </row>
    <row r="375" spans="1:8">
      <c r="A375" t="s">
        <v>591</v>
      </c>
      <c r="B375" s="12" t="s">
        <v>3582</v>
      </c>
      <c r="C375">
        <v>37</v>
      </c>
      <c r="D375" s="12" t="s">
        <v>34</v>
      </c>
      <c r="E375" s="12" t="s">
        <v>3583</v>
      </c>
      <c r="F375" s="12" t="s">
        <v>193</v>
      </c>
      <c r="G375" s="12" t="s">
        <v>2821</v>
      </c>
      <c r="H375" s="12" t="s">
        <v>26</v>
      </c>
    </row>
    <row r="376" spans="1:8">
      <c r="A376" t="s">
        <v>3584</v>
      </c>
      <c r="B376" s="12" t="s">
        <v>3585</v>
      </c>
      <c r="C376">
        <v>60</v>
      </c>
      <c r="D376" s="12" t="s">
        <v>24</v>
      </c>
      <c r="E376" s="12" t="s">
        <v>3586</v>
      </c>
      <c r="F376" s="12" t="s">
        <v>218</v>
      </c>
      <c r="G376" s="12" t="s">
        <v>2821</v>
      </c>
      <c r="H376" s="12" t="s">
        <v>52</v>
      </c>
    </row>
    <row r="377" spans="1:8">
      <c r="A377" t="s">
        <v>1873</v>
      </c>
      <c r="B377" s="12" t="s">
        <v>3587</v>
      </c>
      <c r="C377">
        <v>26</v>
      </c>
      <c r="D377" s="12" t="s">
        <v>24</v>
      </c>
      <c r="E377" s="12" t="s">
        <v>3588</v>
      </c>
      <c r="F377" s="12" t="s">
        <v>510</v>
      </c>
      <c r="G377" s="12" t="s">
        <v>2821</v>
      </c>
      <c r="H377" s="12" t="s">
        <v>52</v>
      </c>
    </row>
    <row r="378" spans="1:8">
      <c r="A378" t="s">
        <v>1343</v>
      </c>
      <c r="B378" s="12" t="s">
        <v>3589</v>
      </c>
      <c r="C378">
        <v>30</v>
      </c>
      <c r="D378" s="12" t="s">
        <v>24</v>
      </c>
      <c r="E378" s="12" t="s">
        <v>3590</v>
      </c>
      <c r="F378" s="12" t="s">
        <v>440</v>
      </c>
      <c r="G378" s="12" t="s">
        <v>2821</v>
      </c>
      <c r="H378" s="12" t="s">
        <v>73</v>
      </c>
    </row>
    <row r="379" spans="1:8">
      <c r="A379" t="s">
        <v>602</v>
      </c>
      <c r="B379" s="12" t="s">
        <v>3591</v>
      </c>
      <c r="C379">
        <v>39</v>
      </c>
      <c r="D379" s="12" t="s">
        <v>34</v>
      </c>
      <c r="E379" s="12" t="s">
        <v>3592</v>
      </c>
      <c r="F379" s="12" t="s">
        <v>193</v>
      </c>
      <c r="G379" s="12" t="s">
        <v>2821</v>
      </c>
      <c r="H379" s="12" t="s">
        <v>26</v>
      </c>
    </row>
    <row r="380" spans="1:8">
      <c r="A380" t="s">
        <v>371</v>
      </c>
      <c r="B380" s="12" t="s">
        <v>3593</v>
      </c>
      <c r="C380">
        <v>44</v>
      </c>
      <c r="D380" s="12" t="s">
        <v>34</v>
      </c>
      <c r="E380" s="12" t="s">
        <v>3594</v>
      </c>
      <c r="F380" s="12" t="s">
        <v>373</v>
      </c>
      <c r="G380" s="12" t="s">
        <v>2821</v>
      </c>
      <c r="H380" s="12" t="s">
        <v>73</v>
      </c>
    </row>
    <row r="381" spans="1:8">
      <c r="A381" t="s">
        <v>997</v>
      </c>
      <c r="B381" s="12" t="s">
        <v>3595</v>
      </c>
      <c r="C381">
        <v>34</v>
      </c>
      <c r="D381" s="12" t="s">
        <v>34</v>
      </c>
      <c r="E381" s="12" t="s">
        <v>3596</v>
      </c>
      <c r="F381" s="12" t="s">
        <v>106</v>
      </c>
      <c r="G381" s="12" t="s">
        <v>2821</v>
      </c>
      <c r="H381" s="12" t="s">
        <v>26</v>
      </c>
    </row>
    <row r="382" spans="1:8">
      <c r="A382" t="s">
        <v>1424</v>
      </c>
      <c r="B382" s="12" t="s">
        <v>3597</v>
      </c>
      <c r="C382">
        <v>23</v>
      </c>
      <c r="D382" s="12" t="s">
        <v>24</v>
      </c>
      <c r="E382" s="12" t="s">
        <v>3598</v>
      </c>
      <c r="F382" s="12" t="s">
        <v>67</v>
      </c>
      <c r="G382" s="12" t="s">
        <v>2821</v>
      </c>
      <c r="H382" s="12" t="s">
        <v>26</v>
      </c>
    </row>
    <row r="383" spans="1:8">
      <c r="A383" t="s">
        <v>182</v>
      </c>
      <c r="B383" s="12" t="s">
        <v>3599</v>
      </c>
      <c r="C383">
        <v>50</v>
      </c>
      <c r="D383" s="12" t="s">
        <v>24</v>
      </c>
      <c r="E383" s="12" t="s">
        <v>3600</v>
      </c>
      <c r="F383" s="12" t="s">
        <v>59</v>
      </c>
      <c r="G383" s="12" t="s">
        <v>2821</v>
      </c>
      <c r="H383" s="12" t="s">
        <v>60</v>
      </c>
    </row>
    <row r="384" spans="1:8">
      <c r="A384" t="s">
        <v>633</v>
      </c>
      <c r="B384" s="12" t="s">
        <v>3601</v>
      </c>
      <c r="C384">
        <v>20</v>
      </c>
      <c r="D384" s="12" t="s">
        <v>34</v>
      </c>
      <c r="E384" s="12" t="s">
        <v>3602</v>
      </c>
      <c r="F384" s="12" t="s">
        <v>227</v>
      </c>
      <c r="G384" s="12" t="s">
        <v>2821</v>
      </c>
      <c r="H384" s="12" t="s">
        <v>26</v>
      </c>
    </row>
    <row r="385" spans="1:8">
      <c r="A385" t="s">
        <v>1017</v>
      </c>
      <c r="B385" s="12" t="s">
        <v>3603</v>
      </c>
      <c r="C385">
        <v>27</v>
      </c>
      <c r="D385" s="12" t="s">
        <v>34</v>
      </c>
      <c r="E385" s="12" t="s">
        <v>3604</v>
      </c>
      <c r="F385" s="12" t="s">
        <v>457</v>
      </c>
      <c r="G385" s="12" t="s">
        <v>2821</v>
      </c>
      <c r="H385" s="12" t="s">
        <v>60</v>
      </c>
    </row>
    <row r="386" spans="1:8">
      <c r="A386" t="s">
        <v>1097</v>
      </c>
      <c r="B386" s="12" t="s">
        <v>3605</v>
      </c>
      <c r="C386">
        <v>52</v>
      </c>
      <c r="D386" s="12" t="s">
        <v>34</v>
      </c>
      <c r="E386" s="12" t="s">
        <v>3606</v>
      </c>
      <c r="F386" s="12" t="s">
        <v>106</v>
      </c>
      <c r="G386" s="12" t="s">
        <v>2821</v>
      </c>
      <c r="H386" s="12" t="s">
        <v>73</v>
      </c>
    </row>
    <row r="387" spans="1:8">
      <c r="A387" t="s">
        <v>1446</v>
      </c>
      <c r="B387" s="12" t="s">
        <v>3607</v>
      </c>
      <c r="C387">
        <v>60</v>
      </c>
      <c r="D387" s="12" t="s">
        <v>24</v>
      </c>
      <c r="E387" s="12" t="s">
        <v>3608</v>
      </c>
      <c r="F387" s="12" t="s">
        <v>457</v>
      </c>
      <c r="G387" s="12" t="s">
        <v>2821</v>
      </c>
      <c r="H387" s="12" t="s">
        <v>26</v>
      </c>
    </row>
    <row r="388" spans="1:8">
      <c r="A388" t="s">
        <v>3609</v>
      </c>
      <c r="B388" s="12" t="s">
        <v>3610</v>
      </c>
      <c r="C388">
        <v>18</v>
      </c>
      <c r="D388" s="12" t="s">
        <v>34</v>
      </c>
      <c r="E388" s="12" t="s">
        <v>3611</v>
      </c>
      <c r="F388" s="12" t="s">
        <v>336</v>
      </c>
      <c r="G388" s="12" t="s">
        <v>2821</v>
      </c>
      <c r="H388" s="12" t="s">
        <v>73</v>
      </c>
    </row>
    <row r="389" spans="1:8">
      <c r="A389" t="s">
        <v>1442</v>
      </c>
      <c r="B389" s="12" t="s">
        <v>3612</v>
      </c>
      <c r="C389">
        <v>28</v>
      </c>
      <c r="D389" s="12" t="s">
        <v>34</v>
      </c>
      <c r="E389" s="12" t="s">
        <v>3613</v>
      </c>
      <c r="F389" s="12" t="s">
        <v>204</v>
      </c>
      <c r="G389" s="12" t="s">
        <v>2821</v>
      </c>
      <c r="H389" s="12" t="s">
        <v>60</v>
      </c>
    </row>
    <row r="390" spans="1:8">
      <c r="A390" t="s">
        <v>1187</v>
      </c>
      <c r="B390" s="12" t="s">
        <v>3614</v>
      </c>
      <c r="C390">
        <v>53</v>
      </c>
      <c r="D390" s="12" t="s">
        <v>24</v>
      </c>
      <c r="E390" s="12" t="s">
        <v>3615</v>
      </c>
      <c r="F390" s="12" t="s">
        <v>80</v>
      </c>
      <c r="G390" s="12" t="s">
        <v>2821</v>
      </c>
      <c r="H390" s="12" t="s">
        <v>52</v>
      </c>
    </row>
    <row r="391" spans="1:8">
      <c r="A391" t="s">
        <v>1218</v>
      </c>
      <c r="B391" s="12" t="s">
        <v>3616</v>
      </c>
      <c r="C391">
        <v>50</v>
      </c>
      <c r="D391" s="12" t="s">
        <v>24</v>
      </c>
      <c r="E391" s="12" t="s">
        <v>3617</v>
      </c>
      <c r="F391" s="12" t="s">
        <v>761</v>
      </c>
      <c r="G391" s="12" t="s">
        <v>2821</v>
      </c>
      <c r="H391" s="12" t="s">
        <v>52</v>
      </c>
    </row>
    <row r="392" spans="1:8">
      <c r="A392" t="s">
        <v>1322</v>
      </c>
      <c r="B392" s="12" t="s">
        <v>3618</v>
      </c>
      <c r="C392">
        <v>56</v>
      </c>
      <c r="D392" s="12" t="s">
        <v>24</v>
      </c>
      <c r="E392" s="12" t="s">
        <v>3619</v>
      </c>
      <c r="F392" s="12" t="s">
        <v>140</v>
      </c>
      <c r="G392" s="12" t="s">
        <v>2821</v>
      </c>
      <c r="H392" s="12" t="s">
        <v>60</v>
      </c>
    </row>
    <row r="393" spans="1:8">
      <c r="A393" t="s">
        <v>1007</v>
      </c>
      <c r="B393" s="12" t="s">
        <v>3620</v>
      </c>
      <c r="C393">
        <v>40</v>
      </c>
      <c r="D393" s="12" t="s">
        <v>34</v>
      </c>
      <c r="E393" s="12" t="s">
        <v>3621</v>
      </c>
      <c r="F393" s="12" t="s">
        <v>609</v>
      </c>
      <c r="G393" s="12" t="s">
        <v>2821</v>
      </c>
      <c r="H393" s="12" t="s">
        <v>73</v>
      </c>
    </row>
    <row r="394" spans="1:8">
      <c r="A394" t="s">
        <v>1651</v>
      </c>
      <c r="B394" s="12" t="s">
        <v>3622</v>
      </c>
      <c r="C394">
        <v>46</v>
      </c>
      <c r="D394" s="12" t="s">
        <v>24</v>
      </c>
      <c r="E394" s="12" t="s">
        <v>3623</v>
      </c>
      <c r="F394" s="12" t="s">
        <v>80</v>
      </c>
      <c r="G394" s="12" t="s">
        <v>2821</v>
      </c>
      <c r="H394" s="12" t="s">
        <v>26</v>
      </c>
    </row>
    <row r="395" spans="1:8">
      <c r="A395" t="s">
        <v>2501</v>
      </c>
      <c r="B395" s="12" t="s">
        <v>3624</v>
      </c>
      <c r="C395">
        <v>46</v>
      </c>
      <c r="D395" s="12" t="s">
        <v>24</v>
      </c>
      <c r="E395" s="12" t="s">
        <v>3625</v>
      </c>
      <c r="F395" s="12" t="s">
        <v>410</v>
      </c>
      <c r="G395" s="12" t="s">
        <v>2821</v>
      </c>
      <c r="H395" s="12" t="s">
        <v>73</v>
      </c>
    </row>
    <row r="396" spans="1:8">
      <c r="A396" t="s">
        <v>570</v>
      </c>
      <c r="B396" s="12" t="s">
        <v>3626</v>
      </c>
      <c r="C396">
        <v>43</v>
      </c>
      <c r="D396" s="12" t="s">
        <v>34</v>
      </c>
      <c r="E396" s="12" t="s">
        <v>3627</v>
      </c>
      <c r="F396" s="12" t="s">
        <v>440</v>
      </c>
      <c r="G396" s="12" t="s">
        <v>2821</v>
      </c>
      <c r="H396" s="12" t="s">
        <v>73</v>
      </c>
    </row>
    <row r="397" spans="1:8">
      <c r="A397" t="s">
        <v>3628</v>
      </c>
      <c r="B397" s="12" t="s">
        <v>3629</v>
      </c>
      <c r="C397">
        <v>50</v>
      </c>
      <c r="D397" s="12" t="s">
        <v>24</v>
      </c>
      <c r="E397" s="12" t="s">
        <v>3630</v>
      </c>
      <c r="F397" s="12" t="s">
        <v>333</v>
      </c>
      <c r="G397" s="12" t="s">
        <v>2821</v>
      </c>
      <c r="H397" s="12" t="s">
        <v>26</v>
      </c>
    </row>
    <row r="398" spans="1:8">
      <c r="A398" t="s">
        <v>158</v>
      </c>
      <c r="B398" s="12" t="s">
        <v>3631</v>
      </c>
      <c r="C398">
        <v>25</v>
      </c>
      <c r="D398" s="12" t="s">
        <v>34</v>
      </c>
      <c r="E398" s="12" t="s">
        <v>3632</v>
      </c>
      <c r="F398" s="12" t="s">
        <v>161</v>
      </c>
      <c r="G398" s="12" t="s">
        <v>2821</v>
      </c>
      <c r="H398" s="12" t="s">
        <v>60</v>
      </c>
    </row>
    <row r="399" spans="1:8">
      <c r="A399" t="s">
        <v>493</v>
      </c>
      <c r="B399" s="12" t="s">
        <v>3633</v>
      </c>
      <c r="C399">
        <v>62</v>
      </c>
      <c r="D399" s="12" t="s">
        <v>34</v>
      </c>
      <c r="E399" s="12" t="s">
        <v>2898</v>
      </c>
      <c r="F399" s="12" t="s">
        <v>333</v>
      </c>
      <c r="G399" s="12" t="s">
        <v>2821</v>
      </c>
      <c r="H399" s="12" t="s">
        <v>52</v>
      </c>
    </row>
    <row r="400" spans="1:8">
      <c r="A400" t="s">
        <v>212</v>
      </c>
      <c r="B400" s="12" t="s">
        <v>3634</v>
      </c>
      <c r="C400">
        <v>54</v>
      </c>
      <c r="D400" s="12" t="s">
        <v>24</v>
      </c>
      <c r="E400" s="12" t="s">
        <v>3635</v>
      </c>
      <c r="F400" s="12" t="s">
        <v>214</v>
      </c>
      <c r="G400" s="12" t="s">
        <v>2821</v>
      </c>
      <c r="H400" s="12" t="s">
        <v>73</v>
      </c>
    </row>
    <row r="401" spans="1:8">
      <c r="A401" t="s">
        <v>531</v>
      </c>
      <c r="B401" s="12" t="s">
        <v>3636</v>
      </c>
      <c r="C401">
        <v>27</v>
      </c>
      <c r="D401" s="12" t="s">
        <v>24</v>
      </c>
      <c r="E401" s="12" t="s">
        <v>3637</v>
      </c>
      <c r="F401" s="12" t="s">
        <v>193</v>
      </c>
      <c r="G401" s="12" t="s">
        <v>2821</v>
      </c>
      <c r="H401" s="12" t="s">
        <v>73</v>
      </c>
    </row>
    <row r="402" spans="1:8">
      <c r="A402" t="s">
        <v>1982</v>
      </c>
      <c r="B402" s="12" t="s">
        <v>3638</v>
      </c>
      <c r="C402">
        <v>57</v>
      </c>
      <c r="D402" s="12" t="s">
        <v>34</v>
      </c>
      <c r="E402" s="12" t="s">
        <v>3639</v>
      </c>
      <c r="F402" s="12" t="s">
        <v>169</v>
      </c>
      <c r="G402" s="12" t="s">
        <v>2821</v>
      </c>
      <c r="H402" s="12" t="s">
        <v>52</v>
      </c>
    </row>
    <row r="403" spans="1:8">
      <c r="A403" t="s">
        <v>535</v>
      </c>
      <c r="B403" s="12" t="s">
        <v>3640</v>
      </c>
      <c r="C403">
        <v>51</v>
      </c>
      <c r="D403" s="12" t="s">
        <v>34</v>
      </c>
      <c r="E403" s="12" t="s">
        <v>3641</v>
      </c>
      <c r="F403" s="12" t="s">
        <v>99</v>
      </c>
      <c r="G403" s="12" t="s">
        <v>2821</v>
      </c>
      <c r="H403" s="12" t="s">
        <v>52</v>
      </c>
    </row>
    <row r="404" spans="1:8">
      <c r="A404" t="s">
        <v>1336</v>
      </c>
      <c r="B404" s="12" t="s">
        <v>3642</v>
      </c>
      <c r="C404">
        <v>31</v>
      </c>
      <c r="D404" s="12" t="s">
        <v>24</v>
      </c>
      <c r="E404" s="12" t="s">
        <v>2867</v>
      </c>
      <c r="F404" s="12" t="s">
        <v>231</v>
      </c>
      <c r="G404" s="12" t="s">
        <v>2821</v>
      </c>
      <c r="H404" s="12" t="s">
        <v>73</v>
      </c>
    </row>
    <row r="405" spans="1:8">
      <c r="A405" t="s">
        <v>376</v>
      </c>
      <c r="B405" s="12" t="s">
        <v>3643</v>
      </c>
      <c r="C405">
        <v>34</v>
      </c>
      <c r="D405" s="12" t="s">
        <v>24</v>
      </c>
      <c r="E405" s="12" t="s">
        <v>3644</v>
      </c>
      <c r="F405" s="12" t="s">
        <v>378</v>
      </c>
      <c r="G405" s="12" t="s">
        <v>2821</v>
      </c>
      <c r="H405" s="12" t="s">
        <v>73</v>
      </c>
    </row>
    <row r="406" spans="1:8">
      <c r="A406" t="s">
        <v>305</v>
      </c>
      <c r="B406" s="12" t="s">
        <v>3645</v>
      </c>
      <c r="C406">
        <v>22</v>
      </c>
      <c r="D406" s="12" t="s">
        <v>34</v>
      </c>
      <c r="E406" s="12" t="s">
        <v>3646</v>
      </c>
      <c r="F406" s="12" t="s">
        <v>140</v>
      </c>
      <c r="G406" s="12" t="s">
        <v>2821</v>
      </c>
      <c r="H406" s="12" t="s">
        <v>60</v>
      </c>
    </row>
    <row r="407" spans="1:8">
      <c r="A407" t="s">
        <v>558</v>
      </c>
      <c r="B407" s="12" t="s">
        <v>3647</v>
      </c>
      <c r="C407">
        <v>18</v>
      </c>
      <c r="D407" s="12" t="s">
        <v>34</v>
      </c>
      <c r="E407" s="12" t="s">
        <v>3648</v>
      </c>
      <c r="F407" s="12" t="s">
        <v>378</v>
      </c>
      <c r="G407" s="12" t="s">
        <v>2821</v>
      </c>
      <c r="H407" s="12" t="s">
        <v>26</v>
      </c>
    </row>
    <row r="408" spans="1:8">
      <c r="A408" t="s">
        <v>398</v>
      </c>
      <c r="B408" s="12" t="s">
        <v>3649</v>
      </c>
      <c r="C408">
        <v>23</v>
      </c>
      <c r="D408" s="12" t="s">
        <v>34</v>
      </c>
      <c r="E408" s="12" t="s">
        <v>3650</v>
      </c>
      <c r="F408" s="12" t="s">
        <v>199</v>
      </c>
      <c r="G408" s="12" t="s">
        <v>2821</v>
      </c>
      <c r="H408" s="12" t="s">
        <v>26</v>
      </c>
    </row>
    <row r="409" spans="1:8">
      <c r="A409" t="s">
        <v>1593</v>
      </c>
      <c r="B409" s="12" t="s">
        <v>3651</v>
      </c>
      <c r="C409">
        <v>33</v>
      </c>
      <c r="D409" s="12" t="s">
        <v>24</v>
      </c>
      <c r="E409" s="12" t="s">
        <v>3652</v>
      </c>
      <c r="F409" s="12" t="s">
        <v>336</v>
      </c>
      <c r="G409" s="12" t="s">
        <v>2821</v>
      </c>
      <c r="H409" s="12" t="s">
        <v>26</v>
      </c>
    </row>
    <row r="410" spans="1:8">
      <c r="A410" t="s">
        <v>310</v>
      </c>
      <c r="B410" s="12" t="s">
        <v>3653</v>
      </c>
      <c r="C410">
        <v>36</v>
      </c>
      <c r="D410" s="12" t="s">
        <v>24</v>
      </c>
      <c r="E410" s="12" t="s">
        <v>3654</v>
      </c>
      <c r="F410" s="12" t="s">
        <v>204</v>
      </c>
      <c r="G410" s="12" t="s">
        <v>2821</v>
      </c>
      <c r="H410" s="12" t="s">
        <v>26</v>
      </c>
    </row>
    <row r="411" spans="1:8">
      <c r="A411" t="s">
        <v>20</v>
      </c>
      <c r="B411" s="12" t="s">
        <v>3655</v>
      </c>
      <c r="C411">
        <v>55</v>
      </c>
      <c r="D411" s="12" t="s">
        <v>24</v>
      </c>
      <c r="E411" s="12" t="s">
        <v>3656</v>
      </c>
      <c r="F411" s="12" t="s">
        <v>25</v>
      </c>
      <c r="G411" s="12" t="s">
        <v>2821</v>
      </c>
      <c r="H411" s="12" t="s">
        <v>26</v>
      </c>
    </row>
    <row r="412" spans="1:8">
      <c r="A412" t="s">
        <v>1326</v>
      </c>
      <c r="B412" s="12" t="s">
        <v>3657</v>
      </c>
      <c r="C412">
        <v>48</v>
      </c>
      <c r="D412" s="12" t="s">
        <v>34</v>
      </c>
      <c r="E412" s="12" t="s">
        <v>3658</v>
      </c>
      <c r="F412" s="12" t="s">
        <v>204</v>
      </c>
      <c r="G412" s="12" t="s">
        <v>2821</v>
      </c>
      <c r="H412" s="12" t="s">
        <v>73</v>
      </c>
    </row>
    <row r="413" spans="1:8">
      <c r="A413" t="s">
        <v>1318</v>
      </c>
      <c r="B413" s="12" t="s">
        <v>3659</v>
      </c>
      <c r="C413">
        <v>63</v>
      </c>
      <c r="D413" s="12" t="s">
        <v>24</v>
      </c>
      <c r="E413" s="12" t="s">
        <v>3660</v>
      </c>
      <c r="F413" s="12" t="s">
        <v>308</v>
      </c>
      <c r="G413" s="12" t="s">
        <v>2821</v>
      </c>
      <c r="H413" s="12" t="s">
        <v>60</v>
      </c>
    </row>
    <row r="414" spans="1:8">
      <c r="A414" t="s">
        <v>206</v>
      </c>
      <c r="B414" s="12" t="s">
        <v>3661</v>
      </c>
      <c r="C414">
        <v>23</v>
      </c>
      <c r="D414" s="12" t="s">
        <v>34</v>
      </c>
      <c r="E414" s="12" t="s">
        <v>2947</v>
      </c>
      <c r="F414" s="12" t="s">
        <v>209</v>
      </c>
      <c r="G414" s="12" t="s">
        <v>2821</v>
      </c>
      <c r="H414" s="12" t="s">
        <v>26</v>
      </c>
    </row>
    <row r="415" spans="1:8">
      <c r="A415" t="s">
        <v>1002</v>
      </c>
      <c r="B415" s="12" t="s">
        <v>3662</v>
      </c>
      <c r="C415">
        <v>59</v>
      </c>
      <c r="D415" s="12" t="s">
        <v>34</v>
      </c>
      <c r="E415" s="12" t="s">
        <v>3663</v>
      </c>
      <c r="F415" s="12" t="s">
        <v>128</v>
      </c>
      <c r="G415" s="12" t="s">
        <v>2821</v>
      </c>
      <c r="H415" s="12" t="s">
        <v>73</v>
      </c>
    </row>
    <row r="416" spans="1:8">
      <c r="A416" t="s">
        <v>1847</v>
      </c>
      <c r="B416" s="12" t="s">
        <v>3664</v>
      </c>
      <c r="C416">
        <v>35</v>
      </c>
      <c r="D416" s="12" t="s">
        <v>34</v>
      </c>
      <c r="E416" s="12" t="s">
        <v>3665</v>
      </c>
      <c r="F416" s="12" t="s">
        <v>80</v>
      </c>
      <c r="G416" s="12" t="s">
        <v>2821</v>
      </c>
      <c r="H416" s="12" t="s">
        <v>26</v>
      </c>
    </row>
    <row r="417" spans="1:8">
      <c r="A417" t="s">
        <v>587</v>
      </c>
      <c r="B417" s="12" t="s">
        <v>3666</v>
      </c>
      <c r="C417">
        <v>26</v>
      </c>
      <c r="D417" s="12" t="s">
        <v>34</v>
      </c>
      <c r="E417" s="12" t="s">
        <v>3667</v>
      </c>
      <c r="F417" s="12" t="s">
        <v>444</v>
      </c>
      <c r="G417" s="12" t="s">
        <v>2821</v>
      </c>
      <c r="H417" s="12" t="s">
        <v>60</v>
      </c>
    </row>
    <row r="418" spans="1:8">
      <c r="A418" t="s">
        <v>298</v>
      </c>
      <c r="B418" s="12" t="s">
        <v>3668</v>
      </c>
      <c r="C418">
        <v>46</v>
      </c>
      <c r="D418" s="12" t="s">
        <v>24</v>
      </c>
      <c r="E418" s="12" t="s">
        <v>3669</v>
      </c>
      <c r="F418" s="12" t="s">
        <v>199</v>
      </c>
      <c r="G418" s="12" t="s">
        <v>2821</v>
      </c>
      <c r="H418" s="12" t="s">
        <v>52</v>
      </c>
    </row>
    <row r="419" spans="1:8">
      <c r="A419" t="s">
        <v>825</v>
      </c>
      <c r="B419" s="12" t="s">
        <v>3670</v>
      </c>
      <c r="C419">
        <v>64</v>
      </c>
      <c r="D419" s="12" t="s">
        <v>34</v>
      </c>
      <c r="E419" s="12" t="s">
        <v>3671</v>
      </c>
      <c r="F419" s="12" t="s">
        <v>256</v>
      </c>
      <c r="G419" s="12" t="s">
        <v>2821</v>
      </c>
      <c r="H419" s="12" t="s">
        <v>73</v>
      </c>
    </row>
    <row r="420" spans="1:8">
      <c r="A420" t="s">
        <v>1116</v>
      </c>
      <c r="B420" s="12" t="s">
        <v>3672</v>
      </c>
      <c r="C420">
        <v>60</v>
      </c>
      <c r="D420" s="12" t="s">
        <v>34</v>
      </c>
      <c r="E420" s="12" t="s">
        <v>3673</v>
      </c>
      <c r="F420" s="12" t="s">
        <v>214</v>
      </c>
      <c r="G420" s="12" t="s">
        <v>2821</v>
      </c>
      <c r="H420" s="12" t="s">
        <v>60</v>
      </c>
    </row>
    <row r="421" spans="1:8">
      <c r="A421" t="s">
        <v>466</v>
      </c>
      <c r="B421" s="12" t="s">
        <v>3674</v>
      </c>
      <c r="C421">
        <v>33</v>
      </c>
      <c r="D421" s="12" t="s">
        <v>24</v>
      </c>
      <c r="E421" s="12" t="s">
        <v>3675</v>
      </c>
      <c r="F421" s="12" t="s">
        <v>231</v>
      </c>
      <c r="G421" s="12" t="s">
        <v>2821</v>
      </c>
      <c r="H421" s="12" t="s">
        <v>26</v>
      </c>
    </row>
    <row r="422" spans="1:8">
      <c r="A422" t="s">
        <v>278</v>
      </c>
      <c r="B422" s="12" t="s">
        <v>3676</v>
      </c>
      <c r="C422">
        <v>60</v>
      </c>
      <c r="D422" s="12" t="s">
        <v>24</v>
      </c>
      <c r="E422" s="12" t="s">
        <v>3677</v>
      </c>
      <c r="F422" s="12" t="s">
        <v>256</v>
      </c>
      <c r="G422" s="12" t="s">
        <v>2821</v>
      </c>
      <c r="H422" s="12" t="s">
        <v>73</v>
      </c>
    </row>
    <row r="423" spans="1:8">
      <c r="A423" t="s">
        <v>1759</v>
      </c>
      <c r="B423" s="12" t="s">
        <v>3678</v>
      </c>
      <c r="C423">
        <v>45</v>
      </c>
      <c r="D423" s="12" t="s">
        <v>34</v>
      </c>
      <c r="E423" s="12" t="s">
        <v>3679</v>
      </c>
      <c r="F423" s="12" t="s">
        <v>91</v>
      </c>
      <c r="G423" s="12" t="s">
        <v>2821</v>
      </c>
      <c r="H423" s="12" t="s">
        <v>52</v>
      </c>
    </row>
    <row r="424" spans="1:8">
      <c r="A424" t="s">
        <v>1064</v>
      </c>
      <c r="B424" s="12" t="s">
        <v>3680</v>
      </c>
      <c r="C424">
        <v>42</v>
      </c>
      <c r="D424" s="12" t="s">
        <v>34</v>
      </c>
      <c r="E424" s="12" t="s">
        <v>3681</v>
      </c>
      <c r="F424" s="12" t="s">
        <v>333</v>
      </c>
      <c r="G424" s="12" t="s">
        <v>2821</v>
      </c>
      <c r="H424" s="12" t="s">
        <v>52</v>
      </c>
    </row>
    <row r="425" spans="1:8">
      <c r="A425" t="s">
        <v>332</v>
      </c>
      <c r="B425" s="12" t="s">
        <v>3682</v>
      </c>
      <c r="C425">
        <v>35</v>
      </c>
      <c r="D425" s="12" t="s">
        <v>24</v>
      </c>
      <c r="E425" s="12" t="s">
        <v>3683</v>
      </c>
      <c r="F425" s="12" t="s">
        <v>333</v>
      </c>
      <c r="G425" s="12" t="s">
        <v>2821</v>
      </c>
      <c r="H425" s="12" t="s">
        <v>60</v>
      </c>
    </row>
    <row r="426" spans="1:8">
      <c r="A426" t="s">
        <v>643</v>
      </c>
      <c r="B426" s="12" t="s">
        <v>3684</v>
      </c>
      <c r="C426">
        <v>53</v>
      </c>
      <c r="D426" s="12" t="s">
        <v>24</v>
      </c>
      <c r="E426" s="12" t="s">
        <v>3685</v>
      </c>
      <c r="F426" s="12" t="s">
        <v>256</v>
      </c>
      <c r="G426" s="12" t="s">
        <v>2821</v>
      </c>
      <c r="H426" s="12" t="s">
        <v>73</v>
      </c>
    </row>
    <row r="427" spans="1:8">
      <c r="A427" t="s">
        <v>1290</v>
      </c>
      <c r="B427" s="12" t="s">
        <v>3686</v>
      </c>
      <c r="C427">
        <v>40</v>
      </c>
      <c r="D427" s="12" t="s">
        <v>24</v>
      </c>
      <c r="E427" s="12" t="s">
        <v>3687</v>
      </c>
      <c r="F427" s="12" t="s">
        <v>410</v>
      </c>
      <c r="G427" s="12" t="s">
        <v>2821</v>
      </c>
      <c r="H427" s="12" t="s">
        <v>73</v>
      </c>
    </row>
    <row r="428" spans="1:8">
      <c r="A428" t="s">
        <v>1770</v>
      </c>
      <c r="B428" s="12" t="s">
        <v>3688</v>
      </c>
      <c r="C428">
        <v>28</v>
      </c>
      <c r="D428" s="12" t="s">
        <v>24</v>
      </c>
      <c r="E428" s="12" t="s">
        <v>3689</v>
      </c>
      <c r="F428" s="12" t="s">
        <v>256</v>
      </c>
      <c r="G428" s="12" t="s">
        <v>2821</v>
      </c>
      <c r="H428" s="12" t="s">
        <v>52</v>
      </c>
    </row>
    <row r="429" spans="1:8">
      <c r="A429" t="s">
        <v>517</v>
      </c>
      <c r="B429" s="12" t="s">
        <v>3690</v>
      </c>
      <c r="C429">
        <v>18</v>
      </c>
      <c r="D429" s="12" t="s">
        <v>34</v>
      </c>
      <c r="E429" s="12" t="s">
        <v>3691</v>
      </c>
      <c r="F429" s="12" t="s">
        <v>193</v>
      </c>
      <c r="G429" s="12" t="s">
        <v>2821</v>
      </c>
      <c r="H429" s="12" t="s">
        <v>26</v>
      </c>
    </row>
    <row r="430" spans="1:8">
      <c r="A430" t="s">
        <v>624</v>
      </c>
      <c r="B430" s="12" t="s">
        <v>3692</v>
      </c>
      <c r="C430">
        <v>27</v>
      </c>
      <c r="D430" s="12" t="s">
        <v>34</v>
      </c>
      <c r="E430" s="12" t="s">
        <v>3693</v>
      </c>
      <c r="F430" s="12" t="s">
        <v>378</v>
      </c>
      <c r="G430" s="12" t="s">
        <v>2821</v>
      </c>
      <c r="H430" s="12" t="s">
        <v>73</v>
      </c>
    </row>
    <row r="431" spans="1:8">
      <c r="A431" t="s">
        <v>3694</v>
      </c>
      <c r="B431" s="12" t="s">
        <v>3695</v>
      </c>
      <c r="C431">
        <v>43</v>
      </c>
      <c r="D431" s="12" t="s">
        <v>24</v>
      </c>
      <c r="E431" s="12" t="s">
        <v>3696</v>
      </c>
      <c r="F431" s="12" t="s">
        <v>128</v>
      </c>
      <c r="G431" s="12" t="s">
        <v>2821</v>
      </c>
      <c r="H431" s="12" t="s">
        <v>52</v>
      </c>
    </row>
    <row r="432" spans="1:8">
      <c r="A432" t="s">
        <v>1282</v>
      </c>
      <c r="B432" s="12" t="s">
        <v>3697</v>
      </c>
      <c r="C432">
        <v>36</v>
      </c>
      <c r="D432" s="12" t="s">
        <v>34</v>
      </c>
      <c r="E432" s="12" t="s">
        <v>3698</v>
      </c>
      <c r="F432" s="12" t="s">
        <v>204</v>
      </c>
      <c r="G432" s="12" t="s">
        <v>2821</v>
      </c>
      <c r="H432" s="12" t="s">
        <v>26</v>
      </c>
    </row>
    <row r="433" spans="1:8">
      <c r="A433" t="s">
        <v>241</v>
      </c>
      <c r="B433" s="12" t="s">
        <v>3699</v>
      </c>
      <c r="C433">
        <v>27</v>
      </c>
      <c r="D433" s="12" t="s">
        <v>24</v>
      </c>
      <c r="E433" s="12" t="s">
        <v>3700</v>
      </c>
      <c r="F433" s="12" t="s">
        <v>227</v>
      </c>
      <c r="G433" s="12" t="s">
        <v>2821</v>
      </c>
      <c r="H433" s="12" t="s">
        <v>52</v>
      </c>
    </row>
    <row r="434" spans="1:8">
      <c r="A434" t="s">
        <v>1919</v>
      </c>
      <c r="B434" s="12" t="s">
        <v>3701</v>
      </c>
      <c r="C434">
        <v>37</v>
      </c>
      <c r="D434" s="12" t="s">
        <v>24</v>
      </c>
      <c r="E434" s="12" t="s">
        <v>3702</v>
      </c>
      <c r="F434" s="12" t="s">
        <v>204</v>
      </c>
      <c r="G434" s="12" t="s">
        <v>2821</v>
      </c>
      <c r="H434" s="12" t="s">
        <v>73</v>
      </c>
    </row>
    <row r="435" spans="1:8">
      <c r="A435" t="s">
        <v>778</v>
      </c>
      <c r="B435" s="12" t="s">
        <v>3703</v>
      </c>
      <c r="C435">
        <v>51</v>
      </c>
      <c r="D435" s="12" t="s">
        <v>34</v>
      </c>
      <c r="E435" s="12" t="s">
        <v>3704</v>
      </c>
      <c r="F435" s="12" t="s">
        <v>161</v>
      </c>
      <c r="G435" s="12" t="s">
        <v>2821</v>
      </c>
      <c r="H435" s="12" t="s">
        <v>60</v>
      </c>
    </row>
    <row r="436" spans="1:8">
      <c r="A436" t="s">
        <v>2710</v>
      </c>
      <c r="B436" s="12" t="s">
        <v>3705</v>
      </c>
      <c r="C436">
        <v>48</v>
      </c>
      <c r="D436" s="12" t="s">
        <v>34</v>
      </c>
      <c r="E436" s="12" t="s">
        <v>3706</v>
      </c>
      <c r="F436" s="12" t="s">
        <v>260</v>
      </c>
      <c r="G436" s="12" t="s">
        <v>2821</v>
      </c>
      <c r="H436" s="12" t="s">
        <v>26</v>
      </c>
    </row>
    <row r="437" spans="1:8">
      <c r="A437" t="s">
        <v>125</v>
      </c>
      <c r="B437" s="12" t="s">
        <v>3707</v>
      </c>
      <c r="C437">
        <v>37</v>
      </c>
      <c r="D437" s="12" t="s">
        <v>34</v>
      </c>
      <c r="E437" s="12" t="s">
        <v>3708</v>
      </c>
      <c r="F437" s="12" t="s">
        <v>128</v>
      </c>
      <c r="G437" s="12" t="s">
        <v>2821</v>
      </c>
      <c r="H437" s="12" t="s">
        <v>60</v>
      </c>
    </row>
    <row r="438" spans="1:8">
      <c r="A438" t="s">
        <v>1790</v>
      </c>
      <c r="B438" s="12" t="s">
        <v>3709</v>
      </c>
      <c r="C438">
        <v>61</v>
      </c>
      <c r="D438" s="12" t="s">
        <v>24</v>
      </c>
      <c r="E438" s="12" t="s">
        <v>3710</v>
      </c>
      <c r="F438" s="12" t="s">
        <v>345</v>
      </c>
      <c r="G438" s="12" t="s">
        <v>2821</v>
      </c>
      <c r="H438" s="12" t="s">
        <v>26</v>
      </c>
    </row>
    <row r="439" spans="1:8">
      <c r="A439" t="s">
        <v>667</v>
      </c>
      <c r="B439" s="12" t="s">
        <v>3711</v>
      </c>
      <c r="C439">
        <v>47</v>
      </c>
      <c r="D439" s="12" t="s">
        <v>34</v>
      </c>
      <c r="E439" s="12" t="s">
        <v>3201</v>
      </c>
      <c r="F439" s="12" t="s">
        <v>214</v>
      </c>
      <c r="G439" s="12" t="s">
        <v>2821</v>
      </c>
      <c r="H439" s="12" t="s">
        <v>52</v>
      </c>
    </row>
    <row r="440" spans="1:8">
      <c r="A440" t="s">
        <v>878</v>
      </c>
      <c r="B440" s="12" t="s">
        <v>3712</v>
      </c>
      <c r="C440">
        <v>59</v>
      </c>
      <c r="D440" s="12" t="s">
        <v>34</v>
      </c>
      <c r="E440" s="12" t="s">
        <v>3713</v>
      </c>
      <c r="F440" s="12" t="s">
        <v>51</v>
      </c>
      <c r="G440" s="12" t="s">
        <v>2821</v>
      </c>
      <c r="H440" s="12" t="s">
        <v>52</v>
      </c>
    </row>
    <row r="441" spans="1:8">
      <c r="A441" t="s">
        <v>2125</v>
      </c>
      <c r="B441" s="12" t="s">
        <v>3714</v>
      </c>
      <c r="C441">
        <v>53</v>
      </c>
      <c r="D441" s="12" t="s">
        <v>24</v>
      </c>
      <c r="E441" s="12" t="s">
        <v>3425</v>
      </c>
      <c r="F441" s="12" t="s">
        <v>209</v>
      </c>
      <c r="G441" s="12" t="s">
        <v>2821</v>
      </c>
      <c r="H441" s="12" t="s">
        <v>60</v>
      </c>
    </row>
    <row r="442" spans="1:8">
      <c r="A442" t="s">
        <v>1341</v>
      </c>
      <c r="B442" s="12" t="s">
        <v>3715</v>
      </c>
      <c r="C442">
        <v>60</v>
      </c>
      <c r="D442" s="12" t="s">
        <v>24</v>
      </c>
      <c r="E442" s="12" t="s">
        <v>3716</v>
      </c>
      <c r="F442" s="12" t="s">
        <v>188</v>
      </c>
      <c r="G442" s="12" t="s">
        <v>2821</v>
      </c>
      <c r="H442" s="12" t="s">
        <v>60</v>
      </c>
    </row>
    <row r="443" spans="1:8">
      <c r="A443" t="s">
        <v>1558</v>
      </c>
      <c r="B443" s="12" t="s">
        <v>3717</v>
      </c>
      <c r="C443">
        <v>31</v>
      </c>
      <c r="D443" s="12" t="s">
        <v>24</v>
      </c>
      <c r="E443" s="12" t="s">
        <v>3718</v>
      </c>
      <c r="F443" s="12" t="s">
        <v>199</v>
      </c>
      <c r="G443" s="12" t="s">
        <v>2821</v>
      </c>
      <c r="H443" s="12" t="s">
        <v>60</v>
      </c>
    </row>
    <row r="444" spans="1:8">
      <c r="A444" t="s">
        <v>679</v>
      </c>
      <c r="B444" s="12" t="s">
        <v>3719</v>
      </c>
      <c r="C444">
        <v>42</v>
      </c>
      <c r="D444" s="12" t="s">
        <v>34</v>
      </c>
      <c r="E444" s="12" t="s">
        <v>3720</v>
      </c>
      <c r="F444" s="12" t="s">
        <v>609</v>
      </c>
      <c r="G444" s="12" t="s">
        <v>2821</v>
      </c>
      <c r="H444" s="12" t="s">
        <v>73</v>
      </c>
    </row>
    <row r="445" spans="1:8">
      <c r="A445" t="s">
        <v>115</v>
      </c>
      <c r="B445" s="12" t="s">
        <v>3721</v>
      </c>
      <c r="C445">
        <v>51</v>
      </c>
      <c r="D445" s="12" t="s">
        <v>24</v>
      </c>
      <c r="E445" s="12" t="s">
        <v>3722</v>
      </c>
      <c r="F445" s="12" t="s">
        <v>118</v>
      </c>
      <c r="G445" s="12" t="s">
        <v>2821</v>
      </c>
      <c r="H445" s="12" t="s">
        <v>60</v>
      </c>
    </row>
    <row r="446" spans="1:8">
      <c r="A446" t="s">
        <v>1731</v>
      </c>
      <c r="B446" s="12" t="s">
        <v>3723</v>
      </c>
      <c r="C446">
        <v>19</v>
      </c>
      <c r="D446" s="12" t="s">
        <v>24</v>
      </c>
      <c r="E446" s="12" t="s">
        <v>3724</v>
      </c>
      <c r="F446" s="12" t="s">
        <v>25</v>
      </c>
      <c r="G446" s="12" t="s">
        <v>2821</v>
      </c>
      <c r="H446" s="12" t="s">
        <v>26</v>
      </c>
    </row>
    <row r="447" spans="1:8">
      <c r="A447" t="s">
        <v>1134</v>
      </c>
      <c r="B447" s="12" t="s">
        <v>3725</v>
      </c>
      <c r="C447">
        <v>41</v>
      </c>
      <c r="D447" s="12" t="s">
        <v>34</v>
      </c>
      <c r="E447" s="12" t="s">
        <v>3726</v>
      </c>
      <c r="F447" s="12" t="s">
        <v>498</v>
      </c>
      <c r="G447" s="12" t="s">
        <v>2821</v>
      </c>
      <c r="H447" s="12" t="s">
        <v>52</v>
      </c>
    </row>
    <row r="448" spans="1:8">
      <c r="A448" t="s">
        <v>1416</v>
      </c>
      <c r="B448" s="12" t="s">
        <v>3727</v>
      </c>
      <c r="C448">
        <v>35</v>
      </c>
      <c r="D448" s="12" t="s">
        <v>24</v>
      </c>
      <c r="E448" s="12" t="s">
        <v>3728</v>
      </c>
      <c r="F448" s="12" t="s">
        <v>169</v>
      </c>
      <c r="G448" s="12" t="s">
        <v>2821</v>
      </c>
      <c r="H448" s="12" t="s">
        <v>60</v>
      </c>
    </row>
    <row r="449" spans="1:8">
      <c r="A449" t="s">
        <v>2222</v>
      </c>
      <c r="B449" s="12" t="s">
        <v>3729</v>
      </c>
      <c r="C449">
        <v>45</v>
      </c>
      <c r="D449" s="12" t="s">
        <v>24</v>
      </c>
      <c r="E449" s="12" t="s">
        <v>3730</v>
      </c>
      <c r="F449" s="12" t="s">
        <v>256</v>
      </c>
      <c r="G449" s="12" t="s">
        <v>2821</v>
      </c>
      <c r="H449" s="12" t="s">
        <v>26</v>
      </c>
    </row>
    <row r="450" spans="1:8">
      <c r="A450" t="s">
        <v>654</v>
      </c>
      <c r="B450" s="12" t="s">
        <v>3731</v>
      </c>
      <c r="C450">
        <v>64</v>
      </c>
      <c r="D450" s="12" t="s">
        <v>34</v>
      </c>
      <c r="E450" s="12" t="s">
        <v>3732</v>
      </c>
      <c r="F450" s="12" t="s">
        <v>25</v>
      </c>
      <c r="G450" s="12" t="s">
        <v>2821</v>
      </c>
      <c r="H450" s="12" t="s">
        <v>73</v>
      </c>
    </row>
    <row r="451" spans="1:8">
      <c r="A451" t="s">
        <v>748</v>
      </c>
      <c r="B451" s="12" t="s">
        <v>3733</v>
      </c>
      <c r="C451">
        <v>29</v>
      </c>
      <c r="D451" s="12" t="s">
        <v>24</v>
      </c>
      <c r="E451" s="12" t="s">
        <v>3734</v>
      </c>
      <c r="F451" s="12" t="s">
        <v>308</v>
      </c>
      <c r="G451" s="12" t="s">
        <v>2821</v>
      </c>
      <c r="H451" s="12" t="s">
        <v>73</v>
      </c>
    </row>
    <row r="452" spans="1:8">
      <c r="A452" t="s">
        <v>2037</v>
      </c>
      <c r="B452" s="12" t="s">
        <v>3735</v>
      </c>
      <c r="C452">
        <v>59</v>
      </c>
      <c r="D452" s="12" t="s">
        <v>24</v>
      </c>
      <c r="E452" s="12" t="s">
        <v>3736</v>
      </c>
      <c r="F452" s="12" t="s">
        <v>761</v>
      </c>
      <c r="G452" s="12" t="s">
        <v>2821</v>
      </c>
      <c r="H452" s="12" t="s">
        <v>73</v>
      </c>
    </row>
    <row r="453" spans="1:8">
      <c r="A453" t="s">
        <v>851</v>
      </c>
      <c r="B453" s="12" t="s">
        <v>3737</v>
      </c>
      <c r="C453">
        <v>46</v>
      </c>
      <c r="D453" s="12" t="s">
        <v>24</v>
      </c>
      <c r="E453" s="12" t="s">
        <v>3179</v>
      </c>
      <c r="F453" s="12" t="s">
        <v>222</v>
      </c>
      <c r="G453" s="12" t="s">
        <v>2821</v>
      </c>
      <c r="H453" s="12" t="s">
        <v>26</v>
      </c>
    </row>
    <row r="454" spans="1:8">
      <c r="A454" t="s">
        <v>1226</v>
      </c>
      <c r="B454" s="12" t="s">
        <v>3738</v>
      </c>
      <c r="C454">
        <v>60</v>
      </c>
      <c r="D454" s="12" t="s">
        <v>34</v>
      </c>
      <c r="E454" s="12" t="s">
        <v>3739</v>
      </c>
      <c r="F454" s="12" t="s">
        <v>231</v>
      </c>
      <c r="G454" s="12" t="s">
        <v>2821</v>
      </c>
      <c r="H454" s="12" t="s">
        <v>73</v>
      </c>
    </row>
    <row r="455" spans="1:8">
      <c r="A455" t="s">
        <v>217</v>
      </c>
      <c r="B455" s="12" t="s">
        <v>3740</v>
      </c>
      <c r="C455">
        <v>62</v>
      </c>
      <c r="D455" s="12" t="s">
        <v>34</v>
      </c>
      <c r="E455" s="12" t="s">
        <v>3741</v>
      </c>
      <c r="F455" s="12" t="s">
        <v>218</v>
      </c>
      <c r="G455" s="12" t="s">
        <v>2821</v>
      </c>
      <c r="H455" s="12" t="s">
        <v>52</v>
      </c>
    </row>
    <row r="456" spans="1:8">
      <c r="A456" t="s">
        <v>2800</v>
      </c>
      <c r="B456" s="12" t="s">
        <v>3742</v>
      </c>
      <c r="C456">
        <v>60</v>
      </c>
      <c r="D456" s="12" t="s">
        <v>24</v>
      </c>
      <c r="E456" s="12" t="s">
        <v>2903</v>
      </c>
      <c r="F456" s="12" t="s">
        <v>169</v>
      </c>
      <c r="G456" s="12" t="s">
        <v>2821</v>
      </c>
      <c r="H456" s="12" t="s">
        <v>26</v>
      </c>
    </row>
    <row r="457" spans="1:8">
      <c r="A457" t="s">
        <v>961</v>
      </c>
      <c r="B457" s="12" t="s">
        <v>3743</v>
      </c>
      <c r="C457">
        <v>54</v>
      </c>
      <c r="D457" s="12" t="s">
        <v>24</v>
      </c>
      <c r="E457" s="12" t="s">
        <v>3744</v>
      </c>
      <c r="F457" s="12" t="s">
        <v>932</v>
      </c>
      <c r="G457" s="12" t="s">
        <v>2821</v>
      </c>
      <c r="H457" s="12" t="s">
        <v>26</v>
      </c>
    </row>
    <row r="458" spans="1:8">
      <c r="A458" t="s">
        <v>1385</v>
      </c>
      <c r="B458" s="12" t="s">
        <v>3745</v>
      </c>
      <c r="C458">
        <v>59</v>
      </c>
      <c r="D458" s="12" t="s">
        <v>34</v>
      </c>
      <c r="E458" s="12" t="s">
        <v>3746</v>
      </c>
      <c r="F458" s="12" t="s">
        <v>140</v>
      </c>
      <c r="G458" s="12" t="s">
        <v>2821</v>
      </c>
      <c r="H458" s="12" t="s">
        <v>26</v>
      </c>
    </row>
    <row r="459" spans="1:8">
      <c r="A459" t="s">
        <v>1582</v>
      </c>
      <c r="B459" s="12" t="s">
        <v>3747</v>
      </c>
      <c r="C459">
        <v>59</v>
      </c>
      <c r="D459" s="12" t="s">
        <v>24</v>
      </c>
      <c r="E459" s="12" t="s">
        <v>3748</v>
      </c>
      <c r="F459" s="12" t="s">
        <v>239</v>
      </c>
      <c r="G459" s="12" t="s">
        <v>2821</v>
      </c>
      <c r="H459" s="12" t="s">
        <v>52</v>
      </c>
    </row>
    <row r="460" spans="1:8">
      <c r="A460" t="s">
        <v>898</v>
      </c>
      <c r="B460" s="12" t="s">
        <v>3749</v>
      </c>
      <c r="C460">
        <v>62</v>
      </c>
      <c r="D460" s="12" t="s">
        <v>34</v>
      </c>
      <c r="E460" s="12" t="s">
        <v>3750</v>
      </c>
      <c r="F460" s="12" t="s">
        <v>44</v>
      </c>
      <c r="G460" s="12" t="s">
        <v>2821</v>
      </c>
      <c r="H460" s="12" t="s">
        <v>60</v>
      </c>
    </row>
    <row r="461" spans="1:8">
      <c r="A461" t="s">
        <v>538</v>
      </c>
      <c r="B461" s="12" t="s">
        <v>3255</v>
      </c>
      <c r="C461">
        <v>29</v>
      </c>
      <c r="D461" s="12" t="s">
        <v>34</v>
      </c>
      <c r="E461" s="12" t="s">
        <v>3751</v>
      </c>
      <c r="F461" s="12" t="s">
        <v>457</v>
      </c>
      <c r="G461" s="12" t="s">
        <v>2821</v>
      </c>
      <c r="H461" s="12" t="s">
        <v>26</v>
      </c>
    </row>
    <row r="462" spans="1:8">
      <c r="A462" t="s">
        <v>2464</v>
      </c>
      <c r="B462" s="12" t="s">
        <v>3752</v>
      </c>
      <c r="C462">
        <v>35</v>
      </c>
      <c r="D462" s="12" t="s">
        <v>24</v>
      </c>
      <c r="E462" s="12" t="s">
        <v>3753</v>
      </c>
      <c r="F462" s="12" t="s">
        <v>106</v>
      </c>
      <c r="G462" s="12" t="s">
        <v>2821</v>
      </c>
      <c r="H462" s="12" t="s">
        <v>26</v>
      </c>
    </row>
    <row r="463" spans="1:8">
      <c r="A463" t="s">
        <v>1235</v>
      </c>
      <c r="B463" s="12" t="s">
        <v>3754</v>
      </c>
      <c r="C463">
        <v>60</v>
      </c>
      <c r="D463" s="12" t="s">
        <v>34</v>
      </c>
      <c r="E463" s="12" t="s">
        <v>3755</v>
      </c>
      <c r="F463" s="12" t="s">
        <v>333</v>
      </c>
      <c r="G463" s="12" t="s">
        <v>2821</v>
      </c>
      <c r="H463" s="12" t="s">
        <v>60</v>
      </c>
    </row>
    <row r="464" spans="1:8">
      <c r="A464" t="s">
        <v>617</v>
      </c>
      <c r="B464" s="12" t="s">
        <v>3756</v>
      </c>
      <c r="C464">
        <v>34</v>
      </c>
      <c r="D464" s="12" t="s">
        <v>34</v>
      </c>
      <c r="E464" s="12" t="s">
        <v>3757</v>
      </c>
      <c r="F464" s="12" t="s">
        <v>356</v>
      </c>
      <c r="G464" s="12" t="s">
        <v>2821</v>
      </c>
      <c r="H464" s="12" t="s">
        <v>60</v>
      </c>
    </row>
    <row r="465" spans="1:8">
      <c r="A465" t="s">
        <v>734</v>
      </c>
      <c r="B465" s="12" t="s">
        <v>3758</v>
      </c>
      <c r="C465">
        <v>36</v>
      </c>
      <c r="D465" s="12" t="s">
        <v>34</v>
      </c>
      <c r="E465" s="12" t="s">
        <v>3759</v>
      </c>
      <c r="F465" s="12" t="s">
        <v>440</v>
      </c>
      <c r="G465" s="12" t="s">
        <v>2821</v>
      </c>
      <c r="H465" s="12" t="s">
        <v>73</v>
      </c>
    </row>
    <row r="466" spans="1:8">
      <c r="A466" t="s">
        <v>88</v>
      </c>
      <c r="B466" s="12" t="s">
        <v>3760</v>
      </c>
      <c r="C466">
        <v>45</v>
      </c>
      <c r="D466" s="12" t="s">
        <v>34</v>
      </c>
      <c r="E466" s="12" t="s">
        <v>3761</v>
      </c>
      <c r="F466" s="12" t="s">
        <v>91</v>
      </c>
      <c r="G466" s="12" t="s">
        <v>2821</v>
      </c>
      <c r="H466" s="12" t="s">
        <v>52</v>
      </c>
    </row>
    <row r="467" spans="1:8">
      <c r="A467" t="s">
        <v>1633</v>
      </c>
      <c r="B467" s="12" t="s">
        <v>3762</v>
      </c>
      <c r="C467">
        <v>28</v>
      </c>
      <c r="D467" s="12" t="s">
        <v>34</v>
      </c>
      <c r="E467" s="12" t="s">
        <v>3763</v>
      </c>
      <c r="F467" s="12" t="s">
        <v>256</v>
      </c>
      <c r="G467" s="12" t="s">
        <v>2821</v>
      </c>
      <c r="H467" s="12" t="s">
        <v>60</v>
      </c>
    </row>
    <row r="468" spans="1:8">
      <c r="A468" t="s">
        <v>819</v>
      </c>
      <c r="B468" s="12" t="s">
        <v>3764</v>
      </c>
      <c r="C468">
        <v>18</v>
      </c>
      <c r="D468" s="12" t="s">
        <v>24</v>
      </c>
      <c r="E468" s="12" t="s">
        <v>3765</v>
      </c>
      <c r="F468" s="12" t="s">
        <v>510</v>
      </c>
      <c r="G468" s="12" t="s">
        <v>2821</v>
      </c>
      <c r="H468" s="12" t="s">
        <v>60</v>
      </c>
    </row>
    <row r="469" spans="1:8">
      <c r="A469" t="s">
        <v>30</v>
      </c>
      <c r="B469" s="12" t="s">
        <v>3766</v>
      </c>
      <c r="C469">
        <v>63</v>
      </c>
      <c r="D469" s="12" t="s">
        <v>34</v>
      </c>
      <c r="E469" s="12" t="s">
        <v>3767</v>
      </c>
      <c r="F469" s="12" t="s">
        <v>35</v>
      </c>
      <c r="G469" s="12" t="s">
        <v>2821</v>
      </c>
      <c r="H469" s="12" t="s">
        <v>26</v>
      </c>
    </row>
    <row r="470" spans="1:8">
      <c r="A470" t="s">
        <v>843</v>
      </c>
      <c r="B470" s="12" t="s">
        <v>3768</v>
      </c>
      <c r="C470">
        <v>45</v>
      </c>
      <c r="D470" s="12" t="s">
        <v>24</v>
      </c>
      <c r="E470" s="12" t="s">
        <v>3769</v>
      </c>
      <c r="F470" s="12" t="s">
        <v>35</v>
      </c>
      <c r="G470" s="12" t="s">
        <v>2821</v>
      </c>
      <c r="H470" s="12" t="s">
        <v>73</v>
      </c>
    </row>
    <row r="471" spans="1:8">
      <c r="A471" t="s">
        <v>956</v>
      </c>
      <c r="B471" s="12" t="s">
        <v>3770</v>
      </c>
      <c r="C471">
        <v>19</v>
      </c>
      <c r="D471" s="12" t="s">
        <v>24</v>
      </c>
      <c r="E471" s="12" t="s">
        <v>3771</v>
      </c>
      <c r="F471" s="12" t="s">
        <v>410</v>
      </c>
      <c r="G471" s="12" t="s">
        <v>2821</v>
      </c>
      <c r="H471" s="12" t="s">
        <v>26</v>
      </c>
    </row>
    <row r="472" spans="1:8">
      <c r="A472" t="s">
        <v>264</v>
      </c>
      <c r="B472" s="12" t="s">
        <v>3772</v>
      </c>
      <c r="C472">
        <v>21</v>
      </c>
      <c r="D472" s="12" t="s">
        <v>34</v>
      </c>
      <c r="E472" s="12" t="s">
        <v>3773</v>
      </c>
      <c r="F472" s="12" t="s">
        <v>214</v>
      </c>
      <c r="G472" s="12" t="s">
        <v>2821</v>
      </c>
      <c r="H472" s="12" t="s">
        <v>26</v>
      </c>
    </row>
    <row r="473" spans="1:8">
      <c r="A473" t="s">
        <v>756</v>
      </c>
      <c r="B473" s="12" t="s">
        <v>3774</v>
      </c>
      <c r="C473">
        <v>42</v>
      </c>
      <c r="D473" s="12" t="s">
        <v>24</v>
      </c>
      <c r="E473" s="12" t="s">
        <v>3775</v>
      </c>
      <c r="F473" s="12" t="s">
        <v>111</v>
      </c>
      <c r="G473" s="12" t="s">
        <v>2821</v>
      </c>
      <c r="H473" s="12" t="s">
        <v>52</v>
      </c>
    </row>
    <row r="474" spans="1:8">
      <c r="A474" t="s">
        <v>664</v>
      </c>
      <c r="B474" s="12" t="s">
        <v>3776</v>
      </c>
      <c r="C474">
        <v>42</v>
      </c>
      <c r="D474" s="12" t="s">
        <v>24</v>
      </c>
      <c r="E474" s="12" t="s">
        <v>3777</v>
      </c>
      <c r="F474" s="12" t="s">
        <v>463</v>
      </c>
      <c r="G474" s="12" t="s">
        <v>2821</v>
      </c>
      <c r="H474" s="12" t="s">
        <v>60</v>
      </c>
    </row>
    <row r="475" spans="1:8">
      <c r="A475" t="s">
        <v>521</v>
      </c>
      <c r="B475" s="12" t="s">
        <v>3778</v>
      </c>
      <c r="C475">
        <v>53</v>
      </c>
      <c r="D475" s="12" t="s">
        <v>24</v>
      </c>
      <c r="E475" s="12" t="s">
        <v>3779</v>
      </c>
      <c r="F475" s="12" t="s">
        <v>199</v>
      </c>
      <c r="G475" s="12" t="s">
        <v>2821</v>
      </c>
      <c r="H475" s="12" t="s">
        <v>73</v>
      </c>
    </row>
    <row r="476" spans="1:8">
      <c r="A476" t="s">
        <v>1510</v>
      </c>
      <c r="B476" s="12" t="s">
        <v>3780</v>
      </c>
      <c r="C476">
        <v>32</v>
      </c>
      <c r="D476" s="12" t="s">
        <v>34</v>
      </c>
      <c r="E476" s="12" t="s">
        <v>3781</v>
      </c>
      <c r="F476" s="12" t="s">
        <v>345</v>
      </c>
      <c r="G476" s="12" t="s">
        <v>2821</v>
      </c>
      <c r="H476" s="12" t="s">
        <v>52</v>
      </c>
    </row>
    <row r="477" spans="1:8">
      <c r="A477" t="s">
        <v>1517</v>
      </c>
      <c r="B477" s="12" t="s">
        <v>3782</v>
      </c>
      <c r="C477">
        <v>18</v>
      </c>
      <c r="D477" s="12" t="s">
        <v>34</v>
      </c>
      <c r="E477" s="12" t="s">
        <v>3066</v>
      </c>
      <c r="F477" s="12" t="s">
        <v>35</v>
      </c>
      <c r="G477" s="12" t="s">
        <v>2821</v>
      </c>
      <c r="H477" s="12" t="s">
        <v>52</v>
      </c>
    </row>
    <row r="478" spans="1:8">
      <c r="A478" t="s">
        <v>166</v>
      </c>
      <c r="B478" s="12" t="s">
        <v>3783</v>
      </c>
      <c r="C478">
        <v>33</v>
      </c>
      <c r="D478" s="12" t="s">
        <v>34</v>
      </c>
      <c r="E478" s="12" t="s">
        <v>3784</v>
      </c>
      <c r="F478" s="12" t="s">
        <v>169</v>
      </c>
      <c r="G478" s="12" t="s">
        <v>2821</v>
      </c>
      <c r="H478" s="12" t="s">
        <v>26</v>
      </c>
    </row>
    <row r="479" spans="1:8">
      <c r="A479" t="s">
        <v>1062</v>
      </c>
      <c r="B479" s="12" t="s">
        <v>3785</v>
      </c>
      <c r="C479">
        <v>41</v>
      </c>
      <c r="D479" s="12" t="s">
        <v>34</v>
      </c>
      <c r="E479" s="12" t="s">
        <v>3786</v>
      </c>
      <c r="F479" s="12" t="s">
        <v>333</v>
      </c>
      <c r="G479" s="12" t="s">
        <v>2821</v>
      </c>
      <c r="H479" s="12" t="s">
        <v>52</v>
      </c>
    </row>
    <row r="480" spans="1:8">
      <c r="A480" t="s">
        <v>615</v>
      </c>
      <c r="B480" s="12" t="s">
        <v>3787</v>
      </c>
      <c r="C480">
        <v>59</v>
      </c>
      <c r="D480" s="12" t="s">
        <v>24</v>
      </c>
      <c r="E480" s="12" t="s">
        <v>3788</v>
      </c>
      <c r="F480" s="12" t="s">
        <v>345</v>
      </c>
      <c r="G480" s="12" t="s">
        <v>2821</v>
      </c>
      <c r="H480" s="12" t="s">
        <v>26</v>
      </c>
    </row>
    <row r="481" spans="1:8">
      <c r="A481" t="s">
        <v>853</v>
      </c>
      <c r="B481" s="12" t="s">
        <v>3789</v>
      </c>
      <c r="C481">
        <v>40</v>
      </c>
      <c r="D481" s="12" t="s">
        <v>24</v>
      </c>
      <c r="E481" s="12" t="s">
        <v>3790</v>
      </c>
      <c r="F481" s="12" t="s">
        <v>356</v>
      </c>
      <c r="G481" s="12" t="s">
        <v>2821</v>
      </c>
      <c r="H481" s="12" t="s">
        <v>73</v>
      </c>
    </row>
    <row r="482" spans="1:8">
      <c r="A482" t="s">
        <v>1927</v>
      </c>
      <c r="B482" s="12" t="s">
        <v>3791</v>
      </c>
      <c r="C482">
        <v>33</v>
      </c>
      <c r="D482" s="12" t="s">
        <v>24</v>
      </c>
      <c r="E482" s="12" t="s">
        <v>3792</v>
      </c>
      <c r="F482" s="12" t="s">
        <v>235</v>
      </c>
      <c r="G482" s="12" t="s">
        <v>2821</v>
      </c>
      <c r="H482" s="12" t="s">
        <v>73</v>
      </c>
    </row>
    <row r="483" spans="1:8">
      <c r="A483" t="s">
        <v>849</v>
      </c>
      <c r="B483" s="12" t="s">
        <v>3793</v>
      </c>
      <c r="C483">
        <v>21</v>
      </c>
      <c r="D483" s="12" t="s">
        <v>24</v>
      </c>
      <c r="E483" s="12" t="s">
        <v>3794</v>
      </c>
      <c r="F483" s="12" t="s">
        <v>360</v>
      </c>
      <c r="G483" s="12" t="s">
        <v>2821</v>
      </c>
      <c r="H483" s="12" t="s">
        <v>26</v>
      </c>
    </row>
    <row r="484" spans="1:8">
      <c r="A484" t="s">
        <v>1410</v>
      </c>
      <c r="B484" s="12" t="s">
        <v>3795</v>
      </c>
      <c r="C484">
        <v>26</v>
      </c>
      <c r="D484" s="12" t="s">
        <v>24</v>
      </c>
      <c r="E484" s="12" t="s">
        <v>3796</v>
      </c>
      <c r="F484" s="12" t="s">
        <v>239</v>
      </c>
      <c r="G484" s="12" t="s">
        <v>2821</v>
      </c>
      <c r="H484" s="12" t="s">
        <v>52</v>
      </c>
    </row>
    <row r="485" spans="1:8">
      <c r="A485" t="s">
        <v>328</v>
      </c>
      <c r="B485" s="12" t="s">
        <v>3655</v>
      </c>
      <c r="C485">
        <v>48</v>
      </c>
      <c r="D485" s="12" t="s">
        <v>24</v>
      </c>
      <c r="E485" s="12" t="s">
        <v>3797</v>
      </c>
      <c r="F485" s="12" t="s">
        <v>99</v>
      </c>
      <c r="G485" s="12" t="s">
        <v>2821</v>
      </c>
      <c r="H485" s="12" t="s">
        <v>26</v>
      </c>
    </row>
    <row r="486" spans="1:8">
      <c r="A486" t="s">
        <v>799</v>
      </c>
      <c r="B486" s="12" t="s">
        <v>3798</v>
      </c>
      <c r="C486">
        <v>32</v>
      </c>
      <c r="D486" s="12" t="s">
        <v>24</v>
      </c>
      <c r="E486" s="12" t="s">
        <v>3799</v>
      </c>
      <c r="F486" s="12" t="s">
        <v>463</v>
      </c>
      <c r="G486" s="12" t="s">
        <v>2821</v>
      </c>
      <c r="H486" s="12" t="s">
        <v>73</v>
      </c>
    </row>
    <row r="487" spans="1:8">
      <c r="A487" t="s">
        <v>598</v>
      </c>
      <c r="B487" s="12" t="s">
        <v>3800</v>
      </c>
      <c r="C487">
        <v>46</v>
      </c>
      <c r="D487" s="12" t="s">
        <v>34</v>
      </c>
      <c r="E487" s="12" t="s">
        <v>3801</v>
      </c>
      <c r="F487" s="12" t="s">
        <v>498</v>
      </c>
      <c r="G487" s="12" t="s">
        <v>2821</v>
      </c>
      <c r="H487" s="12" t="s">
        <v>73</v>
      </c>
    </row>
    <row r="488" spans="1:8">
      <c r="A488" t="s">
        <v>1367</v>
      </c>
      <c r="B488" s="12" t="s">
        <v>3802</v>
      </c>
      <c r="C488">
        <v>22</v>
      </c>
      <c r="D488" s="12" t="s">
        <v>34</v>
      </c>
      <c r="E488" s="12" t="s">
        <v>3803</v>
      </c>
      <c r="F488" s="12" t="s">
        <v>35</v>
      </c>
      <c r="G488" s="12" t="s">
        <v>2821</v>
      </c>
      <c r="H488" s="12" t="s">
        <v>73</v>
      </c>
    </row>
    <row r="489" spans="1:8">
      <c r="A489" t="s">
        <v>3804</v>
      </c>
      <c r="B489" s="12" t="s">
        <v>3805</v>
      </c>
      <c r="C489">
        <v>36</v>
      </c>
      <c r="D489" s="12" t="s">
        <v>34</v>
      </c>
      <c r="E489" s="12" t="s">
        <v>3806</v>
      </c>
      <c r="F489" s="12" t="s">
        <v>410</v>
      </c>
      <c r="G489" s="12" t="s">
        <v>2821</v>
      </c>
      <c r="H489" s="12" t="s">
        <v>52</v>
      </c>
    </row>
    <row r="490" spans="1:8">
      <c r="A490" t="s">
        <v>1053</v>
      </c>
      <c r="B490" s="12" t="s">
        <v>3807</v>
      </c>
      <c r="C490">
        <v>23</v>
      </c>
      <c r="D490" s="12" t="s">
        <v>34</v>
      </c>
      <c r="E490" s="12" t="s">
        <v>3808</v>
      </c>
      <c r="F490" s="12" t="s">
        <v>227</v>
      </c>
      <c r="G490" s="12" t="s">
        <v>2821</v>
      </c>
      <c r="H490" s="12" t="s">
        <v>52</v>
      </c>
    </row>
    <row r="491" spans="1:8">
      <c r="A491" t="s">
        <v>622</v>
      </c>
      <c r="B491" s="12" t="s">
        <v>3809</v>
      </c>
      <c r="C491">
        <v>42</v>
      </c>
      <c r="D491" s="12" t="s">
        <v>34</v>
      </c>
      <c r="E491" s="12" t="s">
        <v>3810</v>
      </c>
      <c r="F491" s="12" t="s">
        <v>260</v>
      </c>
      <c r="G491" s="12" t="s">
        <v>2821</v>
      </c>
      <c r="H491" s="12" t="s">
        <v>60</v>
      </c>
    </row>
    <row r="492" spans="1:8">
      <c r="A492" t="s">
        <v>806</v>
      </c>
      <c r="B492" s="12" t="s">
        <v>3811</v>
      </c>
      <c r="C492">
        <v>23</v>
      </c>
      <c r="D492" s="12" t="s">
        <v>24</v>
      </c>
      <c r="E492" s="12" t="s">
        <v>3812</v>
      </c>
      <c r="F492" s="12" t="s">
        <v>336</v>
      </c>
      <c r="G492" s="12" t="s">
        <v>2821</v>
      </c>
      <c r="H492" s="12" t="s">
        <v>52</v>
      </c>
    </row>
    <row r="493" spans="1:8">
      <c r="A493" t="s">
        <v>1292</v>
      </c>
      <c r="B493" s="12" t="s">
        <v>3813</v>
      </c>
      <c r="C493">
        <v>52</v>
      </c>
      <c r="D493" s="12" t="s">
        <v>34</v>
      </c>
      <c r="E493" s="12" t="s">
        <v>3814</v>
      </c>
      <c r="F493" s="12" t="s">
        <v>345</v>
      </c>
      <c r="G493" s="12" t="s">
        <v>2821</v>
      </c>
      <c r="H493" s="12" t="s">
        <v>26</v>
      </c>
    </row>
    <row r="494" spans="1:8">
      <c r="A494" t="s">
        <v>233</v>
      </c>
      <c r="B494" s="12" t="s">
        <v>3815</v>
      </c>
      <c r="C494">
        <v>59</v>
      </c>
      <c r="D494" s="12" t="s">
        <v>34</v>
      </c>
      <c r="E494" s="12" t="s">
        <v>3816</v>
      </c>
      <c r="F494" s="12" t="s">
        <v>235</v>
      </c>
      <c r="G494" s="12" t="s">
        <v>2821</v>
      </c>
      <c r="H494" s="12" t="s">
        <v>52</v>
      </c>
    </row>
    <row r="495" spans="1:8">
      <c r="A495" t="s">
        <v>56</v>
      </c>
      <c r="B495" s="12" t="s">
        <v>3817</v>
      </c>
      <c r="C495">
        <v>28</v>
      </c>
      <c r="D495" s="12" t="s">
        <v>24</v>
      </c>
      <c r="E495" s="12" t="s">
        <v>2870</v>
      </c>
      <c r="F495" s="12" t="s">
        <v>59</v>
      </c>
      <c r="G495" s="12" t="s">
        <v>2821</v>
      </c>
      <c r="H495" s="12" t="s">
        <v>60</v>
      </c>
    </row>
    <row r="496" spans="1:8">
      <c r="A496" t="s">
        <v>722</v>
      </c>
      <c r="B496" s="12" t="s">
        <v>3818</v>
      </c>
      <c r="C496">
        <v>21</v>
      </c>
      <c r="D496" s="12" t="s">
        <v>24</v>
      </c>
      <c r="E496" s="12" t="s">
        <v>3819</v>
      </c>
      <c r="F496" s="12" t="s">
        <v>118</v>
      </c>
      <c r="G496" s="12" t="s">
        <v>2821</v>
      </c>
      <c r="H496" s="12" t="s">
        <v>26</v>
      </c>
    </row>
    <row r="497" spans="1:8">
      <c r="A497" t="s">
        <v>697</v>
      </c>
      <c r="B497" s="12" t="s">
        <v>3820</v>
      </c>
      <c r="C497">
        <v>23</v>
      </c>
      <c r="D497" s="12" t="s">
        <v>34</v>
      </c>
      <c r="E497" s="12" t="s">
        <v>3821</v>
      </c>
      <c r="F497" s="12" t="s">
        <v>373</v>
      </c>
      <c r="G497" s="12" t="s">
        <v>2821</v>
      </c>
      <c r="H497" s="12" t="s">
        <v>73</v>
      </c>
    </row>
    <row r="498" spans="1:8">
      <c r="A498" t="s">
        <v>500</v>
      </c>
      <c r="B498" s="12" t="s">
        <v>3822</v>
      </c>
      <c r="C498">
        <v>56</v>
      </c>
      <c r="D498" s="12" t="s">
        <v>24</v>
      </c>
      <c r="E498" s="12" t="s">
        <v>3823</v>
      </c>
      <c r="F498" s="12" t="s">
        <v>308</v>
      </c>
      <c r="G498" s="12" t="s">
        <v>2821</v>
      </c>
      <c r="H498" s="12" t="s">
        <v>73</v>
      </c>
    </row>
    <row r="499" spans="1:8">
      <c r="A499" t="s">
        <v>1430</v>
      </c>
      <c r="B499" s="12" t="s">
        <v>3824</v>
      </c>
      <c r="C499">
        <v>47</v>
      </c>
      <c r="D499" s="12" t="s">
        <v>34</v>
      </c>
      <c r="E499" s="12" t="s">
        <v>3825</v>
      </c>
      <c r="F499" s="12" t="s">
        <v>161</v>
      </c>
      <c r="G499" s="12" t="s">
        <v>2821</v>
      </c>
      <c r="H499" s="12" t="s">
        <v>26</v>
      </c>
    </row>
    <row r="500" spans="1:8">
      <c r="A500" t="s">
        <v>483</v>
      </c>
      <c r="B500" s="12" t="s">
        <v>3826</v>
      </c>
      <c r="C500">
        <v>35</v>
      </c>
      <c r="D500" s="12" t="s">
        <v>24</v>
      </c>
      <c r="E500" s="12" t="s">
        <v>3827</v>
      </c>
      <c r="F500" s="12" t="s">
        <v>222</v>
      </c>
      <c r="G500" s="12" t="s">
        <v>2821</v>
      </c>
      <c r="H500" s="12" t="s">
        <v>60</v>
      </c>
    </row>
    <row r="501" spans="1:8">
      <c r="A501" t="s">
        <v>608</v>
      </c>
      <c r="B501" s="12" t="s">
        <v>3828</v>
      </c>
      <c r="C501">
        <v>27</v>
      </c>
      <c r="D501" s="12" t="s">
        <v>34</v>
      </c>
      <c r="E501" s="12" t="s">
        <v>3829</v>
      </c>
      <c r="F501" s="12" t="s">
        <v>609</v>
      </c>
      <c r="G501" s="12" t="s">
        <v>2821</v>
      </c>
      <c r="H501" s="12" t="s">
        <v>52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B1" workbookViewId="0">
      <selection activeCell="H2" sqref="H2:I22"/>
    </sheetView>
  </sheetViews>
  <sheetFormatPr defaultColWidth="9" defaultRowHeight="14.4"/>
  <cols>
    <col min="1" max="1" width="22.109375" customWidth="1"/>
    <col min="2" max="2" width="51.33203125" customWidth="1"/>
    <col min="3" max="3" width="16.88671875" style="12" customWidth="1"/>
    <col min="4" max="4" width="22" style="12" customWidth="1"/>
    <col min="5" max="5" width="12.6640625" style="4" customWidth="1"/>
    <col min="6" max="6" width="12.109375" style="14" customWidth="1"/>
    <col min="8" max="8" width="15" customWidth="1"/>
    <col min="9" max="9" width="56.77734375" customWidth="1"/>
  </cols>
  <sheetData>
    <row r="1" spans="1:9">
      <c r="A1" s="11" t="s">
        <v>3</v>
      </c>
      <c r="B1" s="11" t="s">
        <v>11</v>
      </c>
      <c r="C1" s="13" t="s">
        <v>12</v>
      </c>
      <c r="D1" s="13" t="s">
        <v>3830</v>
      </c>
      <c r="E1" s="15" t="s">
        <v>15</v>
      </c>
      <c r="F1" s="16" t="s">
        <v>3831</v>
      </c>
    </row>
    <row r="2" spans="1:9" ht="15.6">
      <c r="A2" t="s">
        <v>768</v>
      </c>
      <c r="B2" t="s">
        <v>769</v>
      </c>
      <c r="C2" s="12" t="s">
        <v>37</v>
      </c>
      <c r="D2" s="12" t="s">
        <v>3832</v>
      </c>
      <c r="E2" s="4">
        <v>112.42</v>
      </c>
      <c r="F2" s="14">
        <v>416</v>
      </c>
      <c r="H2" s="17" t="s">
        <v>38</v>
      </c>
      <c r="I2" s="19" t="s">
        <v>39</v>
      </c>
    </row>
    <row r="3" spans="1:9">
      <c r="A3" t="s">
        <v>389</v>
      </c>
      <c r="B3" t="s">
        <v>390</v>
      </c>
      <c r="C3" s="12" t="s">
        <v>130</v>
      </c>
      <c r="D3" s="12" t="s">
        <v>3833</v>
      </c>
      <c r="E3" s="4">
        <v>342.56</v>
      </c>
      <c r="F3" s="14">
        <v>181</v>
      </c>
    </row>
    <row r="4" spans="1:9">
      <c r="A4" t="s">
        <v>868</v>
      </c>
      <c r="B4" t="s">
        <v>869</v>
      </c>
      <c r="C4" s="12" t="s">
        <v>130</v>
      </c>
      <c r="D4" s="12" t="s">
        <v>3834</v>
      </c>
      <c r="E4" s="4">
        <v>254.62086956521699</v>
      </c>
      <c r="F4" s="14">
        <v>352</v>
      </c>
      <c r="H4" s="18" t="s">
        <v>3835</v>
      </c>
      <c r="I4" t="s">
        <v>3836</v>
      </c>
    </row>
    <row r="5" spans="1:9">
      <c r="A5" t="s">
        <v>414</v>
      </c>
      <c r="B5" t="s">
        <v>415</v>
      </c>
      <c r="C5" s="12" t="s">
        <v>130</v>
      </c>
      <c r="D5" s="12" t="s">
        <v>3834</v>
      </c>
      <c r="E5" s="4">
        <v>364.67</v>
      </c>
      <c r="F5" s="14">
        <v>452</v>
      </c>
    </row>
    <row r="6" spans="1:9">
      <c r="A6" t="s">
        <v>634</v>
      </c>
      <c r="B6" t="s">
        <v>635</v>
      </c>
      <c r="C6" s="12" t="s">
        <v>130</v>
      </c>
      <c r="D6" s="12" t="s">
        <v>3837</v>
      </c>
      <c r="E6" s="4">
        <v>306.45999999999998</v>
      </c>
      <c r="F6" s="14">
        <v>487</v>
      </c>
      <c r="H6" s="18" t="s">
        <v>3838</v>
      </c>
      <c r="I6" t="s">
        <v>3839</v>
      </c>
    </row>
    <row r="7" spans="1:9">
      <c r="A7" t="s">
        <v>183</v>
      </c>
      <c r="B7" t="s">
        <v>184</v>
      </c>
      <c r="C7" s="12" t="s">
        <v>130</v>
      </c>
      <c r="D7" s="12" t="s">
        <v>3840</v>
      </c>
      <c r="E7" s="4">
        <v>261</v>
      </c>
      <c r="F7" s="14">
        <v>59</v>
      </c>
      <c r="I7" s="20" t="s">
        <v>2849</v>
      </c>
    </row>
    <row r="8" spans="1:9">
      <c r="A8" t="s">
        <v>887</v>
      </c>
      <c r="B8" t="s">
        <v>888</v>
      </c>
      <c r="C8" s="12" t="s">
        <v>46</v>
      </c>
      <c r="D8" s="12" t="s">
        <v>3841</v>
      </c>
      <c r="E8" s="4">
        <v>312.8</v>
      </c>
      <c r="F8" s="14">
        <v>350</v>
      </c>
      <c r="I8" s="20" t="s">
        <v>2868</v>
      </c>
    </row>
    <row r="9" spans="1:9">
      <c r="A9" t="s">
        <v>645</v>
      </c>
      <c r="B9" t="s">
        <v>646</v>
      </c>
      <c r="C9" s="12" t="s">
        <v>75</v>
      </c>
      <c r="D9" s="12" t="s">
        <v>3842</v>
      </c>
      <c r="E9" s="4">
        <v>218.86</v>
      </c>
      <c r="F9" s="14">
        <v>170</v>
      </c>
      <c r="I9" t="s">
        <v>3843</v>
      </c>
    </row>
    <row r="10" spans="1:9">
      <c r="A10" t="s">
        <v>484</v>
      </c>
      <c r="B10" t="s">
        <v>485</v>
      </c>
      <c r="C10" s="12" t="s">
        <v>37</v>
      </c>
      <c r="D10" s="12" t="s">
        <v>3844</v>
      </c>
      <c r="E10" s="4">
        <v>439.07</v>
      </c>
      <c r="F10" s="14">
        <v>142</v>
      </c>
      <c r="I10" s="20" t="s">
        <v>11</v>
      </c>
    </row>
    <row r="11" spans="1:9">
      <c r="A11" t="s">
        <v>810</v>
      </c>
      <c r="B11" t="s">
        <v>811</v>
      </c>
      <c r="C11" s="12" t="s">
        <v>28</v>
      </c>
      <c r="D11" s="12" t="s">
        <v>3845</v>
      </c>
      <c r="E11" s="4">
        <v>495.72</v>
      </c>
      <c r="F11" s="14">
        <v>323</v>
      </c>
    </row>
    <row r="12" spans="1:9">
      <c r="A12" t="s">
        <v>234</v>
      </c>
      <c r="B12" t="s">
        <v>236</v>
      </c>
      <c r="C12" s="12" t="s">
        <v>75</v>
      </c>
      <c r="D12" s="12" t="s">
        <v>3846</v>
      </c>
      <c r="E12" s="4">
        <v>298.86</v>
      </c>
      <c r="F12" s="14">
        <v>308</v>
      </c>
      <c r="H12" s="18" t="s">
        <v>12</v>
      </c>
      <c r="I12" t="s">
        <v>3847</v>
      </c>
    </row>
    <row r="13" spans="1:9">
      <c r="A13" t="s">
        <v>555</v>
      </c>
      <c r="B13" t="s">
        <v>556</v>
      </c>
      <c r="C13" s="12" t="s">
        <v>37</v>
      </c>
      <c r="D13" s="12" t="s">
        <v>3840</v>
      </c>
      <c r="E13" s="4">
        <v>449.4</v>
      </c>
      <c r="F13" s="14">
        <v>270.802325581395</v>
      </c>
    </row>
    <row r="14" spans="1:9">
      <c r="A14" t="s">
        <v>173</v>
      </c>
      <c r="B14" t="s">
        <v>174</v>
      </c>
      <c r="C14" s="12" t="s">
        <v>46</v>
      </c>
      <c r="D14" s="12" t="s">
        <v>3848</v>
      </c>
      <c r="E14" s="4">
        <v>115.82</v>
      </c>
      <c r="F14" s="14">
        <v>460</v>
      </c>
      <c r="H14" s="18" t="s">
        <v>3830</v>
      </c>
      <c r="I14" t="s">
        <v>3849</v>
      </c>
    </row>
    <row r="15" spans="1:9">
      <c r="A15" t="s">
        <v>197</v>
      </c>
      <c r="B15" t="s">
        <v>200</v>
      </c>
      <c r="C15" s="12" t="s">
        <v>37</v>
      </c>
      <c r="D15" s="12" t="s">
        <v>3840</v>
      </c>
      <c r="E15" s="4">
        <v>242.23</v>
      </c>
      <c r="F15" s="14">
        <v>453</v>
      </c>
    </row>
    <row r="16" spans="1:9">
      <c r="A16" t="s">
        <v>480</v>
      </c>
      <c r="B16" t="s">
        <v>481</v>
      </c>
      <c r="C16" s="12" t="s">
        <v>75</v>
      </c>
      <c r="D16" s="12" t="s">
        <v>3850</v>
      </c>
      <c r="E16" s="4">
        <v>48.01</v>
      </c>
      <c r="F16" s="14">
        <v>439</v>
      </c>
      <c r="H16" s="18" t="s">
        <v>15</v>
      </c>
      <c r="I16" t="s">
        <v>3851</v>
      </c>
    </row>
    <row r="17" spans="1:9">
      <c r="A17" t="s">
        <v>65</v>
      </c>
      <c r="B17" t="s">
        <v>68</v>
      </c>
      <c r="C17" s="12" t="s">
        <v>37</v>
      </c>
      <c r="D17" s="12" t="s">
        <v>3852</v>
      </c>
      <c r="E17" s="4">
        <v>465.34</v>
      </c>
      <c r="F17" s="14">
        <v>301</v>
      </c>
      <c r="I17" s="20" t="s">
        <v>3853</v>
      </c>
    </row>
    <row r="18" spans="1:9">
      <c r="A18" t="s">
        <v>226</v>
      </c>
      <c r="B18" t="s">
        <v>228</v>
      </c>
      <c r="C18" s="12" t="s">
        <v>46</v>
      </c>
      <c r="D18" s="12" t="s">
        <v>3854</v>
      </c>
      <c r="E18" s="4">
        <v>337.42</v>
      </c>
      <c r="F18" s="14">
        <v>256</v>
      </c>
    </row>
    <row r="19" spans="1:9">
      <c r="A19" t="s">
        <v>377</v>
      </c>
      <c r="B19" t="s">
        <v>379</v>
      </c>
      <c r="C19" s="12" t="s">
        <v>28</v>
      </c>
      <c r="D19" s="12" t="s">
        <v>3840</v>
      </c>
      <c r="E19" s="4">
        <v>144.53</v>
      </c>
      <c r="F19" s="14">
        <v>367</v>
      </c>
      <c r="H19" s="18" t="s">
        <v>3831</v>
      </c>
      <c r="I19" t="s">
        <v>3851</v>
      </c>
    </row>
    <row r="20" spans="1:9">
      <c r="A20" t="s">
        <v>928</v>
      </c>
      <c r="B20" t="s">
        <v>929</v>
      </c>
      <c r="C20" s="12" t="s">
        <v>130</v>
      </c>
      <c r="D20" s="12" t="s">
        <v>3837</v>
      </c>
      <c r="E20" s="4">
        <v>245.77831168831199</v>
      </c>
      <c r="F20" s="14">
        <v>343</v>
      </c>
      <c r="I20" s="20" t="s">
        <v>3855</v>
      </c>
    </row>
    <row r="21" spans="1:9">
      <c r="A21" t="s">
        <v>314</v>
      </c>
      <c r="B21" t="s">
        <v>315</v>
      </c>
      <c r="C21" s="12" t="s">
        <v>28</v>
      </c>
      <c r="D21" s="12" t="s">
        <v>3856</v>
      </c>
      <c r="E21" s="4">
        <v>21.34</v>
      </c>
      <c r="F21" s="14">
        <v>65</v>
      </c>
    </row>
    <row r="22" spans="1:9">
      <c r="A22" t="s">
        <v>291</v>
      </c>
      <c r="B22" t="s">
        <v>292</v>
      </c>
      <c r="C22" s="12" t="s">
        <v>28</v>
      </c>
      <c r="D22" s="12" t="s">
        <v>3840</v>
      </c>
      <c r="E22" s="4">
        <v>131.51</v>
      </c>
      <c r="F22" s="14">
        <v>264.16666666666703</v>
      </c>
      <c r="I22" t="s">
        <v>3857</v>
      </c>
    </row>
    <row r="23" spans="1:9">
      <c r="A23" t="s">
        <v>279</v>
      </c>
      <c r="B23" t="s">
        <v>280</v>
      </c>
      <c r="C23" s="12" t="s">
        <v>75</v>
      </c>
      <c r="D23" s="12" t="s">
        <v>3858</v>
      </c>
      <c r="E23" s="4">
        <v>123.46</v>
      </c>
      <c r="F23" s="14">
        <v>76</v>
      </c>
    </row>
    <row r="24" spans="1:9">
      <c r="A24" t="s">
        <v>443</v>
      </c>
      <c r="B24" t="s">
        <v>445</v>
      </c>
      <c r="C24" s="12" t="s">
        <v>28</v>
      </c>
      <c r="D24" s="12" t="s">
        <v>3856</v>
      </c>
      <c r="E24" s="4">
        <v>484.62</v>
      </c>
      <c r="F24" s="14">
        <v>432</v>
      </c>
    </row>
    <row r="25" spans="1:9">
      <c r="A25" t="s">
        <v>250</v>
      </c>
      <c r="B25" t="s">
        <v>252</v>
      </c>
      <c r="C25" s="12" t="s">
        <v>130</v>
      </c>
      <c r="D25" s="12" t="s">
        <v>3833</v>
      </c>
      <c r="E25" s="4">
        <v>248.82191780821901</v>
      </c>
      <c r="F25" s="14">
        <v>360</v>
      </c>
    </row>
    <row r="26" spans="1:9">
      <c r="A26" t="s">
        <v>97</v>
      </c>
      <c r="B26" t="s">
        <v>100</v>
      </c>
      <c r="C26" s="12" t="s">
        <v>28</v>
      </c>
      <c r="D26" s="12" t="s">
        <v>3859</v>
      </c>
      <c r="E26" s="4">
        <v>166.06</v>
      </c>
      <c r="F26" s="14">
        <v>340</v>
      </c>
    </row>
    <row r="27" spans="1:9">
      <c r="A27" t="s">
        <v>425</v>
      </c>
      <c r="B27" t="s">
        <v>426</v>
      </c>
      <c r="C27" s="12" t="s">
        <v>130</v>
      </c>
      <c r="D27" s="12" t="s">
        <v>3840</v>
      </c>
      <c r="E27" s="4">
        <v>174.02</v>
      </c>
      <c r="F27" s="14">
        <v>268</v>
      </c>
    </row>
    <row r="28" spans="1:9">
      <c r="A28" t="s">
        <v>246</v>
      </c>
      <c r="B28" t="s">
        <v>247</v>
      </c>
      <c r="C28" s="12" t="s">
        <v>37</v>
      </c>
      <c r="D28" s="12" t="s">
        <v>3844</v>
      </c>
      <c r="E28" s="4">
        <v>322.41000000000003</v>
      </c>
      <c r="F28" s="14">
        <v>213</v>
      </c>
    </row>
    <row r="29" spans="1:9">
      <c r="A29" t="s">
        <v>139</v>
      </c>
      <c r="B29" t="s">
        <v>141</v>
      </c>
      <c r="C29" s="12" t="s">
        <v>75</v>
      </c>
      <c r="D29" s="12" t="s">
        <v>3850</v>
      </c>
      <c r="E29" s="4">
        <v>250.02157142857101</v>
      </c>
      <c r="F29" s="14">
        <v>378</v>
      </c>
    </row>
    <row r="30" spans="1:9">
      <c r="A30" t="s">
        <v>567</v>
      </c>
      <c r="B30" t="s">
        <v>568</v>
      </c>
      <c r="C30" s="12" t="s">
        <v>28</v>
      </c>
      <c r="D30" s="12" t="s">
        <v>3840</v>
      </c>
      <c r="E30" s="4">
        <v>38.76</v>
      </c>
      <c r="F30" s="14">
        <v>137</v>
      </c>
    </row>
    <row r="31" spans="1:9">
      <c r="A31" t="s">
        <v>255</v>
      </c>
      <c r="B31" t="s">
        <v>257</v>
      </c>
      <c r="C31" s="12" t="s">
        <v>75</v>
      </c>
      <c r="D31" s="12" t="s">
        <v>3850</v>
      </c>
      <c r="E31" s="4">
        <v>218.48</v>
      </c>
      <c r="F31" s="14">
        <v>276</v>
      </c>
    </row>
    <row r="32" spans="1:9">
      <c r="A32" t="s">
        <v>271</v>
      </c>
      <c r="B32" t="s">
        <v>273</v>
      </c>
      <c r="C32" s="12" t="s">
        <v>75</v>
      </c>
      <c r="D32" s="12" t="s">
        <v>3846</v>
      </c>
      <c r="E32" s="4">
        <v>19.52</v>
      </c>
      <c r="F32" s="14">
        <v>57</v>
      </c>
    </row>
    <row r="33" spans="1:6">
      <c r="A33" t="s">
        <v>311</v>
      </c>
      <c r="B33" t="s">
        <v>312</v>
      </c>
      <c r="C33" s="12" t="s">
        <v>28</v>
      </c>
      <c r="D33" s="12" t="s">
        <v>3860</v>
      </c>
      <c r="E33" s="4">
        <v>204.39</v>
      </c>
      <c r="F33" s="14">
        <v>281</v>
      </c>
    </row>
    <row r="34" spans="1:6">
      <c r="A34" t="s">
        <v>579</v>
      </c>
      <c r="B34" t="s">
        <v>580</v>
      </c>
      <c r="C34" s="12" t="s">
        <v>46</v>
      </c>
      <c r="D34" s="12" t="s">
        <v>3841</v>
      </c>
      <c r="E34" s="4">
        <v>283.83</v>
      </c>
      <c r="F34" s="14">
        <v>244</v>
      </c>
    </row>
    <row r="35" spans="1:6">
      <c r="A35" t="s">
        <v>89</v>
      </c>
      <c r="B35" t="s">
        <v>92</v>
      </c>
      <c r="C35" s="12" t="s">
        <v>75</v>
      </c>
      <c r="D35" s="12" t="s">
        <v>3850</v>
      </c>
      <c r="E35" s="4">
        <v>179.77</v>
      </c>
      <c r="F35" s="14">
        <v>305</v>
      </c>
    </row>
    <row r="36" spans="1:6">
      <c r="A36" t="s">
        <v>116</v>
      </c>
      <c r="B36" t="s">
        <v>119</v>
      </c>
      <c r="C36" s="12" t="s">
        <v>37</v>
      </c>
      <c r="D36" s="12" t="s">
        <v>3832</v>
      </c>
      <c r="E36" s="4">
        <v>419.28</v>
      </c>
      <c r="F36" s="14">
        <v>86</v>
      </c>
    </row>
    <row r="37" spans="1:6">
      <c r="A37" t="s">
        <v>487</v>
      </c>
      <c r="B37" t="s">
        <v>488</v>
      </c>
      <c r="C37" s="12" t="s">
        <v>75</v>
      </c>
      <c r="D37" s="12" t="s">
        <v>3842</v>
      </c>
      <c r="E37" s="4">
        <v>382.22</v>
      </c>
      <c r="F37" s="14">
        <v>329</v>
      </c>
    </row>
    <row r="38" spans="1:6">
      <c r="A38" t="s">
        <v>126</v>
      </c>
      <c r="B38" t="s">
        <v>129</v>
      </c>
      <c r="C38" s="12" t="s">
        <v>130</v>
      </c>
      <c r="D38" s="12" t="s">
        <v>3833</v>
      </c>
      <c r="E38" s="4">
        <v>223.43</v>
      </c>
      <c r="F38" s="14">
        <v>154</v>
      </c>
    </row>
    <row r="39" spans="1:6">
      <c r="A39" t="s">
        <v>786</v>
      </c>
      <c r="B39" t="s">
        <v>787</v>
      </c>
      <c r="C39" s="12" t="s">
        <v>130</v>
      </c>
      <c r="D39" s="12" t="s">
        <v>3861</v>
      </c>
      <c r="E39" s="4">
        <v>353.47</v>
      </c>
      <c r="F39" s="14">
        <v>214</v>
      </c>
    </row>
    <row r="40" spans="1:6">
      <c r="A40" t="s">
        <v>340</v>
      </c>
      <c r="B40" t="s">
        <v>341</v>
      </c>
      <c r="C40" s="12" t="s">
        <v>28</v>
      </c>
      <c r="D40" s="12" t="s">
        <v>3859</v>
      </c>
      <c r="E40" s="4">
        <v>135.61000000000001</v>
      </c>
      <c r="F40" s="14">
        <v>394</v>
      </c>
    </row>
    <row r="41" spans="1:6">
      <c r="A41" t="s">
        <v>104</v>
      </c>
      <c r="B41" t="s">
        <v>107</v>
      </c>
      <c r="C41" s="12" t="s">
        <v>37</v>
      </c>
      <c r="D41" s="12" t="s">
        <v>3862</v>
      </c>
      <c r="E41" s="4">
        <v>326.06</v>
      </c>
      <c r="F41" s="14">
        <v>301</v>
      </c>
    </row>
    <row r="42" spans="1:6">
      <c r="A42" t="s">
        <v>295</v>
      </c>
      <c r="B42" t="s">
        <v>296</v>
      </c>
      <c r="C42" s="12" t="s">
        <v>37</v>
      </c>
      <c r="D42" s="12" t="s">
        <v>3844</v>
      </c>
      <c r="E42" s="4">
        <v>38.520000000000003</v>
      </c>
      <c r="F42" s="14">
        <v>378</v>
      </c>
    </row>
    <row r="43" spans="1:6">
      <c r="A43" t="s">
        <v>745</v>
      </c>
      <c r="B43" t="s">
        <v>746</v>
      </c>
      <c r="C43" s="12" t="s">
        <v>28</v>
      </c>
      <c r="D43" s="12" t="s">
        <v>3845</v>
      </c>
      <c r="E43" s="4">
        <v>313.26</v>
      </c>
      <c r="F43" s="14">
        <v>369</v>
      </c>
    </row>
    <row r="44" spans="1:6">
      <c r="A44" t="s">
        <v>449</v>
      </c>
      <c r="B44" t="s">
        <v>450</v>
      </c>
      <c r="C44" s="12" t="s">
        <v>37</v>
      </c>
      <c r="D44" s="12" t="s">
        <v>3840</v>
      </c>
      <c r="E44" s="4">
        <v>450.71</v>
      </c>
      <c r="F44" s="14">
        <v>389</v>
      </c>
    </row>
    <row r="45" spans="1:6">
      <c r="A45" t="s">
        <v>159</v>
      </c>
      <c r="B45" t="s">
        <v>162</v>
      </c>
      <c r="C45" s="12" t="s">
        <v>37</v>
      </c>
      <c r="D45" s="12" t="s">
        <v>3832</v>
      </c>
      <c r="E45" s="4">
        <v>253.33</v>
      </c>
      <c r="F45" s="14">
        <v>266</v>
      </c>
    </row>
    <row r="46" spans="1:6">
      <c r="A46" t="s">
        <v>275</v>
      </c>
      <c r="B46" t="s">
        <v>276</v>
      </c>
      <c r="C46" s="12" t="s">
        <v>28</v>
      </c>
      <c r="D46" s="12" t="s">
        <v>3845</v>
      </c>
      <c r="E46" s="4">
        <v>167.12</v>
      </c>
      <c r="F46" s="14">
        <v>316</v>
      </c>
    </row>
    <row r="47" spans="1:6">
      <c r="A47" t="s">
        <v>344</v>
      </c>
      <c r="B47" t="s">
        <v>347</v>
      </c>
      <c r="C47" s="12" t="s">
        <v>28</v>
      </c>
      <c r="D47" s="12" t="s">
        <v>3860</v>
      </c>
      <c r="E47" s="4">
        <v>318.91000000000003</v>
      </c>
      <c r="F47" s="14">
        <v>114</v>
      </c>
    </row>
    <row r="48" spans="1:6">
      <c r="A48" t="s">
        <v>381</v>
      </c>
      <c r="B48" t="s">
        <v>382</v>
      </c>
      <c r="C48" s="12" t="s">
        <v>130</v>
      </c>
      <c r="D48" s="12" t="s">
        <v>3834</v>
      </c>
      <c r="E48" s="4">
        <v>167.34</v>
      </c>
      <c r="F48" s="14">
        <v>296</v>
      </c>
    </row>
    <row r="49" spans="1:6">
      <c r="A49" t="s">
        <v>302</v>
      </c>
      <c r="B49" t="s">
        <v>303</v>
      </c>
      <c r="C49" s="12" t="s">
        <v>46</v>
      </c>
      <c r="D49" s="12" t="s">
        <v>3863</v>
      </c>
      <c r="E49" s="4">
        <v>255.04901960784301</v>
      </c>
      <c r="F49" s="14">
        <v>431</v>
      </c>
    </row>
    <row r="50" spans="1:6">
      <c r="A50" t="s">
        <v>505</v>
      </c>
      <c r="B50" t="s">
        <v>506</v>
      </c>
      <c r="C50" s="12" t="s">
        <v>37</v>
      </c>
      <c r="D50" s="12" t="s">
        <v>3840</v>
      </c>
      <c r="E50" s="4">
        <v>177.98</v>
      </c>
      <c r="F50" s="14">
        <v>103</v>
      </c>
    </row>
    <row r="51" spans="1:6">
      <c r="A51" t="s">
        <v>42</v>
      </c>
      <c r="B51" t="s">
        <v>45</v>
      </c>
      <c r="C51" s="12" t="s">
        <v>46</v>
      </c>
      <c r="D51" s="12" t="s">
        <v>3864</v>
      </c>
      <c r="E51" s="4">
        <v>43.29</v>
      </c>
      <c r="F51" s="14">
        <v>267</v>
      </c>
    </row>
    <row r="52" spans="1:6">
      <c r="A52" t="s">
        <v>409</v>
      </c>
      <c r="B52" t="s">
        <v>411</v>
      </c>
      <c r="C52" s="12" t="s">
        <v>28</v>
      </c>
      <c r="D52" s="12" t="s">
        <v>3845</v>
      </c>
      <c r="E52" s="4">
        <v>190.29</v>
      </c>
      <c r="F52" s="14">
        <v>260</v>
      </c>
    </row>
    <row r="53" spans="1:6">
      <c r="A53" t="s">
        <v>501</v>
      </c>
      <c r="B53" t="s">
        <v>502</v>
      </c>
      <c r="C53" s="12" t="s">
        <v>37</v>
      </c>
      <c r="D53" s="12" t="s">
        <v>3840</v>
      </c>
      <c r="E53" s="4">
        <v>88.49</v>
      </c>
      <c r="F53" s="14">
        <v>246</v>
      </c>
    </row>
    <row r="54" spans="1:6">
      <c r="A54" t="s">
        <v>282</v>
      </c>
      <c r="B54" t="s">
        <v>283</v>
      </c>
      <c r="C54" s="12" t="s">
        <v>28</v>
      </c>
      <c r="D54" s="12" t="s">
        <v>3860</v>
      </c>
      <c r="E54" s="4">
        <v>212.26</v>
      </c>
      <c r="F54" s="14">
        <v>82</v>
      </c>
    </row>
    <row r="55" spans="1:6">
      <c r="A55" t="s">
        <v>207</v>
      </c>
      <c r="B55" t="s">
        <v>210</v>
      </c>
      <c r="C55" s="12" t="s">
        <v>130</v>
      </c>
      <c r="D55" s="12" t="s">
        <v>3837</v>
      </c>
      <c r="E55" s="4">
        <v>386.56</v>
      </c>
      <c r="F55" s="14">
        <v>125</v>
      </c>
    </row>
    <row r="56" spans="1:6">
      <c r="A56" t="s">
        <v>420</v>
      </c>
      <c r="B56" t="s">
        <v>421</v>
      </c>
      <c r="C56" s="12" t="s">
        <v>28</v>
      </c>
      <c r="D56" s="12" t="s">
        <v>3840</v>
      </c>
      <c r="E56" s="4">
        <v>434.84</v>
      </c>
      <c r="F56" s="14">
        <v>185</v>
      </c>
    </row>
    <row r="57" spans="1:6">
      <c r="A57" t="s">
        <v>564</v>
      </c>
      <c r="B57" t="s">
        <v>565</v>
      </c>
      <c r="C57" s="12" t="s">
        <v>75</v>
      </c>
      <c r="D57" s="12" t="s">
        <v>3850</v>
      </c>
      <c r="E57" s="4">
        <v>81.75</v>
      </c>
      <c r="F57" s="14">
        <v>271.20454545454498</v>
      </c>
    </row>
    <row r="58" spans="1:6">
      <c r="A58" t="s">
        <v>71</v>
      </c>
      <c r="B58" t="s">
        <v>74</v>
      </c>
      <c r="C58" s="12" t="s">
        <v>75</v>
      </c>
      <c r="D58" s="12" t="s">
        <v>3850</v>
      </c>
      <c r="E58" s="4">
        <v>461.47</v>
      </c>
      <c r="F58" s="14">
        <v>190</v>
      </c>
    </row>
    <row r="59" spans="1:6">
      <c r="A59" t="s">
        <v>509</v>
      </c>
      <c r="B59" t="s">
        <v>511</v>
      </c>
      <c r="C59" s="12" t="s">
        <v>28</v>
      </c>
      <c r="D59" s="12" t="s">
        <v>3845</v>
      </c>
      <c r="E59" s="4">
        <v>30.62</v>
      </c>
      <c r="F59" s="14">
        <v>138</v>
      </c>
    </row>
    <row r="60" spans="1:6">
      <c r="A60" t="s">
        <v>714</v>
      </c>
      <c r="B60" t="s">
        <v>715</v>
      </c>
      <c r="C60" s="12" t="s">
        <v>130</v>
      </c>
      <c r="D60" s="12" t="s">
        <v>3840</v>
      </c>
      <c r="E60" s="4">
        <v>113.83</v>
      </c>
      <c r="F60" s="14">
        <v>485</v>
      </c>
    </row>
    <row r="61" spans="1:6">
      <c r="A61" t="s">
        <v>57</v>
      </c>
      <c r="B61" t="s">
        <v>61</v>
      </c>
      <c r="C61" s="12" t="s">
        <v>46</v>
      </c>
      <c r="D61" s="12" t="s">
        <v>3848</v>
      </c>
      <c r="E61" s="4">
        <v>17.309999999999999</v>
      </c>
      <c r="F61" s="14">
        <v>399</v>
      </c>
    </row>
    <row r="62" spans="1:6">
      <c r="A62" t="s">
        <v>148</v>
      </c>
      <c r="B62" t="s">
        <v>150</v>
      </c>
      <c r="C62" s="12" t="s">
        <v>46</v>
      </c>
      <c r="D62" s="12" t="s">
        <v>3864</v>
      </c>
      <c r="E62" s="4">
        <v>482.75</v>
      </c>
      <c r="F62" s="14">
        <v>444</v>
      </c>
    </row>
    <row r="63" spans="1:6">
      <c r="A63" t="s">
        <v>698</v>
      </c>
      <c r="B63" t="s">
        <v>699</v>
      </c>
      <c r="C63" s="12" t="s">
        <v>28</v>
      </c>
      <c r="D63" s="12" t="s">
        <v>3856</v>
      </c>
      <c r="E63" s="4">
        <v>103.45</v>
      </c>
      <c r="F63" s="14">
        <v>465</v>
      </c>
    </row>
    <row r="64" spans="1:6">
      <c r="A64" t="s">
        <v>661</v>
      </c>
      <c r="B64" t="s">
        <v>662</v>
      </c>
      <c r="C64" s="12" t="s">
        <v>37</v>
      </c>
      <c r="D64" s="12" t="s">
        <v>3832</v>
      </c>
      <c r="E64" s="4">
        <v>86.42</v>
      </c>
      <c r="F64" s="14">
        <v>222</v>
      </c>
    </row>
    <row r="65" spans="1:6">
      <c r="A65" t="s">
        <v>625</v>
      </c>
      <c r="B65" t="s">
        <v>626</v>
      </c>
      <c r="C65" s="12" t="s">
        <v>46</v>
      </c>
      <c r="D65" s="12" t="s">
        <v>3841</v>
      </c>
      <c r="E65" s="4">
        <v>266.86</v>
      </c>
      <c r="F65" s="14">
        <v>458</v>
      </c>
    </row>
    <row r="66" spans="1:6">
      <c r="A66" t="s">
        <v>779</v>
      </c>
      <c r="B66" t="s">
        <v>780</v>
      </c>
      <c r="C66" s="12" t="s">
        <v>46</v>
      </c>
      <c r="D66" s="12" t="s">
        <v>3863</v>
      </c>
      <c r="E66" s="4">
        <v>299.11</v>
      </c>
      <c r="F66" s="14">
        <v>118</v>
      </c>
    </row>
    <row r="67" spans="1:6">
      <c r="A67" t="s">
        <v>134</v>
      </c>
      <c r="B67" t="s">
        <v>136</v>
      </c>
      <c r="C67" s="12" t="s">
        <v>28</v>
      </c>
      <c r="D67" s="12" t="s">
        <v>3845</v>
      </c>
      <c r="E67" s="4">
        <v>240.63</v>
      </c>
      <c r="F67" s="14">
        <v>423</v>
      </c>
    </row>
    <row r="68" spans="1:6">
      <c r="A68" t="s">
        <v>532</v>
      </c>
      <c r="B68" t="s">
        <v>533</v>
      </c>
      <c r="C68" s="12" t="s">
        <v>46</v>
      </c>
      <c r="D68" s="12" t="s">
        <v>3848</v>
      </c>
      <c r="E68" s="4">
        <v>340.39</v>
      </c>
      <c r="F68" s="14">
        <v>177</v>
      </c>
    </row>
    <row r="69" spans="1:6">
      <c r="A69" t="s">
        <v>178</v>
      </c>
      <c r="B69" t="s">
        <v>180</v>
      </c>
      <c r="C69" s="12" t="s">
        <v>37</v>
      </c>
      <c r="D69" s="12" t="s">
        <v>3840</v>
      </c>
      <c r="E69" s="4">
        <v>349.17</v>
      </c>
      <c r="F69" s="14">
        <v>476</v>
      </c>
    </row>
    <row r="70" spans="1:6">
      <c r="A70" t="s">
        <v>741</v>
      </c>
      <c r="B70" t="s">
        <v>742</v>
      </c>
      <c r="C70" s="12" t="s">
        <v>75</v>
      </c>
      <c r="D70" s="12" t="s">
        <v>3865</v>
      </c>
      <c r="E70" s="4">
        <v>243.7</v>
      </c>
      <c r="F70" s="14">
        <v>130</v>
      </c>
    </row>
    <row r="71" spans="1:6">
      <c r="A71" t="s">
        <v>167</v>
      </c>
      <c r="B71" t="s">
        <v>170</v>
      </c>
      <c r="C71" s="12" t="s">
        <v>130</v>
      </c>
      <c r="D71" s="12" t="s">
        <v>3837</v>
      </c>
      <c r="E71" s="4">
        <v>218.22</v>
      </c>
      <c r="F71" s="14">
        <v>224</v>
      </c>
    </row>
    <row r="72" spans="1:6">
      <c r="A72" t="s">
        <v>79</v>
      </c>
      <c r="B72" t="s">
        <v>81</v>
      </c>
      <c r="C72" s="12" t="s">
        <v>75</v>
      </c>
      <c r="D72" s="12" t="s">
        <v>3858</v>
      </c>
      <c r="E72" s="4">
        <v>138.05000000000001</v>
      </c>
      <c r="F72" s="14">
        <v>89</v>
      </c>
    </row>
    <row r="73" spans="1:6">
      <c r="A73" t="s">
        <v>368</v>
      </c>
      <c r="B73" t="s">
        <v>369</v>
      </c>
      <c r="C73" s="12" t="s">
        <v>46</v>
      </c>
      <c r="D73" s="12" t="s">
        <v>3848</v>
      </c>
      <c r="E73" s="4">
        <v>214.32</v>
      </c>
      <c r="F73" s="14">
        <v>383</v>
      </c>
    </row>
    <row r="74" spans="1:6">
      <c r="A74" t="s">
        <v>155</v>
      </c>
      <c r="B74" t="s">
        <v>156</v>
      </c>
      <c r="C74" s="12" t="s">
        <v>28</v>
      </c>
      <c r="D74" s="12" t="s">
        <v>3845</v>
      </c>
      <c r="E74" s="4">
        <v>477.61</v>
      </c>
      <c r="F74" s="14">
        <v>300</v>
      </c>
    </row>
    <row r="75" spans="1:6">
      <c r="A75" t="s">
        <v>575</v>
      </c>
      <c r="B75" t="s">
        <v>576</v>
      </c>
      <c r="C75" s="12" t="s">
        <v>28</v>
      </c>
      <c r="D75" s="12" t="s">
        <v>3860</v>
      </c>
      <c r="E75" s="4">
        <v>107.06</v>
      </c>
      <c r="F75" s="14">
        <v>359</v>
      </c>
    </row>
    <row r="76" spans="1:6">
      <c r="A76" t="s">
        <v>31</v>
      </c>
      <c r="B76" t="s">
        <v>36</v>
      </c>
      <c r="C76" s="12" t="s">
        <v>37</v>
      </c>
      <c r="D76" s="12" t="s">
        <v>3844</v>
      </c>
      <c r="E76" s="4">
        <v>403.71</v>
      </c>
      <c r="F76" s="14">
        <v>159</v>
      </c>
    </row>
    <row r="77" spans="1:6">
      <c r="A77" t="s">
        <v>213</v>
      </c>
      <c r="B77" t="s">
        <v>215</v>
      </c>
      <c r="C77" s="12" t="s">
        <v>130</v>
      </c>
      <c r="D77" s="12" t="s">
        <v>3861</v>
      </c>
      <c r="E77" s="4">
        <v>158.13999999999999</v>
      </c>
      <c r="F77" s="14">
        <v>82</v>
      </c>
    </row>
    <row r="78" spans="1:6">
      <c r="A78" t="s">
        <v>49</v>
      </c>
      <c r="B78" t="s">
        <v>53</v>
      </c>
      <c r="C78" s="12" t="s">
        <v>37</v>
      </c>
      <c r="D78" s="12" t="s">
        <v>3832</v>
      </c>
      <c r="E78" s="4">
        <v>392.89</v>
      </c>
      <c r="F78" s="14">
        <v>320</v>
      </c>
    </row>
    <row r="79" spans="1:6">
      <c r="A79" t="s">
        <v>192</v>
      </c>
      <c r="B79" t="s">
        <v>194</v>
      </c>
      <c r="C79" s="12" t="s">
        <v>37</v>
      </c>
      <c r="D79" s="12" t="s">
        <v>3852</v>
      </c>
      <c r="E79" s="4">
        <v>480.9</v>
      </c>
      <c r="F79" s="14">
        <v>104</v>
      </c>
    </row>
    <row r="80" spans="1:6">
      <c r="A80" t="s">
        <v>267</v>
      </c>
      <c r="B80" t="s">
        <v>268</v>
      </c>
      <c r="C80" s="12" t="s">
        <v>75</v>
      </c>
      <c r="D80" s="12" t="s">
        <v>3850</v>
      </c>
      <c r="E80" s="4">
        <v>325.26</v>
      </c>
      <c r="F80" s="14">
        <v>400</v>
      </c>
    </row>
    <row r="81" spans="1:6">
      <c r="A81" t="s">
        <v>221</v>
      </c>
      <c r="B81" t="s">
        <v>223</v>
      </c>
      <c r="C81" s="12" t="s">
        <v>75</v>
      </c>
      <c r="D81" s="12" t="s">
        <v>3842</v>
      </c>
      <c r="E81" s="4">
        <v>228.53</v>
      </c>
      <c r="F81" s="14">
        <v>469</v>
      </c>
    </row>
    <row r="82" spans="1:6">
      <c r="A82" t="s">
        <v>429</v>
      </c>
      <c r="B82" t="s">
        <v>430</v>
      </c>
      <c r="C82" s="12" t="s">
        <v>75</v>
      </c>
      <c r="D82" s="12" t="s">
        <v>3846</v>
      </c>
      <c r="E82" s="4">
        <v>143.43</v>
      </c>
      <c r="F82" s="14">
        <v>58</v>
      </c>
    </row>
    <row r="83" spans="1:6">
      <c r="A83" t="s">
        <v>630</v>
      </c>
      <c r="B83" t="s">
        <v>631</v>
      </c>
      <c r="C83" s="12" t="s">
        <v>28</v>
      </c>
      <c r="D83" s="12" t="s">
        <v>3856</v>
      </c>
      <c r="E83" s="4">
        <v>285.54000000000002</v>
      </c>
      <c r="F83" s="14">
        <v>358</v>
      </c>
    </row>
    <row r="84" spans="1:6">
      <c r="A84" t="s">
        <v>542</v>
      </c>
      <c r="B84" t="s">
        <v>543</v>
      </c>
      <c r="C84" s="12" t="s">
        <v>28</v>
      </c>
      <c r="D84" s="12" t="s">
        <v>3845</v>
      </c>
      <c r="E84" s="4">
        <v>152.91999999999999</v>
      </c>
      <c r="F84" s="14">
        <v>281</v>
      </c>
    </row>
    <row r="85" spans="1:6">
      <c r="A85" t="s">
        <v>359</v>
      </c>
      <c r="B85" t="s">
        <v>361</v>
      </c>
      <c r="C85" s="12" t="s">
        <v>46</v>
      </c>
      <c r="D85" s="12" t="s">
        <v>3841</v>
      </c>
      <c r="E85" s="4">
        <v>289.359375</v>
      </c>
      <c r="F85" s="14">
        <v>159</v>
      </c>
    </row>
    <row r="86" spans="1:6">
      <c r="A86" t="s">
        <v>814</v>
      </c>
      <c r="B86" t="s">
        <v>815</v>
      </c>
      <c r="C86" s="12" t="s">
        <v>75</v>
      </c>
      <c r="D86" s="12" t="s">
        <v>3865</v>
      </c>
      <c r="E86" s="4">
        <v>388.46</v>
      </c>
      <c r="F86" s="14">
        <v>208</v>
      </c>
    </row>
    <row r="87" spans="1:6">
      <c r="A87" t="s">
        <v>462</v>
      </c>
      <c r="B87" t="s">
        <v>464</v>
      </c>
      <c r="C87" s="12" t="s">
        <v>130</v>
      </c>
      <c r="D87" s="12" t="s">
        <v>3840</v>
      </c>
      <c r="E87" s="4">
        <v>119.57</v>
      </c>
      <c r="F87" s="14">
        <v>210</v>
      </c>
    </row>
    <row r="88" spans="1:6">
      <c r="A88" t="s">
        <v>400</v>
      </c>
      <c r="B88" t="s">
        <v>401</v>
      </c>
      <c r="C88" s="12" t="s">
        <v>75</v>
      </c>
      <c r="D88" s="12" t="s">
        <v>3846</v>
      </c>
      <c r="E88" s="4">
        <v>176.07</v>
      </c>
      <c r="F88" s="14">
        <v>82</v>
      </c>
    </row>
    <row r="89" spans="1:6">
      <c r="A89" t="s">
        <v>514</v>
      </c>
      <c r="B89" t="s">
        <v>515</v>
      </c>
      <c r="C89" s="12" t="s">
        <v>75</v>
      </c>
      <c r="D89" s="12" t="s">
        <v>3842</v>
      </c>
      <c r="E89" s="4">
        <v>371.38</v>
      </c>
      <c r="F89" s="14">
        <v>220</v>
      </c>
    </row>
    <row r="90" spans="1:6">
      <c r="A90" t="s">
        <v>110</v>
      </c>
      <c r="B90" t="s">
        <v>112</v>
      </c>
      <c r="C90" s="12" t="s">
        <v>28</v>
      </c>
      <c r="D90" s="12" t="s">
        <v>3840</v>
      </c>
      <c r="E90" s="4">
        <v>131.24</v>
      </c>
      <c r="F90" s="14">
        <v>232</v>
      </c>
    </row>
    <row r="91" spans="1:6">
      <c r="A91" t="s">
        <v>287</v>
      </c>
      <c r="B91" t="s">
        <v>288</v>
      </c>
      <c r="C91" s="12" t="s">
        <v>46</v>
      </c>
      <c r="D91" s="12" t="s">
        <v>3863</v>
      </c>
      <c r="E91" s="4">
        <v>183.04</v>
      </c>
      <c r="F91" s="14">
        <v>457</v>
      </c>
    </row>
    <row r="92" spans="1:6">
      <c r="A92" t="s">
        <v>453</v>
      </c>
      <c r="B92" t="s">
        <v>454</v>
      </c>
      <c r="C92" s="12" t="s">
        <v>37</v>
      </c>
      <c r="D92" s="12" t="s">
        <v>3840</v>
      </c>
      <c r="E92" s="4">
        <v>340.14</v>
      </c>
      <c r="F92" s="14">
        <v>361</v>
      </c>
    </row>
    <row r="93" spans="1:6">
      <c r="A93" t="s">
        <v>372</v>
      </c>
      <c r="B93" t="s">
        <v>374</v>
      </c>
      <c r="C93" s="12" t="s">
        <v>130</v>
      </c>
      <c r="D93" s="12" t="s">
        <v>3861</v>
      </c>
      <c r="E93" s="4">
        <v>438.25</v>
      </c>
      <c r="F93" s="14">
        <v>496</v>
      </c>
    </row>
    <row r="94" spans="1:6">
      <c r="A94" t="s">
        <v>603</v>
      </c>
      <c r="B94" t="s">
        <v>604</v>
      </c>
      <c r="C94" s="12" t="s">
        <v>75</v>
      </c>
      <c r="D94" s="12" t="s">
        <v>3852</v>
      </c>
      <c r="E94" s="4">
        <v>447.43</v>
      </c>
      <c r="F94" s="14">
        <v>191</v>
      </c>
    </row>
    <row r="95" spans="1:6">
      <c r="A95" t="s">
        <v>317</v>
      </c>
      <c r="B95" t="s">
        <v>318</v>
      </c>
      <c r="C95" s="12" t="s">
        <v>37</v>
      </c>
      <c r="D95" s="12" t="s">
        <v>3832</v>
      </c>
      <c r="E95" s="4">
        <v>377.52</v>
      </c>
      <c r="F95" s="14">
        <v>485</v>
      </c>
    </row>
    <row r="96" spans="1:6">
      <c r="A96" t="s">
        <v>242</v>
      </c>
      <c r="B96" t="s">
        <v>243</v>
      </c>
      <c r="C96" s="12" t="s">
        <v>46</v>
      </c>
      <c r="D96" s="12" t="s">
        <v>3841</v>
      </c>
      <c r="E96" s="4">
        <v>358.47</v>
      </c>
      <c r="F96" s="14">
        <v>213</v>
      </c>
    </row>
    <row r="97" spans="1:6">
      <c r="A97" t="s">
        <v>1126</v>
      </c>
      <c r="B97" t="s">
        <v>1127</v>
      </c>
      <c r="C97" s="12" t="s">
        <v>28</v>
      </c>
      <c r="D97" s="12" t="s">
        <v>3840</v>
      </c>
      <c r="E97" s="4">
        <v>60.65</v>
      </c>
      <c r="F97" s="14">
        <v>75</v>
      </c>
    </row>
    <row r="98" spans="1:6">
      <c r="A98" t="s">
        <v>1259</v>
      </c>
      <c r="B98" t="s">
        <v>1260</v>
      </c>
      <c r="C98" s="12" t="s">
        <v>130</v>
      </c>
      <c r="D98" s="12" t="s">
        <v>3834</v>
      </c>
      <c r="E98" s="4">
        <v>358.47</v>
      </c>
      <c r="F98" s="14">
        <v>143</v>
      </c>
    </row>
    <row r="99" spans="1:6">
      <c r="A99" t="s">
        <v>21</v>
      </c>
      <c r="B99" t="s">
        <v>27</v>
      </c>
      <c r="C99" s="12" t="s">
        <v>28</v>
      </c>
      <c r="D99" s="12" t="s">
        <v>3860</v>
      </c>
      <c r="E99" s="4">
        <v>245.98</v>
      </c>
      <c r="F99" s="14">
        <v>471</v>
      </c>
    </row>
    <row r="100" spans="1:6">
      <c r="A100" t="s">
        <v>187</v>
      </c>
      <c r="B100" t="s">
        <v>189</v>
      </c>
      <c r="C100" s="12" t="s">
        <v>37</v>
      </c>
      <c r="D100" s="12" t="s">
        <v>3844</v>
      </c>
      <c r="E100" s="4">
        <v>431.67</v>
      </c>
      <c r="F100" s="14">
        <v>73</v>
      </c>
    </row>
    <row r="101" spans="1:6">
      <c r="A101" t="s">
        <v>85</v>
      </c>
      <c r="B101" t="s">
        <v>86</v>
      </c>
      <c r="C101" s="12" t="s">
        <v>75</v>
      </c>
      <c r="D101" s="12" t="s">
        <v>3846</v>
      </c>
      <c r="E101" s="4">
        <v>201.41</v>
      </c>
      <c r="F101" s="14">
        <v>146</v>
      </c>
    </row>
  </sheetData>
  <conditionalFormatting sqref="E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{4667ACC8-1E75-46B9-B05D-D19196C1009A}</x14:id>
        </ext>
      </extLst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{EC3E5771-E3A5-43AC-A160-288692E3AE1E}</x14:id>
        </ext>
      </extLst>
    </cfRule>
  </conditionalFormatting>
  <pageMargins left="0.75" right="0.75" top="1" bottom="1" header="0.5" footer="0.5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67ACC8-1E75-46B9-B05D-D19196C10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C3E5771-E3A5-43AC-A160-288692E3A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I1" sqref="I1:I1048576"/>
    </sheetView>
  </sheetViews>
  <sheetFormatPr defaultColWidth="9" defaultRowHeight="14.4"/>
  <cols>
    <col min="1" max="1" width="10.109375" customWidth="1"/>
    <col min="2" max="2" width="23.33203125" style="12" customWidth="1"/>
    <col min="3" max="3" width="17.5546875" style="12" customWidth="1"/>
    <col min="4" max="4" width="19.77734375" style="12" customWidth="1"/>
    <col min="5" max="5" width="15" style="12" customWidth="1"/>
    <col min="8" max="8" width="60.88671875" customWidth="1"/>
  </cols>
  <sheetData>
    <row r="1" spans="1:8">
      <c r="A1" s="11" t="s">
        <v>4</v>
      </c>
      <c r="B1" s="13" t="s">
        <v>3866</v>
      </c>
      <c r="C1" s="13" t="s">
        <v>16</v>
      </c>
      <c r="D1" s="13" t="s">
        <v>2816</v>
      </c>
      <c r="E1" s="13" t="s">
        <v>17</v>
      </c>
    </row>
    <row r="2" spans="1:8">
      <c r="A2" t="s">
        <v>90</v>
      </c>
      <c r="B2" s="12" t="s">
        <v>3867</v>
      </c>
      <c r="C2" s="12" t="s">
        <v>3868</v>
      </c>
      <c r="D2" s="12" t="s">
        <v>3869</v>
      </c>
      <c r="E2" s="12" t="s">
        <v>3870</v>
      </c>
      <c r="H2" t="s">
        <v>3871</v>
      </c>
    </row>
    <row r="3" spans="1:8">
      <c r="A3" t="s">
        <v>105</v>
      </c>
      <c r="B3" s="12" t="s">
        <v>3872</v>
      </c>
      <c r="C3" s="12" t="s">
        <v>3873</v>
      </c>
      <c r="D3" s="12" t="s">
        <v>3874</v>
      </c>
      <c r="E3" s="12" t="s">
        <v>3870</v>
      </c>
    </row>
    <row r="4" spans="1:8">
      <c r="A4" t="s">
        <v>198</v>
      </c>
      <c r="B4" s="12" t="s">
        <v>3875</v>
      </c>
      <c r="C4" s="12" t="s">
        <v>3876</v>
      </c>
      <c r="D4" s="12" t="s">
        <v>3877</v>
      </c>
      <c r="E4" s="12" t="s">
        <v>3878</v>
      </c>
    </row>
    <row r="5" spans="1:8">
      <c r="A5" t="s">
        <v>22</v>
      </c>
      <c r="B5" s="12" t="s">
        <v>3879</v>
      </c>
      <c r="C5" s="12" t="s">
        <v>3873</v>
      </c>
      <c r="D5" s="12" t="s">
        <v>3880</v>
      </c>
      <c r="E5" s="12" t="s">
        <v>3878</v>
      </c>
    </row>
    <row r="6" spans="1:8">
      <c r="A6" t="s">
        <v>72</v>
      </c>
      <c r="B6" s="12" t="s">
        <v>3881</v>
      </c>
      <c r="C6" s="12" t="s">
        <v>3876</v>
      </c>
      <c r="D6" s="12" t="s">
        <v>3882</v>
      </c>
      <c r="E6" s="12" t="s">
        <v>3883</v>
      </c>
    </row>
    <row r="7" spans="1:8">
      <c r="A7" t="s">
        <v>58</v>
      </c>
      <c r="B7" s="12" t="s">
        <v>3884</v>
      </c>
      <c r="C7" s="12" t="s">
        <v>3873</v>
      </c>
      <c r="D7" s="12" t="s">
        <v>3885</v>
      </c>
      <c r="E7" s="12" t="s">
        <v>3878</v>
      </c>
    </row>
    <row r="8" spans="1:8">
      <c r="A8" t="s">
        <v>179</v>
      </c>
      <c r="B8" s="12" t="s">
        <v>3886</v>
      </c>
      <c r="C8" s="12" t="s">
        <v>3868</v>
      </c>
      <c r="D8" s="12" t="s">
        <v>3887</v>
      </c>
      <c r="E8" s="12" t="s">
        <v>3883</v>
      </c>
    </row>
    <row r="9" spans="1:8">
      <c r="A9" t="s">
        <v>66</v>
      </c>
      <c r="B9" s="12" t="s">
        <v>3888</v>
      </c>
      <c r="C9" s="12" t="s">
        <v>3876</v>
      </c>
      <c r="D9" s="12" t="s">
        <v>3889</v>
      </c>
      <c r="E9" s="12" t="s">
        <v>3883</v>
      </c>
    </row>
    <row r="10" spans="1:8">
      <c r="A10" t="s">
        <v>43</v>
      </c>
      <c r="B10" s="12" t="s">
        <v>3890</v>
      </c>
      <c r="C10" s="12" t="s">
        <v>3891</v>
      </c>
      <c r="D10" s="12" t="s">
        <v>3892</v>
      </c>
      <c r="E10" s="12" t="s">
        <v>3883</v>
      </c>
    </row>
    <row r="11" spans="1:8">
      <c r="A11" t="s">
        <v>127</v>
      </c>
      <c r="B11" s="12" t="s">
        <v>3893</v>
      </c>
      <c r="C11" s="12" t="s">
        <v>3876</v>
      </c>
      <c r="D11" s="12" t="s">
        <v>3894</v>
      </c>
      <c r="E11" s="12" t="s">
        <v>3870</v>
      </c>
    </row>
    <row r="12" spans="1:8">
      <c r="A12" t="s">
        <v>168</v>
      </c>
      <c r="B12" s="12" t="s">
        <v>3895</v>
      </c>
      <c r="C12" s="12" t="s">
        <v>3868</v>
      </c>
      <c r="D12" s="12" t="s">
        <v>3896</v>
      </c>
      <c r="E12" s="12" t="s">
        <v>3883</v>
      </c>
    </row>
    <row r="13" spans="1:8">
      <c r="A13" t="s">
        <v>272</v>
      </c>
      <c r="B13" s="12" t="s">
        <v>3897</v>
      </c>
      <c r="C13" s="12" t="s">
        <v>3876</v>
      </c>
      <c r="D13" s="12" t="s">
        <v>3066</v>
      </c>
      <c r="E13" s="12" t="s">
        <v>3883</v>
      </c>
    </row>
    <row r="14" spans="1:8">
      <c r="A14" t="s">
        <v>208</v>
      </c>
      <c r="B14" s="12" t="s">
        <v>3898</v>
      </c>
      <c r="C14" s="12" t="s">
        <v>3873</v>
      </c>
      <c r="D14" s="12" t="s">
        <v>3899</v>
      </c>
      <c r="E14" s="12" t="s">
        <v>3883</v>
      </c>
    </row>
    <row r="15" spans="1:8">
      <c r="A15" t="s">
        <v>149</v>
      </c>
      <c r="B15" s="12" t="s">
        <v>3900</v>
      </c>
      <c r="C15" s="12" t="s">
        <v>3868</v>
      </c>
      <c r="D15" s="12" t="s">
        <v>2903</v>
      </c>
      <c r="E15" s="12" t="s">
        <v>3870</v>
      </c>
    </row>
    <row r="16" spans="1:8">
      <c r="A16" t="s">
        <v>98</v>
      </c>
      <c r="B16" s="12" t="s">
        <v>3901</v>
      </c>
      <c r="C16" s="12" t="s">
        <v>3876</v>
      </c>
      <c r="D16" s="12" t="s">
        <v>2949</v>
      </c>
      <c r="E16" s="12" t="s">
        <v>3878</v>
      </c>
    </row>
    <row r="17" spans="1:5">
      <c r="A17" t="s">
        <v>122</v>
      </c>
      <c r="B17" s="12" t="s">
        <v>3902</v>
      </c>
      <c r="C17" s="12" t="s">
        <v>3873</v>
      </c>
      <c r="D17" s="12" t="s">
        <v>3903</v>
      </c>
      <c r="E17" s="12" t="s">
        <v>3870</v>
      </c>
    </row>
    <row r="18" spans="1:5">
      <c r="A18" t="s">
        <v>117</v>
      </c>
      <c r="B18" s="12" t="s">
        <v>3904</v>
      </c>
      <c r="C18" s="12" t="s">
        <v>3891</v>
      </c>
      <c r="D18" s="12" t="s">
        <v>3905</v>
      </c>
      <c r="E18" s="12" t="s">
        <v>3870</v>
      </c>
    </row>
    <row r="19" spans="1:5">
      <c r="A19" t="s">
        <v>32</v>
      </c>
      <c r="B19" s="12" t="s">
        <v>3906</v>
      </c>
      <c r="C19" s="12" t="s">
        <v>3873</v>
      </c>
      <c r="D19" s="12" t="s">
        <v>3907</v>
      </c>
      <c r="E19" s="12" t="s">
        <v>3870</v>
      </c>
    </row>
    <row r="20" spans="1:5">
      <c r="A20" t="s">
        <v>160</v>
      </c>
      <c r="B20" s="12" t="s">
        <v>3908</v>
      </c>
      <c r="C20" s="12" t="s">
        <v>3868</v>
      </c>
      <c r="D20" s="12" t="s">
        <v>3909</v>
      </c>
      <c r="E20" s="12" t="s">
        <v>3870</v>
      </c>
    </row>
    <row r="21" spans="1:5">
      <c r="A21" t="s">
        <v>135</v>
      </c>
      <c r="B21" s="12" t="s">
        <v>3910</v>
      </c>
      <c r="C21" s="12" t="s">
        <v>3868</v>
      </c>
      <c r="D21" s="12" t="s">
        <v>3911</v>
      </c>
      <c r="E21" s="12" t="s">
        <v>3883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2:F24"/>
  <sheetViews>
    <sheetView topLeftCell="A2" workbookViewId="0">
      <selection activeCell="C7" sqref="C7"/>
    </sheetView>
  </sheetViews>
  <sheetFormatPr defaultColWidth="9" defaultRowHeight="14.4"/>
  <cols>
    <col min="5" max="5" width="22.5546875" customWidth="1"/>
    <col min="6" max="6" width="26.44140625" customWidth="1"/>
  </cols>
  <sheetData>
    <row r="2" spans="5:6">
      <c r="E2" s="43" t="s">
        <v>3912</v>
      </c>
      <c r="F2" s="44"/>
    </row>
    <row r="3" spans="5:6">
      <c r="E3" s="44"/>
      <c r="F3" s="44"/>
    </row>
    <row r="7" spans="5:6" ht="15.6">
      <c r="E7" s="42" t="s">
        <v>18</v>
      </c>
      <c r="F7" s="42" t="s">
        <v>3913</v>
      </c>
    </row>
    <row r="8" spans="5:6">
      <c r="E8" s="10"/>
      <c r="F8" s="10"/>
    </row>
    <row r="9" spans="5:6">
      <c r="E9" s="10" t="s">
        <v>3914</v>
      </c>
      <c r="F9" s="10">
        <v>1277.6047554481299</v>
      </c>
    </row>
    <row r="10" spans="5:6">
      <c r="E10" s="10" t="s">
        <v>3915</v>
      </c>
      <c r="F10" s="10">
        <v>21.240665058099399</v>
      </c>
    </row>
    <row r="11" spans="5:6">
      <c r="E11" s="10" t="s">
        <v>3916</v>
      </c>
      <c r="F11" s="10">
        <v>1008.44</v>
      </c>
    </row>
    <row r="12" spans="5:6">
      <c r="E12" s="10" t="s">
        <v>3917</v>
      </c>
      <c r="F12" s="10">
        <v>312.60000000000002</v>
      </c>
    </row>
    <row r="13" spans="5:6">
      <c r="E13" s="10" t="s">
        <v>3918</v>
      </c>
      <c r="F13" s="10">
        <v>949.67391159735405</v>
      </c>
    </row>
    <row r="14" spans="5:6">
      <c r="E14" s="10" t="s">
        <v>3919</v>
      </c>
      <c r="F14" s="10">
        <v>901880.53836861905</v>
      </c>
    </row>
    <row r="15" spans="5:6">
      <c r="E15" s="10" t="s">
        <v>3920</v>
      </c>
      <c r="F15" s="10">
        <v>-0.13404363590059601</v>
      </c>
    </row>
    <row r="16" spans="5:6">
      <c r="E16" s="10" t="s">
        <v>3921</v>
      </c>
      <c r="F16" s="10">
        <v>0.82047622596829695</v>
      </c>
    </row>
    <row r="17" spans="5:6">
      <c r="E17" s="10" t="s">
        <v>3922</v>
      </c>
      <c r="F17" s="10">
        <v>3971.12</v>
      </c>
    </row>
    <row r="18" spans="5:6">
      <c r="E18" s="10" t="s">
        <v>3923</v>
      </c>
      <c r="F18" s="10">
        <v>21.08</v>
      </c>
    </row>
    <row r="19" spans="5:6">
      <c r="E19" s="10" t="s">
        <v>3924</v>
      </c>
      <c r="F19" s="10">
        <v>3992.2</v>
      </c>
    </row>
    <row r="20" spans="5:6">
      <c r="E20" s="10" t="s">
        <v>3925</v>
      </c>
      <c r="F20" s="10">
        <v>2553931.9061408099</v>
      </c>
    </row>
    <row r="21" spans="5:6">
      <c r="E21" s="10" t="s">
        <v>3926</v>
      </c>
      <c r="F21" s="10">
        <v>1999</v>
      </c>
    </row>
    <row r="22" spans="5:6">
      <c r="E22" s="10" t="s">
        <v>3927</v>
      </c>
      <c r="F22" s="10">
        <v>3992.2</v>
      </c>
    </row>
    <row r="23" spans="5:6">
      <c r="E23" s="10" t="s">
        <v>3928</v>
      </c>
      <c r="F23" s="10">
        <v>21.08</v>
      </c>
    </row>
    <row r="24" spans="5:6">
      <c r="E24" s="10" t="s">
        <v>3929</v>
      </c>
      <c r="F24" s="10">
        <v>41.656173075161902</v>
      </c>
    </row>
  </sheetData>
  <mergeCells count="1">
    <mergeCell ref="E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1:AB7"/>
  <sheetViews>
    <sheetView tabSelected="1" topLeftCell="B1" zoomScale="81" zoomScaleNormal="81" workbookViewId="0">
      <selection activeCell="N3" sqref="N3"/>
    </sheetView>
  </sheetViews>
  <sheetFormatPr defaultColWidth="8.88671875" defaultRowHeight="14.4"/>
  <cols>
    <col min="1" max="7" width="8.88671875" style="1"/>
    <col min="8" max="8" width="10.33203125" style="1" customWidth="1"/>
    <col min="9" max="9" width="8.33203125" style="1" customWidth="1"/>
    <col min="10" max="10" width="9.44140625" style="1" customWidth="1"/>
    <col min="11" max="16384" width="8.88671875" style="1"/>
  </cols>
  <sheetData>
    <row r="1" spans="6:28">
      <c r="L1" s="45" t="s">
        <v>3945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6:28"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5" spans="6:28" ht="18" customHeight="1">
      <c r="F5" s="46" t="s">
        <v>3946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6:28" ht="18" customHeight="1"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6:28" ht="18"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</sheetData>
  <mergeCells count="2">
    <mergeCell ref="L1:W2"/>
    <mergeCell ref="F5:AB6"/>
  </mergeCells>
  <pageMargins left="0.7" right="0.7" top="0.75" bottom="0.75" header="0.3" footer="0.3"/>
  <pageSetup paperSize="9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E8"/>
  <sheetViews>
    <sheetView topLeftCell="A2" workbookViewId="0">
      <selection activeCell="K24" sqref="K24"/>
    </sheetView>
  </sheetViews>
  <sheetFormatPr defaultColWidth="9" defaultRowHeight="14.4"/>
  <cols>
    <col min="1" max="1" width="19.77734375" customWidth="1"/>
    <col min="2" max="2" width="15.5546875" customWidth="1"/>
    <col min="3" max="6" width="12" customWidth="1"/>
  </cols>
  <sheetData>
    <row r="3" spans="1:5">
      <c r="A3" t="s">
        <v>3930</v>
      </c>
      <c r="B3" t="s">
        <v>3931</v>
      </c>
    </row>
    <row r="4" spans="1:5">
      <c r="A4" t="s">
        <v>3932</v>
      </c>
      <c r="B4" t="s">
        <v>3868</v>
      </c>
      <c r="C4" t="s">
        <v>3873</v>
      </c>
      <c r="D4" t="s">
        <v>3876</v>
      </c>
      <c r="E4" t="s">
        <v>3891</v>
      </c>
    </row>
    <row r="5" spans="1:5">
      <c r="A5" s="9" t="s">
        <v>3870</v>
      </c>
      <c r="B5">
        <v>357939.15340510802</v>
      </c>
      <c r="C5">
        <v>377549.41</v>
      </c>
      <c r="D5">
        <v>127402.25</v>
      </c>
      <c r="E5">
        <v>131195.51999999999</v>
      </c>
    </row>
    <row r="6" spans="1:5">
      <c r="A6" s="9" t="s">
        <v>3883</v>
      </c>
      <c r="B6">
        <v>374732.28331647499</v>
      </c>
      <c r="C6">
        <v>138687.69</v>
      </c>
      <c r="D6">
        <v>378571.41200000001</v>
      </c>
      <c r="E6">
        <v>185318.97637409301</v>
      </c>
    </row>
    <row r="7" spans="1:5">
      <c r="A7" s="9" t="s">
        <v>3878</v>
      </c>
      <c r="C7">
        <v>243732.84293318199</v>
      </c>
      <c r="D7">
        <v>239007.20811195899</v>
      </c>
    </row>
    <row r="8" spans="1:5">
      <c r="A8" s="9" t="s">
        <v>3933</v>
      </c>
      <c r="B8">
        <v>732671.43672158197</v>
      </c>
      <c r="C8">
        <v>759969.942933182</v>
      </c>
      <c r="D8">
        <v>744980.87011195906</v>
      </c>
      <c r="E8">
        <v>316514.496374093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9"/>
  <sheetViews>
    <sheetView workbookViewId="0">
      <selection activeCell="A3" sqref="A3:B3"/>
    </sheetView>
  </sheetViews>
  <sheetFormatPr defaultColWidth="9" defaultRowHeight="14.4"/>
  <cols>
    <col min="1" max="1" width="12.5546875" customWidth="1"/>
    <col min="2" max="3" width="19.77734375" customWidth="1"/>
    <col min="4" max="76" width="7.88671875" customWidth="1"/>
    <col min="994" max="1998" width="10.44140625" customWidth="1"/>
    <col min="1999" max="1999" width="11.6640625" customWidth="1"/>
  </cols>
  <sheetData>
    <row r="3" spans="1:2">
      <c r="A3" s="40" t="s">
        <v>3932</v>
      </c>
      <c r="B3" s="40" t="s">
        <v>3930</v>
      </c>
    </row>
    <row r="4" spans="1:2">
      <c r="A4" s="6" t="s">
        <v>46</v>
      </c>
      <c r="B4" s="5">
        <v>381461.23240510799</v>
      </c>
    </row>
    <row r="5" spans="1:2">
      <c r="A5" s="41" t="s">
        <v>34</v>
      </c>
      <c r="B5" s="5">
        <v>212708.88240510799</v>
      </c>
    </row>
    <row r="6" spans="1:2">
      <c r="A6" s="41" t="s">
        <v>24</v>
      </c>
      <c r="B6" s="5">
        <v>168752.35</v>
      </c>
    </row>
    <row r="7" spans="1:2">
      <c r="A7" s="6" t="s">
        <v>130</v>
      </c>
      <c r="B7" s="5">
        <v>442258.9</v>
      </c>
    </row>
    <row r="8" spans="1:2">
      <c r="A8" s="41" t="s">
        <v>34</v>
      </c>
      <c r="B8" s="5">
        <v>259410.76</v>
      </c>
    </row>
    <row r="9" spans="1:2">
      <c r="A9" s="41" t="s">
        <v>24</v>
      </c>
      <c r="B9" s="5">
        <v>182848.14</v>
      </c>
    </row>
    <row r="10" spans="1:2">
      <c r="A10" s="6" t="s">
        <v>37</v>
      </c>
      <c r="B10" s="5">
        <v>593458.16680252703</v>
      </c>
    </row>
    <row r="11" spans="1:2">
      <c r="A11" s="41" t="s">
        <v>34</v>
      </c>
      <c r="B11" s="5">
        <v>335606.05042843398</v>
      </c>
    </row>
    <row r="12" spans="1:2">
      <c r="A12" s="41" t="s">
        <v>24</v>
      </c>
      <c r="B12" s="5">
        <v>257852.11637409299</v>
      </c>
    </row>
    <row r="13" spans="1:2">
      <c r="A13" s="6" t="s">
        <v>75</v>
      </c>
      <c r="B13" s="5">
        <v>501627.17693318299</v>
      </c>
    </row>
    <row r="14" spans="1:2">
      <c r="A14" s="41" t="s">
        <v>34</v>
      </c>
      <c r="B14" s="5">
        <v>256323.57</v>
      </c>
    </row>
    <row r="15" spans="1:2">
      <c r="A15" s="41" t="s">
        <v>24</v>
      </c>
      <c r="B15" s="5">
        <v>245303.60693318301</v>
      </c>
    </row>
    <row r="16" spans="1:2">
      <c r="A16" s="6" t="s">
        <v>28</v>
      </c>
      <c r="B16" s="5">
        <v>635331.27</v>
      </c>
    </row>
    <row r="17" spans="1:2">
      <c r="A17" s="41" t="s">
        <v>34</v>
      </c>
      <c r="B17" s="5">
        <v>380920.94</v>
      </c>
    </row>
    <row r="18" spans="1:2">
      <c r="A18" s="41" t="s">
        <v>24</v>
      </c>
      <c r="B18" s="5">
        <v>254410.33</v>
      </c>
    </row>
    <row r="19" spans="1:2">
      <c r="A19" s="6" t="s">
        <v>3933</v>
      </c>
      <c r="B19" s="5">
        <v>2554136.74614082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A9" sqref="A9:B9"/>
    </sheetView>
  </sheetViews>
  <sheetFormatPr defaultColWidth="9" defaultRowHeight="14.4"/>
  <cols>
    <col min="1" max="1" width="13.21875" customWidth="1"/>
    <col min="2" max="2" width="19.77734375" customWidth="1"/>
    <col min="3" max="3" width="9" customWidth="1"/>
    <col min="4" max="5" width="12" customWidth="1"/>
    <col min="6" max="6" width="10" customWidth="1"/>
    <col min="7" max="7" width="12" customWidth="1"/>
  </cols>
  <sheetData>
    <row r="1" spans="1:2">
      <c r="A1" t="s">
        <v>11</v>
      </c>
      <c r="B1" t="s">
        <v>3934</v>
      </c>
    </row>
    <row r="3" spans="1:2">
      <c r="A3" s="38" t="s">
        <v>3932</v>
      </c>
      <c r="B3" s="38" t="s">
        <v>3930</v>
      </c>
    </row>
    <row r="4" spans="1:2">
      <c r="A4" s="6" t="s">
        <v>46</v>
      </c>
      <c r="B4" s="5">
        <v>381461.232405107</v>
      </c>
    </row>
    <row r="5" spans="1:2">
      <c r="A5" s="6" t="s">
        <v>130</v>
      </c>
      <c r="B5" s="5">
        <v>442258.9</v>
      </c>
    </row>
    <row r="6" spans="1:2">
      <c r="A6" s="6" t="s">
        <v>37</v>
      </c>
      <c r="B6" s="5">
        <v>593458.16680252703</v>
      </c>
    </row>
    <row r="7" spans="1:2">
      <c r="A7" s="6" t="s">
        <v>75</v>
      </c>
      <c r="B7" s="5">
        <v>501627.176933182</v>
      </c>
    </row>
    <row r="8" spans="1:2">
      <c r="A8" s="6" t="s">
        <v>28</v>
      </c>
      <c r="B8" s="5">
        <v>635331.27</v>
      </c>
    </row>
    <row r="9" spans="1:2">
      <c r="A9" s="39" t="s">
        <v>3933</v>
      </c>
      <c r="B9" s="40">
        <v>2554136.74614082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H55" sqref="H53:H55"/>
    </sheetView>
  </sheetViews>
  <sheetFormatPr defaultColWidth="9" defaultRowHeight="14.4"/>
  <cols>
    <col min="1" max="1" width="19.77734375" customWidth="1"/>
    <col min="2" max="2" width="15.5546875" customWidth="1"/>
    <col min="3" max="3" width="10" customWidth="1"/>
    <col min="4" max="5" width="12" customWidth="1"/>
    <col min="6" max="6" width="10" customWidth="1"/>
    <col min="7" max="7" width="19.21875" customWidth="1"/>
    <col min="8" max="9" width="12" customWidth="1"/>
    <col min="10" max="10" width="14.77734375" customWidth="1"/>
    <col min="11" max="11" width="10" customWidth="1"/>
    <col min="12" max="13" width="12" customWidth="1"/>
    <col min="14" max="15" width="10" customWidth="1"/>
    <col min="16" max="16" width="11" customWidth="1"/>
    <col min="17" max="17" width="12" customWidth="1"/>
  </cols>
  <sheetData>
    <row r="1" spans="1:7">
      <c r="A1" t="s">
        <v>8</v>
      </c>
      <c r="B1" t="s">
        <v>3934</v>
      </c>
    </row>
    <row r="3" spans="1:7">
      <c r="A3" t="s">
        <v>3930</v>
      </c>
      <c r="B3" t="s">
        <v>3931</v>
      </c>
    </row>
    <row r="4" spans="1:7">
      <c r="A4" t="s">
        <v>3935</v>
      </c>
      <c r="B4" t="s">
        <v>46</v>
      </c>
      <c r="C4" t="s">
        <v>130</v>
      </c>
      <c r="D4" t="s">
        <v>37</v>
      </c>
      <c r="E4" t="s">
        <v>75</v>
      </c>
      <c r="F4" t="s">
        <v>28</v>
      </c>
      <c r="G4" t="s">
        <v>3936</v>
      </c>
    </row>
    <row r="5" spans="1:7">
      <c r="A5" s="9" t="s">
        <v>3937</v>
      </c>
      <c r="B5">
        <v>43555.57</v>
      </c>
      <c r="C5">
        <v>47156.11</v>
      </c>
      <c r="D5">
        <v>53442.05</v>
      </c>
      <c r="E5">
        <v>63108.63</v>
      </c>
      <c r="F5">
        <v>57259.07</v>
      </c>
      <c r="G5">
        <v>264521.43</v>
      </c>
    </row>
    <row r="6" spans="1:7">
      <c r="A6" s="9" t="s">
        <v>3938</v>
      </c>
      <c r="B6">
        <v>205298.129088633</v>
      </c>
      <c r="C6">
        <v>244526.87</v>
      </c>
      <c r="D6">
        <v>252244.896316475</v>
      </c>
      <c r="E6">
        <v>247705.072933182</v>
      </c>
      <c r="F6">
        <v>335626.47</v>
      </c>
      <c r="G6">
        <v>1285401.43833829</v>
      </c>
    </row>
    <row r="7" spans="1:7">
      <c r="A7" s="9" t="s">
        <v>3939</v>
      </c>
      <c r="B7">
        <v>132607.53331647499</v>
      </c>
      <c r="C7">
        <v>150575.92000000001</v>
      </c>
      <c r="D7">
        <v>287771.22048605297</v>
      </c>
      <c r="E7">
        <v>190813.47399999999</v>
      </c>
      <c r="F7">
        <v>242445.73</v>
      </c>
      <c r="G7">
        <v>1004213.87780253</v>
      </c>
    </row>
    <row r="8" spans="1:7">
      <c r="A8" s="9" t="s">
        <v>3936</v>
      </c>
      <c r="B8">
        <v>381461.23240510799</v>
      </c>
      <c r="C8">
        <v>442258.9</v>
      </c>
      <c r="D8">
        <v>593458.16680252703</v>
      </c>
      <c r="E8">
        <v>501627.17693318299</v>
      </c>
      <c r="F8">
        <v>635331.27</v>
      </c>
      <c r="G8">
        <v>2554136.74614082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C9"/>
  <sheetViews>
    <sheetView workbookViewId="0">
      <selection activeCell="B13" sqref="B13"/>
    </sheetView>
  </sheetViews>
  <sheetFormatPr defaultColWidth="9" defaultRowHeight="14.4"/>
  <cols>
    <col min="1" max="1" width="12.5546875" customWidth="1"/>
    <col min="2" max="2" width="19.77734375" customWidth="1"/>
    <col min="3" max="3" width="18.109375" customWidth="1"/>
  </cols>
  <sheetData>
    <row r="3" spans="1:3">
      <c r="A3" s="5" t="s">
        <v>3932</v>
      </c>
      <c r="B3" s="5" t="s">
        <v>3930</v>
      </c>
      <c r="C3" s="5" t="s">
        <v>3940</v>
      </c>
    </row>
    <row r="4" spans="1:3">
      <c r="A4" s="6" t="s">
        <v>46</v>
      </c>
      <c r="B4" s="5">
        <v>381461.232405107</v>
      </c>
      <c r="C4" s="5">
        <v>0.152851973684211</v>
      </c>
    </row>
    <row r="5" spans="1:3">
      <c r="A5" s="6" t="s">
        <v>130</v>
      </c>
      <c r="B5" s="5">
        <v>442258.9</v>
      </c>
      <c r="C5" s="5">
        <v>0.14488023952095799</v>
      </c>
    </row>
    <row r="6" spans="1:3">
      <c r="A6" s="6" t="s">
        <v>37</v>
      </c>
      <c r="B6" s="5">
        <v>593458.16680252703</v>
      </c>
      <c r="C6" s="5">
        <v>0.14930136414672901</v>
      </c>
    </row>
    <row r="7" spans="1:3">
      <c r="A7" s="6" t="s">
        <v>75</v>
      </c>
      <c r="B7" s="5">
        <v>501627.176933182</v>
      </c>
      <c r="C7" s="5">
        <v>0.148796422948375</v>
      </c>
    </row>
    <row r="8" spans="1:3">
      <c r="A8" s="6" t="s">
        <v>28</v>
      </c>
      <c r="B8" s="5">
        <v>635331.27</v>
      </c>
      <c r="C8" s="5">
        <v>0.14564257028112401</v>
      </c>
    </row>
    <row r="9" spans="1:3">
      <c r="A9" s="7" t="s">
        <v>3933</v>
      </c>
      <c r="B9" s="8">
        <v>2554136.7461408102</v>
      </c>
      <c r="C9" s="8">
        <v>0.14808817636572399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15"/>
  <sheetViews>
    <sheetView workbookViewId="0">
      <selection activeCell="D1" sqref="D1:D1048576"/>
    </sheetView>
  </sheetViews>
  <sheetFormatPr defaultColWidth="9" defaultRowHeight="14.4"/>
  <cols>
    <col min="1" max="1" width="12.5546875" customWidth="1"/>
    <col min="2" max="2" width="15.88671875" customWidth="1"/>
    <col min="3" max="3" width="23.77734375" customWidth="1"/>
    <col min="4" max="4" width="18.77734375" customWidth="1"/>
    <col min="5" max="5" width="23" customWidth="1"/>
  </cols>
  <sheetData>
    <row r="1" spans="1:5">
      <c r="A1" t="s">
        <v>1</v>
      </c>
      <c r="B1" t="s">
        <v>3941</v>
      </c>
      <c r="C1" t="s">
        <v>3942</v>
      </c>
      <c r="D1" t="s">
        <v>3943</v>
      </c>
      <c r="E1" t="s">
        <v>3944</v>
      </c>
    </row>
    <row r="2" spans="1:5">
      <c r="A2" s="3">
        <v>45213</v>
      </c>
      <c r="B2" s="4">
        <v>1653.26</v>
      </c>
    </row>
    <row r="3" spans="1:5">
      <c r="A3" s="3">
        <v>45214</v>
      </c>
      <c r="B3" s="4">
        <v>490.64</v>
      </c>
    </row>
    <row r="4" spans="1:5">
      <c r="A4" s="3">
        <v>45215</v>
      </c>
      <c r="B4" s="4">
        <v>2380.2199999999998</v>
      </c>
    </row>
    <row r="5" spans="1:5">
      <c r="A5" s="3">
        <v>45216</v>
      </c>
      <c r="B5" s="4">
        <v>1115.53</v>
      </c>
    </row>
    <row r="6" spans="1:5">
      <c r="A6" s="3">
        <v>45217</v>
      </c>
      <c r="B6" s="4">
        <v>771.71400000000006</v>
      </c>
    </row>
    <row r="7" spans="1:5">
      <c r="A7" s="3">
        <v>45218</v>
      </c>
      <c r="B7" s="4">
        <v>1755.2149999999999</v>
      </c>
    </row>
    <row r="8" spans="1:5">
      <c r="A8" s="3">
        <v>45219</v>
      </c>
      <c r="B8" s="4">
        <v>583.86500000000001</v>
      </c>
    </row>
    <row r="9" spans="1:5">
      <c r="A9" s="3">
        <v>45220</v>
      </c>
      <c r="B9" s="4">
        <v>577.51</v>
      </c>
    </row>
    <row r="10" spans="1:5">
      <c r="A10" s="3">
        <v>45221</v>
      </c>
      <c r="B10" s="4">
        <v>2188.44</v>
      </c>
    </row>
    <row r="11" spans="1:5">
      <c r="A11" s="3">
        <v>45222</v>
      </c>
      <c r="B11" s="4">
        <v>627.79</v>
      </c>
    </row>
    <row r="12" spans="1:5">
      <c r="A12" s="3">
        <v>45223</v>
      </c>
      <c r="B12" s="4">
        <v>2574.83</v>
      </c>
    </row>
    <row r="13" spans="1:5">
      <c r="A13" s="3">
        <v>45224</v>
      </c>
      <c r="B13" s="4">
        <v>932.94</v>
      </c>
    </row>
    <row r="14" spans="1:5">
      <c r="A14" s="3">
        <v>45225</v>
      </c>
      <c r="B14" s="4">
        <v>730.12</v>
      </c>
    </row>
    <row r="15" spans="1:5">
      <c r="A15" s="3">
        <v>45226</v>
      </c>
      <c r="B15" s="4">
        <v>552.20666666666705</v>
      </c>
    </row>
    <row r="16" spans="1:5">
      <c r="A16" s="3">
        <v>45227</v>
      </c>
      <c r="B16" s="4">
        <v>374.29333333333301</v>
      </c>
    </row>
    <row r="17" spans="1:2">
      <c r="A17" s="3">
        <v>45228</v>
      </c>
      <c r="B17" s="4">
        <v>2053.5</v>
      </c>
    </row>
    <row r="18" spans="1:2">
      <c r="A18" s="3">
        <v>45229</v>
      </c>
      <c r="B18" s="4">
        <v>1241.4833333333299</v>
      </c>
    </row>
    <row r="19" spans="1:2">
      <c r="A19" s="3">
        <v>45230</v>
      </c>
      <c r="B19" s="4">
        <v>956.56666666666695</v>
      </c>
    </row>
    <row r="20" spans="1:2">
      <c r="A20" s="3">
        <v>45231</v>
      </c>
      <c r="B20" s="4">
        <v>1498.17</v>
      </c>
    </row>
    <row r="21" spans="1:2">
      <c r="A21" s="3">
        <v>45232</v>
      </c>
      <c r="B21" s="4">
        <v>1932.5150000000001</v>
      </c>
    </row>
    <row r="22" spans="1:2">
      <c r="A22" s="3">
        <v>45233</v>
      </c>
      <c r="B22" s="4">
        <v>1009.03666666667</v>
      </c>
    </row>
    <row r="23" spans="1:2">
      <c r="A23" s="3">
        <v>45234</v>
      </c>
      <c r="B23" s="4">
        <v>1047.6600000000001</v>
      </c>
    </row>
    <row r="24" spans="1:2">
      <c r="A24" s="3">
        <v>45235</v>
      </c>
      <c r="B24" s="4">
        <v>1713.92</v>
      </c>
    </row>
    <row r="25" spans="1:2">
      <c r="A25" s="3">
        <v>45236</v>
      </c>
      <c r="B25" s="4">
        <v>1539.585</v>
      </c>
    </row>
    <row r="26" spans="1:2">
      <c r="A26" s="3">
        <v>45237</v>
      </c>
      <c r="B26" s="4">
        <v>1252.8050000000001</v>
      </c>
    </row>
    <row r="27" spans="1:2">
      <c r="A27" s="3">
        <v>45238</v>
      </c>
      <c r="B27" s="4">
        <v>539.30499999999995</v>
      </c>
    </row>
    <row r="28" spans="1:2">
      <c r="A28" s="3">
        <v>45239</v>
      </c>
      <c r="B28" s="4">
        <v>1844.28</v>
      </c>
    </row>
    <row r="29" spans="1:2">
      <c r="A29" s="3">
        <v>45240</v>
      </c>
      <c r="B29" s="4">
        <v>1271.405</v>
      </c>
    </row>
    <row r="30" spans="1:2">
      <c r="A30" s="3">
        <v>45241</v>
      </c>
      <c r="B30" s="4">
        <v>1535.36</v>
      </c>
    </row>
    <row r="31" spans="1:2">
      <c r="A31" s="3">
        <v>45242</v>
      </c>
      <c r="B31" s="4">
        <v>314.185</v>
      </c>
    </row>
    <row r="32" spans="1:2">
      <c r="A32" s="3">
        <v>45243</v>
      </c>
      <c r="B32" s="4">
        <v>347.34333333333302</v>
      </c>
    </row>
    <row r="33" spans="1:2">
      <c r="A33" s="3">
        <v>45244</v>
      </c>
      <c r="B33" s="4">
        <v>1128.9825000000001</v>
      </c>
    </row>
    <row r="34" spans="1:2">
      <c r="A34" s="3">
        <v>45245</v>
      </c>
      <c r="B34" s="4">
        <v>894.495</v>
      </c>
    </row>
    <row r="35" spans="1:2">
      <c r="A35" s="3">
        <v>45246</v>
      </c>
      <c r="B35" s="4">
        <v>660.00750000000005</v>
      </c>
    </row>
    <row r="36" spans="1:2">
      <c r="A36" s="3">
        <v>45247</v>
      </c>
      <c r="B36" s="4">
        <v>425.52</v>
      </c>
    </row>
    <row r="37" spans="1:2">
      <c r="A37" s="3">
        <v>45248</v>
      </c>
      <c r="B37" s="4">
        <v>1017.89</v>
      </c>
    </row>
    <row r="38" spans="1:2">
      <c r="A38" s="3">
        <v>45249</v>
      </c>
      <c r="B38" s="4">
        <v>992.113333333333</v>
      </c>
    </row>
    <row r="39" spans="1:2">
      <c r="A39" s="3">
        <v>45250</v>
      </c>
      <c r="B39" s="4">
        <v>1103.615</v>
      </c>
    </row>
    <row r="40" spans="1:2">
      <c r="A40" s="3">
        <v>45251</v>
      </c>
      <c r="B40" s="4">
        <v>1440.7</v>
      </c>
    </row>
    <row r="41" spans="1:2">
      <c r="A41" s="3">
        <v>45252</v>
      </c>
      <c r="B41" s="4">
        <v>2090.7350000000001</v>
      </c>
    </row>
    <row r="42" spans="1:2">
      <c r="A42" s="3">
        <v>45253</v>
      </c>
      <c r="B42" s="4">
        <v>468.27</v>
      </c>
    </row>
    <row r="43" spans="1:2">
      <c r="A43" s="3">
        <v>45254</v>
      </c>
      <c r="B43" s="4">
        <v>637.20000000000005</v>
      </c>
    </row>
    <row r="44" spans="1:2">
      <c r="A44" s="3">
        <v>45255</v>
      </c>
      <c r="B44" s="4">
        <v>632.47249999999997</v>
      </c>
    </row>
    <row r="45" spans="1:2">
      <c r="A45" s="3">
        <v>45256</v>
      </c>
      <c r="B45" s="4">
        <v>1044.2933333333301</v>
      </c>
    </row>
    <row r="46" spans="1:2">
      <c r="A46" s="3">
        <v>45257</v>
      </c>
      <c r="B46" s="4">
        <v>1147.6420000000001</v>
      </c>
    </row>
    <row r="47" spans="1:2">
      <c r="A47" s="3">
        <v>45258</v>
      </c>
      <c r="B47" s="4">
        <v>1267.0266666666701</v>
      </c>
    </row>
    <row r="48" spans="1:2">
      <c r="A48" s="3">
        <v>45259</v>
      </c>
      <c r="B48" s="4">
        <v>969.14499999999998</v>
      </c>
    </row>
    <row r="49" spans="1:2">
      <c r="A49" s="3">
        <v>45260</v>
      </c>
      <c r="B49" s="4">
        <v>331.01</v>
      </c>
    </row>
    <row r="50" spans="1:2">
      <c r="A50" s="3">
        <v>45261</v>
      </c>
      <c r="B50" s="4">
        <v>789.86500000000001</v>
      </c>
    </row>
    <row r="51" spans="1:2">
      <c r="A51" s="3">
        <v>45262</v>
      </c>
      <c r="B51" s="4">
        <v>687.54</v>
      </c>
    </row>
    <row r="52" spans="1:2">
      <c r="A52" s="3">
        <v>45263</v>
      </c>
      <c r="B52" s="4">
        <v>585.21500000000003</v>
      </c>
    </row>
    <row r="53" spans="1:2">
      <c r="A53" s="3">
        <v>45264</v>
      </c>
      <c r="B53" s="4">
        <v>994.5</v>
      </c>
    </row>
    <row r="54" spans="1:2">
      <c r="A54" s="3">
        <v>45265</v>
      </c>
      <c r="B54" s="4">
        <v>1442.44333333333</v>
      </c>
    </row>
    <row r="55" spans="1:2">
      <c r="A55" s="3">
        <v>45266</v>
      </c>
      <c r="B55" s="4">
        <v>955.2</v>
      </c>
    </row>
    <row r="56" spans="1:2">
      <c r="A56" s="3">
        <v>45267</v>
      </c>
      <c r="B56" s="4">
        <v>1495.78</v>
      </c>
    </row>
    <row r="57" spans="1:2">
      <c r="A57" s="3">
        <v>45268</v>
      </c>
      <c r="B57" s="4">
        <v>1151.3928571428601</v>
      </c>
    </row>
    <row r="58" spans="1:2">
      <c r="A58" s="3">
        <v>45269</v>
      </c>
      <c r="B58" s="4">
        <v>1475.87</v>
      </c>
    </row>
    <row r="59" spans="1:2">
      <c r="A59" s="3">
        <v>45270</v>
      </c>
      <c r="B59" s="4">
        <v>954.493333333333</v>
      </c>
    </row>
    <row r="60" spans="1:2">
      <c r="A60" s="3">
        <v>45271</v>
      </c>
      <c r="B60" s="4">
        <v>1923.18</v>
      </c>
    </row>
    <row r="61" spans="1:2">
      <c r="A61" s="3">
        <v>45272</v>
      </c>
      <c r="B61" s="4">
        <v>1629.9559999999999</v>
      </c>
    </row>
    <row r="62" spans="1:2">
      <c r="A62" s="3">
        <v>45273</v>
      </c>
      <c r="B62" s="4">
        <v>2396.41</v>
      </c>
    </row>
    <row r="63" spans="1:2">
      <c r="A63" s="3">
        <v>45274</v>
      </c>
      <c r="B63" s="4">
        <v>1688.94333333333</v>
      </c>
    </row>
    <row r="64" spans="1:2">
      <c r="A64" s="3">
        <v>45275</v>
      </c>
      <c r="B64" s="4">
        <v>3049.92</v>
      </c>
    </row>
    <row r="65" spans="1:2">
      <c r="A65" s="3">
        <v>45276</v>
      </c>
      <c r="B65" s="4">
        <v>1293.33666666667</v>
      </c>
    </row>
    <row r="66" spans="1:2">
      <c r="A66" s="3">
        <v>45277</v>
      </c>
      <c r="B66" s="4">
        <v>777.97500000000002</v>
      </c>
    </row>
    <row r="67" spans="1:2">
      <c r="A67" s="3">
        <v>45278</v>
      </c>
      <c r="B67" s="4">
        <v>1672.48</v>
      </c>
    </row>
    <row r="68" spans="1:2">
      <c r="A68" s="3">
        <v>45279</v>
      </c>
      <c r="B68" s="4">
        <v>1097.6199999999999</v>
      </c>
    </row>
    <row r="69" spans="1:2">
      <c r="A69" s="3">
        <v>45280</v>
      </c>
      <c r="B69" s="4">
        <v>1166.6199999999999</v>
      </c>
    </row>
    <row r="70" spans="1:2">
      <c r="A70" s="3">
        <v>45281</v>
      </c>
      <c r="B70" s="4">
        <v>1014.23</v>
      </c>
    </row>
    <row r="71" spans="1:2">
      <c r="A71" s="3">
        <v>45282</v>
      </c>
      <c r="B71" s="4">
        <v>673.92</v>
      </c>
    </row>
    <row r="72" spans="1:2">
      <c r="A72" s="3">
        <v>45283</v>
      </c>
      <c r="B72" s="4">
        <v>1556.9</v>
      </c>
    </row>
    <row r="73" spans="1:2">
      <c r="A73" s="3">
        <v>45284</v>
      </c>
      <c r="B73" s="4">
        <v>1866.67</v>
      </c>
    </row>
    <row r="74" spans="1:2">
      <c r="A74" s="3">
        <v>45285</v>
      </c>
      <c r="B74" s="4">
        <v>764.62</v>
      </c>
    </row>
    <row r="75" spans="1:2">
      <c r="A75" s="3">
        <v>45286</v>
      </c>
      <c r="B75" s="4">
        <v>937.89499999999998</v>
      </c>
    </row>
    <row r="76" spans="1:2">
      <c r="A76" s="3">
        <v>45287</v>
      </c>
      <c r="B76" s="4">
        <v>442.22</v>
      </c>
    </row>
    <row r="77" spans="1:2">
      <c r="A77" s="3">
        <v>45288</v>
      </c>
      <c r="B77" s="4">
        <v>1309.89333333333</v>
      </c>
    </row>
    <row r="78" spans="1:2">
      <c r="A78" s="3">
        <v>45289</v>
      </c>
      <c r="B78" s="4">
        <v>2557.8150000000001</v>
      </c>
    </row>
    <row r="79" spans="1:2">
      <c r="A79" s="3">
        <v>45290</v>
      </c>
      <c r="B79" s="4">
        <v>1543.87333333333</v>
      </c>
    </row>
    <row r="80" spans="1:2">
      <c r="A80" s="3">
        <v>45291</v>
      </c>
      <c r="B80" s="4">
        <v>1202.25</v>
      </c>
    </row>
    <row r="81" spans="1:2">
      <c r="A81" s="3">
        <v>45292</v>
      </c>
      <c r="B81" s="4">
        <v>421.73</v>
      </c>
    </row>
    <row r="82" spans="1:2">
      <c r="A82" s="3">
        <v>45293</v>
      </c>
      <c r="B82" s="4">
        <v>897.54</v>
      </c>
    </row>
    <row r="83" spans="1:2">
      <c r="A83" s="3">
        <v>45294</v>
      </c>
      <c r="B83" s="4">
        <v>720.44333333333304</v>
      </c>
    </row>
    <row r="84" spans="1:2">
      <c r="A84" s="3">
        <v>45295</v>
      </c>
      <c r="B84" s="4">
        <v>1125.54</v>
      </c>
    </row>
    <row r="85" spans="1:2">
      <c r="A85" s="3">
        <v>45296</v>
      </c>
      <c r="B85" s="4">
        <v>1296.952</v>
      </c>
    </row>
    <row r="86" spans="1:2">
      <c r="A86" s="3">
        <v>45297</v>
      </c>
      <c r="B86" s="4">
        <v>2102.94</v>
      </c>
    </row>
    <row r="87" spans="1:2">
      <c r="A87" s="3">
        <v>45298</v>
      </c>
      <c r="B87" s="4">
        <v>1442.855</v>
      </c>
    </row>
    <row r="88" spans="1:2">
      <c r="A88" s="3">
        <v>45299</v>
      </c>
      <c r="B88" s="4">
        <v>782.77</v>
      </c>
    </row>
    <row r="89" spans="1:2">
      <c r="A89" s="3">
        <v>45300</v>
      </c>
      <c r="B89" s="4">
        <v>533.16</v>
      </c>
    </row>
    <row r="90" spans="1:2">
      <c r="A90" s="3">
        <v>45301</v>
      </c>
      <c r="B90" s="4">
        <v>1058.73</v>
      </c>
    </row>
    <row r="91" spans="1:2">
      <c r="A91" s="3">
        <v>45302</v>
      </c>
      <c r="B91" s="4">
        <v>946.83097772744395</v>
      </c>
    </row>
    <row r="92" spans="1:2">
      <c r="A92" s="3">
        <v>45303</v>
      </c>
      <c r="B92" s="4">
        <v>1375.48</v>
      </c>
    </row>
    <row r="93" spans="1:2">
      <c r="A93" s="3">
        <v>45304</v>
      </c>
      <c r="B93" s="4">
        <v>1127.8</v>
      </c>
    </row>
    <row r="94" spans="1:2">
      <c r="A94" s="3">
        <v>45305</v>
      </c>
      <c r="B94" s="4">
        <v>484.11</v>
      </c>
    </row>
    <row r="95" spans="1:2">
      <c r="A95" s="3">
        <v>45306</v>
      </c>
      <c r="B95" s="4">
        <v>301.33</v>
      </c>
    </row>
    <row r="96" spans="1:2">
      <c r="A96" s="3">
        <v>45307</v>
      </c>
      <c r="B96" s="4">
        <v>802.61500000000001</v>
      </c>
    </row>
    <row r="97" spans="1:2">
      <c r="A97" s="3">
        <v>45308</v>
      </c>
      <c r="B97" s="4">
        <v>1331.8119999999999</v>
      </c>
    </row>
    <row r="98" spans="1:2">
      <c r="A98" s="3">
        <v>45309</v>
      </c>
      <c r="B98" s="4">
        <v>2169.2849999999999</v>
      </c>
    </row>
    <row r="99" spans="1:2">
      <c r="A99" s="3">
        <v>45310</v>
      </c>
      <c r="B99" s="4">
        <v>1052.99</v>
      </c>
    </row>
    <row r="100" spans="1:2">
      <c r="A100" s="3">
        <v>45311</v>
      </c>
      <c r="B100" s="4">
        <v>1579.59666666667</v>
      </c>
    </row>
    <row r="101" spans="1:2">
      <c r="A101" s="3">
        <v>45312</v>
      </c>
      <c r="B101" s="4">
        <v>693.76499999999999</v>
      </c>
    </row>
    <row r="102" spans="1:2">
      <c r="A102" s="3">
        <v>45313</v>
      </c>
      <c r="B102" s="4">
        <v>1012.79333333333</v>
      </c>
    </row>
    <row r="103" spans="1:2">
      <c r="A103" s="3">
        <v>45314</v>
      </c>
      <c r="B103" s="4">
        <v>616.99</v>
      </c>
    </row>
    <row r="104" spans="1:2">
      <c r="A104" s="3">
        <v>45315</v>
      </c>
      <c r="B104" s="4">
        <v>1473.14</v>
      </c>
    </row>
    <row r="105" spans="1:2">
      <c r="A105" s="3">
        <v>45316</v>
      </c>
      <c r="B105" s="4">
        <v>783.53750000000002</v>
      </c>
    </row>
    <row r="106" spans="1:2">
      <c r="A106" s="3">
        <v>45317</v>
      </c>
      <c r="B106" s="4">
        <v>1973.36</v>
      </c>
    </row>
    <row r="107" spans="1:2">
      <c r="A107" s="3">
        <v>45318</v>
      </c>
      <c r="B107" s="4">
        <v>1386.3</v>
      </c>
    </row>
    <row r="108" spans="1:2">
      <c r="A108" s="3">
        <v>45319</v>
      </c>
      <c r="B108" s="4">
        <v>2214.5700000000002</v>
      </c>
    </row>
    <row r="109" spans="1:2">
      <c r="A109" s="3">
        <v>45320</v>
      </c>
      <c r="B109" s="4">
        <v>1338.84</v>
      </c>
    </row>
    <row r="110" spans="1:2">
      <c r="A110" s="3">
        <v>45321</v>
      </c>
      <c r="B110" s="4">
        <v>514.47</v>
      </c>
    </row>
    <row r="111" spans="1:2">
      <c r="A111" s="3">
        <v>45322</v>
      </c>
      <c r="B111" s="4">
        <v>780.33</v>
      </c>
    </row>
    <row r="112" spans="1:2">
      <c r="A112" s="3">
        <v>45323</v>
      </c>
      <c r="B112" s="4">
        <v>2017.25</v>
      </c>
    </row>
    <row r="113" spans="1:2">
      <c r="A113" s="3">
        <v>45324</v>
      </c>
      <c r="B113" s="4">
        <v>2029.8883333333299</v>
      </c>
    </row>
    <row r="114" spans="1:2">
      <c r="A114" s="3">
        <v>45325</v>
      </c>
      <c r="B114" s="4">
        <v>2042.5266666666701</v>
      </c>
    </row>
    <row r="115" spans="1:2">
      <c r="A115" s="3">
        <v>45326</v>
      </c>
      <c r="B115" s="4">
        <v>751.64666666666699</v>
      </c>
    </row>
    <row r="116" spans="1:2">
      <c r="A116" s="3">
        <v>45327</v>
      </c>
      <c r="B116" s="4">
        <v>930.61</v>
      </c>
    </row>
    <row r="117" spans="1:2">
      <c r="A117" s="3">
        <v>45328</v>
      </c>
      <c r="B117" s="4">
        <v>243.18</v>
      </c>
    </row>
    <row r="118" spans="1:2">
      <c r="A118" s="3">
        <v>45329</v>
      </c>
      <c r="B118" s="4">
        <v>482.21666666666698</v>
      </c>
    </row>
    <row r="119" spans="1:2">
      <c r="A119" s="3">
        <v>45330</v>
      </c>
      <c r="B119" s="4">
        <v>1102.2566666666701</v>
      </c>
    </row>
    <row r="120" spans="1:2">
      <c r="A120" s="3">
        <v>45331</v>
      </c>
      <c r="B120" s="4">
        <v>944.09333333333302</v>
      </c>
    </row>
    <row r="121" spans="1:2">
      <c r="A121" s="3">
        <v>45332</v>
      </c>
      <c r="B121" s="4">
        <v>984.72</v>
      </c>
    </row>
    <row r="122" spans="1:2">
      <c r="A122" s="3">
        <v>45333</v>
      </c>
      <c r="B122" s="4">
        <v>1045.5350000000001</v>
      </c>
    </row>
    <row r="123" spans="1:2">
      <c r="A123" s="3">
        <v>45334</v>
      </c>
      <c r="B123" s="4">
        <v>752.35666666666702</v>
      </c>
    </row>
    <row r="124" spans="1:2">
      <c r="A124" s="3">
        <v>45335</v>
      </c>
      <c r="B124" s="4">
        <v>449.255</v>
      </c>
    </row>
    <row r="125" spans="1:2">
      <c r="A125" s="3">
        <v>45336</v>
      </c>
      <c r="B125" s="4">
        <v>870.62666666666701</v>
      </c>
    </row>
    <row r="126" spans="1:2">
      <c r="A126" s="3">
        <v>45337</v>
      </c>
      <c r="B126" s="4">
        <v>1902.03</v>
      </c>
    </row>
    <row r="127" spans="1:2">
      <c r="A127" s="3">
        <v>45338</v>
      </c>
      <c r="B127" s="4">
        <v>748.55888888888899</v>
      </c>
    </row>
    <row r="128" spans="1:2">
      <c r="A128" s="3">
        <v>45339</v>
      </c>
      <c r="B128" s="4">
        <v>299.02999999999997</v>
      </c>
    </row>
    <row r="129" spans="1:2">
      <c r="A129" s="3">
        <v>45340</v>
      </c>
      <c r="B129" s="4">
        <v>1890.8033333333301</v>
      </c>
    </row>
    <row r="130" spans="1:2">
      <c r="A130" s="3">
        <v>45341</v>
      </c>
      <c r="B130" s="4">
        <v>1813.5266666666701</v>
      </c>
    </row>
    <row r="131" spans="1:2">
      <c r="A131" s="3">
        <v>45342</v>
      </c>
      <c r="B131" s="4">
        <v>1654.8216666666699</v>
      </c>
    </row>
    <row r="132" spans="1:2">
      <c r="A132" s="3">
        <v>45343</v>
      </c>
      <c r="B132" s="4">
        <v>1496.11666666667</v>
      </c>
    </row>
    <row r="133" spans="1:2">
      <c r="A133" s="3">
        <v>45344</v>
      </c>
      <c r="B133" s="4">
        <v>1767.3140000000001</v>
      </c>
    </row>
    <row r="134" spans="1:2">
      <c r="A134" s="3">
        <v>45345</v>
      </c>
      <c r="B134" s="4">
        <v>904.47333333333302</v>
      </c>
    </row>
    <row r="135" spans="1:2">
      <c r="A135" s="3">
        <v>45346</v>
      </c>
      <c r="B135" s="4">
        <v>584.21500000000003</v>
      </c>
    </row>
    <row r="136" spans="1:2">
      <c r="A136" s="3">
        <v>45347</v>
      </c>
      <c r="B136" s="4">
        <v>1645.4866666666701</v>
      </c>
    </row>
    <row r="137" spans="1:2">
      <c r="A137" s="3">
        <v>45348</v>
      </c>
      <c r="B137" s="4">
        <v>1696.82666666667</v>
      </c>
    </row>
    <row r="138" spans="1:2">
      <c r="A138" s="3">
        <v>45349</v>
      </c>
      <c r="B138" s="4">
        <v>1218.606</v>
      </c>
    </row>
    <row r="139" spans="1:2">
      <c r="A139" s="3">
        <v>45350</v>
      </c>
      <c r="B139" s="4">
        <v>365.48500000000001</v>
      </c>
    </row>
    <row r="140" spans="1:2">
      <c r="A140" s="3">
        <v>45351</v>
      </c>
      <c r="B140" s="4">
        <v>1127.56</v>
      </c>
    </row>
    <row r="141" spans="1:2">
      <c r="A141" s="3">
        <v>45352</v>
      </c>
      <c r="B141" s="4">
        <v>3468.48</v>
      </c>
    </row>
    <row r="142" spans="1:2">
      <c r="A142" s="3">
        <v>45353</v>
      </c>
      <c r="B142" s="4">
        <v>949.493333333333</v>
      </c>
    </row>
    <row r="143" spans="1:2">
      <c r="A143" s="3">
        <v>45354</v>
      </c>
      <c r="B143" s="4">
        <v>1493.4275</v>
      </c>
    </row>
    <row r="144" spans="1:2">
      <c r="A144" s="3">
        <v>45355</v>
      </c>
      <c r="B144" s="4">
        <v>899.78</v>
      </c>
    </row>
    <row r="145" spans="1:2">
      <c r="A145" s="3">
        <v>45356</v>
      </c>
      <c r="B145" s="4">
        <v>2324.3074999999999</v>
      </c>
    </row>
    <row r="146" spans="1:2">
      <c r="A146" s="3">
        <v>45357</v>
      </c>
      <c r="B146" s="4">
        <v>250.92</v>
      </c>
    </row>
    <row r="147" spans="1:2">
      <c r="A147" s="3">
        <v>45358</v>
      </c>
      <c r="B147" s="4">
        <v>596.27750000000003</v>
      </c>
    </row>
    <row r="148" spans="1:2">
      <c r="A148" s="3">
        <v>45359</v>
      </c>
      <c r="B148" s="4">
        <v>941.63499999999999</v>
      </c>
    </row>
    <row r="149" spans="1:2">
      <c r="A149" s="3">
        <v>45360</v>
      </c>
      <c r="B149" s="4">
        <v>1146.81</v>
      </c>
    </row>
    <row r="150" spans="1:2">
      <c r="A150" s="3">
        <v>45361</v>
      </c>
      <c r="B150" s="4">
        <v>1242.8140000000001</v>
      </c>
    </row>
    <row r="151" spans="1:2">
      <c r="A151" s="3">
        <v>45362</v>
      </c>
      <c r="B151" s="4">
        <v>1852.8</v>
      </c>
    </row>
    <row r="152" spans="1:2">
      <c r="A152" s="3">
        <v>45363</v>
      </c>
      <c r="B152" s="4">
        <v>2018.25</v>
      </c>
    </row>
    <row r="153" spans="1:2">
      <c r="A153" s="3">
        <v>45364</v>
      </c>
      <c r="B153" s="4">
        <v>3312.44</v>
      </c>
    </row>
    <row r="154" spans="1:2">
      <c r="A154" s="3">
        <v>45365</v>
      </c>
      <c r="B154" s="4">
        <v>785.20666666666705</v>
      </c>
    </row>
    <row r="155" spans="1:2">
      <c r="A155" s="3">
        <v>45366</v>
      </c>
      <c r="B155" s="4">
        <v>1190.9783333333301</v>
      </c>
    </row>
    <row r="156" spans="1:2">
      <c r="A156" s="3">
        <v>45367</v>
      </c>
      <c r="B156" s="4">
        <v>1596.75</v>
      </c>
    </row>
    <row r="157" spans="1:2">
      <c r="A157" s="3">
        <v>45368</v>
      </c>
      <c r="B157" s="4">
        <v>2541.81</v>
      </c>
    </row>
    <row r="158" spans="1:2">
      <c r="A158" s="3">
        <v>45369</v>
      </c>
      <c r="B158" s="4">
        <v>1727.74227215824</v>
      </c>
    </row>
    <row r="159" spans="1:2">
      <c r="A159" s="3">
        <v>45370</v>
      </c>
      <c r="B159" s="4">
        <v>1871.07</v>
      </c>
    </row>
    <row r="160" spans="1:2">
      <c r="A160" s="3">
        <v>45371</v>
      </c>
      <c r="B160" s="4">
        <v>1023.658</v>
      </c>
    </row>
    <row r="161" spans="1:2">
      <c r="A161" s="3">
        <v>45372</v>
      </c>
      <c r="B161" s="4">
        <v>642.66999999999996</v>
      </c>
    </row>
    <row r="162" spans="1:2">
      <c r="A162" s="3">
        <v>45373</v>
      </c>
      <c r="B162" s="4">
        <v>1453.4749999999999</v>
      </c>
    </row>
    <row r="163" spans="1:2">
      <c r="A163" s="3">
        <v>45374</v>
      </c>
      <c r="B163" s="4">
        <v>876.95333333333303</v>
      </c>
    </row>
    <row r="164" spans="1:2">
      <c r="A164" s="3">
        <v>45375</v>
      </c>
      <c r="B164" s="4">
        <v>708.04</v>
      </c>
    </row>
    <row r="165" spans="1:2">
      <c r="A165" s="3">
        <v>45376</v>
      </c>
      <c r="B165" s="4">
        <v>1027.58</v>
      </c>
    </row>
    <row r="166" spans="1:2">
      <c r="A166" s="3">
        <v>45377</v>
      </c>
      <c r="B166" s="4">
        <v>2254.11333333333</v>
      </c>
    </row>
    <row r="167" spans="1:2">
      <c r="A167" s="3">
        <v>45378</v>
      </c>
      <c r="B167" s="4">
        <v>1810.9475</v>
      </c>
    </row>
    <row r="168" spans="1:2">
      <c r="A168" s="3">
        <v>45379</v>
      </c>
      <c r="B168" s="4">
        <v>626.21571428571394</v>
      </c>
    </row>
    <row r="169" spans="1:2">
      <c r="A169" s="3">
        <v>45380</v>
      </c>
      <c r="B169" s="4">
        <v>1342.8040000000001</v>
      </c>
    </row>
    <row r="170" spans="1:2">
      <c r="A170" s="3">
        <v>45381</v>
      </c>
      <c r="B170" s="4">
        <v>1216.538</v>
      </c>
    </row>
    <row r="171" spans="1:2">
      <c r="A171" s="3">
        <v>45382</v>
      </c>
      <c r="B171" s="4">
        <v>1090.2719999999999</v>
      </c>
    </row>
    <row r="172" spans="1:2">
      <c r="A172" s="3">
        <v>45383</v>
      </c>
      <c r="B172" s="4">
        <v>1452.4649999999999</v>
      </c>
    </row>
    <row r="173" spans="1:2">
      <c r="A173" s="3">
        <v>45384</v>
      </c>
      <c r="B173" s="4">
        <v>1041.1949999999999</v>
      </c>
    </row>
    <row r="174" spans="1:2">
      <c r="A174" s="3">
        <v>45385</v>
      </c>
      <c r="B174" s="4">
        <v>2369.15</v>
      </c>
    </row>
    <row r="175" spans="1:2">
      <c r="A175" s="3">
        <v>45386</v>
      </c>
      <c r="B175" s="4">
        <v>1171.25</v>
      </c>
    </row>
    <row r="176" spans="1:2">
      <c r="A176" s="3">
        <v>45387</v>
      </c>
      <c r="B176" s="4">
        <v>1959.155</v>
      </c>
    </row>
    <row r="177" spans="1:2">
      <c r="A177" s="3">
        <v>45388</v>
      </c>
      <c r="B177" s="4">
        <v>1773.9466666666699</v>
      </c>
    </row>
    <row r="178" spans="1:2">
      <c r="A178" s="3">
        <v>45389</v>
      </c>
      <c r="B178" s="4">
        <v>703.65499999999997</v>
      </c>
    </row>
    <row r="179" spans="1:2">
      <c r="A179" s="3">
        <v>45390</v>
      </c>
      <c r="B179" s="4">
        <v>567.09199999999998</v>
      </c>
    </row>
    <row r="180" spans="1:2">
      <c r="A180" s="3">
        <v>45391</v>
      </c>
      <c r="B180" s="4">
        <v>630.74266666666699</v>
      </c>
    </row>
    <row r="181" spans="1:2">
      <c r="A181" s="3">
        <v>45392</v>
      </c>
      <c r="B181" s="4">
        <v>694.39333333333298</v>
      </c>
    </row>
    <row r="182" spans="1:2">
      <c r="A182" s="3">
        <v>45393</v>
      </c>
      <c r="B182" s="4">
        <v>1025.00966666667</v>
      </c>
    </row>
    <row r="183" spans="1:2">
      <c r="A183" s="3">
        <v>45394</v>
      </c>
      <c r="B183" s="4">
        <v>1355.626</v>
      </c>
    </row>
    <row r="184" spans="1:2">
      <c r="A184" s="3">
        <v>45395</v>
      </c>
      <c r="B184" s="4">
        <v>1377.0775000000001</v>
      </c>
    </row>
    <row r="185" spans="1:2">
      <c r="A185" s="3">
        <v>45396</v>
      </c>
      <c r="B185" s="4">
        <v>2367.2249999999999</v>
      </c>
    </row>
    <row r="186" spans="1:2">
      <c r="A186" s="3">
        <v>45397</v>
      </c>
      <c r="B186" s="4">
        <v>1042.2225000000001</v>
      </c>
    </row>
    <row r="187" spans="1:2">
      <c r="A187" s="3">
        <v>45398</v>
      </c>
      <c r="B187" s="4">
        <v>1276.28</v>
      </c>
    </row>
    <row r="188" spans="1:2">
      <c r="A188" s="3">
        <v>45399</v>
      </c>
      <c r="B188" s="4">
        <v>2275.44</v>
      </c>
    </row>
    <row r="189" spans="1:2">
      <c r="A189" s="3">
        <v>45400</v>
      </c>
      <c r="B189" s="4">
        <v>568.62</v>
      </c>
    </row>
    <row r="190" spans="1:2">
      <c r="A190" s="3">
        <v>45401</v>
      </c>
      <c r="B190" s="4">
        <v>1040.94</v>
      </c>
    </row>
    <row r="191" spans="1:2">
      <c r="A191" s="3">
        <v>45402</v>
      </c>
      <c r="B191" s="4">
        <v>730.34</v>
      </c>
    </row>
    <row r="192" spans="1:2">
      <c r="A192" s="3">
        <v>45403</v>
      </c>
      <c r="B192" s="4">
        <v>1828.17</v>
      </c>
    </row>
    <row r="193" spans="1:2">
      <c r="A193" s="3">
        <v>45404</v>
      </c>
      <c r="B193" s="4">
        <v>2926</v>
      </c>
    </row>
    <row r="194" spans="1:2">
      <c r="A194" s="3">
        <v>45405</v>
      </c>
      <c r="B194" s="4">
        <v>544.03750000000002</v>
      </c>
    </row>
    <row r="195" spans="1:2">
      <c r="A195" s="3">
        <v>45406</v>
      </c>
      <c r="B195" s="4">
        <v>2306.645</v>
      </c>
    </row>
    <row r="196" spans="1:2">
      <c r="A196" s="3">
        <v>45407</v>
      </c>
      <c r="B196" s="4">
        <v>2583.6849999999999</v>
      </c>
    </row>
    <row r="197" spans="1:2">
      <c r="A197" s="3">
        <v>45408</v>
      </c>
      <c r="B197" s="4">
        <v>810.66499999999996</v>
      </c>
    </row>
    <row r="198" spans="1:2">
      <c r="A198" s="3">
        <v>45409</v>
      </c>
      <c r="B198" s="4">
        <v>2500.1</v>
      </c>
    </row>
    <row r="199" spans="1:2">
      <c r="A199" s="3">
        <v>45410</v>
      </c>
      <c r="B199" s="4">
        <v>2243.56</v>
      </c>
    </row>
    <row r="200" spans="1:2">
      <c r="A200" s="3">
        <v>45411</v>
      </c>
      <c r="B200" s="4">
        <v>1987.02</v>
      </c>
    </row>
    <row r="201" spans="1:2">
      <c r="A201" s="3">
        <v>45412</v>
      </c>
      <c r="B201" s="4">
        <v>2365</v>
      </c>
    </row>
    <row r="202" spans="1:2">
      <c r="A202" s="3">
        <v>45413</v>
      </c>
      <c r="B202" s="4">
        <v>894.83333333333303</v>
      </c>
    </row>
    <row r="203" spans="1:2">
      <c r="A203" s="3">
        <v>45414</v>
      </c>
      <c r="B203" s="4">
        <v>1962.87</v>
      </c>
    </row>
    <row r="204" spans="1:2">
      <c r="A204" s="3">
        <v>45415</v>
      </c>
      <c r="B204" s="4">
        <v>478.17500000000001</v>
      </c>
    </row>
    <row r="205" spans="1:2">
      <c r="A205" s="3">
        <v>45416</v>
      </c>
      <c r="B205" s="4">
        <v>372.22</v>
      </c>
    </row>
    <row r="206" spans="1:2">
      <c r="A206" s="3">
        <v>45417</v>
      </c>
      <c r="B206" s="4">
        <v>457.308333333333</v>
      </c>
    </row>
    <row r="207" spans="1:2">
      <c r="A207" s="3">
        <v>45418</v>
      </c>
      <c r="B207" s="4">
        <v>542.39666666666699</v>
      </c>
    </row>
    <row r="208" spans="1:2">
      <c r="A208" s="3">
        <v>45419</v>
      </c>
      <c r="B208" s="4">
        <v>764.15833333333296</v>
      </c>
    </row>
    <row r="209" spans="1:2">
      <c r="A209" s="3">
        <v>45420</v>
      </c>
      <c r="B209" s="4">
        <v>985.92</v>
      </c>
    </row>
    <row r="210" spans="1:2">
      <c r="A210" s="3">
        <v>45421</v>
      </c>
      <c r="B210" s="4">
        <v>1357.5</v>
      </c>
    </row>
    <row r="211" spans="1:2">
      <c r="A211" s="3">
        <v>45422</v>
      </c>
      <c r="B211" s="4">
        <v>73.84</v>
      </c>
    </row>
    <row r="212" spans="1:2">
      <c r="A212" s="3">
        <v>45423</v>
      </c>
      <c r="B212" s="4">
        <v>1320.52</v>
      </c>
    </row>
    <row r="213" spans="1:2">
      <c r="A213" s="3">
        <v>45424</v>
      </c>
      <c r="B213" s="4">
        <v>190.48500000000001</v>
      </c>
    </row>
    <row r="214" spans="1:2">
      <c r="A214" s="3">
        <v>45425</v>
      </c>
      <c r="B214" s="4">
        <v>1409.88</v>
      </c>
    </row>
    <row r="215" spans="1:2">
      <c r="A215" s="3">
        <v>45426</v>
      </c>
      <c r="B215" s="4">
        <v>1625.0250000000001</v>
      </c>
    </row>
    <row r="216" spans="1:2">
      <c r="A216" s="3">
        <v>45427</v>
      </c>
      <c r="B216" s="4">
        <v>1344.31666666667</v>
      </c>
    </row>
    <row r="217" spans="1:2">
      <c r="A217" s="3">
        <v>45428</v>
      </c>
      <c r="B217" s="4">
        <v>789.61</v>
      </c>
    </row>
    <row r="218" spans="1:2">
      <c r="A218" s="3">
        <v>45429</v>
      </c>
      <c r="B218" s="4">
        <v>1085.07</v>
      </c>
    </row>
    <row r="219" spans="1:2">
      <c r="A219" s="3">
        <v>45430</v>
      </c>
      <c r="B219" s="4">
        <v>339.6</v>
      </c>
    </row>
    <row r="220" spans="1:2">
      <c r="A220" s="3">
        <v>45431</v>
      </c>
      <c r="B220" s="4">
        <v>1438.84</v>
      </c>
    </row>
    <row r="221" spans="1:2">
      <c r="A221" s="3">
        <v>45432</v>
      </c>
      <c r="B221" s="4">
        <v>886.58333333333303</v>
      </c>
    </row>
    <row r="222" spans="1:2">
      <c r="A222" s="3">
        <v>45433</v>
      </c>
      <c r="B222" s="4">
        <v>1594.26</v>
      </c>
    </row>
    <row r="223" spans="1:2">
      <c r="A223" s="3">
        <v>45434</v>
      </c>
      <c r="B223" s="4">
        <v>973.52499999999998</v>
      </c>
    </row>
    <row r="224" spans="1:2">
      <c r="A224" s="3">
        <v>45435</v>
      </c>
      <c r="B224" s="4">
        <v>1245.9466666666699</v>
      </c>
    </row>
    <row r="225" spans="1:2">
      <c r="A225" s="3">
        <v>45436</v>
      </c>
      <c r="B225" s="4">
        <v>2285.0133333333301</v>
      </c>
    </row>
    <row r="226" spans="1:2">
      <c r="A226" s="3">
        <v>45437</v>
      </c>
      <c r="B226" s="4">
        <v>3324.08</v>
      </c>
    </row>
    <row r="227" spans="1:2">
      <c r="A227" s="3">
        <v>45438</v>
      </c>
      <c r="B227" s="4">
        <v>1076.43</v>
      </c>
    </row>
    <row r="228" spans="1:2">
      <c r="A228" s="3">
        <v>45439</v>
      </c>
      <c r="B228" s="4">
        <v>569.33000000000004</v>
      </c>
    </row>
    <row r="229" spans="1:2">
      <c r="A229" s="3">
        <v>45440</v>
      </c>
      <c r="B229" s="4">
        <v>62.23</v>
      </c>
    </row>
    <row r="230" spans="1:2">
      <c r="A230" s="3">
        <v>45441</v>
      </c>
      <c r="B230" s="4">
        <v>1135.8333333333301</v>
      </c>
    </row>
    <row r="231" spans="1:2">
      <c r="A231" s="3">
        <v>45442</v>
      </c>
      <c r="B231" s="4">
        <v>654.35666666666702</v>
      </c>
    </row>
    <row r="232" spans="1:2">
      <c r="A232" s="3">
        <v>45443</v>
      </c>
      <c r="B232" s="4">
        <v>172.88</v>
      </c>
    </row>
    <row r="233" spans="1:2">
      <c r="A233" s="3">
        <v>45444</v>
      </c>
      <c r="B233" s="4">
        <v>894.9</v>
      </c>
    </row>
    <row r="234" spans="1:2">
      <c r="A234" s="3">
        <v>45445</v>
      </c>
      <c r="B234" s="4">
        <v>983.53666666666697</v>
      </c>
    </row>
    <row r="235" spans="1:2">
      <c r="A235" s="3">
        <v>45446</v>
      </c>
      <c r="B235" s="4">
        <v>1254.4837500000001</v>
      </c>
    </row>
    <row r="236" spans="1:2">
      <c r="A236" s="3">
        <v>45447</v>
      </c>
      <c r="B236" s="4">
        <v>1899.2987499999999</v>
      </c>
    </row>
    <row r="237" spans="1:2">
      <c r="A237" s="3">
        <v>45448</v>
      </c>
      <c r="B237" s="4">
        <v>2200.5450000000001</v>
      </c>
    </row>
    <row r="238" spans="1:2">
      <c r="A238" s="3">
        <v>45449</v>
      </c>
      <c r="B238" s="4">
        <v>386.68</v>
      </c>
    </row>
    <row r="239" spans="1:2">
      <c r="A239" s="3">
        <v>45450</v>
      </c>
      <c r="B239" s="4">
        <v>183.3</v>
      </c>
    </row>
    <row r="240" spans="1:2">
      <c r="A240" s="3">
        <v>45451</v>
      </c>
      <c r="B240" s="4">
        <v>744.48500000000001</v>
      </c>
    </row>
    <row r="241" spans="1:2">
      <c r="A241" s="3">
        <v>45452</v>
      </c>
      <c r="B241" s="4">
        <v>2817.76</v>
      </c>
    </row>
    <row r="242" spans="1:2">
      <c r="A242" s="3">
        <v>45453</v>
      </c>
      <c r="B242" s="4">
        <v>859.42666666666696</v>
      </c>
    </row>
    <row r="243" spans="1:2">
      <c r="A243" s="3">
        <v>45454</v>
      </c>
      <c r="B243" s="4">
        <v>1633.502</v>
      </c>
    </row>
    <row r="244" spans="1:2">
      <c r="A244" s="3">
        <v>45455</v>
      </c>
      <c r="B244" s="4">
        <v>1299.44</v>
      </c>
    </row>
    <row r="245" spans="1:2">
      <c r="A245" s="3">
        <v>45456</v>
      </c>
      <c r="B245" s="4">
        <v>1506.16333333333</v>
      </c>
    </row>
    <row r="246" spans="1:2">
      <c r="A246" s="3">
        <v>45457</v>
      </c>
      <c r="B246" s="4">
        <v>57.81</v>
      </c>
    </row>
    <row r="247" spans="1:2">
      <c r="A247" s="3">
        <v>45458</v>
      </c>
      <c r="B247" s="4">
        <v>738.58</v>
      </c>
    </row>
    <row r="248" spans="1:2">
      <c r="A248" s="3">
        <v>45459</v>
      </c>
      <c r="B248" s="4">
        <v>1761.9324999999999</v>
      </c>
    </row>
    <row r="249" spans="1:2">
      <c r="A249" s="3">
        <v>45460</v>
      </c>
      <c r="B249" s="4">
        <v>1066.1099999999999</v>
      </c>
    </row>
    <row r="250" spans="1:2">
      <c r="A250" s="3">
        <v>45461</v>
      </c>
      <c r="B250" s="4">
        <v>358.66500000000002</v>
      </c>
    </row>
    <row r="251" spans="1:2">
      <c r="A251" s="3">
        <v>45462</v>
      </c>
      <c r="B251" s="4">
        <v>1525.192</v>
      </c>
    </row>
    <row r="252" spans="1:2">
      <c r="A252" s="3">
        <v>45463</v>
      </c>
      <c r="B252" s="4">
        <v>1309.71133333333</v>
      </c>
    </row>
    <row r="253" spans="1:2">
      <c r="A253" s="3">
        <v>45464</v>
      </c>
      <c r="B253" s="4">
        <v>1094.23066666667</v>
      </c>
    </row>
    <row r="254" spans="1:2">
      <c r="A254" s="3">
        <v>45465</v>
      </c>
      <c r="B254" s="4">
        <v>878.75</v>
      </c>
    </row>
    <row r="255" spans="1:2">
      <c r="A255" s="3">
        <v>45466</v>
      </c>
      <c r="B255" s="4">
        <v>808.72166666666703</v>
      </c>
    </row>
    <row r="256" spans="1:2">
      <c r="A256" s="3">
        <v>45467</v>
      </c>
      <c r="B256" s="4">
        <v>1553.91</v>
      </c>
    </row>
    <row r="257" spans="1:2">
      <c r="A257" s="3">
        <v>45468</v>
      </c>
      <c r="B257" s="4">
        <v>758.07</v>
      </c>
    </row>
    <row r="258" spans="1:2">
      <c r="A258" s="3">
        <v>45469</v>
      </c>
      <c r="B258" s="4">
        <v>628.95000000000005</v>
      </c>
    </row>
    <row r="259" spans="1:2">
      <c r="A259" s="3">
        <v>45470</v>
      </c>
      <c r="B259" s="4">
        <v>881.31</v>
      </c>
    </row>
    <row r="260" spans="1:2">
      <c r="A260" s="3">
        <v>45471</v>
      </c>
      <c r="B260" s="4">
        <v>26.07</v>
      </c>
    </row>
    <row r="261" spans="1:2">
      <c r="A261" s="3">
        <v>45472</v>
      </c>
      <c r="B261" s="4">
        <v>2197.9816666666702</v>
      </c>
    </row>
    <row r="262" spans="1:2">
      <c r="A262" s="3">
        <v>45473</v>
      </c>
      <c r="B262" s="4">
        <v>1268.52</v>
      </c>
    </row>
    <row r="263" spans="1:2">
      <c r="A263" s="3">
        <v>45474</v>
      </c>
      <c r="B263" s="4">
        <v>1153.6949999999999</v>
      </c>
    </row>
    <row r="264" spans="1:2">
      <c r="A264" s="3">
        <v>45475</v>
      </c>
      <c r="B264" s="4">
        <v>1370.89</v>
      </c>
    </row>
    <row r="265" spans="1:2">
      <c r="A265" s="3">
        <v>45476</v>
      </c>
      <c r="B265" s="4">
        <v>996.81624999999997</v>
      </c>
    </row>
    <row r="266" spans="1:2">
      <c r="A266" s="3">
        <v>45477</v>
      </c>
      <c r="B266" s="4">
        <v>622.74249999999995</v>
      </c>
    </row>
    <row r="267" spans="1:2">
      <c r="A267" s="3">
        <v>45478</v>
      </c>
      <c r="B267" s="4">
        <v>1099.3583333333299</v>
      </c>
    </row>
    <row r="268" spans="1:2">
      <c r="A268" s="3">
        <v>45479</v>
      </c>
      <c r="B268" s="4">
        <v>827.256666666667</v>
      </c>
    </row>
    <row r="269" spans="1:2">
      <c r="A269" s="3">
        <v>45480</v>
      </c>
      <c r="B269" s="4">
        <v>1147.3816666666701</v>
      </c>
    </row>
    <row r="270" spans="1:2">
      <c r="A270" s="3">
        <v>45481</v>
      </c>
      <c r="B270" s="4">
        <v>2052.6866666666701</v>
      </c>
    </row>
    <row r="271" spans="1:2">
      <c r="A271" s="3">
        <v>45482</v>
      </c>
      <c r="B271" s="4">
        <v>1756.2233333333299</v>
      </c>
    </row>
    <row r="272" spans="1:2">
      <c r="A272" s="3">
        <v>45483</v>
      </c>
      <c r="B272" s="4">
        <v>1316.54</v>
      </c>
    </row>
    <row r="273" spans="1:2">
      <c r="A273" s="3">
        <v>45484</v>
      </c>
      <c r="B273" s="4">
        <v>2390.4</v>
      </c>
    </row>
    <row r="274" spans="1:2">
      <c r="A274" s="3">
        <v>45485</v>
      </c>
      <c r="B274" s="4">
        <v>640.29999999999995</v>
      </c>
    </row>
    <row r="275" spans="1:2">
      <c r="A275" s="3">
        <v>45486</v>
      </c>
      <c r="B275" s="4">
        <v>822.16333333333296</v>
      </c>
    </row>
    <row r="276" spans="1:2">
      <c r="A276" s="3">
        <v>45487</v>
      </c>
      <c r="B276" s="4">
        <v>2458.4</v>
      </c>
    </row>
    <row r="277" spans="1:2">
      <c r="A277" s="3">
        <v>45488</v>
      </c>
      <c r="B277" s="4">
        <v>1554.42</v>
      </c>
    </row>
    <row r="278" spans="1:2">
      <c r="A278" s="3">
        <v>45489</v>
      </c>
      <c r="B278" s="4">
        <v>1661.9775</v>
      </c>
    </row>
    <row r="279" spans="1:2">
      <c r="A279" s="3">
        <v>45490</v>
      </c>
      <c r="B279" s="4">
        <v>440.1</v>
      </c>
    </row>
    <row r="280" spans="1:2">
      <c r="A280" s="3">
        <v>45491</v>
      </c>
      <c r="B280" s="4">
        <v>1158.75</v>
      </c>
    </row>
    <row r="281" spans="1:2">
      <c r="A281" s="3">
        <v>45492</v>
      </c>
      <c r="B281" s="4">
        <v>771.81</v>
      </c>
    </row>
    <row r="282" spans="1:2">
      <c r="A282" s="3">
        <v>45493</v>
      </c>
      <c r="B282" s="4">
        <v>1906.4466666666699</v>
      </c>
    </row>
    <row r="283" spans="1:2">
      <c r="A283" s="3">
        <v>45494</v>
      </c>
      <c r="B283" s="4">
        <v>1085.58</v>
      </c>
    </row>
    <row r="284" spans="1:2">
      <c r="A284" s="3">
        <v>45495</v>
      </c>
      <c r="B284" s="4">
        <v>1377.8019999999999</v>
      </c>
    </row>
    <row r="285" spans="1:2">
      <c r="A285" s="3">
        <v>45496</v>
      </c>
      <c r="B285" s="4">
        <v>989.93499999999995</v>
      </c>
    </row>
    <row r="286" spans="1:2">
      <c r="A286" s="3">
        <v>45497</v>
      </c>
      <c r="B286" s="4">
        <v>1430.0619999999999</v>
      </c>
    </row>
    <row r="287" spans="1:2">
      <c r="A287" s="3">
        <v>45498</v>
      </c>
      <c r="B287" s="4">
        <v>128.66999999999999</v>
      </c>
    </row>
    <row r="288" spans="1:2">
      <c r="A288" s="3">
        <v>45499</v>
      </c>
      <c r="B288" s="4">
        <v>785.68499999999995</v>
      </c>
    </row>
    <row r="289" spans="1:2">
      <c r="A289" s="3">
        <v>45500</v>
      </c>
      <c r="B289" s="4">
        <v>2752.1350000000002</v>
      </c>
    </row>
    <row r="290" spans="1:2">
      <c r="A290" s="3">
        <v>45501</v>
      </c>
      <c r="B290" s="4">
        <v>740.87333333333299</v>
      </c>
    </row>
    <row r="291" spans="1:2">
      <c r="A291" s="3">
        <v>45502</v>
      </c>
      <c r="B291" s="4">
        <v>1313.86666666667</v>
      </c>
    </row>
    <row r="292" spans="1:2">
      <c r="A292" s="3">
        <v>45503</v>
      </c>
      <c r="B292" s="4">
        <v>1197.73</v>
      </c>
    </row>
    <row r="293" spans="1:2">
      <c r="A293" s="3">
        <v>45504</v>
      </c>
      <c r="B293" s="4">
        <v>206.41499999999999</v>
      </c>
    </row>
    <row r="294" spans="1:2">
      <c r="A294" s="3">
        <v>45505</v>
      </c>
      <c r="B294" s="4">
        <v>86.02</v>
      </c>
    </row>
    <row r="295" spans="1:2">
      <c r="A295" s="3">
        <v>45506</v>
      </c>
      <c r="B295" s="4">
        <v>1292.2349999999999</v>
      </c>
    </row>
    <row r="296" spans="1:2">
      <c r="A296" s="3">
        <v>45507</v>
      </c>
      <c r="B296" s="4">
        <v>1310.95</v>
      </c>
    </row>
    <row r="297" spans="1:2">
      <c r="A297" s="3">
        <v>45508</v>
      </c>
      <c r="B297" s="4">
        <v>2606.2233333333302</v>
      </c>
    </row>
    <row r="298" spans="1:2">
      <c r="A298" s="3">
        <v>45509</v>
      </c>
      <c r="B298" s="4">
        <v>445.245</v>
      </c>
    </row>
    <row r="299" spans="1:2">
      <c r="A299" s="3">
        <v>45510</v>
      </c>
      <c r="B299" s="4">
        <v>2841.56</v>
      </c>
    </row>
    <row r="300" spans="1:2">
      <c r="A300" s="3">
        <v>45511</v>
      </c>
      <c r="B300" s="4">
        <v>845.48</v>
      </c>
    </row>
    <row r="301" spans="1:2">
      <c r="A301" s="3">
        <v>45512</v>
      </c>
      <c r="B301" s="4">
        <v>1137.46</v>
      </c>
    </row>
    <row r="302" spans="1:2">
      <c r="A302" s="3">
        <v>45513</v>
      </c>
      <c r="B302" s="4">
        <v>1381.73</v>
      </c>
    </row>
    <row r="303" spans="1:2">
      <c r="A303" s="3">
        <v>45514</v>
      </c>
      <c r="B303" s="4">
        <v>546.39</v>
      </c>
    </row>
    <row r="304" spans="1:2">
      <c r="A304" s="3">
        <v>45515</v>
      </c>
      <c r="B304" s="4">
        <v>724.47</v>
      </c>
    </row>
    <row r="305" spans="1:2">
      <c r="A305" s="3">
        <v>45516</v>
      </c>
      <c r="B305" s="4">
        <v>1114.04</v>
      </c>
    </row>
    <row r="306" spans="1:2">
      <c r="A306" s="3">
        <v>45517</v>
      </c>
      <c r="B306" s="4">
        <v>738.52</v>
      </c>
    </row>
    <row r="307" spans="1:2">
      <c r="A307" s="3">
        <v>45518</v>
      </c>
      <c r="B307" s="4">
        <v>1133.538</v>
      </c>
    </row>
    <row r="308" spans="1:2">
      <c r="A308" s="3">
        <v>45519</v>
      </c>
      <c r="B308" s="4">
        <v>2654.58</v>
      </c>
    </row>
    <row r="309" spans="1:2">
      <c r="A309" s="3">
        <v>45520</v>
      </c>
      <c r="B309" s="4">
        <v>1055.38857142857</v>
      </c>
    </row>
    <row r="310" spans="1:2">
      <c r="A310" s="3">
        <v>45521</v>
      </c>
      <c r="B310" s="4">
        <v>254.72</v>
      </c>
    </row>
    <row r="311" spans="1:2">
      <c r="A311" s="3">
        <v>45522</v>
      </c>
      <c r="B311" s="4">
        <v>1040.9449999999999</v>
      </c>
    </row>
    <row r="312" spans="1:2">
      <c r="A312" s="3">
        <v>45523</v>
      </c>
      <c r="B312" s="4">
        <v>973.21666666666704</v>
      </c>
    </row>
    <row r="313" spans="1:2">
      <c r="A313" s="3">
        <v>45524</v>
      </c>
      <c r="B313" s="4">
        <v>1231.75</v>
      </c>
    </row>
    <row r="314" spans="1:2">
      <c r="A314" s="3">
        <v>45525</v>
      </c>
      <c r="B314" s="4">
        <v>1073.91333333333</v>
      </c>
    </row>
    <row r="315" spans="1:2">
      <c r="A315" s="3">
        <v>45526</v>
      </c>
      <c r="B315" s="4">
        <v>1665.23</v>
      </c>
    </row>
    <row r="316" spans="1:2">
      <c r="A316" s="3">
        <v>45527</v>
      </c>
      <c r="B316" s="4">
        <v>1269.0933333333301</v>
      </c>
    </row>
    <row r="317" spans="1:2">
      <c r="A317" s="3">
        <v>45528</v>
      </c>
      <c r="B317" s="4">
        <v>1986.72</v>
      </c>
    </row>
    <row r="318" spans="1:2">
      <c r="A318" s="3">
        <v>45529</v>
      </c>
      <c r="B318" s="4">
        <v>456.48</v>
      </c>
    </row>
    <row r="319" spans="1:2">
      <c r="A319" s="3">
        <v>45530</v>
      </c>
      <c r="B319" s="4">
        <v>1627.0250000000001</v>
      </c>
    </row>
    <row r="320" spans="1:2">
      <c r="A320" s="3">
        <v>45531</v>
      </c>
      <c r="B320" s="4">
        <v>1569.6075000000001</v>
      </c>
    </row>
    <row r="321" spans="1:2">
      <c r="A321" s="3">
        <v>45532</v>
      </c>
      <c r="B321" s="4">
        <v>1749.1033333333301</v>
      </c>
    </row>
    <row r="322" spans="1:2">
      <c r="A322" s="3">
        <v>45533</v>
      </c>
      <c r="B322" s="4">
        <v>1120.9175</v>
      </c>
    </row>
    <row r="323" spans="1:2">
      <c r="A323" s="3">
        <v>45534</v>
      </c>
      <c r="B323" s="4">
        <v>857.15200000000004</v>
      </c>
    </row>
    <row r="324" spans="1:2">
      <c r="A324" s="3">
        <v>45535</v>
      </c>
      <c r="B324" s="4">
        <v>652.74</v>
      </c>
    </row>
    <row r="325" spans="1:2">
      <c r="A325" s="3">
        <v>45536</v>
      </c>
      <c r="B325" s="4">
        <v>2968.2</v>
      </c>
    </row>
    <row r="326" spans="1:2">
      <c r="A326" s="3">
        <v>45537</v>
      </c>
      <c r="B326" s="4">
        <v>234.5</v>
      </c>
    </row>
    <row r="327" spans="1:2">
      <c r="A327" s="3">
        <v>45538</v>
      </c>
      <c r="B327" s="4">
        <v>820.28</v>
      </c>
    </row>
    <row r="328" spans="1:2">
      <c r="A328" s="3">
        <v>45539</v>
      </c>
      <c r="B328" s="4">
        <v>828.26250000000005</v>
      </c>
    </row>
    <row r="329" spans="1:2">
      <c r="A329" s="3">
        <v>45540</v>
      </c>
      <c r="B329" s="4">
        <v>694.28125</v>
      </c>
    </row>
    <row r="330" spans="1:2">
      <c r="A330" s="3">
        <v>45541</v>
      </c>
      <c r="B330" s="4">
        <v>560.29999999999995</v>
      </c>
    </row>
    <row r="331" spans="1:2">
      <c r="A331" s="3">
        <v>45542</v>
      </c>
      <c r="B331" s="4">
        <v>1894.15333333333</v>
      </c>
    </row>
    <row r="332" spans="1:2">
      <c r="A332" s="3">
        <v>45543</v>
      </c>
      <c r="B332" s="4">
        <v>1730.11333333333</v>
      </c>
    </row>
    <row r="333" spans="1:2">
      <c r="A333" s="3">
        <v>45544</v>
      </c>
      <c r="B333" s="4">
        <v>1420.675</v>
      </c>
    </row>
    <row r="334" spans="1:2">
      <c r="A334" s="3">
        <v>45545</v>
      </c>
      <c r="B334" s="4">
        <v>1762.876</v>
      </c>
    </row>
    <row r="335" spans="1:2">
      <c r="A335" s="3">
        <v>45546</v>
      </c>
      <c r="B335" s="4">
        <v>1024.85666666667</v>
      </c>
    </row>
    <row r="336" spans="1:2">
      <c r="A336" s="3">
        <v>45547</v>
      </c>
      <c r="B336" s="4">
        <v>2831.2933333333299</v>
      </c>
    </row>
    <row r="337" spans="1:2">
      <c r="A337" s="3">
        <v>45548</v>
      </c>
      <c r="B337" s="4">
        <v>1396.075</v>
      </c>
    </row>
    <row r="338" spans="1:2">
      <c r="A338" s="3">
        <v>45549</v>
      </c>
      <c r="B338" s="4">
        <v>1249.386</v>
      </c>
    </row>
    <row r="339" spans="1:2">
      <c r="A339" s="3">
        <v>45550</v>
      </c>
      <c r="B339" s="4">
        <v>1021.128</v>
      </c>
    </row>
    <row r="340" spans="1:2">
      <c r="A340" s="3">
        <v>45551</v>
      </c>
      <c r="B340" s="4">
        <v>792.87</v>
      </c>
    </row>
    <row r="341" spans="1:2">
      <c r="A341" s="3">
        <v>45552</v>
      </c>
      <c r="B341" s="4">
        <v>1917.1783333333301</v>
      </c>
    </row>
    <row r="342" spans="1:2">
      <c r="A342" s="3">
        <v>45553</v>
      </c>
      <c r="B342" s="4">
        <v>622.84</v>
      </c>
    </row>
    <row r="343" spans="1:2">
      <c r="A343" s="3">
        <v>45554</v>
      </c>
      <c r="B343" s="4">
        <v>970.09249999999997</v>
      </c>
    </row>
    <row r="344" spans="1:2">
      <c r="A344" s="3">
        <v>45555</v>
      </c>
      <c r="B344" s="4">
        <v>1527.17486329494</v>
      </c>
    </row>
    <row r="345" spans="1:2">
      <c r="A345" s="3">
        <v>45556</v>
      </c>
      <c r="B345" s="4">
        <v>1133.3699999999999</v>
      </c>
    </row>
    <row r="346" spans="1:2">
      <c r="A346" s="3">
        <v>45557</v>
      </c>
      <c r="B346" s="4">
        <v>2131.3000000000002</v>
      </c>
    </row>
    <row r="347" spans="1:2">
      <c r="A347" s="3">
        <v>45558</v>
      </c>
      <c r="B347" s="4">
        <v>1413.71333333333</v>
      </c>
    </row>
    <row r="348" spans="1:2">
      <c r="A348" s="3">
        <v>45559</v>
      </c>
      <c r="B348" s="4">
        <v>886.3</v>
      </c>
    </row>
    <row r="349" spans="1:2">
      <c r="A349" s="3">
        <v>45560</v>
      </c>
      <c r="B349" s="4">
        <v>1252.3225</v>
      </c>
    </row>
    <row r="350" spans="1:2">
      <c r="A350" s="3">
        <v>45561</v>
      </c>
      <c r="B350" s="4">
        <v>583.30499999999995</v>
      </c>
    </row>
    <row r="351" spans="1:2">
      <c r="A351" s="3">
        <v>45562</v>
      </c>
      <c r="B351" s="4">
        <v>1771.16</v>
      </c>
    </row>
    <row r="352" spans="1:2">
      <c r="A352" s="3">
        <v>45563</v>
      </c>
      <c r="B352" s="4">
        <v>988.5</v>
      </c>
    </row>
    <row r="353" spans="1:2">
      <c r="A353" s="3">
        <v>45564</v>
      </c>
      <c r="B353" s="4">
        <v>1316.5166666666701</v>
      </c>
    </row>
    <row r="354" spans="1:2">
      <c r="A354" s="3">
        <v>45565</v>
      </c>
      <c r="B354" s="4">
        <v>1897.075</v>
      </c>
    </row>
    <row r="355" spans="1:2">
      <c r="A355" s="3">
        <v>45566</v>
      </c>
      <c r="B355" s="4">
        <v>3329.58</v>
      </c>
    </row>
    <row r="356" spans="1:2">
      <c r="A356" s="3">
        <v>45567</v>
      </c>
      <c r="B356" s="4">
        <v>1536.43</v>
      </c>
    </row>
    <row r="357" spans="1:2">
      <c r="A357" s="3">
        <v>45568</v>
      </c>
      <c r="B357" s="4">
        <v>820.65</v>
      </c>
    </row>
    <row r="358" spans="1:2">
      <c r="A358" s="3">
        <v>45569</v>
      </c>
      <c r="B358" s="4">
        <v>1430.9683333333301</v>
      </c>
    </row>
    <row r="359" spans="1:2">
      <c r="A359" s="3">
        <v>45570</v>
      </c>
      <c r="B359" s="4">
        <v>418.63</v>
      </c>
    </row>
    <row r="360" spans="1:2">
      <c r="A360" s="3">
        <v>45571</v>
      </c>
      <c r="B360" s="4">
        <v>1249.45</v>
      </c>
    </row>
    <row r="361" spans="1:2">
      <c r="A361" s="3">
        <v>45572</v>
      </c>
      <c r="B361" s="4">
        <v>1221.8699999999999</v>
      </c>
    </row>
    <row r="362" spans="1:2">
      <c r="A362" s="3">
        <v>45573</v>
      </c>
      <c r="B362" s="4">
        <v>1535.825</v>
      </c>
    </row>
    <row r="363" spans="1:2">
      <c r="A363" s="3">
        <v>45574</v>
      </c>
      <c r="B363" s="4">
        <v>1905.12</v>
      </c>
    </row>
    <row r="364" spans="1:2">
      <c r="A364" s="3">
        <v>45575</v>
      </c>
      <c r="B364" s="4">
        <v>1348.002</v>
      </c>
    </row>
    <row r="365" spans="1:2">
      <c r="A365" s="3">
        <v>45576</v>
      </c>
      <c r="B365" s="4">
        <v>2711.3933333333298</v>
      </c>
    </row>
    <row r="366" spans="1:2">
      <c r="A366" s="3">
        <v>45577</v>
      </c>
      <c r="B366" s="4">
        <v>690.70249999999999</v>
      </c>
    </row>
    <row r="367" spans="1:2">
      <c r="A367" s="3">
        <v>45578</v>
      </c>
      <c r="B367" s="4">
        <v>1258.84666666667</v>
      </c>
    </row>
    <row r="368" spans="1:2">
      <c r="A368" s="3">
        <v>45579</v>
      </c>
      <c r="B368" s="4">
        <v>1755.5983333333299</v>
      </c>
    </row>
    <row r="369" spans="1:2">
      <c r="A369" s="3">
        <v>45580</v>
      </c>
      <c r="B369" s="4">
        <v>1031.9766666666701</v>
      </c>
    </row>
    <row r="370" spans="1:2">
      <c r="A370" s="3">
        <v>45581</v>
      </c>
      <c r="B370" s="4">
        <v>328.55500000000001</v>
      </c>
    </row>
    <row r="371" spans="1:2">
      <c r="A371" s="3">
        <v>45582</v>
      </c>
      <c r="B371" s="4">
        <v>465.38</v>
      </c>
    </row>
    <row r="372" spans="1:2">
      <c r="A372" s="3">
        <v>45583</v>
      </c>
      <c r="B372" s="4">
        <v>1513.645</v>
      </c>
    </row>
    <row r="373" spans="1:2">
      <c r="A373" s="3">
        <v>45584</v>
      </c>
      <c r="B373" s="4">
        <v>1813.44</v>
      </c>
    </row>
    <row r="374" spans="1:2">
      <c r="A374" s="3">
        <v>45585</v>
      </c>
      <c r="B374" s="4">
        <v>1324.83666666667</v>
      </c>
    </row>
    <row r="375" spans="1:2">
      <c r="A375" s="3">
        <v>45586</v>
      </c>
      <c r="B375" s="4">
        <v>836.23333333333301</v>
      </c>
    </row>
    <row r="376" spans="1:2">
      <c r="A376" s="3">
        <v>45587</v>
      </c>
      <c r="B376" s="4">
        <v>2255.6866666666701</v>
      </c>
    </row>
    <row r="377" spans="1:2">
      <c r="A377" s="3">
        <v>45588</v>
      </c>
      <c r="B377" s="4">
        <v>435.38</v>
      </c>
    </row>
    <row r="378" spans="1:2">
      <c r="A378" s="3">
        <v>45589</v>
      </c>
      <c r="B378" s="4">
        <v>703.54</v>
      </c>
    </row>
    <row r="379" spans="1:2">
      <c r="A379" s="3">
        <v>45590</v>
      </c>
      <c r="B379" s="4">
        <v>2216.7533333333299</v>
      </c>
    </row>
    <row r="380" spans="1:2">
      <c r="A380" s="3">
        <v>45591</v>
      </c>
      <c r="B380" s="4">
        <v>935.8</v>
      </c>
    </row>
    <row r="381" spans="1:2">
      <c r="A381" s="3">
        <v>45592</v>
      </c>
      <c r="B381" s="4">
        <v>842.59</v>
      </c>
    </row>
    <row r="382" spans="1:2">
      <c r="A382" s="3">
        <v>45593</v>
      </c>
      <c r="B382" s="4">
        <v>1089.79666666667</v>
      </c>
    </row>
    <row r="383" spans="1:2">
      <c r="A383" s="3">
        <v>45594</v>
      </c>
      <c r="B383" s="4">
        <v>1084.2774999999999</v>
      </c>
    </row>
    <row r="384" spans="1:2">
      <c r="A384" s="3">
        <v>45595</v>
      </c>
      <c r="B384" s="4">
        <v>2762.16</v>
      </c>
    </row>
    <row r="385" spans="1:2">
      <c r="A385" s="3">
        <v>45596</v>
      </c>
      <c r="B385" s="4">
        <v>1359.5533333333301</v>
      </c>
    </row>
    <row r="386" spans="1:2">
      <c r="A386" s="3">
        <v>45597</v>
      </c>
      <c r="B386" s="4">
        <v>1255</v>
      </c>
    </row>
    <row r="387" spans="1:2">
      <c r="A387" s="3">
        <v>45598</v>
      </c>
      <c r="B387" s="4">
        <v>1971.2349999999999</v>
      </c>
    </row>
    <row r="388" spans="1:2">
      <c r="A388" s="3">
        <v>45599</v>
      </c>
      <c r="B388" s="4">
        <v>1281.7925</v>
      </c>
    </row>
    <row r="389" spans="1:2">
      <c r="A389" s="3">
        <v>45600</v>
      </c>
      <c r="B389" s="4">
        <v>592.35</v>
      </c>
    </row>
    <row r="390" spans="1:2">
      <c r="A390" s="3">
        <v>45601</v>
      </c>
      <c r="B390" s="4">
        <v>1025.24</v>
      </c>
    </row>
    <row r="391" spans="1:2">
      <c r="A391" s="3">
        <v>45602</v>
      </c>
      <c r="B391" s="4">
        <v>1767.2574999999999</v>
      </c>
    </row>
    <row r="392" spans="1:2">
      <c r="A392" s="3">
        <v>45603</v>
      </c>
      <c r="B392" s="4">
        <v>1230.46</v>
      </c>
    </row>
    <row r="393" spans="1:2">
      <c r="A393" s="3">
        <v>45604</v>
      </c>
      <c r="B393" s="4">
        <v>804.80499999999995</v>
      </c>
    </row>
    <row r="394" spans="1:2">
      <c r="A394" s="3">
        <v>45605</v>
      </c>
      <c r="B394" s="4">
        <v>379.15</v>
      </c>
    </row>
    <row r="395" spans="1:2">
      <c r="A395" s="3">
        <v>45606</v>
      </c>
      <c r="B395" s="4">
        <v>1678.8475000000001</v>
      </c>
    </row>
    <row r="396" spans="1:2">
      <c r="A396" s="3">
        <v>45607</v>
      </c>
      <c r="B396" s="4">
        <v>1436.6683333333301</v>
      </c>
    </row>
    <row r="397" spans="1:2">
      <c r="A397" s="3">
        <v>45608</v>
      </c>
      <c r="B397" s="4">
        <v>1738.7974999999999</v>
      </c>
    </row>
    <row r="398" spans="1:2">
      <c r="A398" s="3">
        <v>45609</v>
      </c>
      <c r="B398" s="4">
        <v>1751.2</v>
      </c>
    </row>
    <row r="399" spans="1:2">
      <c r="A399" s="3">
        <v>45610</v>
      </c>
      <c r="B399" s="4">
        <v>2037.62</v>
      </c>
    </row>
    <row r="400" spans="1:2">
      <c r="A400" s="3">
        <v>45611</v>
      </c>
      <c r="B400" s="4">
        <v>1177.42</v>
      </c>
    </row>
    <row r="401" spans="1:2">
      <c r="A401" s="3">
        <v>45612</v>
      </c>
      <c r="B401" s="4">
        <v>1953.46</v>
      </c>
    </row>
    <row r="402" spans="1:2">
      <c r="A402" s="3">
        <v>45613</v>
      </c>
      <c r="B402" s="4">
        <v>2039.425</v>
      </c>
    </row>
    <row r="403" spans="1:2">
      <c r="A403" s="3">
        <v>45614</v>
      </c>
      <c r="B403" s="4">
        <v>1518.2650000000001</v>
      </c>
    </row>
    <row r="404" spans="1:2">
      <c r="A404" s="3">
        <v>45615</v>
      </c>
      <c r="B404" s="4">
        <v>1917.96</v>
      </c>
    </row>
    <row r="405" spans="1:2">
      <c r="A405" s="3">
        <v>45616</v>
      </c>
      <c r="B405" s="4">
        <v>254.845</v>
      </c>
    </row>
    <row r="406" spans="1:2">
      <c r="A406" s="3">
        <v>45617</v>
      </c>
      <c r="B406" s="4">
        <v>882.38250000000005</v>
      </c>
    </row>
    <row r="407" spans="1:2">
      <c r="A407" s="3">
        <v>45618</v>
      </c>
      <c r="B407" s="4">
        <v>1805.0550000000001</v>
      </c>
    </row>
    <row r="408" spans="1:2">
      <c r="A408" s="3">
        <v>45619</v>
      </c>
      <c r="B408" s="4">
        <v>2245.268</v>
      </c>
    </row>
    <row r="409" spans="1:2">
      <c r="A409" s="3">
        <v>45620</v>
      </c>
      <c r="B409" s="4">
        <v>1417.7166666666701</v>
      </c>
    </row>
    <row r="410" spans="1:2">
      <c r="A410" s="3">
        <v>45621</v>
      </c>
      <c r="B410" s="4">
        <v>1638.4649999999999</v>
      </c>
    </row>
    <row r="411" spans="1:2">
      <c r="A411" s="3">
        <v>45622</v>
      </c>
      <c r="B411" s="4">
        <v>1485.16</v>
      </c>
    </row>
    <row r="412" spans="1:2">
      <c r="A412" s="3">
        <v>45623</v>
      </c>
      <c r="B412" s="4">
        <v>1679.05</v>
      </c>
    </row>
    <row r="413" spans="1:2">
      <c r="A413" s="3">
        <v>45624</v>
      </c>
      <c r="B413" s="4">
        <v>1554.9833333333299</v>
      </c>
    </row>
    <row r="414" spans="1:2">
      <c r="A414" s="3">
        <v>45625</v>
      </c>
      <c r="B414" s="4">
        <v>1653.35</v>
      </c>
    </row>
    <row r="415" spans="1:2">
      <c r="A415" s="3">
        <v>45626</v>
      </c>
      <c r="B415" s="4">
        <v>1959.5833333333301</v>
      </c>
    </row>
    <row r="416" spans="1:2">
      <c r="A416" s="3">
        <v>45627</v>
      </c>
      <c r="B416" s="4">
        <v>870.96</v>
      </c>
    </row>
    <row r="417" spans="1:2">
      <c r="A417" s="3">
        <v>45628</v>
      </c>
      <c r="B417" s="4">
        <v>1168.75</v>
      </c>
    </row>
    <row r="418" spans="1:2">
      <c r="A418" s="3">
        <v>45629</v>
      </c>
      <c r="B418" s="4">
        <v>878.72</v>
      </c>
    </row>
    <row r="419" spans="1:2">
      <c r="A419" s="3">
        <v>45630</v>
      </c>
      <c r="B419" s="4">
        <v>3691.96</v>
      </c>
    </row>
    <row r="420" spans="1:2">
      <c r="A420" s="3">
        <v>45631</v>
      </c>
      <c r="B420" s="4">
        <v>784.32</v>
      </c>
    </row>
    <row r="421" spans="1:2">
      <c r="A421" s="3">
        <v>45632</v>
      </c>
      <c r="B421" s="4">
        <v>1910.74</v>
      </c>
    </row>
    <row r="422" spans="1:2">
      <c r="A422" s="3">
        <v>45633</v>
      </c>
      <c r="B422" s="4">
        <v>2182.5720000000001</v>
      </c>
    </row>
    <row r="423" spans="1:2">
      <c r="A423" s="3">
        <v>45634</v>
      </c>
      <c r="B423" s="4">
        <v>1990.8109999999999</v>
      </c>
    </row>
    <row r="424" spans="1:2">
      <c r="A424" s="3">
        <v>45635</v>
      </c>
      <c r="B424" s="4">
        <v>1799.05</v>
      </c>
    </row>
    <row r="425" spans="1:2">
      <c r="A425" s="3">
        <v>45636</v>
      </c>
      <c r="B425" s="4">
        <v>1742.6</v>
      </c>
    </row>
    <row r="426" spans="1:2">
      <c r="A426" s="3">
        <v>45637</v>
      </c>
      <c r="B426" s="4">
        <v>1234.45</v>
      </c>
    </row>
    <row r="427" spans="1:2">
      <c r="A427" s="3">
        <v>45638</v>
      </c>
      <c r="B427" s="4">
        <v>991.37</v>
      </c>
    </row>
    <row r="428" spans="1:2">
      <c r="A428" s="3">
        <v>45639</v>
      </c>
      <c r="B428" s="4">
        <v>1095.836</v>
      </c>
    </row>
    <row r="429" spans="1:2">
      <c r="A429" s="3">
        <v>45640</v>
      </c>
      <c r="B429" s="4">
        <v>106.55500000000001</v>
      </c>
    </row>
    <row r="430" spans="1:2">
      <c r="A430" s="3">
        <v>45641</v>
      </c>
      <c r="B430" s="4">
        <v>1193.7049999999999</v>
      </c>
    </row>
    <row r="431" spans="1:2">
      <c r="A431" s="3">
        <v>45642</v>
      </c>
      <c r="B431" s="4">
        <v>372.95</v>
      </c>
    </row>
    <row r="432" spans="1:2">
      <c r="A432" s="3">
        <v>45643</v>
      </c>
      <c r="B432" s="4">
        <v>721.15083333333303</v>
      </c>
    </row>
    <row r="433" spans="1:2">
      <c r="A433" s="3">
        <v>45644</v>
      </c>
      <c r="B433" s="4">
        <v>1069.3516666666701</v>
      </c>
    </row>
    <row r="434" spans="1:2">
      <c r="A434" s="3">
        <v>45645</v>
      </c>
      <c r="B434" s="4">
        <v>1818.7</v>
      </c>
    </row>
    <row r="435" spans="1:2">
      <c r="A435" s="3">
        <v>45646</v>
      </c>
      <c r="B435" s="4">
        <v>1763.865</v>
      </c>
    </row>
    <row r="436" spans="1:2">
      <c r="A436" s="3">
        <v>45647</v>
      </c>
      <c r="B436" s="4">
        <v>438.32</v>
      </c>
    </row>
    <row r="437" spans="1:2">
      <c r="A437" s="3">
        <v>45648</v>
      </c>
      <c r="B437" s="4">
        <v>1417.71</v>
      </c>
    </row>
    <row r="438" spans="1:2">
      <c r="A438" s="3">
        <v>45649</v>
      </c>
      <c r="B438" s="4">
        <v>1489.97</v>
      </c>
    </row>
    <row r="439" spans="1:2">
      <c r="A439" s="3">
        <v>45650</v>
      </c>
      <c r="B439" s="4">
        <v>1098.29</v>
      </c>
    </row>
    <row r="440" spans="1:2">
      <c r="A440" s="3">
        <v>45651</v>
      </c>
      <c r="B440" s="4">
        <v>911.97</v>
      </c>
    </row>
    <row r="441" spans="1:2">
      <c r="A441" s="3">
        <v>45652</v>
      </c>
      <c r="B441" s="4">
        <v>1753.07666666667</v>
      </c>
    </row>
    <row r="442" spans="1:2">
      <c r="A442" s="3">
        <v>45653</v>
      </c>
      <c r="B442" s="4">
        <v>664.27599999999995</v>
      </c>
    </row>
    <row r="443" spans="1:2">
      <c r="A443" s="3">
        <v>45654</v>
      </c>
      <c r="B443" s="4">
        <v>1482.12</v>
      </c>
    </row>
    <row r="444" spans="1:2">
      <c r="A444" s="3">
        <v>45655</v>
      </c>
      <c r="B444" s="4">
        <v>104.88</v>
      </c>
    </row>
    <row r="445" spans="1:2">
      <c r="A445" s="3">
        <v>45656</v>
      </c>
      <c r="B445" s="4">
        <v>1101.0360000000001</v>
      </c>
    </row>
    <row r="446" spans="1:2">
      <c r="A446" s="3">
        <v>45657</v>
      </c>
      <c r="B446" s="4">
        <v>540.78</v>
      </c>
    </row>
    <row r="447" spans="1:2">
      <c r="A447" s="3">
        <v>45658</v>
      </c>
      <c r="B447" s="4">
        <v>2234.6799999999998</v>
      </c>
    </row>
    <row r="448" spans="1:2">
      <c r="A448" s="3">
        <v>45659</v>
      </c>
      <c r="B448" s="4">
        <v>1042.22</v>
      </c>
    </row>
    <row r="449" spans="1:2">
      <c r="A449" s="3">
        <v>45660</v>
      </c>
      <c r="B449" s="4">
        <v>1428.48</v>
      </c>
    </row>
    <row r="450" spans="1:2">
      <c r="A450" s="3">
        <v>45661</v>
      </c>
      <c r="B450" s="4">
        <v>1118.7449999999999</v>
      </c>
    </row>
    <row r="451" spans="1:2">
      <c r="A451" s="3">
        <v>45662</v>
      </c>
      <c r="B451" s="4">
        <v>2336.9699999999998</v>
      </c>
    </row>
    <row r="452" spans="1:2">
      <c r="A452" s="3">
        <v>45663</v>
      </c>
      <c r="B452" s="4">
        <v>855.15</v>
      </c>
    </row>
    <row r="453" spans="1:2">
      <c r="A453" s="3">
        <v>45664</v>
      </c>
      <c r="B453" s="4">
        <v>1096.5940000000001</v>
      </c>
    </row>
    <row r="454" spans="1:2">
      <c r="A454" s="3">
        <v>45665</v>
      </c>
      <c r="B454" s="4">
        <v>510.86</v>
      </c>
    </row>
    <row r="455" spans="1:2">
      <c r="A455" s="3">
        <v>45666</v>
      </c>
      <c r="B455" s="4">
        <v>1718.2266666666701</v>
      </c>
    </row>
    <row r="456" spans="1:2">
      <c r="A456" s="3">
        <v>45667</v>
      </c>
      <c r="B456" s="4">
        <v>2251.2975000000001</v>
      </c>
    </row>
    <row r="457" spans="1:2">
      <c r="A457" s="3">
        <v>45668</v>
      </c>
      <c r="B457" s="4">
        <v>2650.38</v>
      </c>
    </row>
    <row r="458" spans="1:2">
      <c r="A458" s="3">
        <v>45669</v>
      </c>
      <c r="B458" s="4">
        <v>880</v>
      </c>
    </row>
    <row r="459" spans="1:2">
      <c r="A459" s="3">
        <v>45670</v>
      </c>
      <c r="B459" s="4">
        <v>1789.76</v>
      </c>
    </row>
    <row r="460" spans="1:2">
      <c r="A460" s="3">
        <v>45671</v>
      </c>
      <c r="B460" s="4">
        <v>1658.605</v>
      </c>
    </row>
    <row r="461" spans="1:2">
      <c r="A461" s="3">
        <v>45672</v>
      </c>
      <c r="B461" s="4">
        <v>894.97666666666703</v>
      </c>
    </row>
    <row r="462" spans="1:2">
      <c r="A462" s="3">
        <v>45673</v>
      </c>
      <c r="B462" s="4">
        <v>2675.6833333333302</v>
      </c>
    </row>
    <row r="463" spans="1:2">
      <c r="A463" s="3">
        <v>45674</v>
      </c>
      <c r="B463" s="4">
        <v>1057.145</v>
      </c>
    </row>
    <row r="464" spans="1:2">
      <c r="A464" s="3">
        <v>45675</v>
      </c>
      <c r="B464" s="4">
        <v>1838.84</v>
      </c>
    </row>
    <row r="465" spans="1:2">
      <c r="A465" s="3">
        <v>45676</v>
      </c>
      <c r="B465" s="4">
        <v>1269.05</v>
      </c>
    </row>
    <row r="466" spans="1:2">
      <c r="A466" s="3">
        <v>45677</v>
      </c>
      <c r="B466" s="4">
        <v>1132.556</v>
      </c>
    </row>
    <row r="467" spans="1:2">
      <c r="A467" s="3">
        <v>45678</v>
      </c>
      <c r="B467" s="4">
        <v>935.75</v>
      </c>
    </row>
    <row r="468" spans="1:2">
      <c r="A468" s="3">
        <v>45679</v>
      </c>
      <c r="B468" s="4">
        <v>1248.5419999999999</v>
      </c>
    </row>
    <row r="469" spans="1:2">
      <c r="A469" s="3">
        <v>45680</v>
      </c>
      <c r="B469" s="4">
        <v>812.80600000000004</v>
      </c>
    </row>
    <row r="470" spans="1:2">
      <c r="A470" s="3">
        <v>45681</v>
      </c>
      <c r="B470" s="4">
        <v>377.07</v>
      </c>
    </row>
    <row r="471" spans="1:2">
      <c r="A471" s="3">
        <v>45682</v>
      </c>
      <c r="B471" s="4">
        <v>2459.3200000000002</v>
      </c>
    </row>
    <row r="472" spans="1:2">
      <c r="A472" s="3">
        <v>45683</v>
      </c>
      <c r="B472" s="4">
        <v>1607.88</v>
      </c>
    </row>
    <row r="473" spans="1:2">
      <c r="A473" s="3">
        <v>45684</v>
      </c>
      <c r="B473" s="4">
        <v>2536.65</v>
      </c>
    </row>
    <row r="474" spans="1:2">
      <c r="A474" s="3">
        <v>45685</v>
      </c>
      <c r="B474" s="4">
        <v>1569.84</v>
      </c>
    </row>
    <row r="475" spans="1:2">
      <c r="A475" s="3">
        <v>45686</v>
      </c>
      <c r="B475" s="4">
        <v>1169.4066666666699</v>
      </c>
    </row>
    <row r="476" spans="1:2">
      <c r="A476" s="3">
        <v>45687</v>
      </c>
      <c r="B476" s="4">
        <v>1881.2974999999999</v>
      </c>
    </row>
    <row r="477" spans="1:2">
      <c r="A477" s="3">
        <v>45688</v>
      </c>
      <c r="B477" s="4">
        <v>1126.5025000000001</v>
      </c>
    </row>
    <row r="478" spans="1:2">
      <c r="A478" s="3">
        <v>45689</v>
      </c>
      <c r="B478" s="4">
        <v>739.37249999999995</v>
      </c>
    </row>
    <row r="479" spans="1:2">
      <c r="A479" s="3">
        <v>45690</v>
      </c>
      <c r="B479" s="4">
        <v>935.86</v>
      </c>
    </row>
    <row r="480" spans="1:2">
      <c r="A480" s="3">
        <v>45691</v>
      </c>
      <c r="B480" s="4">
        <v>1216.4475</v>
      </c>
    </row>
    <row r="481" spans="1:2">
      <c r="A481" s="3">
        <v>45692</v>
      </c>
      <c r="B481" s="4">
        <v>860.77</v>
      </c>
    </row>
    <row r="482" spans="1:2">
      <c r="A482" s="3">
        <v>45693</v>
      </c>
      <c r="B482" s="4">
        <v>966.72</v>
      </c>
    </row>
    <row r="483" spans="1:2">
      <c r="A483" s="3">
        <v>45694</v>
      </c>
      <c r="B483" s="4">
        <v>607.52</v>
      </c>
    </row>
    <row r="484" spans="1:2">
      <c r="A484" s="3">
        <v>45695</v>
      </c>
      <c r="B484" s="4">
        <v>1257.9359999999999</v>
      </c>
    </row>
    <row r="485" spans="1:2">
      <c r="A485" s="3">
        <v>45696</v>
      </c>
      <c r="B485" s="4">
        <v>38.67</v>
      </c>
    </row>
    <row r="486" spans="1:2">
      <c r="A486" s="3">
        <v>45697</v>
      </c>
      <c r="B486" s="4">
        <v>845.73500000000001</v>
      </c>
    </row>
    <row r="487" spans="1:2">
      <c r="A487" s="3">
        <v>45698</v>
      </c>
      <c r="B487" s="4">
        <v>2112.3200000000002</v>
      </c>
    </row>
    <row r="488" spans="1:2">
      <c r="A488" s="3">
        <v>45699</v>
      </c>
      <c r="B488" s="4">
        <v>636.70000000000005</v>
      </c>
    </row>
    <row r="489" spans="1:2">
      <c r="A489" s="3">
        <v>45700</v>
      </c>
      <c r="B489" s="4">
        <v>1036.7366666666701</v>
      </c>
    </row>
    <row r="490" spans="1:2">
      <c r="A490" s="3">
        <v>45701</v>
      </c>
      <c r="B490" s="4">
        <v>1472.65</v>
      </c>
    </row>
    <row r="491" spans="1:2">
      <c r="A491" s="3">
        <v>45702</v>
      </c>
      <c r="B491" s="4">
        <v>1273.3579999999999</v>
      </c>
    </row>
    <row r="492" spans="1:2">
      <c r="A492" s="3">
        <v>45703</v>
      </c>
      <c r="B492" s="4">
        <v>1235.4956666666701</v>
      </c>
    </row>
    <row r="493" spans="1:2">
      <c r="A493" s="3">
        <v>45704</v>
      </c>
      <c r="B493" s="4">
        <v>1197.63333333333</v>
      </c>
    </row>
    <row r="494" spans="1:2">
      <c r="A494" s="3">
        <v>45705</v>
      </c>
      <c r="B494" s="4">
        <v>1383.41</v>
      </c>
    </row>
    <row r="495" spans="1:2">
      <c r="A495" s="3">
        <v>45706</v>
      </c>
      <c r="B495" s="4">
        <v>808.16</v>
      </c>
    </row>
    <row r="496" spans="1:2">
      <c r="A496" s="3">
        <v>45707</v>
      </c>
      <c r="B496" s="4">
        <v>1070.51</v>
      </c>
    </row>
    <row r="497" spans="1:2">
      <c r="A497" s="3">
        <v>45708</v>
      </c>
      <c r="B497" s="4">
        <v>1332.86</v>
      </c>
    </row>
    <row r="498" spans="1:2">
      <c r="A498" s="3">
        <v>45709</v>
      </c>
      <c r="B498" s="4">
        <v>885.368333333333</v>
      </c>
    </row>
    <row r="499" spans="1:2">
      <c r="A499" s="3">
        <v>45710</v>
      </c>
      <c r="B499" s="4">
        <v>1285.3165935233101</v>
      </c>
    </row>
    <row r="500" spans="1:2">
      <c r="A500" s="3">
        <v>45711</v>
      </c>
      <c r="B500" s="4">
        <v>1559.9749999999999</v>
      </c>
    </row>
    <row r="501" spans="1:2">
      <c r="A501" s="3">
        <v>45712</v>
      </c>
      <c r="B501" s="4">
        <v>669.33</v>
      </c>
    </row>
    <row r="502" spans="1:2">
      <c r="A502" s="3">
        <v>45713</v>
      </c>
      <c r="B502" s="4">
        <v>1264.79</v>
      </c>
    </row>
    <row r="503" spans="1:2">
      <c r="A503" s="3">
        <v>45714</v>
      </c>
      <c r="B503" s="4">
        <v>1046.52</v>
      </c>
    </row>
    <row r="504" spans="1:2">
      <c r="A504" s="3">
        <v>45715</v>
      </c>
      <c r="B504" s="4">
        <v>1558.9749999999999</v>
      </c>
    </row>
    <row r="505" spans="1:2">
      <c r="A505" s="3">
        <v>45716</v>
      </c>
      <c r="B505" s="4">
        <v>1152.335</v>
      </c>
    </row>
    <row r="506" spans="1:2">
      <c r="A506" s="3">
        <v>45717</v>
      </c>
      <c r="B506" s="4">
        <v>941.08666666666704</v>
      </c>
    </row>
    <row r="507" spans="1:2">
      <c r="A507" s="3">
        <v>45718</v>
      </c>
      <c r="B507" s="4">
        <v>1378.8679999999999</v>
      </c>
    </row>
    <row r="508" spans="1:2">
      <c r="A508" s="3">
        <v>45719</v>
      </c>
      <c r="B508" s="4">
        <v>34.47</v>
      </c>
    </row>
    <row r="509" spans="1:2">
      <c r="A509" s="3">
        <v>45720</v>
      </c>
      <c r="B509" s="4">
        <v>2086.9250000000002</v>
      </c>
    </row>
    <row r="510" spans="1:2">
      <c r="A510" s="3">
        <v>45721</v>
      </c>
      <c r="B510" s="4">
        <v>1283.4939999999999</v>
      </c>
    </row>
    <row r="511" spans="1:2">
      <c r="A511" s="3">
        <v>45722</v>
      </c>
      <c r="B511" s="4">
        <v>1988.28666666667</v>
      </c>
    </row>
    <row r="512" spans="1:2">
      <c r="A512" s="3">
        <v>45723</v>
      </c>
      <c r="B512" s="4">
        <v>372.29</v>
      </c>
    </row>
    <row r="513" spans="1:2">
      <c r="A513" s="3">
        <v>45724</v>
      </c>
      <c r="B513" s="4">
        <v>1327.36</v>
      </c>
    </row>
    <row r="514" spans="1:2">
      <c r="A514" s="3">
        <v>45725</v>
      </c>
      <c r="B514" s="4">
        <v>1412.095</v>
      </c>
    </row>
    <row r="515" spans="1:2">
      <c r="A515" s="3">
        <v>45726</v>
      </c>
      <c r="B515" s="4">
        <v>2161.8000000000002</v>
      </c>
    </row>
    <row r="516" spans="1:2">
      <c r="A516" s="3">
        <v>45727</v>
      </c>
      <c r="B516" s="4">
        <v>873.73500000000001</v>
      </c>
    </row>
    <row r="517" spans="1:2">
      <c r="A517" s="3">
        <v>45728</v>
      </c>
      <c r="B517" s="4">
        <v>1237.68</v>
      </c>
    </row>
    <row r="518" spans="1:2">
      <c r="A518" s="3">
        <v>45729</v>
      </c>
      <c r="B518" s="4">
        <v>1081.5925</v>
      </c>
    </row>
    <row r="519" spans="1:2">
      <c r="A519" s="3">
        <v>45730</v>
      </c>
      <c r="B519" s="4">
        <v>755.76666666666699</v>
      </c>
    </row>
    <row r="520" spans="1:2">
      <c r="A520" s="3">
        <v>45731</v>
      </c>
      <c r="B520" s="4">
        <v>407.61</v>
      </c>
    </row>
    <row r="521" spans="1:2">
      <c r="A521" s="3">
        <v>45732</v>
      </c>
      <c r="B521" s="4">
        <v>856.52499999999998</v>
      </c>
    </row>
    <row r="522" spans="1:2">
      <c r="A522" s="3">
        <v>45733</v>
      </c>
      <c r="B522" s="4">
        <v>1305.44</v>
      </c>
    </row>
    <row r="523" spans="1:2">
      <c r="A523" s="3">
        <v>45734</v>
      </c>
      <c r="B523" s="4">
        <v>1185.0033333333299</v>
      </c>
    </row>
    <row r="524" spans="1:2">
      <c r="A524" s="3">
        <v>45735</v>
      </c>
      <c r="B524" s="4">
        <v>1124.92</v>
      </c>
    </row>
    <row r="525" spans="1:2">
      <c r="A525" s="3">
        <v>45736</v>
      </c>
      <c r="B525" s="4">
        <v>1318.69</v>
      </c>
    </row>
    <row r="526" spans="1:2">
      <c r="A526" s="3">
        <v>45737</v>
      </c>
      <c r="B526" s="4">
        <v>2032.23</v>
      </c>
    </row>
    <row r="527" spans="1:2">
      <c r="A527" s="3">
        <v>45738</v>
      </c>
      <c r="B527" s="4">
        <v>2040.2633333333299</v>
      </c>
    </row>
    <row r="528" spans="1:2">
      <c r="A528" s="3">
        <v>45739</v>
      </c>
      <c r="B528" s="4">
        <v>1839.9733333333299</v>
      </c>
    </row>
    <row r="529" spans="1:2">
      <c r="A529" s="3">
        <v>45740</v>
      </c>
      <c r="B529" s="4">
        <v>903.54666666666697</v>
      </c>
    </row>
    <row r="530" spans="1:2">
      <c r="A530" s="3">
        <v>45741</v>
      </c>
      <c r="B530" s="4">
        <v>912.22500000000002</v>
      </c>
    </row>
    <row r="531" spans="1:2">
      <c r="A531" s="3">
        <v>45742</v>
      </c>
      <c r="B531" s="4">
        <v>2654.40571428571</v>
      </c>
    </row>
    <row r="532" spans="1:2">
      <c r="A532" s="3">
        <v>45743</v>
      </c>
      <c r="B532" s="4">
        <v>1556.2645238095199</v>
      </c>
    </row>
    <row r="533" spans="1:2">
      <c r="A533" s="3">
        <v>45744</v>
      </c>
      <c r="B533" s="4">
        <v>458.12333333333299</v>
      </c>
    </row>
    <row r="534" spans="1:2">
      <c r="A534" s="3">
        <v>45745</v>
      </c>
      <c r="B534" s="4">
        <v>2048.2759999999998</v>
      </c>
    </row>
    <row r="535" spans="1:2">
      <c r="A535" s="3">
        <v>45746</v>
      </c>
      <c r="B535" s="4">
        <v>1354.335</v>
      </c>
    </row>
    <row r="536" spans="1:2">
      <c r="A536" s="3">
        <v>45747</v>
      </c>
      <c r="B536" s="4">
        <v>664.79</v>
      </c>
    </row>
    <row r="537" spans="1:2">
      <c r="A537" s="3">
        <v>45748</v>
      </c>
      <c r="B537" s="4">
        <v>707.96</v>
      </c>
    </row>
    <row r="538" spans="1:2">
      <c r="A538" s="3">
        <v>45749</v>
      </c>
      <c r="B538" s="4">
        <v>698.61666666666702</v>
      </c>
    </row>
    <row r="539" spans="1:2">
      <c r="A539" s="3">
        <v>45750</v>
      </c>
      <c r="B539" s="4">
        <v>940.14</v>
      </c>
    </row>
    <row r="540" spans="1:2">
      <c r="A540" s="3">
        <v>45751</v>
      </c>
      <c r="B540" s="4">
        <v>2547.9899999999998</v>
      </c>
    </row>
    <row r="541" spans="1:2">
      <c r="A541" s="3">
        <v>45752</v>
      </c>
      <c r="B541" s="4">
        <v>1955.5875000000001</v>
      </c>
    </row>
    <row r="542" spans="1:2">
      <c r="A542" s="3">
        <v>45753</v>
      </c>
      <c r="B542" s="4">
        <v>2534.2366666666699</v>
      </c>
    </row>
    <row r="543" spans="1:2">
      <c r="A543" s="3">
        <v>45754</v>
      </c>
      <c r="B543" s="4">
        <v>880.21666666666704</v>
      </c>
    </row>
    <row r="544" spans="1:2">
      <c r="A544" s="3">
        <v>45755</v>
      </c>
      <c r="B544" s="4">
        <v>2357.7874999999999</v>
      </c>
    </row>
    <row r="545" spans="1:2">
      <c r="A545" s="3">
        <v>45756</v>
      </c>
      <c r="B545" s="4">
        <v>892.12599999999998</v>
      </c>
    </row>
    <row r="546" spans="1:2">
      <c r="A546" s="3">
        <v>45757</v>
      </c>
      <c r="B546" s="4">
        <v>936.68499999999995</v>
      </c>
    </row>
    <row r="547" spans="1:2">
      <c r="A547" s="3">
        <v>45758</v>
      </c>
      <c r="B547" s="4">
        <v>2374.3333333333298</v>
      </c>
    </row>
    <row r="548" spans="1:2">
      <c r="A548" s="3">
        <v>45759</v>
      </c>
      <c r="B548" s="4">
        <v>224.16</v>
      </c>
    </row>
    <row r="549" spans="1:2">
      <c r="A549" s="3">
        <v>45760</v>
      </c>
      <c r="B549" s="4">
        <v>1220.9775</v>
      </c>
    </row>
    <row r="550" spans="1:2">
      <c r="A550" s="3">
        <v>45761</v>
      </c>
      <c r="B550" s="4">
        <v>1348.73</v>
      </c>
    </row>
    <row r="551" spans="1:2">
      <c r="A551" s="3">
        <v>45762</v>
      </c>
      <c r="B551" s="4">
        <v>1895.59</v>
      </c>
    </row>
    <row r="552" spans="1:2">
      <c r="A552" s="3">
        <v>45763</v>
      </c>
      <c r="B552" s="4">
        <v>1211.7375</v>
      </c>
    </row>
    <row r="553" spans="1:2">
      <c r="A553" s="3">
        <v>45764</v>
      </c>
      <c r="B553" s="4">
        <v>935.72333333333302</v>
      </c>
    </row>
    <row r="554" spans="1:2">
      <c r="A554" s="3">
        <v>45765</v>
      </c>
      <c r="B554" s="4">
        <v>351.90333333333302</v>
      </c>
    </row>
    <row r="555" spans="1:2">
      <c r="A555" s="3">
        <v>45766</v>
      </c>
      <c r="B555" s="4">
        <v>85.58</v>
      </c>
    </row>
    <row r="556" spans="1:2">
      <c r="A556" s="3">
        <v>45767</v>
      </c>
      <c r="B556" s="4">
        <v>649.19000000000005</v>
      </c>
    </row>
    <row r="557" spans="1:2">
      <c r="A557" s="3">
        <v>45768</v>
      </c>
      <c r="B557" s="4">
        <v>1497.21</v>
      </c>
    </row>
    <row r="558" spans="1:2">
      <c r="A558" s="3">
        <v>45769</v>
      </c>
      <c r="B558" s="4">
        <v>2042.9933333333299</v>
      </c>
    </row>
    <row r="559" spans="1:2">
      <c r="A559" s="3">
        <v>45770</v>
      </c>
      <c r="B559" s="4">
        <v>3309.9166666666702</v>
      </c>
    </row>
    <row r="560" spans="1:2">
      <c r="A560" s="3">
        <v>45771</v>
      </c>
      <c r="B560" s="4">
        <v>1248.915</v>
      </c>
    </row>
    <row r="561" spans="1:2">
      <c r="A561" s="3">
        <v>45772</v>
      </c>
      <c r="B561" s="4">
        <v>1287.2919999999999</v>
      </c>
    </row>
    <row r="562" spans="1:2">
      <c r="A562" s="3">
        <v>45773</v>
      </c>
      <c r="B562" s="4">
        <v>1421.796</v>
      </c>
    </row>
    <row r="563" spans="1:2">
      <c r="A563" s="3">
        <v>45774</v>
      </c>
      <c r="B563" s="4">
        <v>838.68666666666695</v>
      </c>
    </row>
    <row r="564" spans="1:2">
      <c r="A564" s="3">
        <v>45775</v>
      </c>
      <c r="B564" s="4">
        <v>2538.355</v>
      </c>
    </row>
    <row r="565" spans="1:2">
      <c r="A565" s="3">
        <v>45776</v>
      </c>
      <c r="B565" s="4">
        <v>2374.4</v>
      </c>
    </row>
    <row r="566" spans="1:2">
      <c r="A566" s="3">
        <v>45777</v>
      </c>
      <c r="B566" s="4">
        <v>496.755</v>
      </c>
    </row>
    <row r="567" spans="1:2">
      <c r="A567" s="3">
        <v>45778</v>
      </c>
      <c r="B567" s="4">
        <v>1470.355</v>
      </c>
    </row>
    <row r="568" spans="1:2">
      <c r="A568" s="3">
        <v>45779</v>
      </c>
      <c r="B568" s="4">
        <v>578.1</v>
      </c>
    </row>
    <row r="569" spans="1:2">
      <c r="A569" s="3">
        <v>45780</v>
      </c>
      <c r="B569" s="4">
        <v>1838.4175</v>
      </c>
    </row>
    <row r="570" spans="1:2">
      <c r="A570" s="3">
        <v>45781</v>
      </c>
      <c r="B570" s="4">
        <v>1136.3875</v>
      </c>
    </row>
    <row r="571" spans="1:2">
      <c r="A571" s="3">
        <v>45782</v>
      </c>
      <c r="B571" s="4">
        <v>1195.7725</v>
      </c>
    </row>
    <row r="572" spans="1:2">
      <c r="A572" s="3">
        <v>45783</v>
      </c>
      <c r="B572" s="4">
        <v>1255.1575</v>
      </c>
    </row>
    <row r="573" spans="1:2">
      <c r="A573" s="3">
        <v>45784</v>
      </c>
      <c r="B573" s="4">
        <v>142.68</v>
      </c>
    </row>
    <row r="574" spans="1:2">
      <c r="A574" s="3">
        <v>45785</v>
      </c>
      <c r="B574" s="4">
        <v>1028.6966666666699</v>
      </c>
    </row>
    <row r="575" spans="1:2">
      <c r="A575" s="3">
        <v>45786</v>
      </c>
      <c r="B575" s="4">
        <v>383.68</v>
      </c>
    </row>
    <row r="576" spans="1:2">
      <c r="A576" s="3">
        <v>45787</v>
      </c>
      <c r="B576" s="4">
        <v>460.51</v>
      </c>
    </row>
    <row r="577" spans="1:2">
      <c r="A577" s="3">
        <v>45788</v>
      </c>
      <c r="B577" s="4">
        <v>1853.64</v>
      </c>
    </row>
    <row r="578" spans="1:2">
      <c r="A578" s="3">
        <v>45789</v>
      </c>
      <c r="B578" s="4">
        <v>1459.4</v>
      </c>
    </row>
    <row r="579" spans="1:2">
      <c r="A579" s="3">
        <v>45790</v>
      </c>
      <c r="B579" s="4">
        <v>223.89</v>
      </c>
    </row>
    <row r="580" spans="1:2">
      <c r="A580" s="3">
        <v>45791</v>
      </c>
      <c r="B580" s="4">
        <v>242.68</v>
      </c>
    </row>
    <row r="581" spans="1:2">
      <c r="A581" s="3">
        <v>45792</v>
      </c>
      <c r="B581" s="4">
        <v>1206.7449999999999</v>
      </c>
    </row>
    <row r="582" spans="1:2">
      <c r="A582" s="3">
        <v>45793</v>
      </c>
      <c r="B582" s="4">
        <v>461.68</v>
      </c>
    </row>
    <row r="583" spans="1:2">
      <c r="A583" s="3">
        <v>45794</v>
      </c>
      <c r="B583" s="4">
        <v>1850.37333333333</v>
      </c>
    </row>
    <row r="584" spans="1:2">
      <c r="A584" s="3">
        <v>45795</v>
      </c>
      <c r="B584" s="4">
        <v>1033.0374999999999</v>
      </c>
    </row>
    <row r="585" spans="1:2">
      <c r="A585" s="3">
        <v>45796</v>
      </c>
      <c r="B585" s="4">
        <v>1491.826</v>
      </c>
    </row>
    <row r="586" spans="1:2">
      <c r="A586" s="3">
        <v>45797</v>
      </c>
      <c r="B586" s="4">
        <v>589.73666666666702</v>
      </c>
    </row>
    <row r="587" spans="1:2">
      <c r="A587" s="3">
        <v>45798</v>
      </c>
      <c r="B587" s="4">
        <v>964.72833333333301</v>
      </c>
    </row>
    <row r="588" spans="1:2">
      <c r="A588" s="3">
        <v>45799</v>
      </c>
      <c r="B588" s="4">
        <v>590.05999999999995</v>
      </c>
    </row>
    <row r="589" spans="1:2">
      <c r="A589" s="3">
        <v>45800</v>
      </c>
      <c r="B589" s="4">
        <v>687.55</v>
      </c>
    </row>
    <row r="590" spans="1:2">
      <c r="A590" s="3">
        <v>45801</v>
      </c>
      <c r="B590" s="4">
        <v>1277.5333333333299</v>
      </c>
    </row>
    <row r="591" spans="1:2">
      <c r="A591" s="3">
        <v>45802</v>
      </c>
      <c r="B591" s="4">
        <v>1281.95966666667</v>
      </c>
    </row>
    <row r="592" spans="1:2">
      <c r="A592" s="3">
        <v>45803</v>
      </c>
      <c r="B592" s="4">
        <v>1286.386</v>
      </c>
    </row>
    <row r="593" spans="1:2">
      <c r="A593" s="3">
        <v>45804</v>
      </c>
      <c r="B593" s="4">
        <v>1831.9725000000001</v>
      </c>
    </row>
    <row r="594" spans="1:2">
      <c r="A594" s="3">
        <v>45805</v>
      </c>
      <c r="B594" s="4">
        <v>1589.97</v>
      </c>
    </row>
    <row r="595" spans="1:2">
      <c r="A595" s="3">
        <v>45806</v>
      </c>
      <c r="B595" s="4">
        <v>1047.4271428571401</v>
      </c>
    </row>
    <row r="596" spans="1:2">
      <c r="A596" s="3">
        <v>45807</v>
      </c>
      <c r="B596" s="4">
        <v>889.005</v>
      </c>
    </row>
    <row r="597" spans="1:2">
      <c r="A597" s="3">
        <v>45808</v>
      </c>
      <c r="B597" s="4">
        <v>854.26416666666705</v>
      </c>
    </row>
    <row r="598" spans="1:2">
      <c r="A598" s="3">
        <v>45809</v>
      </c>
      <c r="B598" s="4">
        <v>819.52333333333297</v>
      </c>
    </row>
    <row r="599" spans="1:2">
      <c r="A599" s="3">
        <v>45810</v>
      </c>
      <c r="B599" s="4">
        <v>499.33499999999998</v>
      </c>
    </row>
    <row r="600" spans="1:2">
      <c r="A600" s="3">
        <v>45811</v>
      </c>
      <c r="B600" s="4">
        <v>1732.338</v>
      </c>
    </row>
    <row r="601" spans="1:2">
      <c r="A601" s="3">
        <v>45812</v>
      </c>
      <c r="B601" s="4">
        <v>925.91</v>
      </c>
    </row>
    <row r="602" spans="1:2">
      <c r="A602" s="3">
        <v>45813</v>
      </c>
      <c r="B602" s="4">
        <v>1197.95</v>
      </c>
    </row>
    <row r="603" spans="1:2">
      <c r="A603" s="3">
        <v>45814</v>
      </c>
      <c r="B603" s="4">
        <v>1497.63666666667</v>
      </c>
    </row>
    <row r="604" spans="1:2">
      <c r="A604" s="3">
        <v>45815</v>
      </c>
      <c r="B604" s="4">
        <v>1198.2</v>
      </c>
    </row>
    <row r="605" spans="1:2">
      <c r="A605" s="3">
        <v>45816</v>
      </c>
      <c r="B605" s="4">
        <v>575.77</v>
      </c>
    </row>
    <row r="606" spans="1:2">
      <c r="A606" s="3">
        <v>45817</v>
      </c>
      <c r="B606" s="4">
        <v>424.505</v>
      </c>
    </row>
    <row r="607" spans="1:2">
      <c r="A607" s="3">
        <v>45818</v>
      </c>
      <c r="B607" s="4">
        <v>816.78</v>
      </c>
    </row>
    <row r="608" spans="1:2">
      <c r="A608" s="3">
        <v>45819</v>
      </c>
      <c r="B608" s="4">
        <v>1215.1766666666699</v>
      </c>
    </row>
    <row r="609" spans="1:2">
      <c r="A609" s="3">
        <v>45820</v>
      </c>
      <c r="B609" s="4">
        <v>1133.5899999999999</v>
      </c>
    </row>
    <row r="610" spans="1:2">
      <c r="A610" s="3">
        <v>45821</v>
      </c>
      <c r="B610" s="4">
        <v>1052.0033333333299</v>
      </c>
    </row>
    <row r="611" spans="1:2">
      <c r="A611" s="3">
        <v>45822</v>
      </c>
      <c r="B611" s="4">
        <v>1791.84</v>
      </c>
    </row>
    <row r="612" spans="1:2">
      <c r="A612" s="3">
        <v>45823</v>
      </c>
      <c r="B612" s="4">
        <v>867.56857142857098</v>
      </c>
    </row>
    <row r="613" spans="1:2">
      <c r="A613" s="3">
        <v>45824</v>
      </c>
      <c r="B613" s="4">
        <v>1722.6937499999999</v>
      </c>
    </row>
    <row r="614" spans="1:2">
      <c r="A614" s="3">
        <v>45825</v>
      </c>
      <c r="B614" s="4">
        <v>189.21</v>
      </c>
    </row>
    <row r="615" spans="1:2">
      <c r="A615" s="3">
        <v>45826</v>
      </c>
      <c r="B615" s="4">
        <v>1182.3</v>
      </c>
    </row>
    <row r="616" spans="1:2">
      <c r="A616" s="3">
        <v>45827</v>
      </c>
      <c r="B616" s="4">
        <v>290.27999999999997</v>
      </c>
    </row>
    <row r="617" spans="1:2">
      <c r="A617" s="3">
        <v>45828</v>
      </c>
      <c r="B617" s="4">
        <v>755.19749999999999</v>
      </c>
    </row>
    <row r="618" spans="1:2">
      <c r="A618" s="3">
        <v>45829</v>
      </c>
      <c r="B618" s="4">
        <v>1220.115</v>
      </c>
    </row>
    <row r="619" spans="1:2">
      <c r="A619" s="3">
        <v>45830</v>
      </c>
      <c r="B619" s="4">
        <v>1222.06</v>
      </c>
    </row>
    <row r="620" spans="1:2">
      <c r="A620" s="3">
        <v>45831</v>
      </c>
      <c r="B620" s="4">
        <v>1693.41</v>
      </c>
    </row>
    <row r="621" spans="1:2">
      <c r="A621" s="3">
        <v>45832</v>
      </c>
      <c r="B621" s="4">
        <v>618.14333333333298</v>
      </c>
    </row>
    <row r="622" spans="1:2">
      <c r="A622" s="3">
        <v>45833</v>
      </c>
      <c r="B622" s="4">
        <v>570.386666666667</v>
      </c>
    </row>
    <row r="623" spans="1:2">
      <c r="A623" s="3">
        <v>45834</v>
      </c>
      <c r="B623" s="4">
        <v>522.63</v>
      </c>
    </row>
    <row r="624" spans="1:2">
      <c r="A624" s="3">
        <v>45835</v>
      </c>
      <c r="B624" s="4">
        <v>520.19000000000005</v>
      </c>
    </row>
    <row r="625" spans="1:2">
      <c r="A625" s="3">
        <v>45836</v>
      </c>
      <c r="B625" s="4">
        <v>517.75</v>
      </c>
    </row>
    <row r="626" spans="1:2">
      <c r="A626" s="3">
        <v>45837</v>
      </c>
      <c r="B626" s="4">
        <v>1725.79</v>
      </c>
    </row>
    <row r="627" spans="1:2">
      <c r="A627" s="3">
        <v>45838</v>
      </c>
      <c r="B627" s="4">
        <v>542.46</v>
      </c>
    </row>
    <row r="628" spans="1:2">
      <c r="A628" s="3">
        <v>45839</v>
      </c>
      <c r="B628" s="4">
        <v>727.54333333333295</v>
      </c>
    </row>
    <row r="629" spans="1:2">
      <c r="A629" s="3">
        <v>45840</v>
      </c>
      <c r="B629" s="4">
        <v>2435.53666666667</v>
      </c>
    </row>
    <row r="630" spans="1:2">
      <c r="A630" s="3">
        <v>45841</v>
      </c>
      <c r="B630" s="4">
        <v>2138.2849999999999</v>
      </c>
    </row>
    <row r="631" spans="1:2">
      <c r="A631" s="3">
        <v>45842</v>
      </c>
      <c r="B631" s="4">
        <v>1027.98714285714</v>
      </c>
    </row>
    <row r="632" spans="1:2">
      <c r="A632" s="3">
        <v>45843</v>
      </c>
      <c r="B632" s="4">
        <v>1829.8625</v>
      </c>
    </row>
    <row r="633" spans="1:2">
      <c r="A633" s="3">
        <v>45844</v>
      </c>
      <c r="B633" s="4">
        <v>973.33</v>
      </c>
    </row>
    <row r="634" spans="1:2">
      <c r="A634" s="3">
        <v>45845</v>
      </c>
      <c r="B634" s="4">
        <v>1592.01</v>
      </c>
    </row>
    <row r="635" spans="1:2">
      <c r="A635" s="3">
        <v>45846</v>
      </c>
      <c r="B635" s="4">
        <v>260.5</v>
      </c>
    </row>
    <row r="636" spans="1:2">
      <c r="A636" s="3">
        <v>45847</v>
      </c>
      <c r="B636" s="4">
        <v>443.31333333333299</v>
      </c>
    </row>
    <row r="637" spans="1:2">
      <c r="A637" s="3">
        <v>45848</v>
      </c>
      <c r="B637" s="4">
        <v>789.23</v>
      </c>
    </row>
    <row r="638" spans="1:2">
      <c r="A638" s="3">
        <v>45849</v>
      </c>
      <c r="B638" s="4">
        <v>725.39</v>
      </c>
    </row>
    <row r="639" spans="1:2">
      <c r="A639" s="3">
        <v>45850</v>
      </c>
      <c r="B639" s="4">
        <v>1016.96333333333</v>
      </c>
    </row>
    <row r="640" spans="1:2">
      <c r="A640" s="3">
        <v>45851</v>
      </c>
      <c r="B640" s="4">
        <v>1527.7633333333299</v>
      </c>
    </row>
    <row r="641" spans="1:2">
      <c r="A641" s="3">
        <v>45852</v>
      </c>
      <c r="B641" s="4">
        <v>856.20166666666705</v>
      </c>
    </row>
    <row r="642" spans="1:2">
      <c r="A642" s="3">
        <v>45853</v>
      </c>
      <c r="B642" s="4">
        <v>184.64</v>
      </c>
    </row>
    <row r="643" spans="1:2">
      <c r="A643" s="3">
        <v>45854</v>
      </c>
      <c r="B643" s="4">
        <v>1024.3</v>
      </c>
    </row>
    <row r="644" spans="1:2">
      <c r="A644" s="3">
        <v>45855</v>
      </c>
      <c r="B644" s="4">
        <v>2363.6666666666702</v>
      </c>
    </row>
    <row r="645" spans="1:2">
      <c r="A645" s="3">
        <v>45856</v>
      </c>
      <c r="B645" s="4">
        <v>1523.4</v>
      </c>
    </row>
    <row r="646" spans="1:2">
      <c r="A646" s="3">
        <v>45857</v>
      </c>
      <c r="B646" s="4">
        <v>1500.28</v>
      </c>
    </row>
    <row r="647" spans="1:2">
      <c r="A647" s="3">
        <v>45858</v>
      </c>
      <c r="B647" s="4">
        <v>459.71</v>
      </c>
    </row>
    <row r="648" spans="1:2">
      <c r="A648" s="3">
        <v>45859</v>
      </c>
      <c r="B648" s="4">
        <v>3382.08</v>
      </c>
    </row>
    <row r="649" spans="1:2">
      <c r="A649" s="3">
        <v>45860</v>
      </c>
      <c r="B649" s="4">
        <v>1639.67</v>
      </c>
    </row>
    <row r="650" spans="1:2">
      <c r="A650" s="3">
        <v>45861</v>
      </c>
      <c r="B650" s="4">
        <v>681.44</v>
      </c>
    </row>
    <row r="651" spans="1:2">
      <c r="A651" s="3">
        <v>45862</v>
      </c>
      <c r="B651" s="4">
        <v>873.43600000000004</v>
      </c>
    </row>
    <row r="652" spans="1:2">
      <c r="A652" s="3">
        <v>45863</v>
      </c>
      <c r="B652" s="4">
        <v>970.28</v>
      </c>
    </row>
    <row r="653" spans="1:2">
      <c r="A653" s="3">
        <v>45864</v>
      </c>
      <c r="B653" s="4">
        <v>1875.09666666667</v>
      </c>
    </row>
    <row r="654" spans="1:2">
      <c r="A654" s="3">
        <v>45865</v>
      </c>
      <c r="B654" s="4">
        <v>1781.6483333333299</v>
      </c>
    </row>
    <row r="655" spans="1:2">
      <c r="A655" s="3">
        <v>45866</v>
      </c>
      <c r="B655" s="4">
        <v>1688.2</v>
      </c>
    </row>
    <row r="656" spans="1:2">
      <c r="A656" s="3">
        <v>45867</v>
      </c>
      <c r="B656" s="4">
        <v>1428.14</v>
      </c>
    </row>
    <row r="657" spans="1:2">
      <c r="A657" s="3">
        <v>45868</v>
      </c>
      <c r="B657" s="4">
        <v>1432.91</v>
      </c>
    </row>
    <row r="658" spans="1:2">
      <c r="A658" s="3">
        <v>45869</v>
      </c>
      <c r="B658" s="4">
        <v>1173.8900000000001</v>
      </c>
    </row>
    <row r="659" spans="1:2">
      <c r="A659" s="3">
        <v>45870</v>
      </c>
      <c r="B659" s="4">
        <v>512.14</v>
      </c>
    </row>
    <row r="660" spans="1:2">
      <c r="A660" s="3">
        <v>45871</v>
      </c>
      <c r="B660" s="4">
        <v>1360.65</v>
      </c>
    </row>
    <row r="661" spans="1:2">
      <c r="A661" s="3">
        <v>45872</v>
      </c>
      <c r="B661" s="4">
        <v>2916.9</v>
      </c>
    </row>
    <row r="662" spans="1:2">
      <c r="A662" s="3">
        <v>45873</v>
      </c>
      <c r="B662" s="4">
        <v>1903.56</v>
      </c>
    </row>
    <row r="663" spans="1:2">
      <c r="A663" s="3">
        <v>45874</v>
      </c>
      <c r="B663" s="4">
        <v>913.71</v>
      </c>
    </row>
    <row r="664" spans="1:2">
      <c r="A664" s="3">
        <v>45875</v>
      </c>
      <c r="B664" s="4">
        <v>1783.0057142857099</v>
      </c>
    </row>
    <row r="665" spans="1:2">
      <c r="A665" s="3">
        <v>45876</v>
      </c>
      <c r="B665" s="4">
        <v>940.91</v>
      </c>
    </row>
    <row r="666" spans="1:2">
      <c r="A666" s="3">
        <v>45877</v>
      </c>
      <c r="B666" s="4">
        <v>844.86</v>
      </c>
    </row>
    <row r="667" spans="1:2">
      <c r="A667" s="3">
        <v>45878</v>
      </c>
      <c r="B667" s="4">
        <v>1035.364</v>
      </c>
    </row>
    <row r="668" spans="1:2">
      <c r="A668" s="3">
        <v>45879</v>
      </c>
      <c r="B668" s="4">
        <v>222.93</v>
      </c>
    </row>
    <row r="669" spans="1:2">
      <c r="A669" s="3">
        <v>45880</v>
      </c>
      <c r="B669" s="4">
        <v>1446.704</v>
      </c>
    </row>
    <row r="670" spans="1:2">
      <c r="A670" s="3">
        <v>45881</v>
      </c>
      <c r="B670" s="4">
        <v>1183.80666666667</v>
      </c>
    </row>
    <row r="671" spans="1:2">
      <c r="A671" s="3">
        <v>45882</v>
      </c>
      <c r="B671" s="4">
        <v>1479.48</v>
      </c>
    </row>
    <row r="672" spans="1:2">
      <c r="A672" s="3">
        <v>45883</v>
      </c>
      <c r="B672" s="4">
        <v>1129.1780000000001</v>
      </c>
    </row>
    <row r="673" spans="1:2">
      <c r="A673" s="3">
        <v>45884</v>
      </c>
      <c r="B673" s="4">
        <v>1397.865</v>
      </c>
    </row>
    <row r="674" spans="1:2">
      <c r="A674" s="3">
        <v>45885</v>
      </c>
      <c r="B674" s="4">
        <v>1059.5033333333299</v>
      </c>
    </row>
    <row r="675" spans="1:2">
      <c r="A675" s="3">
        <v>45886</v>
      </c>
      <c r="B675" s="4">
        <v>1136.866</v>
      </c>
    </row>
    <row r="676" spans="1:2">
      <c r="A676" s="3">
        <v>45887</v>
      </c>
      <c r="B676" s="4">
        <v>1175.97</v>
      </c>
    </row>
    <row r="677" spans="1:2">
      <c r="A677" s="3">
        <v>45888</v>
      </c>
      <c r="B677" s="4">
        <v>1888.59</v>
      </c>
    </row>
    <row r="678" spans="1:2">
      <c r="A678" s="3">
        <v>45889</v>
      </c>
      <c r="B678" s="4">
        <v>1699.454</v>
      </c>
    </row>
    <row r="679" spans="1:2">
      <c r="A679" s="3">
        <v>45890</v>
      </c>
      <c r="B679" s="4">
        <v>715.98749999999995</v>
      </c>
    </row>
    <row r="680" spans="1:2">
      <c r="A680" s="3">
        <v>45891</v>
      </c>
      <c r="B680" s="4">
        <v>2200.67333333333</v>
      </c>
    </row>
    <row r="681" spans="1:2">
      <c r="A681" s="3">
        <v>45892</v>
      </c>
      <c r="B681" s="4">
        <v>3094.92</v>
      </c>
    </row>
    <row r="682" spans="1:2">
      <c r="A682" s="3">
        <v>45893</v>
      </c>
      <c r="B682" s="4">
        <v>1557.605</v>
      </c>
    </row>
    <row r="683" spans="1:2">
      <c r="A683" s="3">
        <v>45894</v>
      </c>
      <c r="B683" s="4">
        <v>1025.43665823736</v>
      </c>
    </row>
    <row r="684" spans="1:2">
      <c r="A684" s="3">
        <v>45895</v>
      </c>
      <c r="B684" s="4">
        <v>1370.5725</v>
      </c>
    </row>
    <row r="685" spans="1:2">
      <c r="A685" s="3">
        <v>45896</v>
      </c>
      <c r="B685" s="4">
        <v>1607.6529166666701</v>
      </c>
    </row>
    <row r="686" spans="1:2">
      <c r="A686" s="3">
        <v>45897</v>
      </c>
      <c r="B686" s="4">
        <v>1844.7333333333299</v>
      </c>
    </row>
    <row r="687" spans="1:2">
      <c r="A687" s="3">
        <v>45898</v>
      </c>
      <c r="B687" s="4">
        <v>891.76</v>
      </c>
    </row>
    <row r="688" spans="1:2">
      <c r="A688" s="3">
        <v>45899</v>
      </c>
      <c r="B688" s="4">
        <v>230.47</v>
      </c>
    </row>
    <row r="689" spans="1:2">
      <c r="A689" s="3">
        <v>45900</v>
      </c>
      <c r="B689" s="4">
        <v>1159.93</v>
      </c>
    </row>
    <row r="690" spans="1:2">
      <c r="A690" s="3">
        <v>45901</v>
      </c>
      <c r="B690" s="4">
        <v>1032.26833333333</v>
      </c>
    </row>
    <row r="691" spans="1:2">
      <c r="A691" s="3">
        <v>45902</v>
      </c>
      <c r="B691" s="4">
        <v>904.60666666666702</v>
      </c>
    </row>
    <row r="692" spans="1:2">
      <c r="A692" s="3">
        <v>45903</v>
      </c>
      <c r="B692" s="4">
        <v>2259.66</v>
      </c>
    </row>
    <row r="693" spans="1:2">
      <c r="A693" s="3">
        <v>45904</v>
      </c>
      <c r="B693" s="4">
        <v>1442.58</v>
      </c>
    </row>
    <row r="694" spans="1:2">
      <c r="A694" s="3">
        <v>45905</v>
      </c>
      <c r="B694" s="4">
        <v>1780.7750000000001</v>
      </c>
    </row>
    <row r="695" spans="1:2">
      <c r="A695" s="3">
        <v>45906</v>
      </c>
      <c r="B695" s="4">
        <v>1296.175</v>
      </c>
    </row>
    <row r="696" spans="1:2">
      <c r="A696" s="3">
        <v>45907</v>
      </c>
      <c r="B696" s="4">
        <v>2422.13</v>
      </c>
    </row>
    <row r="697" spans="1:2">
      <c r="A697" s="3">
        <v>45908</v>
      </c>
      <c r="B697" s="4">
        <v>590.56666666666695</v>
      </c>
    </row>
    <row r="698" spans="1:2">
      <c r="A698" s="3">
        <v>45909</v>
      </c>
      <c r="B698" s="4">
        <v>1055.5650000000001</v>
      </c>
    </row>
    <row r="699" spans="1:2">
      <c r="A699" s="3">
        <v>45910</v>
      </c>
      <c r="B699" s="4">
        <v>1156.4175</v>
      </c>
    </row>
    <row r="700" spans="1:2">
      <c r="A700" s="3">
        <v>45911</v>
      </c>
      <c r="B700" s="4">
        <v>659.12</v>
      </c>
    </row>
    <row r="701" spans="1:2">
      <c r="A701" s="3">
        <v>45912</v>
      </c>
      <c r="B701" s="4">
        <v>1062.6199999999999</v>
      </c>
    </row>
    <row r="702" spans="1:2">
      <c r="A702" s="3">
        <v>45913</v>
      </c>
      <c r="B702" s="4">
        <v>903.46</v>
      </c>
    </row>
    <row r="703" spans="1:2">
      <c r="A703" s="3">
        <v>45914</v>
      </c>
      <c r="B703" s="4">
        <v>1121.7560000000001</v>
      </c>
    </row>
    <row r="704" spans="1:2">
      <c r="A704" s="3">
        <v>45915</v>
      </c>
      <c r="B704" s="4">
        <v>1228.1600000000001</v>
      </c>
    </row>
    <row r="705" spans="1:2">
      <c r="A705" s="3">
        <v>45916</v>
      </c>
      <c r="B705" s="4">
        <v>2006.52</v>
      </c>
    </row>
    <row r="706" spans="1:2">
      <c r="A706" s="3">
        <v>45917</v>
      </c>
      <c r="B706" s="4">
        <v>2316.35</v>
      </c>
    </row>
    <row r="707" spans="1:2">
      <c r="A707" s="3">
        <v>45918</v>
      </c>
      <c r="B707" s="4">
        <v>1349.38666666667</v>
      </c>
    </row>
    <row r="708" spans="1:2">
      <c r="A708" s="3">
        <v>45919</v>
      </c>
      <c r="B708" s="4">
        <v>1284.0050000000001</v>
      </c>
    </row>
    <row r="709" spans="1:2">
      <c r="A709" s="3">
        <v>45920</v>
      </c>
      <c r="B709" s="4">
        <v>1179.26833333333</v>
      </c>
    </row>
    <row r="710" spans="1:2">
      <c r="A710" s="3">
        <v>45921</v>
      </c>
      <c r="B710" s="4">
        <v>1074.5316666666699</v>
      </c>
    </row>
    <row r="711" spans="1:2">
      <c r="A711" s="3">
        <v>45922</v>
      </c>
      <c r="B711" s="4">
        <v>372.63</v>
      </c>
    </row>
    <row r="712" spans="1:2">
      <c r="A712" s="3">
        <v>45923</v>
      </c>
      <c r="B712" s="4">
        <v>811.88803731976304</v>
      </c>
    </row>
    <row r="713" spans="1:2">
      <c r="A713" s="3">
        <v>45924</v>
      </c>
      <c r="B713" s="4">
        <v>928.40333333333297</v>
      </c>
    </row>
    <row r="714" spans="1:2">
      <c r="A714" s="3">
        <v>45925</v>
      </c>
      <c r="B714" s="4">
        <v>1658.39</v>
      </c>
    </row>
    <row r="715" spans="1:2">
      <c r="A715" s="3">
        <v>45926</v>
      </c>
      <c r="B715" s="4">
        <v>959.06</v>
      </c>
    </row>
    <row r="716" spans="1:2">
      <c r="A716" s="3">
        <v>45927</v>
      </c>
      <c r="B716" s="4">
        <v>731.24666666666701</v>
      </c>
    </row>
    <row r="717" spans="1:2">
      <c r="A717" s="3">
        <v>45928</v>
      </c>
      <c r="B717" s="4">
        <v>1845.51</v>
      </c>
    </row>
    <row r="718" spans="1:2">
      <c r="A718" s="3">
        <v>45929</v>
      </c>
      <c r="B718" s="4">
        <v>1725.1575</v>
      </c>
    </row>
    <row r="719" spans="1:2">
      <c r="A719" s="3">
        <v>45930</v>
      </c>
      <c r="B719" s="4">
        <v>2104.6799999999998</v>
      </c>
    </row>
    <row r="720" spans="1:2">
      <c r="A720" s="3">
        <v>45931</v>
      </c>
      <c r="B720" s="4">
        <v>1366.5716666666699</v>
      </c>
    </row>
    <row r="721" spans="1:5">
      <c r="A721" s="3">
        <v>45932</v>
      </c>
      <c r="B721" s="4">
        <v>628.46333333333303</v>
      </c>
    </row>
    <row r="722" spans="1:5">
      <c r="A722" s="3">
        <v>45933</v>
      </c>
      <c r="B722" s="4">
        <v>1512.59</v>
      </c>
    </row>
    <row r="723" spans="1:5">
      <c r="A723" s="3">
        <v>45934</v>
      </c>
      <c r="B723" s="4">
        <v>250.64</v>
      </c>
    </row>
    <row r="724" spans="1:5">
      <c r="A724" s="3">
        <v>45935</v>
      </c>
      <c r="B724" s="4">
        <v>1646.26</v>
      </c>
    </row>
    <row r="725" spans="1:5">
      <c r="A725" s="3">
        <v>45936</v>
      </c>
      <c r="B725" s="4">
        <v>1554.15333333333</v>
      </c>
    </row>
    <row r="726" spans="1:5">
      <c r="A726" s="3">
        <v>45937</v>
      </c>
      <c r="B726" s="4">
        <v>1202.3516666666701</v>
      </c>
    </row>
    <row r="727" spans="1:5">
      <c r="A727" s="3">
        <v>45938</v>
      </c>
      <c r="B727" s="4">
        <v>850.55</v>
      </c>
    </row>
    <row r="728" spans="1:5">
      <c r="A728" s="3">
        <v>45939</v>
      </c>
      <c r="B728" s="4">
        <v>1905.07666666667</v>
      </c>
    </row>
    <row r="729" spans="1:5">
      <c r="A729" s="3">
        <v>45940</v>
      </c>
      <c r="B729" s="4">
        <v>1512.07</v>
      </c>
    </row>
    <row r="730" spans="1:5">
      <c r="A730" s="3">
        <v>45941</v>
      </c>
      <c r="B730" s="4">
        <v>872.02</v>
      </c>
    </row>
    <row r="731" spans="1:5">
      <c r="A731" s="3">
        <v>45942</v>
      </c>
      <c r="B731" s="4">
        <v>1440.2375</v>
      </c>
    </row>
    <row r="732" spans="1:5">
      <c r="A732" s="3">
        <v>45943</v>
      </c>
      <c r="B732" s="4">
        <v>1867.2719999999999</v>
      </c>
      <c r="C732" s="4">
        <v>1867.2719999999999</v>
      </c>
      <c r="D732" s="4">
        <v>1867.2719999999999</v>
      </c>
      <c r="E732" s="4">
        <v>1867.2719999999999</v>
      </c>
    </row>
    <row r="733" spans="1:5">
      <c r="A733" s="3">
        <v>45944</v>
      </c>
      <c r="C733" s="4">
        <f t="shared" ref="C733:C764" si="0">_xlfn.FORECAST.ETS(A733,$B$2:$B$732,$A$2:$A$732,1,1)</f>
        <v>1775.2440956729099</v>
      </c>
      <c r="D733" s="4">
        <f t="shared" ref="D733:D764" si="1">C733-_xlfn.FORECAST.ETS.CONFINT(A733,$B$2:$B$732,$A$2:$A$732,0.95,1,1)</f>
        <v>426.07773158151502</v>
      </c>
      <c r="E733" s="4">
        <f t="shared" ref="E733:E764" si="2">C733+_xlfn.FORECAST.ETS.CONFINT(A733,$B$2:$B$732,$A$2:$A$732,0.95,1,1)</f>
        <v>3124.41045976431</v>
      </c>
    </row>
    <row r="734" spans="1:5">
      <c r="A734" s="3">
        <v>45945</v>
      </c>
      <c r="C734" s="4">
        <f t="shared" si="0"/>
        <v>1924.03298968746</v>
      </c>
      <c r="D734" s="4">
        <f t="shared" si="1"/>
        <v>574.86055436108404</v>
      </c>
      <c r="E734" s="4">
        <f t="shared" si="2"/>
        <v>3273.2054250138399</v>
      </c>
    </row>
    <row r="735" spans="1:5">
      <c r="A735" s="3">
        <v>45946</v>
      </c>
      <c r="C735" s="4">
        <f t="shared" si="0"/>
        <v>1924.18119693569</v>
      </c>
      <c r="D735" s="4">
        <f t="shared" si="1"/>
        <v>574.99796837014003</v>
      </c>
      <c r="E735" s="4">
        <f t="shared" si="2"/>
        <v>3273.36442550123</v>
      </c>
    </row>
    <row r="736" spans="1:5">
      <c r="A736" s="3">
        <v>45947</v>
      </c>
      <c r="C736" s="4">
        <f t="shared" si="0"/>
        <v>1804.98324184593</v>
      </c>
      <c r="D736" s="4">
        <f t="shared" si="1"/>
        <v>455.78314901702998</v>
      </c>
      <c r="E736" s="4">
        <f t="shared" si="2"/>
        <v>3154.1833346748199</v>
      </c>
    </row>
    <row r="737" spans="1:5">
      <c r="A737" s="3">
        <v>45948</v>
      </c>
      <c r="C737" s="4">
        <f t="shared" si="0"/>
        <v>1980.7352413948799</v>
      </c>
      <c r="D737" s="4">
        <f t="shared" si="1"/>
        <v>631.51086439707694</v>
      </c>
      <c r="E737" s="4">
        <f t="shared" si="2"/>
        <v>3329.9596183926801</v>
      </c>
    </row>
    <row r="738" spans="1:5">
      <c r="A738" s="3">
        <v>45949</v>
      </c>
      <c r="C738" s="4">
        <f t="shared" si="0"/>
        <v>1862.5485622276101</v>
      </c>
      <c r="D738" s="4">
        <f t="shared" si="1"/>
        <v>513.29113247999601</v>
      </c>
      <c r="E738" s="4">
        <f t="shared" si="2"/>
        <v>3211.80599197522</v>
      </c>
    </row>
    <row r="739" spans="1:5">
      <c r="A739" s="3">
        <v>45950</v>
      </c>
      <c r="C739" s="4">
        <f t="shared" si="0"/>
        <v>1722.0505008713101</v>
      </c>
      <c r="D739" s="4">
        <f t="shared" si="1"/>
        <v>372.749901404566</v>
      </c>
      <c r="E739" s="4">
        <f t="shared" si="2"/>
        <v>3071.35110033806</v>
      </c>
    </row>
    <row r="740" spans="1:5">
      <c r="A740" s="3">
        <v>45951</v>
      </c>
      <c r="C740" s="4">
        <f t="shared" si="0"/>
        <v>1764.6216632974099</v>
      </c>
      <c r="D740" s="4">
        <f t="shared" si="1"/>
        <v>415.26642913502099</v>
      </c>
      <c r="E740" s="4">
        <f t="shared" si="2"/>
        <v>3113.9768974598001</v>
      </c>
    </row>
    <row r="741" spans="1:5">
      <c r="A741" s="3">
        <v>45952</v>
      </c>
      <c r="C741" s="4">
        <f t="shared" si="0"/>
        <v>1867.7966355514</v>
      </c>
      <c r="D741" s="4">
        <f t="shared" si="1"/>
        <v>518.37395419865197</v>
      </c>
      <c r="E741" s="4">
        <f t="shared" si="2"/>
        <v>3217.2193169041502</v>
      </c>
    </row>
    <row r="742" spans="1:5">
      <c r="A742" s="3">
        <v>45953</v>
      </c>
      <c r="C742" s="4">
        <f t="shared" si="0"/>
        <v>1775.7687312243099</v>
      </c>
      <c r="D742" s="4">
        <f t="shared" si="1"/>
        <v>413.928463537737</v>
      </c>
      <c r="E742" s="4">
        <f t="shared" si="2"/>
        <v>3137.60899891089</v>
      </c>
    </row>
    <row r="743" spans="1:5">
      <c r="A743" s="3">
        <v>45954</v>
      </c>
      <c r="C743" s="4">
        <f t="shared" si="0"/>
        <v>1924.5576252388601</v>
      </c>
      <c r="D743" s="4">
        <f t="shared" si="1"/>
        <v>562.62112500286298</v>
      </c>
      <c r="E743" s="4">
        <f t="shared" si="2"/>
        <v>3286.4941254748601</v>
      </c>
    </row>
    <row r="744" spans="1:5">
      <c r="A744" s="3">
        <v>45955</v>
      </c>
      <c r="C744" s="4">
        <f t="shared" si="0"/>
        <v>1924.70583248709</v>
      </c>
      <c r="D744" s="4">
        <f t="shared" si="1"/>
        <v>562.65640133399597</v>
      </c>
      <c r="E744" s="4">
        <f t="shared" si="2"/>
        <v>3286.7552636401801</v>
      </c>
    </row>
    <row r="745" spans="1:5">
      <c r="A745" s="3">
        <v>45956</v>
      </c>
      <c r="C745" s="4">
        <f t="shared" si="0"/>
        <v>1805.50787739733</v>
      </c>
      <c r="D745" s="4">
        <f t="shared" si="1"/>
        <v>443.32748483526001</v>
      </c>
      <c r="E745" s="4">
        <f t="shared" si="2"/>
        <v>3167.6882699593998</v>
      </c>
    </row>
    <row r="746" spans="1:5">
      <c r="A746" s="3">
        <v>45957</v>
      </c>
      <c r="C746" s="4">
        <f t="shared" si="0"/>
        <v>1981.25987694628</v>
      </c>
      <c r="D746" s="4">
        <f t="shared" si="1"/>
        <v>618.92916155332</v>
      </c>
      <c r="E746" s="4">
        <f t="shared" si="2"/>
        <v>3343.5905923392402</v>
      </c>
    </row>
    <row r="747" spans="1:5">
      <c r="A747" s="3">
        <v>45958</v>
      </c>
      <c r="C747" s="4">
        <f t="shared" si="0"/>
        <v>1863.0731977790099</v>
      </c>
      <c r="D747" s="4">
        <f t="shared" si="1"/>
        <v>500.57146857942303</v>
      </c>
      <c r="E747" s="4">
        <f t="shared" si="2"/>
        <v>3225.5749269786002</v>
      </c>
    </row>
    <row r="748" spans="1:5">
      <c r="A748" s="3">
        <v>45959</v>
      </c>
      <c r="C748" s="4">
        <f t="shared" si="0"/>
        <v>1722.5751364227201</v>
      </c>
      <c r="D748" s="4">
        <f t="shared" si="1"/>
        <v>359.88037445780498</v>
      </c>
      <c r="E748" s="4">
        <f t="shared" si="2"/>
        <v>3085.2698983876298</v>
      </c>
    </row>
    <row r="749" spans="1:5">
      <c r="A749" s="3">
        <v>45960</v>
      </c>
      <c r="C749" s="4">
        <f t="shared" si="0"/>
        <v>1765.1462988488099</v>
      </c>
      <c r="D749" s="4">
        <f t="shared" si="1"/>
        <v>402.23515895484502</v>
      </c>
      <c r="E749" s="4">
        <f t="shared" si="2"/>
        <v>3128.0574387427801</v>
      </c>
    </row>
    <row r="750" spans="1:5">
      <c r="A750" s="3">
        <v>45961</v>
      </c>
      <c r="C750" s="4">
        <f t="shared" si="0"/>
        <v>1868.3212711028</v>
      </c>
      <c r="D750" s="4">
        <f t="shared" si="1"/>
        <v>505.16908390834499</v>
      </c>
      <c r="E750" s="4">
        <f t="shared" si="2"/>
        <v>3231.4734582972601</v>
      </c>
    </row>
    <row r="751" spans="1:5">
      <c r="A751" s="3">
        <v>45962</v>
      </c>
      <c r="C751" s="4">
        <f t="shared" si="0"/>
        <v>1776.29336677572</v>
      </c>
      <c r="D751" s="4">
        <f t="shared" si="1"/>
        <v>399.17512960873597</v>
      </c>
      <c r="E751" s="4">
        <f t="shared" si="2"/>
        <v>3153.4116039426999</v>
      </c>
    </row>
    <row r="752" spans="1:5">
      <c r="A752" s="3">
        <v>45963</v>
      </c>
      <c r="C752" s="4">
        <f t="shared" si="0"/>
        <v>1925.0822607902601</v>
      </c>
      <c r="D752" s="4">
        <f t="shared" si="1"/>
        <v>547.67260156244697</v>
      </c>
      <c r="E752" s="4">
        <f t="shared" si="2"/>
        <v>3302.4919200180798</v>
      </c>
    </row>
    <row r="753" spans="1:5">
      <c r="A753" s="3">
        <v>45964</v>
      </c>
      <c r="C753" s="4">
        <f t="shared" si="0"/>
        <v>1925.23046803849</v>
      </c>
      <c r="D753" s="4">
        <f t="shared" si="1"/>
        <v>547.50104239823099</v>
      </c>
      <c r="E753" s="4">
        <f t="shared" si="2"/>
        <v>3302.9598936787502</v>
      </c>
    </row>
    <row r="754" spans="1:5">
      <c r="A754" s="3">
        <v>45965</v>
      </c>
      <c r="C754" s="4">
        <f t="shared" si="0"/>
        <v>1806.0325129487301</v>
      </c>
      <c r="D754" s="4">
        <f t="shared" si="1"/>
        <v>427.95367541420802</v>
      </c>
      <c r="E754" s="4">
        <f t="shared" si="2"/>
        <v>3184.1113504832501</v>
      </c>
    </row>
    <row r="755" spans="1:5">
      <c r="A755" s="3">
        <v>45966</v>
      </c>
      <c r="C755" s="4">
        <f t="shared" si="0"/>
        <v>1981.78451249768</v>
      </c>
      <c r="D755" s="4">
        <f t="shared" si="1"/>
        <v>603.32531963406404</v>
      </c>
      <c r="E755" s="4">
        <f t="shared" si="2"/>
        <v>3360.2437053612998</v>
      </c>
    </row>
    <row r="756" spans="1:5">
      <c r="A756" s="3">
        <v>45967</v>
      </c>
      <c r="C756" s="4">
        <f t="shared" si="0"/>
        <v>1863.5978333304099</v>
      </c>
      <c r="D756" s="4">
        <f t="shared" si="1"/>
        <v>484.726047208159</v>
      </c>
      <c r="E756" s="4">
        <f t="shared" si="2"/>
        <v>3242.46961945266</v>
      </c>
    </row>
    <row r="757" spans="1:5">
      <c r="A757" s="3">
        <v>45968</v>
      </c>
      <c r="C757" s="4">
        <f t="shared" si="0"/>
        <v>1723.0997719741199</v>
      </c>
      <c r="D757" s="4">
        <f t="shared" si="1"/>
        <v>343.78186391901801</v>
      </c>
      <c r="E757" s="4">
        <f t="shared" si="2"/>
        <v>3102.4176800292198</v>
      </c>
    </row>
    <row r="758" spans="1:5">
      <c r="A758" s="3">
        <v>45969</v>
      </c>
      <c r="C758" s="4">
        <f t="shared" si="0"/>
        <v>1765.6709344002199</v>
      </c>
      <c r="D758" s="4">
        <f t="shared" si="1"/>
        <v>385.87208904537403</v>
      </c>
      <c r="E758" s="4">
        <f t="shared" si="2"/>
        <v>3145.4697797550598</v>
      </c>
    </row>
    <row r="759" spans="1:5">
      <c r="A759" s="3">
        <v>45970</v>
      </c>
      <c r="C759" s="4">
        <f t="shared" si="0"/>
        <v>1868.8459066542</v>
      </c>
      <c r="D759" s="4">
        <f t="shared" si="1"/>
        <v>488.53002630402102</v>
      </c>
      <c r="E759" s="4">
        <f t="shared" si="2"/>
        <v>3249.1617870043901</v>
      </c>
    </row>
    <row r="760" spans="1:5">
      <c r="A760" s="3">
        <v>45971</v>
      </c>
      <c r="C760" s="4">
        <f t="shared" si="0"/>
        <v>1776.81800232712</v>
      </c>
      <c r="D760" s="4">
        <f t="shared" si="1"/>
        <v>380.95232983085498</v>
      </c>
      <c r="E760" s="4">
        <f t="shared" si="2"/>
        <v>3172.68367482338</v>
      </c>
    </row>
    <row r="761" spans="1:5">
      <c r="A761" s="3">
        <v>45972</v>
      </c>
      <c r="C761" s="4">
        <f t="shared" si="0"/>
        <v>1925.6068963416601</v>
      </c>
      <c r="D761" s="4">
        <f t="shared" si="1"/>
        <v>529.15453390904599</v>
      </c>
      <c r="E761" s="4">
        <f t="shared" si="2"/>
        <v>3322.0592587742799</v>
      </c>
    </row>
    <row r="762" spans="1:5">
      <c r="A762" s="3">
        <v>45973</v>
      </c>
      <c r="C762" s="4">
        <f t="shared" si="0"/>
        <v>1925.75510358989</v>
      </c>
      <c r="D762" s="4">
        <f t="shared" si="1"/>
        <v>528.676558669673</v>
      </c>
      <c r="E762" s="4">
        <f t="shared" si="2"/>
        <v>3322.8336485101099</v>
      </c>
    </row>
    <row r="763" spans="1:5">
      <c r="A763" s="3">
        <v>45974</v>
      </c>
      <c r="C763" s="4">
        <f t="shared" si="0"/>
        <v>1806.5571485001301</v>
      </c>
      <c r="D763" s="4">
        <f t="shared" si="1"/>
        <v>408.81167934222202</v>
      </c>
      <c r="E763" s="4">
        <f t="shared" si="2"/>
        <v>3204.3026176580402</v>
      </c>
    </row>
    <row r="764" spans="1:5">
      <c r="A764" s="3">
        <v>45975</v>
      </c>
      <c r="C764" s="4">
        <f t="shared" si="0"/>
        <v>1982.30914804908</v>
      </c>
      <c r="D764" s="4">
        <f t="shared" si="1"/>
        <v>583.85476957669403</v>
      </c>
      <c r="E764" s="4">
        <f t="shared" si="2"/>
        <v>3380.7635265214699</v>
      </c>
    </row>
    <row r="765" spans="1:5">
      <c r="A765" s="3">
        <v>45976</v>
      </c>
      <c r="C765" s="4">
        <f t="shared" ref="C765:C796" si="3">_xlfn.FORECAST.ETS(A765,$B$2:$B$732,$A$2:$A$732,1,1)</f>
        <v>1864.1224688818099</v>
      </c>
      <c r="D765" s="4">
        <f t="shared" ref="D765:D796" si="4">C765-_xlfn.FORECAST.ETS.CONFINT(A765,$B$2:$B$732,$A$2:$A$732,0.95,1,1)</f>
        <v>464.91595891712399</v>
      </c>
      <c r="E765" s="4">
        <f t="shared" ref="E765:E796" si="5">C765+_xlfn.FORECAST.ETS.CONFINT(A765,$B$2:$B$732,$A$2:$A$732,0.95,1,1)</f>
        <v>3263.3289788464999</v>
      </c>
    </row>
    <row r="766" spans="1:5">
      <c r="A766" s="3">
        <v>45977</v>
      </c>
      <c r="C766" s="4">
        <f t="shared" si="3"/>
        <v>1723.6244075255199</v>
      </c>
      <c r="D766" s="4">
        <f t="shared" si="4"/>
        <v>323.621313376042</v>
      </c>
      <c r="E766" s="4">
        <f t="shared" si="5"/>
        <v>3123.6275016749901</v>
      </c>
    </row>
    <row r="767" spans="1:5">
      <c r="A767" s="3">
        <v>45978</v>
      </c>
      <c r="C767" s="4">
        <f t="shared" si="3"/>
        <v>1766.19556995162</v>
      </c>
      <c r="D767" s="4">
        <f t="shared" si="4"/>
        <v>365.350215363899</v>
      </c>
      <c r="E767" s="4">
        <f t="shared" si="5"/>
        <v>3167.0409245393298</v>
      </c>
    </row>
    <row r="768" spans="1:5">
      <c r="A768" s="3">
        <v>45979</v>
      </c>
      <c r="C768" s="4">
        <f t="shared" si="3"/>
        <v>1869.37054220561</v>
      </c>
      <c r="D768" s="4">
        <f t="shared" si="4"/>
        <v>467.63603469251501</v>
      </c>
      <c r="E768" s="4">
        <f t="shared" si="5"/>
        <v>3271.1050497186998</v>
      </c>
    </row>
    <row r="769" spans="1:5">
      <c r="A769" s="3">
        <v>45980</v>
      </c>
      <c r="C769" s="4">
        <f t="shared" si="3"/>
        <v>1777.34263787852</v>
      </c>
      <c r="D769" s="4">
        <f t="shared" si="4"/>
        <v>358.46214658919598</v>
      </c>
      <c r="E769" s="4">
        <f t="shared" si="5"/>
        <v>3196.2231291678399</v>
      </c>
    </row>
    <row r="770" spans="1:5">
      <c r="A770" s="3">
        <v>45981</v>
      </c>
      <c r="C770" s="4">
        <f t="shared" si="3"/>
        <v>1926.1315318930699</v>
      </c>
      <c r="D770" s="4">
        <f t="shared" si="4"/>
        <v>506.27574744667999</v>
      </c>
      <c r="E770" s="4">
        <f t="shared" si="5"/>
        <v>3345.98731633945</v>
      </c>
    </row>
    <row r="771" spans="1:5">
      <c r="A771" s="3">
        <v>45982</v>
      </c>
      <c r="C771" s="4">
        <f t="shared" si="3"/>
        <v>1926.2797391412901</v>
      </c>
      <c r="D771" s="4">
        <f t="shared" si="4"/>
        <v>505.39872778578302</v>
      </c>
      <c r="E771" s="4">
        <f t="shared" si="5"/>
        <v>3347.1607504968001</v>
      </c>
    </row>
    <row r="772" spans="1:5">
      <c r="A772" s="3">
        <v>45983</v>
      </c>
      <c r="C772" s="4">
        <f t="shared" si="3"/>
        <v>1807.0817840515299</v>
      </c>
      <c r="D772" s="4">
        <f t="shared" si="4"/>
        <v>385.12443993900001</v>
      </c>
      <c r="E772" s="4">
        <f t="shared" si="5"/>
        <v>3229.03912816406</v>
      </c>
    </row>
    <row r="773" spans="1:5">
      <c r="A773" s="3">
        <v>45984</v>
      </c>
      <c r="C773" s="4">
        <f t="shared" si="3"/>
        <v>1982.8337836004901</v>
      </c>
      <c r="D773" s="4">
        <f t="shared" si="4"/>
        <v>559.74783775591095</v>
      </c>
      <c r="E773" s="4">
        <f t="shared" si="5"/>
        <v>3405.9197294450601</v>
      </c>
    </row>
    <row r="774" spans="1:5">
      <c r="A774" s="3">
        <v>45985</v>
      </c>
      <c r="C774" s="4">
        <f t="shared" si="3"/>
        <v>1864.64710443321</v>
      </c>
      <c r="D774" s="4">
        <f t="shared" si="4"/>
        <v>440.379134111349</v>
      </c>
      <c r="E774" s="4">
        <f t="shared" si="5"/>
        <v>3288.9150747550798</v>
      </c>
    </row>
    <row r="775" spans="1:5">
      <c r="A775" s="3">
        <v>45986</v>
      </c>
      <c r="C775" s="4">
        <f t="shared" si="3"/>
        <v>1724.14904307692</v>
      </c>
      <c r="D775" s="4">
        <f t="shared" si="4"/>
        <v>298.644481509836</v>
      </c>
      <c r="E775" s="4">
        <f t="shared" si="5"/>
        <v>3149.6536046440001</v>
      </c>
    </row>
    <row r="776" spans="1:5">
      <c r="A776" s="3">
        <v>45987</v>
      </c>
      <c r="C776" s="4">
        <f t="shared" si="3"/>
        <v>1766.72020550302</v>
      </c>
      <c r="D776" s="4">
        <f t="shared" si="4"/>
        <v>339.92335204016302</v>
      </c>
      <c r="E776" s="4">
        <f t="shared" si="5"/>
        <v>3193.5170589658701</v>
      </c>
    </row>
    <row r="777" spans="1:5">
      <c r="A777" s="3">
        <v>45988</v>
      </c>
      <c r="C777" s="4">
        <f t="shared" si="3"/>
        <v>1869.8951777570101</v>
      </c>
      <c r="D777" s="4">
        <f t="shared" si="4"/>
        <v>441.74920839906201</v>
      </c>
      <c r="E777" s="4">
        <f t="shared" si="5"/>
        <v>3298.04114711495</v>
      </c>
    </row>
    <row r="778" spans="1:5">
      <c r="A778" s="3">
        <v>45989</v>
      </c>
      <c r="C778" s="4">
        <f t="shared" si="3"/>
        <v>1777.86727342992</v>
      </c>
      <c r="D778" s="4">
        <f t="shared" si="4"/>
        <v>330.99091997605098</v>
      </c>
      <c r="E778" s="4">
        <f t="shared" si="5"/>
        <v>3224.7436268837901</v>
      </c>
    </row>
    <row r="779" spans="1:5">
      <c r="A779" s="3">
        <v>45990</v>
      </c>
      <c r="C779" s="4">
        <f t="shared" si="3"/>
        <v>1926.6561674444699</v>
      </c>
      <c r="D779" s="4">
        <f t="shared" si="4"/>
        <v>478.331259869213</v>
      </c>
      <c r="E779" s="4">
        <f t="shared" si="5"/>
        <v>3374.9810750197198</v>
      </c>
    </row>
    <row r="780" spans="1:5">
      <c r="A780" s="3">
        <v>45991</v>
      </c>
      <c r="C780" s="4">
        <f t="shared" si="3"/>
        <v>1926.8043746926901</v>
      </c>
      <c r="D780" s="4">
        <f t="shared" si="4"/>
        <v>476.97146781689298</v>
      </c>
      <c r="E780" s="4">
        <f t="shared" si="5"/>
        <v>3376.6372815684899</v>
      </c>
    </row>
    <row r="781" spans="1:5">
      <c r="A781" s="3">
        <v>45992</v>
      </c>
      <c r="C781" s="4">
        <f t="shared" si="3"/>
        <v>1807.6064196029299</v>
      </c>
      <c r="D781" s="4">
        <f t="shared" si="4"/>
        <v>356.20499940419199</v>
      </c>
      <c r="E781" s="4">
        <f t="shared" si="5"/>
        <v>3259.0078398016699</v>
      </c>
    </row>
    <row r="782" spans="1:5">
      <c r="A782" s="3">
        <v>45993</v>
      </c>
      <c r="C782" s="4">
        <f t="shared" si="3"/>
        <v>1983.3584191518901</v>
      </c>
      <c r="D782" s="4">
        <f t="shared" si="4"/>
        <v>530.326914852139</v>
      </c>
      <c r="E782" s="4">
        <f t="shared" si="5"/>
        <v>3436.3899234516298</v>
      </c>
    </row>
    <row r="783" spans="1:5">
      <c r="A783" s="3">
        <v>45994</v>
      </c>
      <c r="C783" s="4">
        <f t="shared" si="3"/>
        <v>1865.17173998461</v>
      </c>
      <c r="D783" s="4">
        <f t="shared" si="4"/>
        <v>410.447536515899</v>
      </c>
      <c r="E783" s="4">
        <f t="shared" si="5"/>
        <v>3319.8959434533299</v>
      </c>
    </row>
    <row r="784" spans="1:5">
      <c r="A784" s="3">
        <v>45995</v>
      </c>
      <c r="C784" s="4">
        <f t="shared" si="3"/>
        <v>1724.67367862832</v>
      </c>
      <c r="D784" s="4">
        <f t="shared" si="4"/>
        <v>268.19312947396298</v>
      </c>
      <c r="E784" s="4">
        <f t="shared" si="5"/>
        <v>3181.1542277826802</v>
      </c>
    </row>
    <row r="785" spans="1:5">
      <c r="A785" s="3">
        <v>45996</v>
      </c>
      <c r="C785" s="4">
        <f t="shared" si="3"/>
        <v>1767.24484105442</v>
      </c>
      <c r="D785" s="4">
        <f t="shared" si="4"/>
        <v>308.94328146215997</v>
      </c>
      <c r="E785" s="4">
        <f t="shared" si="5"/>
        <v>3225.54640064668</v>
      </c>
    </row>
    <row r="786" spans="1:5">
      <c r="A786" s="3">
        <v>45997</v>
      </c>
      <c r="C786" s="4">
        <f t="shared" si="3"/>
        <v>1870.4198133084101</v>
      </c>
      <c r="D786" s="4">
        <f t="shared" si="4"/>
        <v>410.23157387139901</v>
      </c>
      <c r="E786" s="4">
        <f t="shared" si="5"/>
        <v>3330.6080527454201</v>
      </c>
    </row>
    <row r="787" spans="1:5">
      <c r="A787" s="3">
        <v>45998</v>
      </c>
      <c r="C787" s="4">
        <f t="shared" si="3"/>
        <v>1778.3919089813201</v>
      </c>
      <c r="D787" s="4">
        <f t="shared" si="4"/>
        <v>297.92478646790198</v>
      </c>
      <c r="E787" s="4">
        <f t="shared" si="5"/>
        <v>3258.8590314947401</v>
      </c>
    </row>
    <row r="788" spans="1:5">
      <c r="A788" s="3">
        <v>45999</v>
      </c>
      <c r="C788" s="4">
        <f t="shared" si="3"/>
        <v>1927.18080299587</v>
      </c>
      <c r="D788" s="4">
        <f t="shared" si="4"/>
        <v>444.71768618763798</v>
      </c>
      <c r="E788" s="4">
        <f t="shared" si="5"/>
        <v>3409.6439198040998</v>
      </c>
    </row>
    <row r="789" spans="1:5">
      <c r="A789" s="3">
        <v>46000</v>
      </c>
      <c r="C789" s="4">
        <f t="shared" si="3"/>
        <v>1927.3290102440899</v>
      </c>
      <c r="D789" s="4">
        <f t="shared" si="4"/>
        <v>442.802077754707</v>
      </c>
      <c r="E789" s="4">
        <f t="shared" si="5"/>
        <v>3411.8559427334799</v>
      </c>
    </row>
    <row r="790" spans="1:5">
      <c r="A790" s="3">
        <v>46001</v>
      </c>
      <c r="C790" s="4">
        <f t="shared" si="3"/>
        <v>1808.1310551543299</v>
      </c>
      <c r="D790" s="4">
        <f t="shared" si="4"/>
        <v>321.47154366165398</v>
      </c>
      <c r="E790" s="4">
        <f t="shared" si="5"/>
        <v>3294.7905666470101</v>
      </c>
    </row>
    <row r="791" spans="1:5">
      <c r="A791" s="3">
        <v>46002</v>
      </c>
      <c r="C791" s="4">
        <f t="shared" si="3"/>
        <v>1983.8830547032901</v>
      </c>
      <c r="D791" s="4">
        <f t="shared" si="4"/>
        <v>495.021273787263</v>
      </c>
      <c r="E791" s="4">
        <f t="shared" si="5"/>
        <v>3472.7448356193099</v>
      </c>
    </row>
    <row r="792" spans="1:5">
      <c r="A792" s="3">
        <v>46003</v>
      </c>
      <c r="C792" s="4">
        <f t="shared" si="3"/>
        <v>1865.69637553602</v>
      </c>
      <c r="D792" s="4">
        <f t="shared" si="4"/>
        <v>374.56172284080799</v>
      </c>
      <c r="E792" s="4">
        <f t="shared" si="5"/>
        <v>3356.83102823122</v>
      </c>
    </row>
    <row r="793" spans="1:5">
      <c r="A793" s="3">
        <v>46004</v>
      </c>
      <c r="C793" s="4">
        <f t="shared" si="3"/>
        <v>1725.19831417972</v>
      </c>
      <c r="D793" s="4">
        <f t="shared" si="4"/>
        <v>231.719290892326</v>
      </c>
      <c r="E793" s="4">
        <f t="shared" si="5"/>
        <v>3218.6773374671202</v>
      </c>
    </row>
    <row r="794" spans="1:5">
      <c r="A794" s="3">
        <v>46005</v>
      </c>
      <c r="C794" s="4">
        <f t="shared" si="3"/>
        <v>1767.76947660582</v>
      </c>
      <c r="D794" s="4">
        <f t="shared" si="4"/>
        <v>271.873703242837</v>
      </c>
      <c r="E794" s="4">
        <f t="shared" si="5"/>
        <v>3263.6652499687998</v>
      </c>
    </row>
    <row r="795" spans="1:5">
      <c r="A795" s="3">
        <v>46006</v>
      </c>
      <c r="C795" s="4">
        <f t="shared" si="3"/>
        <v>1870.9444488598101</v>
      </c>
      <c r="D795" s="4">
        <f t="shared" si="4"/>
        <v>372.55868135348697</v>
      </c>
      <c r="E795" s="4">
        <f t="shared" si="5"/>
        <v>3369.3302163661301</v>
      </c>
    </row>
    <row r="796" spans="1:5">
      <c r="A796" s="3">
        <v>46007</v>
      </c>
      <c r="C796" s="4">
        <f t="shared" si="3"/>
        <v>1778.9165445327201</v>
      </c>
      <c r="D796" s="4">
        <f t="shared" si="4"/>
        <v>258.76164161619801</v>
      </c>
      <c r="E796" s="4">
        <f t="shared" si="5"/>
        <v>3299.0714474492502</v>
      </c>
    </row>
    <row r="797" spans="1:5">
      <c r="A797" s="3">
        <v>46008</v>
      </c>
      <c r="C797" s="4">
        <f t="shared" ref="C797:C828" si="6">_xlfn.FORECAST.ETS(A797,$B$2:$B$732,$A$2:$A$732,1,1)</f>
        <v>1927.70543854727</v>
      </c>
      <c r="D797" s="4">
        <f t="shared" ref="D797:D828" si="7">C797-_xlfn.FORECAST.ETS.CONFINT(A797,$B$2:$B$732,$A$2:$A$732,0.95,1,1)</f>
        <v>404.94480820194201</v>
      </c>
      <c r="E797" s="4">
        <f t="shared" ref="E797:E828" si="8">C797+_xlfn.FORECAST.ETS.CONFINT(A797,$B$2:$B$732,$A$2:$A$732,0.95,1,1)</f>
        <v>3450.4660688926001</v>
      </c>
    </row>
    <row r="798" spans="1:5">
      <c r="A798" s="3">
        <v>46009</v>
      </c>
      <c r="C798" s="4">
        <f t="shared" si="6"/>
        <v>1927.8536457954999</v>
      </c>
      <c r="D798" s="4">
        <f t="shared" si="7"/>
        <v>402.41238536229901</v>
      </c>
      <c r="E798" s="4">
        <f t="shared" si="8"/>
        <v>3453.2949062286898</v>
      </c>
    </row>
    <row r="799" spans="1:5">
      <c r="A799" s="3">
        <v>46010</v>
      </c>
      <c r="C799" s="4">
        <f t="shared" si="6"/>
        <v>1808.65569070574</v>
      </c>
      <c r="D799" s="4">
        <f t="shared" si="7"/>
        <v>280.45810057942202</v>
      </c>
      <c r="E799" s="4">
        <f t="shared" si="8"/>
        <v>3336.8532808320501</v>
      </c>
    </row>
    <row r="800" spans="1:5">
      <c r="A800" s="3">
        <v>46011</v>
      </c>
      <c r="C800" s="4">
        <f t="shared" si="6"/>
        <v>1984.4076902546899</v>
      </c>
      <c r="D800" s="4">
        <f t="shared" si="7"/>
        <v>453.37729077301702</v>
      </c>
      <c r="E800" s="4">
        <f t="shared" si="8"/>
        <v>3515.4380897363599</v>
      </c>
    </row>
    <row r="801" spans="1:5">
      <c r="A801" s="3">
        <v>46012</v>
      </c>
      <c r="C801" s="4">
        <f t="shared" si="6"/>
        <v>1866.22101108742</v>
      </c>
      <c r="D801" s="4">
        <f t="shared" si="7"/>
        <v>332.28055965548901</v>
      </c>
      <c r="E801" s="4">
        <f t="shared" si="8"/>
        <v>3400.1614625193502</v>
      </c>
    </row>
    <row r="802" spans="1:5">
      <c r="A802" s="3">
        <v>46013</v>
      </c>
      <c r="C802" s="4">
        <f t="shared" si="6"/>
        <v>1725.72294973112</v>
      </c>
      <c r="D802" s="4">
        <f t="shared" si="7"/>
        <v>188.79445816941001</v>
      </c>
      <c r="E802" s="4">
        <f t="shared" si="8"/>
        <v>3262.65144129284</v>
      </c>
    </row>
    <row r="803" spans="1:5">
      <c r="A803" s="3">
        <v>46014</v>
      </c>
      <c r="C803" s="4">
        <f t="shared" si="6"/>
        <v>1768.2941121572201</v>
      </c>
      <c r="D803" s="4">
        <f t="shared" si="7"/>
        <v>228.29886426140601</v>
      </c>
      <c r="E803" s="4">
        <f t="shared" si="8"/>
        <v>3308.2893600530401</v>
      </c>
    </row>
    <row r="804" spans="1:5">
      <c r="A804" s="3">
        <v>46015</v>
      </c>
      <c r="C804" s="4">
        <f t="shared" si="6"/>
        <v>1871.4690844112099</v>
      </c>
      <c r="D804" s="4">
        <f t="shared" si="7"/>
        <v>328.32765371163498</v>
      </c>
      <c r="E804" s="4">
        <f t="shared" si="8"/>
        <v>3414.6105151107799</v>
      </c>
    </row>
    <row r="805" spans="1:5">
      <c r="A805" s="3">
        <v>46016</v>
      </c>
      <c r="C805" s="4">
        <f t="shared" si="6"/>
        <v>1779.4411800841201</v>
      </c>
      <c r="D805" s="4">
        <f t="shared" si="7"/>
        <v>213.117717142949</v>
      </c>
      <c r="E805" s="4">
        <f t="shared" si="8"/>
        <v>3345.7646430252998</v>
      </c>
    </row>
    <row r="806" spans="1:5">
      <c r="A806" s="3">
        <v>46017</v>
      </c>
      <c r="C806" s="4">
        <f t="shared" si="6"/>
        <v>1928.23007409867</v>
      </c>
      <c r="D806" s="4">
        <f t="shared" si="7"/>
        <v>358.64156237855701</v>
      </c>
      <c r="E806" s="4">
        <f t="shared" si="8"/>
        <v>3497.8185858187799</v>
      </c>
    </row>
    <row r="807" spans="1:5">
      <c r="A807" s="3">
        <v>46018</v>
      </c>
      <c r="C807" s="4">
        <f t="shared" si="6"/>
        <v>1928.3782813468999</v>
      </c>
      <c r="D807" s="4">
        <f t="shared" si="7"/>
        <v>355.44412524910803</v>
      </c>
      <c r="E807" s="4">
        <f t="shared" si="8"/>
        <v>3501.3124374446902</v>
      </c>
    </row>
    <row r="808" spans="1:5">
      <c r="A808" s="3">
        <v>46019</v>
      </c>
      <c r="C808" s="4">
        <f t="shared" si="6"/>
        <v>1809.18032625714</v>
      </c>
      <c r="D808" s="4">
        <f t="shared" si="7"/>
        <v>232.81928863101601</v>
      </c>
      <c r="E808" s="4">
        <f t="shared" si="8"/>
        <v>3385.5413638832601</v>
      </c>
    </row>
    <row r="809" spans="1:5">
      <c r="A809" s="3">
        <v>46020</v>
      </c>
      <c r="C809" s="4">
        <f t="shared" si="6"/>
        <v>1984.9323258060899</v>
      </c>
      <c r="D809" s="4">
        <f t="shared" si="7"/>
        <v>405.06254598136599</v>
      </c>
      <c r="E809" s="4">
        <f t="shared" si="8"/>
        <v>3564.8021056308198</v>
      </c>
    </row>
    <row r="810" spans="1:5">
      <c r="A810" s="3">
        <v>46021</v>
      </c>
      <c r="C810" s="4">
        <f t="shared" si="6"/>
        <v>1866.7456466388201</v>
      </c>
      <c r="D810" s="4">
        <f t="shared" si="7"/>
        <v>283.28465858385698</v>
      </c>
      <c r="E810" s="4">
        <f t="shared" si="8"/>
        <v>3450.20663469378</v>
      </c>
    </row>
    <row r="811" spans="1:5">
      <c r="A811" s="3">
        <v>46022</v>
      </c>
      <c r="C811" s="4">
        <f t="shared" si="6"/>
        <v>1726.24758528252</v>
      </c>
      <c r="D811" s="4">
        <f t="shared" si="7"/>
        <v>139.11233587522599</v>
      </c>
      <c r="E811" s="4">
        <f t="shared" si="8"/>
        <v>3313.3828346898199</v>
      </c>
    </row>
    <row r="812" spans="1:5">
      <c r="A812" s="3">
        <v>46023</v>
      </c>
      <c r="C812" s="4">
        <f t="shared" si="6"/>
        <v>1768.8187477086201</v>
      </c>
      <c r="D812" s="4">
        <f t="shared" si="7"/>
        <v>177.925615106468</v>
      </c>
      <c r="E812" s="4">
        <f t="shared" si="8"/>
        <v>3359.7118803107801</v>
      </c>
    </row>
    <row r="813" spans="1:5">
      <c r="A813" s="3">
        <v>46024</v>
      </c>
      <c r="C813" s="4">
        <f t="shared" si="6"/>
        <v>1871.9937199626099</v>
      </c>
      <c r="D813" s="4">
        <f t="shared" si="7"/>
        <v>277.25853205825598</v>
      </c>
      <c r="E813" s="4">
        <f t="shared" si="8"/>
        <v>3466.7289078669701</v>
      </c>
    </row>
    <row r="814" spans="1:5">
      <c r="A814" s="3">
        <v>46025</v>
      </c>
      <c r="C814" s="4">
        <f t="shared" si="6"/>
        <v>1779.9658156355299</v>
      </c>
      <c r="D814" s="4">
        <f t="shared" si="7"/>
        <v>160.72784354435001</v>
      </c>
      <c r="E814" s="4">
        <f t="shared" si="8"/>
        <v>3399.2037877266998</v>
      </c>
    </row>
    <row r="815" spans="1:5">
      <c r="A815" s="3">
        <v>46026</v>
      </c>
      <c r="C815" s="4">
        <f t="shared" si="6"/>
        <v>1928.75470965007</v>
      </c>
      <c r="D815" s="4">
        <f t="shared" si="7"/>
        <v>305.55561730154602</v>
      </c>
      <c r="E815" s="4">
        <f t="shared" si="8"/>
        <v>3551.9538019985998</v>
      </c>
    </row>
    <row r="816" spans="1:5">
      <c r="A816" s="3">
        <v>46027</v>
      </c>
      <c r="C816" s="4">
        <f t="shared" si="6"/>
        <v>1928.9029168983</v>
      </c>
      <c r="D816" s="4">
        <f t="shared" si="7"/>
        <v>301.65782203102702</v>
      </c>
      <c r="E816" s="4">
        <f t="shared" si="8"/>
        <v>3556.1480117655701</v>
      </c>
    </row>
    <row r="817" spans="1:5">
      <c r="A817" s="3">
        <v>46028</v>
      </c>
      <c r="C817" s="4">
        <f t="shared" si="6"/>
        <v>1809.70496180854</v>
      </c>
      <c r="D817" s="4">
        <f t="shared" si="7"/>
        <v>178.32849793906999</v>
      </c>
      <c r="E817" s="4">
        <f t="shared" si="8"/>
        <v>3441.08142567801</v>
      </c>
    </row>
    <row r="818" spans="1:5">
      <c r="A818" s="3">
        <v>46029</v>
      </c>
      <c r="C818" s="4">
        <f t="shared" si="6"/>
        <v>1985.4569613574899</v>
      </c>
      <c r="D818" s="4">
        <f t="shared" si="7"/>
        <v>349.86329598892002</v>
      </c>
      <c r="E818" s="4">
        <f t="shared" si="8"/>
        <v>3621.0506267260598</v>
      </c>
    </row>
    <row r="819" spans="1:5">
      <c r="A819" s="3">
        <v>46030</v>
      </c>
      <c r="C819" s="4">
        <f t="shared" si="6"/>
        <v>1867.2702821902201</v>
      </c>
      <c r="D819" s="4">
        <f t="shared" si="7"/>
        <v>227.37313503464401</v>
      </c>
      <c r="E819" s="4">
        <f t="shared" si="8"/>
        <v>3507.1674293458</v>
      </c>
    </row>
    <row r="820" spans="1:5">
      <c r="A820" s="3">
        <v>46031</v>
      </c>
      <c r="C820" s="4">
        <f t="shared" si="6"/>
        <v>1726.7722208339301</v>
      </c>
      <c r="D820" s="4">
        <f t="shared" si="7"/>
        <v>82.484882035563302</v>
      </c>
      <c r="E820" s="4">
        <f t="shared" si="8"/>
        <v>3371.0595596322901</v>
      </c>
    </row>
    <row r="821" spans="1:5">
      <c r="A821" s="3">
        <v>46032</v>
      </c>
      <c r="C821" s="4">
        <f t="shared" si="6"/>
        <v>1769.3433832600199</v>
      </c>
      <c r="D821" s="4">
        <f t="shared" si="7"/>
        <v>120.578731605833</v>
      </c>
      <c r="E821" s="4">
        <f t="shared" si="8"/>
        <v>3418.1080349142098</v>
      </c>
    </row>
    <row r="822" spans="1:5">
      <c r="A822" s="3">
        <v>46033</v>
      </c>
      <c r="C822" s="4">
        <f t="shared" si="6"/>
        <v>1872.51835551401</v>
      </c>
      <c r="D822" s="4">
        <f t="shared" si="7"/>
        <v>219.18887661875999</v>
      </c>
      <c r="E822" s="4">
        <f t="shared" si="8"/>
        <v>3525.84783440927</v>
      </c>
    </row>
    <row r="823" spans="1:5">
      <c r="A823" s="3">
        <v>46034</v>
      </c>
      <c r="C823" s="4">
        <f t="shared" si="6"/>
        <v>1780.4904511869299</v>
      </c>
      <c r="D823" s="4">
        <f t="shared" si="7"/>
        <v>101.439495352357</v>
      </c>
      <c r="E823" s="4">
        <f t="shared" si="8"/>
        <v>3459.5414070215002</v>
      </c>
    </row>
    <row r="824" spans="1:5">
      <c r="A824" s="3">
        <v>46035</v>
      </c>
      <c r="C824" s="4">
        <f t="shared" si="6"/>
        <v>1929.2793452014701</v>
      </c>
      <c r="D824" s="4">
        <f t="shared" si="7"/>
        <v>245.54674960211</v>
      </c>
      <c r="E824" s="4">
        <f t="shared" si="8"/>
        <v>3613.01194080083</v>
      </c>
    </row>
    <row r="825" spans="1:5">
      <c r="A825" s="3">
        <v>46036</v>
      </c>
      <c r="C825" s="4">
        <f t="shared" si="6"/>
        <v>1929.4275524497</v>
      </c>
      <c r="D825" s="4">
        <f t="shared" si="7"/>
        <v>240.925499917416</v>
      </c>
      <c r="E825" s="4">
        <f t="shared" si="8"/>
        <v>3617.92960498198</v>
      </c>
    </row>
    <row r="826" spans="1:5">
      <c r="A826" s="3">
        <v>46037</v>
      </c>
      <c r="C826" s="4">
        <f t="shared" si="6"/>
        <v>1810.22959735994</v>
      </c>
      <c r="D826" s="4">
        <f t="shared" si="7"/>
        <v>116.86993782076</v>
      </c>
      <c r="E826" s="4">
        <f t="shared" si="8"/>
        <v>3503.5892568991198</v>
      </c>
    </row>
    <row r="827" spans="1:5">
      <c r="A827" s="3">
        <v>46038</v>
      </c>
      <c r="C827" s="4">
        <f t="shared" si="6"/>
        <v>1985.98159690889</v>
      </c>
      <c r="D827" s="4">
        <f t="shared" si="7"/>
        <v>287.675864883516</v>
      </c>
      <c r="E827" s="4">
        <f t="shared" si="8"/>
        <v>3684.2873289342701</v>
      </c>
    </row>
    <row r="828" spans="1:5">
      <c r="A828" s="3">
        <v>46039</v>
      </c>
      <c r="C828" s="4">
        <f t="shared" si="6"/>
        <v>1867.7949177416201</v>
      </c>
      <c r="D828" s="4">
        <f t="shared" si="7"/>
        <v>164.454349759894</v>
      </c>
      <c r="E828" s="4">
        <f t="shared" si="8"/>
        <v>3571.13548572335</v>
      </c>
    </row>
    <row r="829" spans="1:5">
      <c r="A829" s="3">
        <v>46040</v>
      </c>
      <c r="C829" s="4">
        <f t="shared" ref="C829:C860" si="9">_xlfn.FORECAST.ETS(A829,$B$2:$B$732,$A$2:$A$732,1,1)</f>
        <v>1727.2968563853301</v>
      </c>
      <c r="D829" s="4">
        <f t="shared" ref="D829:D860" si="10">C829-_xlfn.FORECAST.ETS.CONFINT(A829,$B$2:$B$732,$A$2:$A$732,0.95,1,1)</f>
        <v>18.832408303195098</v>
      </c>
      <c r="E829" s="4">
        <f t="shared" ref="E829:E860" si="11">C829+_xlfn.FORECAST.ETS.CONFINT(A829,$B$2:$B$732,$A$2:$A$732,0.95,1,1)</f>
        <v>3435.7613044674599</v>
      </c>
    </row>
    <row r="830" spans="1:5">
      <c r="A830" s="3">
        <v>46041</v>
      </c>
      <c r="C830" s="4">
        <f t="shared" si="9"/>
        <v>1769.8680188114299</v>
      </c>
      <c r="D830" s="4">
        <f t="shared" si="10"/>
        <v>56.190383019087001</v>
      </c>
      <c r="E830" s="4">
        <f t="shared" si="11"/>
        <v>3483.5456546037599</v>
      </c>
    </row>
    <row r="831" spans="1:5">
      <c r="A831" s="3">
        <v>46042</v>
      </c>
      <c r="C831" s="4">
        <f t="shared" si="9"/>
        <v>1873.04299106541</v>
      </c>
      <c r="D831" s="4">
        <f t="shared" si="10"/>
        <v>154.062613575672</v>
      </c>
      <c r="E831" s="4">
        <f t="shared" si="11"/>
        <v>3592.0233685551598</v>
      </c>
    </row>
    <row r="832" spans="1:5">
      <c r="A832" s="3">
        <v>46043</v>
      </c>
      <c r="C832" s="4">
        <f t="shared" si="9"/>
        <v>1781.01508673833</v>
      </c>
      <c r="D832" s="4">
        <f t="shared" si="10"/>
        <v>35.201631364793897</v>
      </c>
      <c r="E832" s="4">
        <f t="shared" si="11"/>
        <v>3526.8285421118599</v>
      </c>
    </row>
    <row r="833" spans="1:5">
      <c r="A833" s="3">
        <v>46044</v>
      </c>
      <c r="C833" s="4">
        <f t="shared" si="9"/>
        <v>1929.8039807528701</v>
      </c>
      <c r="D833" s="4">
        <f t="shared" si="10"/>
        <v>178.57512629268601</v>
      </c>
      <c r="E833" s="4">
        <f t="shared" si="11"/>
        <v>3681.03283521306</v>
      </c>
    </row>
    <row r="834" spans="1:5">
      <c r="A834" s="3">
        <v>46045</v>
      </c>
      <c r="C834" s="4">
        <f t="shared" si="9"/>
        <v>1929.9521880011</v>
      </c>
      <c r="D834" s="4">
        <f t="shared" si="10"/>
        <v>173.21841999594301</v>
      </c>
      <c r="E834" s="4">
        <f t="shared" si="11"/>
        <v>3686.6859560062599</v>
      </c>
    </row>
    <row r="835" spans="1:5">
      <c r="A835" s="3">
        <v>46046</v>
      </c>
      <c r="C835" s="4">
        <f t="shared" si="9"/>
        <v>1810.7542329113401</v>
      </c>
      <c r="D835" s="4">
        <f t="shared" si="10"/>
        <v>48.425842874455398</v>
      </c>
      <c r="E835" s="4">
        <f t="shared" si="11"/>
        <v>3573.08262294823</v>
      </c>
    </row>
    <row r="836" spans="1:5">
      <c r="A836" s="3">
        <v>46047</v>
      </c>
      <c r="C836" s="4">
        <f t="shared" si="9"/>
        <v>1986.50623246029</v>
      </c>
      <c r="D836" s="4">
        <f t="shared" si="10"/>
        <v>218.49333396806301</v>
      </c>
      <c r="E836" s="4">
        <f t="shared" si="11"/>
        <v>3754.5191309525298</v>
      </c>
    </row>
    <row r="837" spans="1:5">
      <c r="A837" s="3">
        <v>46048</v>
      </c>
      <c r="C837" s="4">
        <f t="shared" si="9"/>
        <v>1868.3195532930199</v>
      </c>
      <c r="D837" s="4">
        <f t="shared" si="10"/>
        <v>94.532097912851896</v>
      </c>
      <c r="E837" s="4">
        <f t="shared" si="11"/>
        <v>3642.1070086731902</v>
      </c>
    </row>
    <row r="838" spans="1:5">
      <c r="A838" s="3">
        <v>46049</v>
      </c>
      <c r="C838" s="4">
        <f t="shared" si="9"/>
        <v>1727.8214919367299</v>
      </c>
      <c r="D838" s="4">
        <f t="shared" si="10"/>
        <v>-51.830715017549402</v>
      </c>
      <c r="E838" s="4">
        <f t="shared" si="11"/>
        <v>3507.4736988910099</v>
      </c>
    </row>
    <row r="839" spans="1:5">
      <c r="A839" s="3">
        <v>46050</v>
      </c>
      <c r="C839" s="4">
        <f t="shared" si="9"/>
        <v>1770.3926543628299</v>
      </c>
      <c r="D839" s="4">
        <f t="shared" si="10"/>
        <v>-15.2146295308553</v>
      </c>
      <c r="E839" s="4">
        <f t="shared" si="11"/>
        <v>3555.9999382565102</v>
      </c>
    </row>
    <row r="840" spans="1:5">
      <c r="A840" s="3">
        <v>46051</v>
      </c>
      <c r="C840" s="4">
        <f t="shared" si="9"/>
        <v>1873.56762661682</v>
      </c>
      <c r="D840" s="4">
        <f t="shared" si="10"/>
        <v>81.914825124674294</v>
      </c>
      <c r="E840" s="4">
        <f t="shared" si="11"/>
        <v>3665.2204281089598</v>
      </c>
    </row>
    <row r="841" spans="1:5">
      <c r="A841" s="3">
        <v>46052</v>
      </c>
      <c r="C841" s="4">
        <f t="shared" si="9"/>
        <v>1781.53972228973</v>
      </c>
      <c r="D841" s="4">
        <f t="shared" si="10"/>
        <v>-37.950058007743998</v>
      </c>
      <c r="E841" s="4">
        <f t="shared" si="11"/>
        <v>3601.0295025872001</v>
      </c>
    </row>
    <row r="842" spans="1:5">
      <c r="A842" s="3">
        <v>46053</v>
      </c>
      <c r="C842" s="4">
        <f t="shared" si="9"/>
        <v>1930.3286163042801</v>
      </c>
      <c r="D842" s="4">
        <f t="shared" si="10"/>
        <v>104.686165178171</v>
      </c>
      <c r="E842" s="4">
        <f t="shared" si="11"/>
        <v>3755.9710674303801</v>
      </c>
    </row>
    <row r="843" spans="1:5">
      <c r="A843" s="3">
        <v>46054</v>
      </c>
      <c r="C843" s="4">
        <f t="shared" si="9"/>
        <v>1930.4768235525</v>
      </c>
      <c r="D843" s="4">
        <f t="shared" si="10"/>
        <v>98.591572281750402</v>
      </c>
      <c r="E843" s="4">
        <f t="shared" si="11"/>
        <v>3762.3620748232502</v>
      </c>
    </row>
    <row r="844" spans="1:5">
      <c r="A844" s="3">
        <v>46055</v>
      </c>
      <c r="C844" s="4">
        <f t="shared" si="9"/>
        <v>1811.2788684627401</v>
      </c>
      <c r="D844" s="4">
        <f t="shared" si="10"/>
        <v>-26.9393842252878</v>
      </c>
      <c r="E844" s="4">
        <f t="shared" si="11"/>
        <v>3649.49712115077</v>
      </c>
    </row>
    <row r="845" spans="1:5">
      <c r="A845" s="3">
        <v>46056</v>
      </c>
      <c r="C845" s="4">
        <f t="shared" si="9"/>
        <v>1987.0308680117</v>
      </c>
      <c r="D845" s="4">
        <f t="shared" si="10"/>
        <v>142.389354890552</v>
      </c>
      <c r="E845" s="4">
        <f t="shared" si="11"/>
        <v>3831.6723811328402</v>
      </c>
    </row>
    <row r="846" spans="1:5">
      <c r="A846" s="3">
        <v>46057</v>
      </c>
      <c r="C846" s="4">
        <f t="shared" si="9"/>
        <v>1868.8441888444199</v>
      </c>
      <c r="D846" s="4">
        <f t="shared" si="10"/>
        <v>17.6891125295422</v>
      </c>
      <c r="E846" s="4">
        <f t="shared" si="11"/>
        <v>3719.9992651593002</v>
      </c>
    </row>
    <row r="847" spans="1:5">
      <c r="A847" s="3">
        <v>46058</v>
      </c>
      <c r="C847" s="4">
        <f t="shared" si="9"/>
        <v>1728.3461274881299</v>
      </c>
      <c r="D847" s="4">
        <f t="shared" si="10"/>
        <v>-129.412844748222</v>
      </c>
      <c r="E847" s="4">
        <f t="shared" si="11"/>
        <v>3586.1050997244802</v>
      </c>
    </row>
    <row r="848" spans="1:5">
      <c r="A848" s="3">
        <v>46059</v>
      </c>
      <c r="C848" s="4">
        <f t="shared" si="9"/>
        <v>1770.91728991423</v>
      </c>
      <c r="D848" s="4">
        <f t="shared" si="10"/>
        <v>-93.535927386904902</v>
      </c>
      <c r="E848" s="4">
        <f t="shared" si="11"/>
        <v>3635.3705072153598</v>
      </c>
    </row>
    <row r="849" spans="1:5">
      <c r="A849" s="3">
        <v>46060</v>
      </c>
      <c r="C849" s="4">
        <f t="shared" si="9"/>
        <v>1874.09226216822</v>
      </c>
      <c r="D849" s="4">
        <f t="shared" si="10"/>
        <v>2.8544475637352198</v>
      </c>
      <c r="E849" s="4">
        <f t="shared" si="11"/>
        <v>3745.3300767727001</v>
      </c>
    </row>
    <row r="850" spans="1:5">
      <c r="A850" s="3">
        <v>46061</v>
      </c>
      <c r="C850" s="4">
        <f t="shared" si="9"/>
        <v>1782.06435784113</v>
      </c>
      <c r="D850" s="4">
        <f t="shared" si="10"/>
        <v>-117.90968291366499</v>
      </c>
      <c r="E850" s="4">
        <f t="shared" si="11"/>
        <v>3682.0383985959202</v>
      </c>
    </row>
    <row r="851" spans="1:5">
      <c r="A851" s="3">
        <v>46062</v>
      </c>
      <c r="C851" s="4">
        <f t="shared" si="9"/>
        <v>1930.8532518556799</v>
      </c>
      <c r="D851" s="4">
        <f t="shared" si="10"/>
        <v>23.993804023918301</v>
      </c>
      <c r="E851" s="4">
        <f t="shared" si="11"/>
        <v>3837.7126996874299</v>
      </c>
    </row>
    <row r="852" spans="1:5">
      <c r="A852" s="3">
        <v>46063</v>
      </c>
      <c r="C852" s="4">
        <f t="shared" si="9"/>
        <v>1931.0014591039001</v>
      </c>
      <c r="D852" s="4">
        <f t="shared" si="10"/>
        <v>17.166766072926698</v>
      </c>
      <c r="E852" s="4">
        <f t="shared" si="11"/>
        <v>3844.8361521348802</v>
      </c>
    </row>
    <row r="853" spans="1:5">
      <c r="A853" s="3">
        <v>46064</v>
      </c>
      <c r="C853" s="4">
        <f t="shared" si="9"/>
        <v>1811.8035040141399</v>
      </c>
      <c r="D853" s="4">
        <f t="shared" si="10"/>
        <v>-109.096241270097</v>
      </c>
      <c r="E853" s="4">
        <f t="shared" si="11"/>
        <v>3732.7032492983799</v>
      </c>
    </row>
    <row r="854" spans="1:5">
      <c r="A854" s="3">
        <v>46065</v>
      </c>
      <c r="C854" s="4">
        <f t="shared" si="9"/>
        <v>1987.5555035631</v>
      </c>
      <c r="D854" s="4">
        <f t="shared" si="10"/>
        <v>59.500942136669202</v>
      </c>
      <c r="E854" s="4">
        <f t="shared" si="11"/>
        <v>3915.6100649895302</v>
      </c>
    </row>
    <row r="855" spans="1:5">
      <c r="A855" s="3">
        <v>46066</v>
      </c>
      <c r="C855" s="4">
        <f t="shared" si="9"/>
        <v>1869.36882439582</v>
      </c>
      <c r="D855" s="4">
        <f t="shared" si="10"/>
        <v>-65.930262040510996</v>
      </c>
      <c r="E855" s="4">
        <f t="shared" si="11"/>
        <v>3804.66791083216</v>
      </c>
    </row>
    <row r="856" spans="1:5">
      <c r="A856" s="3">
        <v>46067</v>
      </c>
      <c r="C856" s="4">
        <f t="shared" si="9"/>
        <v>1728.8707630395299</v>
      </c>
      <c r="D856" s="4">
        <f t="shared" si="10"/>
        <v>-213.76249064089501</v>
      </c>
      <c r="E856" s="4">
        <f t="shared" si="11"/>
        <v>3671.50401671996</v>
      </c>
    </row>
    <row r="857" spans="1:5">
      <c r="A857" s="3">
        <v>46068</v>
      </c>
      <c r="C857" s="4">
        <f t="shared" si="9"/>
        <v>1771.44192546563</v>
      </c>
      <c r="D857" s="4">
        <f t="shared" si="10"/>
        <v>-178.61505969353701</v>
      </c>
      <c r="E857" s="4">
        <f t="shared" si="11"/>
        <v>3721.4989106247899</v>
      </c>
    </row>
    <row r="858" spans="1:5">
      <c r="A858" s="3">
        <v>46069</v>
      </c>
      <c r="C858" s="4">
        <f t="shared" si="9"/>
        <v>1874.6168977196201</v>
      </c>
      <c r="D858" s="4">
        <f t="shared" si="10"/>
        <v>-82.953294036030698</v>
      </c>
      <c r="E858" s="4">
        <f t="shared" si="11"/>
        <v>3832.1870894752701</v>
      </c>
    </row>
    <row r="859" spans="1:5">
      <c r="A859" s="3">
        <v>46070</v>
      </c>
      <c r="C859" s="4">
        <f t="shared" si="9"/>
        <v>1782.58899339253</v>
      </c>
      <c r="D859" s="4">
        <f t="shared" si="10"/>
        <v>-204.51780547130099</v>
      </c>
      <c r="E859" s="4">
        <f t="shared" si="11"/>
        <v>3769.6957922563602</v>
      </c>
    </row>
    <row r="860" spans="1:5">
      <c r="A860" s="3">
        <v>46071</v>
      </c>
      <c r="C860" s="4">
        <f t="shared" si="9"/>
        <v>1931.3778874070799</v>
      </c>
      <c r="D860" s="4">
        <f t="shared" si="10"/>
        <v>-63.336179398135101</v>
      </c>
      <c r="E860" s="4">
        <f t="shared" si="11"/>
        <v>3926.0919542122901</v>
      </c>
    </row>
    <row r="861" spans="1:5">
      <c r="A861" s="3">
        <v>46072</v>
      </c>
      <c r="C861" s="4">
        <f t="shared" ref="C861:C892" si="12">_xlfn.FORECAST.ETS(A861,$B$2:$B$732,$A$2:$A$732,1,1)</f>
        <v>1931.5260946553001</v>
      </c>
      <c r="D861" s="4">
        <f t="shared" ref="D861:D892" si="13">C861-_xlfn.FORECAST.ETS.CONFINT(A861,$B$2:$B$732,$A$2:$A$732,0.95,1,1)</f>
        <v>-70.884060944370702</v>
      </c>
      <c r="E861" s="4">
        <f t="shared" ref="E861:E892" si="14">C861+_xlfn.FORECAST.ETS.CONFINT(A861,$B$2:$B$732,$A$2:$A$732,0.95,1,1)</f>
        <v>3933.9362502549802</v>
      </c>
    </row>
    <row r="862" spans="1:5">
      <c r="A862" s="3">
        <v>46073</v>
      </c>
      <c r="C862" s="4">
        <f t="shared" si="12"/>
        <v>1812.3281395655399</v>
      </c>
      <c r="D862" s="4">
        <f t="shared" si="13"/>
        <v>-197.86681103128799</v>
      </c>
      <c r="E862" s="4">
        <f t="shared" si="14"/>
        <v>3822.52309016238</v>
      </c>
    </row>
    <row r="863" spans="1:5">
      <c r="A863" s="3">
        <v>46074</v>
      </c>
      <c r="C863" s="4">
        <f t="shared" si="12"/>
        <v>1988.0801391145001</v>
      </c>
      <c r="D863" s="4">
        <f t="shared" si="13"/>
        <v>-29.988188093278499</v>
      </c>
      <c r="E863" s="4">
        <f t="shared" si="14"/>
        <v>4006.14846632227</v>
      </c>
    </row>
    <row r="864" spans="1:5">
      <c r="A864" s="3">
        <v>46075</v>
      </c>
      <c r="C864" s="4">
        <f t="shared" si="12"/>
        <v>1869.89345994723</v>
      </c>
      <c r="D864" s="4">
        <f t="shared" si="13"/>
        <v>-156.136691203309</v>
      </c>
      <c r="E864" s="4">
        <f t="shared" si="14"/>
        <v>3895.9236110977599</v>
      </c>
    </row>
    <row r="865" spans="1:5">
      <c r="A865" s="3">
        <v>46076</v>
      </c>
      <c r="C865" s="4">
        <f t="shared" si="12"/>
        <v>1729.39539859093</v>
      </c>
      <c r="D865" s="4">
        <f t="shared" si="13"/>
        <v>-304.68488010515398</v>
      </c>
      <c r="E865" s="4">
        <f t="shared" si="14"/>
        <v>3763.4756772870201</v>
      </c>
    </row>
    <row r="866" spans="1:5">
      <c r="A866" s="3">
        <v>46077</v>
      </c>
      <c r="C866" s="4">
        <f t="shared" si="12"/>
        <v>1771.96656101703</v>
      </c>
      <c r="D866" s="4">
        <f t="shared" si="13"/>
        <v>-270.25199589768403</v>
      </c>
      <c r="E866" s="4">
        <f t="shared" si="14"/>
        <v>3814.18511793174</v>
      </c>
    </row>
    <row r="867" spans="1:5">
      <c r="A867" s="3">
        <v>46078</v>
      </c>
      <c r="C867" s="4">
        <f t="shared" si="12"/>
        <v>1875.1415332710201</v>
      </c>
      <c r="D867" s="4">
        <f t="shared" si="13"/>
        <v>-175.303290651396</v>
      </c>
      <c r="E867" s="4">
        <f t="shared" si="14"/>
        <v>3925.5863571934301</v>
      </c>
    </row>
    <row r="868" spans="1:5">
      <c r="A868" s="3">
        <v>46079</v>
      </c>
      <c r="C868" s="4">
        <f t="shared" si="12"/>
        <v>1783.1136289439301</v>
      </c>
      <c r="D868" s="4">
        <f t="shared" si="13"/>
        <v>-297.576931561246</v>
      </c>
      <c r="E868" s="4">
        <f t="shared" si="14"/>
        <v>3863.8041894491098</v>
      </c>
    </row>
    <row r="869" spans="1:5">
      <c r="A869" s="3">
        <v>46080</v>
      </c>
      <c r="C869" s="4">
        <f t="shared" si="12"/>
        <v>1931.9025229584799</v>
      </c>
      <c r="D869" s="4">
        <f t="shared" si="13"/>
        <v>-157.10155727973401</v>
      </c>
      <c r="E869" s="4">
        <f t="shared" si="14"/>
        <v>4020.90660319669</v>
      </c>
    </row>
    <row r="870" spans="1:5">
      <c r="A870" s="3">
        <v>46081</v>
      </c>
      <c r="C870" s="4">
        <f t="shared" si="12"/>
        <v>1932.0507302067101</v>
      </c>
      <c r="D870" s="4">
        <f t="shared" si="13"/>
        <v>-165.35411749071801</v>
      </c>
      <c r="E870" s="4">
        <f t="shared" si="14"/>
        <v>4029.4555779041302</v>
      </c>
    </row>
    <row r="871" spans="1:5">
      <c r="A871" s="3">
        <v>46082</v>
      </c>
      <c r="C871" s="4">
        <f t="shared" si="12"/>
        <v>1812.8527751169499</v>
      </c>
      <c r="D871" s="4">
        <f t="shared" si="13"/>
        <v>-293.03990798762499</v>
      </c>
      <c r="E871" s="4">
        <f t="shared" si="14"/>
        <v>3918.74545822152</v>
      </c>
    </row>
    <row r="872" spans="1:5">
      <c r="A872" s="3">
        <v>46083</v>
      </c>
      <c r="C872" s="4">
        <f t="shared" si="12"/>
        <v>1988.6047746659001</v>
      </c>
      <c r="D872" s="4">
        <f t="shared" si="13"/>
        <v>-125.86262413167999</v>
      </c>
      <c r="E872" s="4">
        <f t="shared" si="14"/>
        <v>4103.0721734634799</v>
      </c>
    </row>
    <row r="873" spans="1:5">
      <c r="A873" s="3">
        <v>46084</v>
      </c>
      <c r="C873" s="4">
        <f t="shared" si="12"/>
        <v>1870.41809549863</v>
      </c>
      <c r="D873" s="4">
        <f t="shared" si="13"/>
        <v>-252.710703966376</v>
      </c>
      <c r="E873" s="4">
        <f t="shared" si="14"/>
        <v>3993.5468949636302</v>
      </c>
    </row>
    <row r="874" spans="1:5">
      <c r="A874" s="3">
        <v>46085</v>
      </c>
      <c r="C874" s="4">
        <f t="shared" si="12"/>
        <v>1729.92003414233</v>
      </c>
      <c r="D874" s="4">
        <f t="shared" si="13"/>
        <v>-401.95664823702901</v>
      </c>
      <c r="E874" s="4">
        <f t="shared" si="14"/>
        <v>3861.7967165217001</v>
      </c>
    </row>
    <row r="875" spans="1:5">
      <c r="A875" s="3">
        <v>46086</v>
      </c>
      <c r="C875" s="4">
        <f t="shared" si="12"/>
        <v>1772.49119656843</v>
      </c>
      <c r="D875" s="4">
        <f t="shared" si="13"/>
        <v>-368.21964106073199</v>
      </c>
      <c r="E875" s="4">
        <f t="shared" si="14"/>
        <v>3913.2020341975899</v>
      </c>
    </row>
    <row r="876" spans="1:5">
      <c r="A876" s="3">
        <v>46087</v>
      </c>
      <c r="C876" s="4">
        <f t="shared" si="12"/>
        <v>1875.6661688224201</v>
      </c>
      <c r="D876" s="4">
        <f t="shared" si="13"/>
        <v>-273.96487952699601</v>
      </c>
      <c r="E876" s="4">
        <f t="shared" si="14"/>
        <v>4025.2972171718402</v>
      </c>
    </row>
    <row r="877" spans="1:5">
      <c r="A877" s="3">
        <v>46088</v>
      </c>
      <c r="C877" s="4">
        <f t="shared" si="12"/>
        <v>1783.6382644953301</v>
      </c>
      <c r="D877" s="4">
        <f t="shared" si="13"/>
        <v>-396.86502954429801</v>
      </c>
      <c r="E877" s="4">
        <f t="shared" si="14"/>
        <v>3964.14155853497</v>
      </c>
    </row>
    <row r="878" spans="1:5">
      <c r="A878" s="3">
        <v>46089</v>
      </c>
      <c r="C878" s="4">
        <f t="shared" si="12"/>
        <v>1932.42715850988</v>
      </c>
      <c r="D878" s="4">
        <f t="shared" si="13"/>
        <v>-257.07698511060897</v>
      </c>
      <c r="E878" s="4">
        <f t="shared" si="14"/>
        <v>4121.9313021303697</v>
      </c>
    </row>
    <row r="879" spans="1:5">
      <c r="A879" s="3">
        <v>46090</v>
      </c>
      <c r="C879" s="4">
        <f t="shared" si="12"/>
        <v>1932.5753657581099</v>
      </c>
      <c r="D879" s="4">
        <f t="shared" si="13"/>
        <v>-266.014898083454</v>
      </c>
      <c r="E879" s="4">
        <f t="shared" si="14"/>
        <v>4131.16562959967</v>
      </c>
    </row>
    <row r="880" spans="1:5">
      <c r="A880" s="3">
        <v>46091</v>
      </c>
      <c r="C880" s="4">
        <f t="shared" si="12"/>
        <v>1813.37741066835</v>
      </c>
      <c r="D880" s="4">
        <f t="shared" si="13"/>
        <v>-394.38401570912498</v>
      </c>
      <c r="E880" s="4">
        <f t="shared" si="14"/>
        <v>4021.1388370458199</v>
      </c>
    </row>
    <row r="881" spans="1:5">
      <c r="A881" s="3">
        <v>46092</v>
      </c>
      <c r="C881" s="4">
        <f t="shared" si="12"/>
        <v>1989.1294102172999</v>
      </c>
      <c r="D881" s="4">
        <f t="shared" si="13"/>
        <v>-227.88798665968099</v>
      </c>
      <c r="E881" s="4">
        <f t="shared" si="14"/>
        <v>4206.1468070942801</v>
      </c>
    </row>
    <row r="882" spans="1:5">
      <c r="A882" s="3">
        <v>46093</v>
      </c>
      <c r="C882" s="4">
        <f t="shared" si="12"/>
        <v>1870.94273105003</v>
      </c>
      <c r="D882" s="4">
        <f t="shared" si="13"/>
        <v>-355.41520412647202</v>
      </c>
      <c r="E882" s="4">
        <f t="shared" si="14"/>
        <v>4097.3006662265298</v>
      </c>
    </row>
    <row r="883" spans="1:5">
      <c r="A883" s="3">
        <v>46094</v>
      </c>
      <c r="C883" s="4">
        <f t="shared" si="12"/>
        <v>1730.44466969373</v>
      </c>
      <c r="D883" s="4">
        <f t="shared" si="13"/>
        <v>-505.33812581762299</v>
      </c>
      <c r="E883" s="4">
        <f t="shared" si="14"/>
        <v>3966.2274652050901</v>
      </c>
    </row>
    <row r="884" spans="1:5">
      <c r="A884" s="3">
        <v>46095</v>
      </c>
      <c r="C884" s="4">
        <f t="shared" si="12"/>
        <v>1773.0158321198301</v>
      </c>
      <c r="D884" s="4">
        <f t="shared" si="13"/>
        <v>-472.27589460490998</v>
      </c>
      <c r="E884" s="4">
        <f t="shared" si="14"/>
        <v>4018.3075588445799</v>
      </c>
    </row>
    <row r="885" spans="1:5">
      <c r="A885" s="3">
        <v>46096</v>
      </c>
      <c r="C885" s="4">
        <f t="shared" si="12"/>
        <v>1876.1908043738199</v>
      </c>
      <c r="D885" s="4">
        <f t="shared" si="13"/>
        <v>-378.69366810035001</v>
      </c>
      <c r="E885" s="4">
        <f t="shared" si="14"/>
        <v>4131.0752768479897</v>
      </c>
    </row>
    <row r="886" spans="1:5">
      <c r="A886" s="3">
        <v>46097</v>
      </c>
      <c r="C886" s="4">
        <f t="shared" si="12"/>
        <v>1784.1629000467401</v>
      </c>
      <c r="D886" s="4">
        <f t="shared" si="13"/>
        <v>-502.14669723880701</v>
      </c>
      <c r="E886" s="4">
        <f t="shared" si="14"/>
        <v>4070.47249733228</v>
      </c>
    </row>
    <row r="887" spans="1:5">
      <c r="A887" s="3">
        <v>46098</v>
      </c>
      <c r="C887" s="4">
        <f t="shared" si="12"/>
        <v>1932.95179406128</v>
      </c>
      <c r="D887" s="4">
        <f t="shared" si="13"/>
        <v>-363.02494268299102</v>
      </c>
      <c r="E887" s="4">
        <f t="shared" si="14"/>
        <v>4228.9285308055496</v>
      </c>
    </row>
    <row r="888" spans="1:5">
      <c r="A888" s="3">
        <v>46099</v>
      </c>
      <c r="C888" s="4">
        <f t="shared" si="12"/>
        <v>1933.1000013095099</v>
      </c>
      <c r="D888" s="4">
        <f t="shared" si="13"/>
        <v>-372.62689381783701</v>
      </c>
      <c r="E888" s="4">
        <f t="shared" si="14"/>
        <v>4238.8268964368499</v>
      </c>
    </row>
    <row r="889" spans="1:5">
      <c r="A889" s="3">
        <v>46100</v>
      </c>
      <c r="C889" s="4">
        <f t="shared" si="12"/>
        <v>1813.90204621975</v>
      </c>
      <c r="D889" s="4">
        <f t="shared" si="13"/>
        <v>-501.657763603327</v>
      </c>
      <c r="E889" s="4">
        <f t="shared" si="14"/>
        <v>4129.4618560428198</v>
      </c>
    </row>
    <row r="890" spans="1:5">
      <c r="A890" s="3">
        <v>46101</v>
      </c>
      <c r="C890" s="4">
        <f t="shared" si="12"/>
        <v>1989.6540457686999</v>
      </c>
      <c r="D890" s="4">
        <f t="shared" si="13"/>
        <v>-335.82116803889301</v>
      </c>
      <c r="E890" s="4">
        <f t="shared" si="14"/>
        <v>4315.1292595762998</v>
      </c>
    </row>
    <row r="891" spans="1:5">
      <c r="A891" s="3">
        <v>46102</v>
      </c>
      <c r="C891" s="4">
        <f t="shared" si="12"/>
        <v>1871.4673666014301</v>
      </c>
      <c r="D891" s="4">
        <f t="shared" si="13"/>
        <v>-464.00546923078502</v>
      </c>
      <c r="E891" s="4">
        <f t="shared" si="14"/>
        <v>4206.9402024336496</v>
      </c>
    </row>
    <row r="892" spans="1:5">
      <c r="A892" s="3">
        <v>46103</v>
      </c>
      <c r="C892" s="4">
        <f t="shared" si="12"/>
        <v>1730.96930524514</v>
      </c>
      <c r="D892" s="4">
        <f t="shared" si="13"/>
        <v>-614.58309536280899</v>
      </c>
      <c r="E892" s="4">
        <f t="shared" si="14"/>
        <v>4076.5217058530802</v>
      </c>
    </row>
    <row r="893" spans="1:5">
      <c r="A893" s="3">
        <v>46104</v>
      </c>
      <c r="C893" s="4">
        <f t="shared" ref="C893:C915" si="15">_xlfn.FORECAST.ETS(A893,$B$2:$B$732,$A$2:$A$732,1,1)</f>
        <v>1773.5404676712301</v>
      </c>
      <c r="D893" s="4">
        <f t="shared" ref="D893:D915" si="16">C893-_xlfn.FORECAST.ETS.CONFINT(A893,$B$2:$B$732,$A$2:$A$732,0.95,1,1)</f>
        <v>-582.17316131591599</v>
      </c>
      <c r="E893" s="4">
        <f t="shared" ref="E893:E915" si="17">C893+_xlfn.FORECAST.ETS.CONFINT(A893,$B$2:$B$732,$A$2:$A$732,0.95,1,1)</f>
        <v>4129.2540966583801</v>
      </c>
    </row>
    <row r="894" spans="1:5">
      <c r="A894" s="3">
        <v>46105</v>
      </c>
      <c r="C894" s="4">
        <f t="shared" si="15"/>
        <v>1876.7154399252199</v>
      </c>
      <c r="D894" s="4">
        <f t="shared" si="16"/>
        <v>-489.24079821703799</v>
      </c>
      <c r="E894" s="4">
        <f t="shared" si="17"/>
        <v>4242.6716780674797</v>
      </c>
    </row>
    <row r="895" spans="1:5">
      <c r="A895" s="3">
        <v>46106</v>
      </c>
      <c r="C895" s="4">
        <f t="shared" si="15"/>
        <v>1784.6875355981399</v>
      </c>
      <c r="D895" s="4">
        <f t="shared" si="16"/>
        <v>-613.181937676909</v>
      </c>
      <c r="E895" s="4">
        <f t="shared" si="17"/>
        <v>4182.5570088731802</v>
      </c>
    </row>
    <row r="896" spans="1:5">
      <c r="A896" s="3">
        <v>46107</v>
      </c>
      <c r="C896" s="4">
        <f t="shared" si="15"/>
        <v>1933.47642961268</v>
      </c>
      <c r="D896" s="4">
        <f t="shared" si="16"/>
        <v>-474.70427660368699</v>
      </c>
      <c r="E896" s="4">
        <f t="shared" si="17"/>
        <v>4341.6571358290503</v>
      </c>
    </row>
    <row r="897" spans="1:5">
      <c r="A897" s="3">
        <v>46108</v>
      </c>
      <c r="C897" s="4">
        <f t="shared" si="15"/>
        <v>1933.62463686091</v>
      </c>
      <c r="D897" s="4">
        <f t="shared" si="16"/>
        <v>-484.947900697313</v>
      </c>
      <c r="E897" s="4">
        <f t="shared" si="17"/>
        <v>4352.1971744191296</v>
      </c>
    </row>
    <row r="898" spans="1:5">
      <c r="A898" s="3">
        <v>46109</v>
      </c>
      <c r="C898" s="4">
        <f t="shared" si="15"/>
        <v>1814.42668177115</v>
      </c>
      <c r="D898" s="4">
        <f t="shared" si="16"/>
        <v>-614.61800046057999</v>
      </c>
      <c r="E898" s="4">
        <f t="shared" si="17"/>
        <v>4243.4713640028804</v>
      </c>
    </row>
    <row r="899" spans="1:5">
      <c r="A899" s="3">
        <v>46110</v>
      </c>
      <c r="C899" s="4">
        <f t="shared" si="15"/>
        <v>1990.1786813200999</v>
      </c>
      <c r="D899" s="4">
        <f t="shared" si="16"/>
        <v>-449.41817079189798</v>
      </c>
      <c r="E899" s="4">
        <f t="shared" si="17"/>
        <v>4429.7755334321</v>
      </c>
    </row>
    <row r="900" spans="1:5">
      <c r="A900" s="3">
        <v>46111</v>
      </c>
      <c r="C900" s="4">
        <f t="shared" si="15"/>
        <v>1871.9920021528301</v>
      </c>
      <c r="D900" s="4">
        <f t="shared" si="16"/>
        <v>-578.23675402489005</v>
      </c>
      <c r="E900" s="4">
        <f t="shared" si="17"/>
        <v>4322.2207583305499</v>
      </c>
    </row>
    <row r="901" spans="1:5">
      <c r="A901" s="3">
        <v>46112</v>
      </c>
      <c r="C901" s="4">
        <f t="shared" si="15"/>
        <v>1731.4939407965401</v>
      </c>
      <c r="D901" s="4">
        <f t="shared" si="16"/>
        <v>-729.44615987115196</v>
      </c>
      <c r="E901" s="4">
        <f t="shared" si="17"/>
        <v>4192.4340414642302</v>
      </c>
    </row>
    <row r="902" spans="1:5">
      <c r="A902" s="3">
        <v>46113</v>
      </c>
      <c r="C902" s="4">
        <f t="shared" si="15"/>
        <v>1774.0651032226399</v>
      </c>
      <c r="D902" s="4">
        <f t="shared" si="16"/>
        <v>-697.66548601170996</v>
      </c>
      <c r="E902" s="4">
        <f t="shared" si="17"/>
        <v>4245.7956924569799</v>
      </c>
    </row>
    <row r="903" spans="1:5">
      <c r="A903" s="3">
        <v>46114</v>
      </c>
      <c r="C903" s="4">
        <f t="shared" si="15"/>
        <v>1877.2400754766199</v>
      </c>
      <c r="D903" s="4">
        <f t="shared" si="16"/>
        <v>-605.359847617588</v>
      </c>
      <c r="E903" s="4">
        <f t="shared" si="17"/>
        <v>4359.8399985708402</v>
      </c>
    </row>
    <row r="904" spans="1:5">
      <c r="A904" s="3">
        <v>46115</v>
      </c>
      <c r="C904" s="4">
        <f t="shared" si="15"/>
        <v>1785.2121711495399</v>
      </c>
      <c r="D904" s="4">
        <f t="shared" si="16"/>
        <v>-729.73272850788999</v>
      </c>
      <c r="E904" s="4">
        <f t="shared" si="17"/>
        <v>4300.1570708069603</v>
      </c>
    </row>
    <row r="905" spans="1:5">
      <c r="A905" s="3">
        <v>46116</v>
      </c>
      <c r="C905" s="4">
        <f t="shared" si="15"/>
        <v>1934.00106516408</v>
      </c>
      <c r="D905" s="4">
        <f t="shared" si="16"/>
        <v>-591.87655135242096</v>
      </c>
      <c r="E905" s="4">
        <f t="shared" si="17"/>
        <v>4459.8786816805896</v>
      </c>
    </row>
    <row r="906" spans="1:5">
      <c r="A906" s="3">
        <v>46117</v>
      </c>
      <c r="C906" s="4">
        <f t="shared" si="15"/>
        <v>1934.14927241231</v>
      </c>
      <c r="D906" s="4">
        <f t="shared" si="16"/>
        <v>-602.73915361921604</v>
      </c>
      <c r="E906" s="4">
        <f t="shared" si="17"/>
        <v>4471.0376984438399</v>
      </c>
    </row>
    <row r="907" spans="1:5">
      <c r="A907" s="3">
        <v>46118</v>
      </c>
      <c r="C907" s="4">
        <f t="shared" si="15"/>
        <v>1814.95131732255</v>
      </c>
      <c r="D907" s="4">
        <f t="shared" si="16"/>
        <v>-733.025712863065</v>
      </c>
      <c r="E907" s="4">
        <f t="shared" si="17"/>
        <v>4362.9283475081702</v>
      </c>
    </row>
    <row r="908" spans="1:5">
      <c r="A908" s="3">
        <v>46119</v>
      </c>
      <c r="C908" s="4">
        <f t="shared" si="15"/>
        <v>1990.7033168715</v>
      </c>
      <c r="D908" s="4">
        <f t="shared" si="16"/>
        <v>-568.43981214282098</v>
      </c>
      <c r="E908" s="4">
        <f t="shared" si="17"/>
        <v>4549.8464458858298</v>
      </c>
    </row>
    <row r="909" spans="1:5">
      <c r="A909" s="3">
        <v>46120</v>
      </c>
      <c r="C909" s="4">
        <f t="shared" si="15"/>
        <v>1872.5166377042301</v>
      </c>
      <c r="D909" s="4">
        <f t="shared" si="16"/>
        <v>-697.86978303402805</v>
      </c>
      <c r="E909" s="4">
        <f t="shared" si="17"/>
        <v>4442.90305844249</v>
      </c>
    </row>
    <row r="910" spans="1:5">
      <c r="A910" s="3">
        <v>46121</v>
      </c>
      <c r="C910" s="4">
        <f t="shared" si="15"/>
        <v>1732.0185763479401</v>
      </c>
      <c r="D910" s="4">
        <f t="shared" si="16"/>
        <v>-849.688025544791</v>
      </c>
      <c r="E910" s="4">
        <f t="shared" si="17"/>
        <v>4313.7251782406702</v>
      </c>
    </row>
    <row r="911" spans="1:5">
      <c r="A911" s="3">
        <v>46122</v>
      </c>
      <c r="C911" s="4">
        <f t="shared" si="15"/>
        <v>1774.5897387740399</v>
      </c>
      <c r="D911" s="4">
        <f t="shared" si="16"/>
        <v>-818.51362868040405</v>
      </c>
      <c r="E911" s="4">
        <f t="shared" si="17"/>
        <v>4367.6931062284802</v>
      </c>
    </row>
    <row r="912" spans="1:5">
      <c r="A912" s="3">
        <v>46123</v>
      </c>
      <c r="C912" s="4">
        <f t="shared" si="15"/>
        <v>1877.76471102803</v>
      </c>
      <c r="D912" s="4">
        <f t="shared" si="16"/>
        <v>-726.81169993721596</v>
      </c>
      <c r="E912" s="4">
        <f t="shared" si="17"/>
        <v>4482.3411219932696</v>
      </c>
    </row>
    <row r="913" spans="1:5">
      <c r="A913" s="3">
        <v>46124</v>
      </c>
      <c r="C913" s="4">
        <f t="shared" si="15"/>
        <v>1785.73680670094</v>
      </c>
      <c r="D913" s="4">
        <f t="shared" si="16"/>
        <v>-851.567690566637</v>
      </c>
      <c r="E913" s="4">
        <f t="shared" si="17"/>
        <v>4423.04130396852</v>
      </c>
    </row>
    <row r="914" spans="1:5">
      <c r="A914" s="3">
        <v>46125</v>
      </c>
      <c r="C914" s="4">
        <f t="shared" si="15"/>
        <v>1934.5257007154901</v>
      </c>
      <c r="D914" s="4">
        <f t="shared" si="16"/>
        <v>-714.31052666286598</v>
      </c>
      <c r="E914" s="4">
        <f t="shared" si="17"/>
        <v>4583.3619280938401</v>
      </c>
    </row>
    <row r="915" spans="1:5">
      <c r="A915" s="3">
        <v>46126</v>
      </c>
      <c r="C915" s="4">
        <f t="shared" si="15"/>
        <v>1934.67390796371</v>
      </c>
      <c r="D915" s="4">
        <f t="shared" si="16"/>
        <v>-725.76961508679506</v>
      </c>
      <c r="E915" s="4">
        <f t="shared" si="17"/>
        <v>4595.1174310142196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2"/>
  <sheetViews>
    <sheetView workbookViewId="0">
      <selection activeCell="M1994" sqref="M1994"/>
    </sheetView>
  </sheetViews>
  <sheetFormatPr defaultColWidth="9" defaultRowHeight="14.4"/>
  <cols>
    <col min="1" max="1" width="9.88671875" customWidth="1"/>
    <col min="2" max="2" width="12.5546875" customWidth="1"/>
    <col min="3" max="3" width="13.77734375" customWidth="1"/>
    <col min="4" max="4" width="12.33203125" customWidth="1"/>
    <col min="5" max="5" width="10.109375" customWidth="1"/>
    <col min="6" max="6" width="10.21875" customWidth="1"/>
    <col min="7" max="7" width="15.5546875" customWidth="1"/>
    <col min="8" max="8" width="12.77734375" style="14" customWidth="1"/>
    <col min="9" max="9" width="14.109375" style="23" customWidth="1"/>
    <col min="10" max="10" width="18.5546875" style="4" customWidth="1"/>
  </cols>
  <sheetData>
    <row r="1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29" t="s">
        <v>13</v>
      </c>
      <c r="I1" s="30" t="s">
        <v>14</v>
      </c>
      <c r="J1" s="31" t="s">
        <v>18</v>
      </c>
    </row>
    <row r="2" spans="1:10">
      <c r="A2" t="s">
        <v>19</v>
      </c>
      <c r="B2" s="3">
        <v>45480</v>
      </c>
      <c r="C2" t="s">
        <v>20</v>
      </c>
      <c r="D2" t="s">
        <v>21</v>
      </c>
      <c r="E2" t="s">
        <v>22</v>
      </c>
      <c r="F2">
        <v>1</v>
      </c>
      <c r="G2" t="s">
        <v>23</v>
      </c>
      <c r="H2" s="14">
        <v>0.09</v>
      </c>
      <c r="I2" s="23">
        <v>218.04</v>
      </c>
      <c r="J2" s="4">
        <v>217.95</v>
      </c>
    </row>
    <row r="3" spans="1:10">
      <c r="A3" t="s">
        <v>29</v>
      </c>
      <c r="B3" s="3">
        <v>45285</v>
      </c>
      <c r="C3" t="s">
        <v>30</v>
      </c>
      <c r="D3" t="s">
        <v>31</v>
      </c>
      <c r="E3" t="s">
        <v>32</v>
      </c>
      <c r="F3">
        <v>3</v>
      </c>
      <c r="G3" t="s">
        <v>33</v>
      </c>
      <c r="H3" s="14">
        <v>0.27</v>
      </c>
      <c r="I3" s="23">
        <v>104.47</v>
      </c>
      <c r="J3" s="4">
        <v>312.60000000000002</v>
      </c>
    </row>
    <row r="4" spans="1:10">
      <c r="A4" t="s">
        <v>40</v>
      </c>
      <c r="B4" s="3">
        <v>45446</v>
      </c>
      <c r="C4" t="s">
        <v>41</v>
      </c>
      <c r="D4" t="s">
        <v>42</v>
      </c>
      <c r="E4" t="s">
        <v>43</v>
      </c>
      <c r="F4">
        <v>4</v>
      </c>
      <c r="G4" t="s">
        <v>23</v>
      </c>
      <c r="H4" s="14">
        <v>0.25</v>
      </c>
      <c r="I4" s="23">
        <v>914.05</v>
      </c>
      <c r="J4" s="4">
        <v>3655.2</v>
      </c>
    </row>
    <row r="5" spans="1:10">
      <c r="A5" t="s">
        <v>47</v>
      </c>
      <c r="B5" s="3">
        <v>45259</v>
      </c>
      <c r="C5" t="s">
        <v>48</v>
      </c>
      <c r="D5" t="s">
        <v>49</v>
      </c>
      <c r="E5" t="s">
        <v>43</v>
      </c>
      <c r="F5">
        <v>1</v>
      </c>
      <c r="G5" t="s">
        <v>50</v>
      </c>
      <c r="H5" s="14">
        <v>0.16</v>
      </c>
      <c r="I5" s="23">
        <v>921.51</v>
      </c>
      <c r="J5" s="4">
        <v>921.35</v>
      </c>
    </row>
    <row r="6" spans="1:10">
      <c r="A6" t="s">
        <v>55</v>
      </c>
      <c r="B6" s="3">
        <v>45297</v>
      </c>
      <c r="C6" t="s">
        <v>56</v>
      </c>
      <c r="D6" t="s">
        <v>57</v>
      </c>
      <c r="E6" t="s">
        <v>58</v>
      </c>
      <c r="F6">
        <v>3</v>
      </c>
      <c r="G6" t="s">
        <v>23</v>
      </c>
      <c r="H6" s="14">
        <v>0.18</v>
      </c>
      <c r="I6" s="23">
        <v>745.3</v>
      </c>
      <c r="J6" s="4">
        <v>2235.36</v>
      </c>
    </row>
    <row r="7" spans="1:10">
      <c r="A7" t="s">
        <v>63</v>
      </c>
      <c r="B7" s="3">
        <v>45499</v>
      </c>
      <c r="C7" t="s">
        <v>64</v>
      </c>
      <c r="D7" t="s">
        <v>65</v>
      </c>
      <c r="E7" t="s">
        <v>66</v>
      </c>
      <c r="F7">
        <v>3</v>
      </c>
      <c r="G7" t="s">
        <v>50</v>
      </c>
      <c r="H7" s="14">
        <v>0.19</v>
      </c>
      <c r="I7" s="23">
        <v>147.01</v>
      </c>
      <c r="J7" s="4">
        <v>440.46</v>
      </c>
    </row>
    <row r="8" spans="1:10">
      <c r="A8" t="s">
        <v>69</v>
      </c>
      <c r="B8" s="3">
        <v>45850</v>
      </c>
      <c r="C8" t="s">
        <v>70</v>
      </c>
      <c r="D8" t="s">
        <v>71</v>
      </c>
      <c r="E8" t="s">
        <v>72</v>
      </c>
      <c r="F8">
        <v>2</v>
      </c>
      <c r="G8" t="s">
        <v>33</v>
      </c>
      <c r="H8" s="14">
        <v>0.15</v>
      </c>
      <c r="I8" s="23">
        <v>785.31</v>
      </c>
      <c r="J8" s="4">
        <v>1570.32</v>
      </c>
    </row>
    <row r="9" spans="1:10">
      <c r="A9" t="s">
        <v>77</v>
      </c>
      <c r="B9" s="3">
        <v>45248</v>
      </c>
      <c r="C9" t="s">
        <v>78</v>
      </c>
      <c r="D9" t="s">
        <v>79</v>
      </c>
      <c r="E9" t="s">
        <v>43</v>
      </c>
      <c r="F9">
        <v>4</v>
      </c>
      <c r="G9" t="s">
        <v>33</v>
      </c>
      <c r="H9" s="14">
        <v>0.23</v>
      </c>
      <c r="I9" s="23">
        <v>342.39</v>
      </c>
      <c r="J9" s="4">
        <v>1368.64</v>
      </c>
    </row>
    <row r="10" spans="1:10">
      <c r="A10" t="s">
        <v>83</v>
      </c>
      <c r="B10" s="3">
        <v>45781</v>
      </c>
      <c r="C10" t="s">
        <v>84</v>
      </c>
      <c r="D10" t="s">
        <v>85</v>
      </c>
      <c r="E10" t="s">
        <v>58</v>
      </c>
      <c r="G10" t="s">
        <v>33</v>
      </c>
      <c r="H10" s="14">
        <v>7.0000000000000007E-2</v>
      </c>
      <c r="I10" s="23">
        <v>448.25</v>
      </c>
      <c r="J10" s="4">
        <v>896.36</v>
      </c>
    </row>
    <row r="11" spans="1:10">
      <c r="A11" t="s">
        <v>87</v>
      </c>
      <c r="B11" s="3">
        <v>45869</v>
      </c>
      <c r="C11" t="s">
        <v>88</v>
      </c>
      <c r="D11" t="s">
        <v>89</v>
      </c>
      <c r="E11" t="s">
        <v>90</v>
      </c>
      <c r="F11">
        <v>2</v>
      </c>
      <c r="G11" t="s">
        <v>33</v>
      </c>
      <c r="H11" s="14">
        <v>0.23</v>
      </c>
      <c r="I11" s="23">
        <v>873.17</v>
      </c>
      <c r="J11" s="4">
        <v>1745.88</v>
      </c>
    </row>
    <row r="12" spans="1:10">
      <c r="A12" t="s">
        <v>95</v>
      </c>
      <c r="B12" s="3">
        <v>45335</v>
      </c>
      <c r="C12" t="s">
        <v>96</v>
      </c>
      <c r="D12" t="s">
        <v>97</v>
      </c>
      <c r="E12" t="s">
        <v>98</v>
      </c>
      <c r="F12">
        <v>1</v>
      </c>
      <c r="G12" t="s">
        <v>23</v>
      </c>
      <c r="H12" s="14">
        <v>7.0000000000000007E-2</v>
      </c>
      <c r="I12" s="23">
        <v>278.63</v>
      </c>
      <c r="J12" s="4">
        <v>278.56</v>
      </c>
    </row>
    <row r="13" spans="1:10">
      <c r="A13" t="s">
        <v>102</v>
      </c>
      <c r="B13" s="3">
        <v>45801</v>
      </c>
      <c r="C13" t="s">
        <v>103</v>
      </c>
      <c r="D13" t="s">
        <v>104</v>
      </c>
      <c r="E13" t="s">
        <v>105</v>
      </c>
      <c r="F13">
        <v>4</v>
      </c>
      <c r="G13" t="s">
        <v>23</v>
      </c>
      <c r="H13" s="14">
        <v>0.17</v>
      </c>
      <c r="I13" s="23">
        <v>286.92</v>
      </c>
      <c r="J13" s="4">
        <v>1147</v>
      </c>
    </row>
    <row r="14" spans="1:10">
      <c r="A14" t="s">
        <v>108</v>
      </c>
      <c r="B14" s="3">
        <v>45528</v>
      </c>
      <c r="C14" t="s">
        <v>109</v>
      </c>
      <c r="D14" t="s">
        <v>110</v>
      </c>
      <c r="E14" t="s">
        <v>72</v>
      </c>
      <c r="F14">
        <v>4</v>
      </c>
      <c r="G14" t="s">
        <v>23</v>
      </c>
      <c r="H14" s="14">
        <v>0.01</v>
      </c>
      <c r="I14" s="23">
        <v>644.58000000000004</v>
      </c>
      <c r="J14" s="4">
        <v>2578.2800000000002</v>
      </c>
    </row>
    <row r="15" spans="1:10">
      <c r="A15" t="s">
        <v>114</v>
      </c>
      <c r="B15" s="3">
        <v>45875</v>
      </c>
      <c r="C15" t="s">
        <v>115</v>
      </c>
      <c r="D15" t="s">
        <v>116</v>
      </c>
      <c r="E15" t="s">
        <v>117</v>
      </c>
      <c r="F15">
        <v>2</v>
      </c>
      <c r="G15" t="s">
        <v>33</v>
      </c>
      <c r="H15" s="14">
        <v>0.3</v>
      </c>
      <c r="I15" s="23">
        <v>316.89999999999998</v>
      </c>
      <c r="J15" s="4">
        <v>633.20000000000005</v>
      </c>
    </row>
    <row r="16" spans="1:10">
      <c r="A16" t="s">
        <v>120</v>
      </c>
      <c r="B16" s="3">
        <v>45829</v>
      </c>
      <c r="C16" t="s">
        <v>121</v>
      </c>
      <c r="D16" t="s">
        <v>97</v>
      </c>
      <c r="E16" t="s">
        <v>122</v>
      </c>
      <c r="F16">
        <v>4</v>
      </c>
      <c r="G16" t="s">
        <v>33</v>
      </c>
      <c r="H16" s="14">
        <v>0.28999999999999998</v>
      </c>
      <c r="I16" s="23">
        <v>403.47</v>
      </c>
      <c r="J16" s="4">
        <v>1612.72</v>
      </c>
    </row>
    <row r="17" spans="1:10">
      <c r="A17" t="s">
        <v>124</v>
      </c>
      <c r="B17" s="3">
        <v>45636</v>
      </c>
      <c r="C17" t="s">
        <v>125</v>
      </c>
      <c r="D17" t="s">
        <v>126</v>
      </c>
      <c r="E17" t="s">
        <v>127</v>
      </c>
      <c r="G17" t="s">
        <v>50</v>
      </c>
      <c r="H17" s="14">
        <v>0.04</v>
      </c>
      <c r="I17" s="23">
        <v>871.34</v>
      </c>
      <c r="J17" s="4">
        <v>1742.6</v>
      </c>
    </row>
    <row r="18" spans="1:10">
      <c r="A18" t="s">
        <v>132</v>
      </c>
      <c r="B18" s="3">
        <v>45913</v>
      </c>
      <c r="C18" t="s">
        <v>133</v>
      </c>
      <c r="D18" t="s">
        <v>134</v>
      </c>
      <c r="E18" t="s">
        <v>135</v>
      </c>
      <c r="F18">
        <v>2</v>
      </c>
      <c r="G18" t="s">
        <v>23</v>
      </c>
      <c r="H18" s="14">
        <v>0.25</v>
      </c>
      <c r="I18" s="23">
        <v>451.98</v>
      </c>
      <c r="J18" s="4">
        <v>903.46</v>
      </c>
    </row>
    <row r="19" spans="1:10">
      <c r="A19" t="s">
        <v>137</v>
      </c>
      <c r="B19" s="3">
        <v>45637</v>
      </c>
      <c r="C19" t="s">
        <v>138</v>
      </c>
      <c r="D19" t="s">
        <v>139</v>
      </c>
      <c r="E19" t="s">
        <v>72</v>
      </c>
      <c r="F19">
        <v>2</v>
      </c>
      <c r="G19" t="s">
        <v>23</v>
      </c>
      <c r="H19" s="14">
        <v>0.23</v>
      </c>
      <c r="I19" s="23">
        <v>502.69</v>
      </c>
      <c r="J19" s="4">
        <v>1004.92</v>
      </c>
    </row>
    <row r="20" spans="1:10">
      <c r="A20" t="s">
        <v>144</v>
      </c>
      <c r="B20" s="3">
        <v>45517</v>
      </c>
      <c r="C20" t="s">
        <v>145</v>
      </c>
      <c r="D20" t="s">
        <v>104</v>
      </c>
      <c r="E20" t="s">
        <v>72</v>
      </c>
      <c r="F20">
        <v>2</v>
      </c>
      <c r="G20" t="s">
        <v>50</v>
      </c>
      <c r="H20" s="14">
        <v>0.25</v>
      </c>
      <c r="I20" s="23">
        <v>559.23</v>
      </c>
      <c r="J20" s="4">
        <v>1117.96</v>
      </c>
    </row>
    <row r="21" spans="1:10">
      <c r="A21" t="s">
        <v>146</v>
      </c>
      <c r="B21" s="3">
        <v>45369</v>
      </c>
      <c r="C21" t="s">
        <v>147</v>
      </c>
      <c r="D21" t="s">
        <v>148</v>
      </c>
      <c r="E21" t="s">
        <v>149</v>
      </c>
      <c r="F21">
        <v>4</v>
      </c>
      <c r="G21" t="s">
        <v>50</v>
      </c>
      <c r="H21" s="14">
        <v>0.04</v>
      </c>
      <c r="I21" s="23">
        <v>513.98477215823698</v>
      </c>
      <c r="J21" s="4">
        <v>2055.7790886329499</v>
      </c>
    </row>
    <row r="22" spans="1:10">
      <c r="A22" t="s">
        <v>153</v>
      </c>
      <c r="B22" s="3">
        <v>45843</v>
      </c>
      <c r="C22" t="s">
        <v>154</v>
      </c>
      <c r="D22" t="s">
        <v>155</v>
      </c>
      <c r="E22" t="s">
        <v>32</v>
      </c>
      <c r="F22">
        <v>3</v>
      </c>
      <c r="G22" t="s">
        <v>50</v>
      </c>
      <c r="H22" s="14">
        <v>0.27</v>
      </c>
      <c r="I22" s="23">
        <v>986.04</v>
      </c>
      <c r="J22" s="4">
        <v>2957.31</v>
      </c>
    </row>
    <row r="23" spans="1:10">
      <c r="A23" t="s">
        <v>157</v>
      </c>
      <c r="B23" s="3">
        <v>45447</v>
      </c>
      <c r="C23" t="s">
        <v>158</v>
      </c>
      <c r="D23" t="s">
        <v>159</v>
      </c>
      <c r="E23" t="s">
        <v>160</v>
      </c>
      <c r="F23">
        <v>1</v>
      </c>
      <c r="G23" t="s">
        <v>23</v>
      </c>
      <c r="H23" s="14">
        <v>0.22</v>
      </c>
      <c r="I23" s="23">
        <v>589.55999999999995</v>
      </c>
      <c r="J23" s="4">
        <v>589.34</v>
      </c>
    </row>
    <row r="24" spans="1:10">
      <c r="A24" t="s">
        <v>165</v>
      </c>
      <c r="B24" s="3">
        <v>45394</v>
      </c>
      <c r="C24" t="s">
        <v>166</v>
      </c>
      <c r="D24" t="s">
        <v>167</v>
      </c>
      <c r="E24" t="s">
        <v>168</v>
      </c>
      <c r="F24">
        <v>3</v>
      </c>
      <c r="G24" t="s">
        <v>33</v>
      </c>
      <c r="H24" s="14">
        <v>0.03</v>
      </c>
      <c r="I24" s="23">
        <v>979.42</v>
      </c>
      <c r="J24" s="4">
        <v>2938.17</v>
      </c>
    </row>
    <row r="25" spans="1:10">
      <c r="A25" t="s">
        <v>171</v>
      </c>
      <c r="B25" s="3">
        <v>45466</v>
      </c>
      <c r="C25" t="s">
        <v>172</v>
      </c>
      <c r="D25" t="s">
        <v>173</v>
      </c>
      <c r="E25" t="s">
        <v>43</v>
      </c>
      <c r="F25">
        <v>1</v>
      </c>
      <c r="G25" t="s">
        <v>23</v>
      </c>
      <c r="H25" s="14">
        <v>0.08</v>
      </c>
      <c r="I25" s="23">
        <v>719.28</v>
      </c>
      <c r="J25" s="4">
        <v>719.2</v>
      </c>
    </row>
    <row r="26" spans="1:10">
      <c r="A26" t="s">
        <v>176</v>
      </c>
      <c r="B26" s="3">
        <v>45908</v>
      </c>
      <c r="C26" t="s">
        <v>177</v>
      </c>
      <c r="D26" t="s">
        <v>178</v>
      </c>
      <c r="E26" t="s">
        <v>179</v>
      </c>
      <c r="F26">
        <v>3</v>
      </c>
      <c r="G26" t="s">
        <v>23</v>
      </c>
      <c r="H26" s="14">
        <v>7.0000000000000007E-2</v>
      </c>
      <c r="I26" s="23">
        <v>77.599999999999994</v>
      </c>
      <c r="J26" s="4">
        <v>232.59</v>
      </c>
    </row>
    <row r="27" spans="1:10">
      <c r="A27" t="s">
        <v>181</v>
      </c>
      <c r="B27" s="3">
        <v>45552</v>
      </c>
      <c r="C27" t="s">
        <v>182</v>
      </c>
      <c r="D27" t="s">
        <v>183</v>
      </c>
      <c r="E27" t="s">
        <v>22</v>
      </c>
      <c r="F27">
        <v>4</v>
      </c>
      <c r="G27" t="s">
        <v>33</v>
      </c>
      <c r="H27" s="14">
        <v>0.14000000000000001</v>
      </c>
      <c r="I27" s="23">
        <v>852.71</v>
      </c>
      <c r="J27" s="4">
        <v>3410.28</v>
      </c>
    </row>
    <row r="28" spans="1:10">
      <c r="A28" t="s">
        <v>185</v>
      </c>
      <c r="B28" s="3">
        <v>45294</v>
      </c>
      <c r="C28" t="s">
        <v>186</v>
      </c>
      <c r="D28" t="s">
        <v>187</v>
      </c>
      <c r="E28" t="s">
        <v>43</v>
      </c>
      <c r="F28">
        <v>4</v>
      </c>
      <c r="G28" t="s">
        <v>23</v>
      </c>
      <c r="H28" s="14">
        <v>0.14000000000000001</v>
      </c>
      <c r="I28" s="23">
        <v>156.16</v>
      </c>
      <c r="J28" s="4">
        <v>624.08000000000004</v>
      </c>
    </row>
    <row r="29" spans="1:10">
      <c r="A29" t="s">
        <v>190</v>
      </c>
      <c r="B29" s="3">
        <v>45710</v>
      </c>
      <c r="C29" t="s">
        <v>191</v>
      </c>
      <c r="D29" t="s">
        <v>192</v>
      </c>
      <c r="E29" t="s">
        <v>43</v>
      </c>
      <c r="F29">
        <v>3</v>
      </c>
      <c r="G29" t="s">
        <v>23</v>
      </c>
      <c r="H29" s="14">
        <v>0.14787530225862699</v>
      </c>
      <c r="I29" s="23">
        <v>815.49</v>
      </c>
      <c r="J29" s="4">
        <v>2446.0263740932201</v>
      </c>
    </row>
    <row r="30" spans="1:10">
      <c r="A30" t="s">
        <v>195</v>
      </c>
      <c r="B30" s="3">
        <v>45923</v>
      </c>
      <c r="C30" t="s">
        <v>196</v>
      </c>
      <c r="D30" t="s">
        <v>197</v>
      </c>
      <c r="E30" t="s">
        <v>198</v>
      </c>
      <c r="F30">
        <v>2</v>
      </c>
      <c r="G30" t="s">
        <v>33</v>
      </c>
      <c r="H30" s="14">
        <v>0.147944020356234</v>
      </c>
      <c r="I30" s="23">
        <v>74.209999999999994</v>
      </c>
      <c r="J30" s="4">
        <v>148.124111959288</v>
      </c>
    </row>
    <row r="31" spans="1:10">
      <c r="A31" t="s">
        <v>201</v>
      </c>
      <c r="B31" s="3">
        <v>45302</v>
      </c>
      <c r="C31" t="s">
        <v>121</v>
      </c>
      <c r="D31" t="s">
        <v>85</v>
      </c>
      <c r="E31" t="s">
        <v>22</v>
      </c>
      <c r="G31" t="s">
        <v>23</v>
      </c>
      <c r="H31" s="14">
        <v>0.14853340883352201</v>
      </c>
      <c r="I31" s="23">
        <v>451.67</v>
      </c>
      <c r="J31" s="4">
        <v>903.04293318233294</v>
      </c>
    </row>
    <row r="32" spans="1:10">
      <c r="A32" t="s">
        <v>202</v>
      </c>
      <c r="B32" s="3">
        <v>45217</v>
      </c>
      <c r="C32" t="s">
        <v>203</v>
      </c>
      <c r="D32" t="s">
        <v>183</v>
      </c>
      <c r="E32" t="s">
        <v>135</v>
      </c>
      <c r="F32">
        <v>1</v>
      </c>
      <c r="G32" t="s">
        <v>33</v>
      </c>
      <c r="H32" s="14">
        <v>0.13</v>
      </c>
      <c r="I32" s="23">
        <v>429.38</v>
      </c>
      <c r="J32" s="4">
        <v>429.25</v>
      </c>
    </row>
    <row r="33" spans="1:10">
      <c r="A33" t="s">
        <v>205</v>
      </c>
      <c r="B33" s="3">
        <v>45593</v>
      </c>
      <c r="C33" t="s">
        <v>206</v>
      </c>
      <c r="D33" t="s">
        <v>207</v>
      </c>
      <c r="E33" t="s">
        <v>208</v>
      </c>
      <c r="F33">
        <v>2</v>
      </c>
      <c r="G33" t="s">
        <v>50</v>
      </c>
      <c r="H33" s="14">
        <v>0.03</v>
      </c>
      <c r="I33" s="23">
        <v>148.96</v>
      </c>
      <c r="J33" s="4">
        <v>297.86</v>
      </c>
    </row>
    <row r="34" spans="1:10">
      <c r="A34" t="s">
        <v>211</v>
      </c>
      <c r="B34" s="3">
        <v>45597</v>
      </c>
      <c r="C34" t="s">
        <v>212</v>
      </c>
      <c r="D34" t="s">
        <v>213</v>
      </c>
      <c r="E34" t="s">
        <v>43</v>
      </c>
      <c r="F34">
        <v>4</v>
      </c>
      <c r="G34" t="s">
        <v>23</v>
      </c>
      <c r="H34" s="14">
        <v>0.08</v>
      </c>
      <c r="I34" s="23">
        <v>313.83</v>
      </c>
      <c r="J34" s="4">
        <v>1255</v>
      </c>
    </row>
    <row r="35" spans="1:10">
      <c r="A35" t="s">
        <v>216</v>
      </c>
      <c r="B35" s="3">
        <v>45620</v>
      </c>
      <c r="C35" t="s">
        <v>217</v>
      </c>
      <c r="D35" t="s">
        <v>173</v>
      </c>
      <c r="E35" t="s">
        <v>179</v>
      </c>
      <c r="F35">
        <v>2</v>
      </c>
      <c r="G35" t="s">
        <v>23</v>
      </c>
      <c r="H35" s="14">
        <v>0.15</v>
      </c>
      <c r="I35" s="23">
        <v>717.31</v>
      </c>
      <c r="J35" s="4">
        <v>1434.32</v>
      </c>
    </row>
    <row r="36" spans="1:10">
      <c r="A36" t="s">
        <v>219</v>
      </c>
      <c r="B36" s="3">
        <v>45215</v>
      </c>
      <c r="C36" t="s">
        <v>220</v>
      </c>
      <c r="D36" t="s">
        <v>221</v>
      </c>
      <c r="E36" t="s">
        <v>105</v>
      </c>
      <c r="G36" t="s">
        <v>23</v>
      </c>
      <c r="H36" s="14">
        <v>0.18</v>
      </c>
      <c r="I36" s="23">
        <v>873.22</v>
      </c>
      <c r="J36" s="4">
        <v>1746.08</v>
      </c>
    </row>
    <row r="37" spans="1:10">
      <c r="A37" t="s">
        <v>224</v>
      </c>
      <c r="B37" s="3">
        <v>45878</v>
      </c>
      <c r="C37" t="s">
        <v>225</v>
      </c>
      <c r="D37" t="s">
        <v>226</v>
      </c>
      <c r="E37" t="s">
        <v>22</v>
      </c>
      <c r="F37">
        <v>4</v>
      </c>
      <c r="G37" t="s">
        <v>50</v>
      </c>
      <c r="H37" s="14">
        <v>0.19</v>
      </c>
      <c r="I37" s="23">
        <v>109.36</v>
      </c>
      <c r="J37" s="4">
        <v>436.68</v>
      </c>
    </row>
    <row r="38" spans="1:10">
      <c r="A38" t="s">
        <v>229</v>
      </c>
      <c r="B38" s="3">
        <v>45635</v>
      </c>
      <c r="C38" t="s">
        <v>230</v>
      </c>
      <c r="D38" t="s">
        <v>183</v>
      </c>
      <c r="E38" t="s">
        <v>66</v>
      </c>
      <c r="F38">
        <v>3</v>
      </c>
      <c r="G38" t="s">
        <v>33</v>
      </c>
      <c r="H38" s="14">
        <v>0.16</v>
      </c>
      <c r="I38" s="23">
        <v>559.52</v>
      </c>
      <c r="J38" s="4">
        <v>1678.08</v>
      </c>
    </row>
    <row r="39" spans="1:10">
      <c r="A39" t="s">
        <v>232</v>
      </c>
      <c r="B39" s="3">
        <v>45329</v>
      </c>
      <c r="C39" t="s">
        <v>233</v>
      </c>
      <c r="D39" t="s">
        <v>234</v>
      </c>
      <c r="E39" t="s">
        <v>32</v>
      </c>
      <c r="F39">
        <v>3</v>
      </c>
      <c r="G39" t="s">
        <v>33</v>
      </c>
      <c r="H39" s="14">
        <v>0.27</v>
      </c>
      <c r="I39" s="23">
        <v>121.76</v>
      </c>
      <c r="J39" s="4">
        <v>364.47</v>
      </c>
    </row>
    <row r="40" spans="1:10">
      <c r="A40" t="s">
        <v>237</v>
      </c>
      <c r="B40" s="3">
        <v>45378</v>
      </c>
      <c r="C40" t="s">
        <v>238</v>
      </c>
      <c r="D40" t="s">
        <v>89</v>
      </c>
      <c r="E40" t="s">
        <v>149</v>
      </c>
      <c r="F40">
        <v>4</v>
      </c>
      <c r="G40" t="s">
        <v>50</v>
      </c>
      <c r="H40" s="14">
        <v>0.06</v>
      </c>
      <c r="I40" s="23">
        <v>735.32</v>
      </c>
      <c r="J40" s="4">
        <v>2941.04</v>
      </c>
    </row>
    <row r="41" spans="1:10">
      <c r="A41" t="s">
        <v>240</v>
      </c>
      <c r="B41" s="3">
        <v>45264</v>
      </c>
      <c r="C41" t="s">
        <v>241</v>
      </c>
      <c r="D41" t="s">
        <v>242</v>
      </c>
      <c r="E41" t="s">
        <v>22</v>
      </c>
      <c r="F41">
        <v>2</v>
      </c>
      <c r="G41" t="s">
        <v>23</v>
      </c>
      <c r="H41" s="14">
        <v>0.08</v>
      </c>
      <c r="I41" s="23">
        <v>600.73</v>
      </c>
      <c r="J41" s="4">
        <v>1201.3</v>
      </c>
    </row>
    <row r="42" spans="1:10">
      <c r="A42" t="s">
        <v>244</v>
      </c>
      <c r="B42" s="3">
        <v>45486</v>
      </c>
      <c r="C42" t="s">
        <v>245</v>
      </c>
      <c r="D42" t="s">
        <v>246</v>
      </c>
      <c r="E42" t="s">
        <v>135</v>
      </c>
      <c r="F42">
        <v>2</v>
      </c>
      <c r="G42" t="s">
        <v>50</v>
      </c>
      <c r="H42" s="14">
        <v>7.0000000000000007E-2</v>
      </c>
      <c r="I42" s="23">
        <v>873.86</v>
      </c>
      <c r="J42" s="4">
        <v>1747.58</v>
      </c>
    </row>
    <row r="43" spans="1:10">
      <c r="A43" t="s">
        <v>248</v>
      </c>
      <c r="B43" s="3">
        <v>45241</v>
      </c>
      <c r="C43" t="s">
        <v>249</v>
      </c>
      <c r="D43" t="s">
        <v>250</v>
      </c>
      <c r="E43" t="s">
        <v>43</v>
      </c>
      <c r="F43">
        <v>3</v>
      </c>
      <c r="G43" t="s">
        <v>33</v>
      </c>
      <c r="H43" s="14">
        <v>0.08</v>
      </c>
      <c r="I43" s="23">
        <v>342.47</v>
      </c>
      <c r="J43" s="4">
        <v>1027.17</v>
      </c>
    </row>
    <row r="44" spans="1:10">
      <c r="A44" t="s">
        <v>253</v>
      </c>
      <c r="B44" s="3">
        <v>45649</v>
      </c>
      <c r="C44" t="s">
        <v>254</v>
      </c>
      <c r="D44" t="s">
        <v>255</v>
      </c>
      <c r="E44" t="s">
        <v>127</v>
      </c>
      <c r="F44">
        <v>2</v>
      </c>
      <c r="G44" t="s">
        <v>33</v>
      </c>
      <c r="H44" s="14">
        <v>0.16</v>
      </c>
      <c r="I44" s="23">
        <v>915.15</v>
      </c>
      <c r="J44" s="4">
        <v>1829.98</v>
      </c>
    </row>
    <row r="45" spans="1:10">
      <c r="A45" t="s">
        <v>258</v>
      </c>
      <c r="B45" s="3">
        <v>45677</v>
      </c>
      <c r="C45" t="s">
        <v>259</v>
      </c>
      <c r="D45" t="s">
        <v>89</v>
      </c>
      <c r="E45" t="s">
        <v>32</v>
      </c>
      <c r="G45" t="s">
        <v>33</v>
      </c>
      <c r="H45" s="14">
        <v>0.28000000000000003</v>
      </c>
      <c r="I45" s="23">
        <v>863.11</v>
      </c>
      <c r="J45" s="4">
        <v>1725.66</v>
      </c>
    </row>
    <row r="46" spans="1:10">
      <c r="A46" t="s">
        <v>261</v>
      </c>
      <c r="B46" s="3">
        <v>45538</v>
      </c>
      <c r="C46" t="s">
        <v>262</v>
      </c>
      <c r="D46" t="s">
        <v>159</v>
      </c>
      <c r="E46" t="s">
        <v>208</v>
      </c>
      <c r="F46">
        <v>2</v>
      </c>
      <c r="G46" t="s">
        <v>50</v>
      </c>
      <c r="H46" s="14">
        <v>0.23</v>
      </c>
      <c r="I46" s="23">
        <v>209.32</v>
      </c>
      <c r="J46" s="4">
        <v>418.18</v>
      </c>
    </row>
    <row r="47" spans="1:10">
      <c r="A47" t="s">
        <v>263</v>
      </c>
      <c r="B47" s="3">
        <v>45606</v>
      </c>
      <c r="C47" t="s">
        <v>264</v>
      </c>
      <c r="D47" t="s">
        <v>57</v>
      </c>
      <c r="E47" t="s">
        <v>43</v>
      </c>
      <c r="F47">
        <v>4</v>
      </c>
      <c r="G47" t="s">
        <v>33</v>
      </c>
      <c r="H47" s="14">
        <v>0.09</v>
      </c>
      <c r="I47" s="23">
        <v>288.60000000000002</v>
      </c>
      <c r="J47" s="4">
        <v>1154.04</v>
      </c>
    </row>
    <row r="48" spans="1:10">
      <c r="A48" t="s">
        <v>265</v>
      </c>
      <c r="B48" s="3">
        <v>45570</v>
      </c>
      <c r="C48" t="s">
        <v>266</v>
      </c>
      <c r="D48" t="s">
        <v>267</v>
      </c>
      <c r="E48" t="s">
        <v>117</v>
      </c>
      <c r="F48">
        <v>1</v>
      </c>
      <c r="G48" t="s">
        <v>33</v>
      </c>
      <c r="H48" s="14">
        <v>0.06</v>
      </c>
      <c r="I48" s="23">
        <v>418.69</v>
      </c>
      <c r="J48" s="4">
        <v>418.63</v>
      </c>
    </row>
    <row r="49" spans="1:10">
      <c r="A49" t="s">
        <v>269</v>
      </c>
      <c r="B49" s="3">
        <v>45466</v>
      </c>
      <c r="C49" t="s">
        <v>270</v>
      </c>
      <c r="D49" t="s">
        <v>271</v>
      </c>
      <c r="E49" t="s">
        <v>272</v>
      </c>
      <c r="F49">
        <v>1</v>
      </c>
      <c r="G49" t="s">
        <v>33</v>
      </c>
      <c r="H49" s="14">
        <v>0.14000000000000001</v>
      </c>
      <c r="I49" s="23">
        <v>135.78</v>
      </c>
      <c r="J49" s="4">
        <v>135.63999999999999</v>
      </c>
    </row>
    <row r="50" spans="1:10">
      <c r="A50" t="s">
        <v>274</v>
      </c>
      <c r="B50" s="3">
        <v>45218</v>
      </c>
      <c r="C50" t="s">
        <v>262</v>
      </c>
      <c r="D50" t="s">
        <v>275</v>
      </c>
      <c r="E50" t="s">
        <v>32</v>
      </c>
      <c r="F50">
        <v>1</v>
      </c>
      <c r="G50" t="s">
        <v>23</v>
      </c>
      <c r="H50" s="14">
        <v>0.28000000000000003</v>
      </c>
      <c r="I50" s="23">
        <v>517.13</v>
      </c>
      <c r="J50" s="4">
        <v>516.85</v>
      </c>
    </row>
    <row r="51" spans="1:10">
      <c r="A51" t="s">
        <v>277</v>
      </c>
      <c r="B51" s="3">
        <v>45607</v>
      </c>
      <c r="C51" t="s">
        <v>278</v>
      </c>
      <c r="D51" t="s">
        <v>279</v>
      </c>
      <c r="E51" t="s">
        <v>117</v>
      </c>
      <c r="F51">
        <v>2</v>
      </c>
      <c r="G51" t="s">
        <v>50</v>
      </c>
      <c r="H51" s="14">
        <v>0.08</v>
      </c>
      <c r="I51" s="23">
        <v>384.66</v>
      </c>
      <c r="J51" s="4">
        <v>769.16</v>
      </c>
    </row>
    <row r="52" spans="1:10">
      <c r="A52" t="s">
        <v>281</v>
      </c>
      <c r="B52" s="3">
        <v>45291</v>
      </c>
      <c r="C52" t="s">
        <v>266</v>
      </c>
      <c r="D52" t="s">
        <v>282</v>
      </c>
      <c r="E52" t="s">
        <v>127</v>
      </c>
      <c r="F52">
        <v>3</v>
      </c>
      <c r="G52" t="s">
        <v>33</v>
      </c>
      <c r="H52" s="14">
        <v>0.24</v>
      </c>
      <c r="I52" s="23">
        <v>83.7</v>
      </c>
      <c r="J52" s="4">
        <v>250.38</v>
      </c>
    </row>
    <row r="53" spans="1:10">
      <c r="A53" t="s">
        <v>284</v>
      </c>
      <c r="B53" s="3">
        <v>45689</v>
      </c>
      <c r="C53" t="s">
        <v>285</v>
      </c>
      <c r="D53" t="s">
        <v>167</v>
      </c>
      <c r="E53" t="s">
        <v>66</v>
      </c>
      <c r="F53">
        <v>3</v>
      </c>
      <c r="G53" t="s">
        <v>23</v>
      </c>
      <c r="H53" s="14">
        <v>0.26</v>
      </c>
      <c r="I53" s="23">
        <v>76.569999999999993</v>
      </c>
      <c r="J53" s="4">
        <v>228.93</v>
      </c>
    </row>
    <row r="54" spans="1:10">
      <c r="A54" t="s">
        <v>286</v>
      </c>
      <c r="B54" s="3">
        <v>45894</v>
      </c>
      <c r="C54" t="s">
        <v>196</v>
      </c>
      <c r="D54" t="s">
        <v>287</v>
      </c>
      <c r="E54" t="s">
        <v>179</v>
      </c>
      <c r="F54">
        <v>3</v>
      </c>
      <c r="G54" t="s">
        <v>23</v>
      </c>
      <c r="H54" s="14">
        <v>0.14699999999999999</v>
      </c>
      <c r="I54" s="23">
        <v>513.98477215823698</v>
      </c>
      <c r="J54" s="4">
        <v>1541.5133164747101</v>
      </c>
    </row>
    <row r="55" spans="1:10">
      <c r="A55" t="s">
        <v>289</v>
      </c>
      <c r="B55" s="3">
        <v>45677</v>
      </c>
      <c r="C55" t="s">
        <v>290</v>
      </c>
      <c r="D55" t="s">
        <v>291</v>
      </c>
      <c r="E55" t="s">
        <v>43</v>
      </c>
      <c r="F55">
        <v>1</v>
      </c>
      <c r="G55" t="s">
        <v>50</v>
      </c>
      <c r="H55" s="14">
        <v>0.13</v>
      </c>
      <c r="I55" s="23">
        <v>900.35</v>
      </c>
      <c r="J55" s="4">
        <v>900.22</v>
      </c>
    </row>
    <row r="56" spans="1:10">
      <c r="A56" t="s">
        <v>293</v>
      </c>
      <c r="B56" s="3">
        <v>45706</v>
      </c>
      <c r="C56" t="s">
        <v>294</v>
      </c>
      <c r="D56" t="s">
        <v>295</v>
      </c>
      <c r="E56" t="s">
        <v>168</v>
      </c>
      <c r="F56">
        <v>4</v>
      </c>
      <c r="G56" t="s">
        <v>23</v>
      </c>
      <c r="H56" s="14">
        <v>7.0000000000000007E-2</v>
      </c>
      <c r="I56" s="23">
        <v>428.09</v>
      </c>
      <c r="J56" s="4">
        <v>1712.08</v>
      </c>
    </row>
    <row r="57" spans="1:10">
      <c r="A57" t="s">
        <v>297</v>
      </c>
      <c r="B57" s="3">
        <v>45589</v>
      </c>
      <c r="C57" t="s">
        <v>298</v>
      </c>
      <c r="D57" t="s">
        <v>42</v>
      </c>
      <c r="E57" t="s">
        <v>272</v>
      </c>
      <c r="F57">
        <v>2</v>
      </c>
      <c r="G57" t="s">
        <v>50</v>
      </c>
      <c r="H57" s="14">
        <v>0.3</v>
      </c>
      <c r="I57" s="23">
        <v>559.71</v>
      </c>
      <c r="J57" s="4">
        <v>1118.82</v>
      </c>
    </row>
    <row r="58" spans="1:10">
      <c r="A58" t="s">
        <v>299</v>
      </c>
      <c r="B58" s="3">
        <v>45282</v>
      </c>
      <c r="C58" t="s">
        <v>300</v>
      </c>
      <c r="D58" t="s">
        <v>116</v>
      </c>
      <c r="E58" t="s">
        <v>179</v>
      </c>
      <c r="F58">
        <v>2</v>
      </c>
      <c r="G58" t="s">
        <v>33</v>
      </c>
      <c r="H58" s="14">
        <v>0.06</v>
      </c>
      <c r="I58" s="23">
        <v>833.7</v>
      </c>
      <c r="J58" s="4">
        <v>1667.28</v>
      </c>
    </row>
    <row r="59" spans="1:10">
      <c r="A59" t="s">
        <v>301</v>
      </c>
      <c r="B59" s="3">
        <v>45462</v>
      </c>
      <c r="C59" t="s">
        <v>30</v>
      </c>
      <c r="D59" t="s">
        <v>302</v>
      </c>
      <c r="E59" t="s">
        <v>98</v>
      </c>
      <c r="F59">
        <v>2</v>
      </c>
      <c r="G59" t="s">
        <v>23</v>
      </c>
      <c r="H59" s="14">
        <v>0.28000000000000003</v>
      </c>
      <c r="I59" s="23">
        <v>680.16</v>
      </c>
      <c r="J59" s="4">
        <v>1359.76</v>
      </c>
    </row>
    <row r="60" spans="1:10">
      <c r="A60" t="s">
        <v>304</v>
      </c>
      <c r="B60" s="3">
        <v>45633</v>
      </c>
      <c r="C60" t="s">
        <v>305</v>
      </c>
      <c r="D60" t="s">
        <v>65</v>
      </c>
      <c r="E60" t="s">
        <v>66</v>
      </c>
      <c r="F60">
        <v>4</v>
      </c>
      <c r="G60" t="s">
        <v>33</v>
      </c>
      <c r="H60" s="14">
        <v>0.14699999999999999</v>
      </c>
      <c r="I60" s="23">
        <v>733.42</v>
      </c>
      <c r="J60" s="4">
        <v>2933.0920000000001</v>
      </c>
    </row>
    <row r="61" spans="1:10">
      <c r="A61" t="s">
        <v>306</v>
      </c>
      <c r="B61" s="3">
        <v>45257</v>
      </c>
      <c r="C61" t="s">
        <v>307</v>
      </c>
      <c r="D61" t="s">
        <v>287</v>
      </c>
      <c r="E61" t="s">
        <v>272</v>
      </c>
      <c r="F61">
        <v>1</v>
      </c>
      <c r="G61" t="s">
        <v>33</v>
      </c>
      <c r="H61" s="14">
        <v>0.23</v>
      </c>
      <c r="I61" s="23">
        <v>996.33</v>
      </c>
      <c r="J61" s="4">
        <v>996.1</v>
      </c>
    </row>
    <row r="62" spans="1:10">
      <c r="A62" t="s">
        <v>309</v>
      </c>
      <c r="B62" s="3">
        <v>45854</v>
      </c>
      <c r="C62" t="s">
        <v>310</v>
      </c>
      <c r="D62" t="s">
        <v>311</v>
      </c>
      <c r="E62" t="s">
        <v>168</v>
      </c>
      <c r="F62">
        <v>1</v>
      </c>
      <c r="G62" t="s">
        <v>50</v>
      </c>
      <c r="H62" s="14">
        <v>0.09</v>
      </c>
      <c r="I62" s="23">
        <v>198.83</v>
      </c>
      <c r="J62" s="4">
        <v>198.74</v>
      </c>
    </row>
    <row r="63" spans="1:10">
      <c r="A63" t="s">
        <v>313</v>
      </c>
      <c r="B63" s="3">
        <v>45716</v>
      </c>
      <c r="C63" t="s">
        <v>147</v>
      </c>
      <c r="D63" t="s">
        <v>314</v>
      </c>
      <c r="E63" t="s">
        <v>66</v>
      </c>
      <c r="F63">
        <v>1</v>
      </c>
      <c r="G63" t="s">
        <v>33</v>
      </c>
      <c r="H63" s="14">
        <v>0.18</v>
      </c>
      <c r="I63" s="23">
        <v>374.92</v>
      </c>
      <c r="J63" s="4">
        <v>374.74</v>
      </c>
    </row>
    <row r="64" spans="1:10">
      <c r="A64" t="s">
        <v>316</v>
      </c>
      <c r="B64" s="3">
        <v>45515</v>
      </c>
      <c r="C64" t="s">
        <v>88</v>
      </c>
      <c r="D64" t="s">
        <v>317</v>
      </c>
      <c r="E64" t="s">
        <v>117</v>
      </c>
      <c r="F64">
        <v>1</v>
      </c>
      <c r="G64" t="s">
        <v>23</v>
      </c>
      <c r="H64" s="14">
        <v>0.12</v>
      </c>
      <c r="I64" s="23">
        <v>468.94</v>
      </c>
      <c r="J64" s="4">
        <v>468.82</v>
      </c>
    </row>
    <row r="65" spans="1:10">
      <c r="A65" t="s">
        <v>319</v>
      </c>
      <c r="B65" s="3">
        <v>45927</v>
      </c>
      <c r="C65" t="s">
        <v>320</v>
      </c>
      <c r="D65" t="s">
        <v>287</v>
      </c>
      <c r="E65" t="s">
        <v>208</v>
      </c>
      <c r="F65">
        <v>2</v>
      </c>
      <c r="G65" t="s">
        <v>23</v>
      </c>
      <c r="H65" s="14">
        <v>0.05</v>
      </c>
      <c r="I65" s="23">
        <v>121.37</v>
      </c>
      <c r="J65" s="4">
        <v>242.64</v>
      </c>
    </row>
    <row r="66" spans="1:10">
      <c r="A66" t="s">
        <v>321</v>
      </c>
      <c r="B66" s="3">
        <v>45914</v>
      </c>
      <c r="C66" t="s">
        <v>322</v>
      </c>
      <c r="D66" t="s">
        <v>207</v>
      </c>
      <c r="E66" t="s">
        <v>168</v>
      </c>
      <c r="F66">
        <v>3</v>
      </c>
      <c r="G66" t="s">
        <v>23</v>
      </c>
      <c r="H66" s="14">
        <v>0.01</v>
      </c>
      <c r="I66" s="23">
        <v>480.06</v>
      </c>
      <c r="J66" s="4">
        <v>1440.15</v>
      </c>
    </row>
    <row r="67" spans="1:10">
      <c r="A67" t="s">
        <v>323</v>
      </c>
      <c r="B67" s="3">
        <v>45290</v>
      </c>
      <c r="C67" t="s">
        <v>324</v>
      </c>
      <c r="D67" t="s">
        <v>85</v>
      </c>
      <c r="E67" t="s">
        <v>32</v>
      </c>
      <c r="F67">
        <v>2</v>
      </c>
      <c r="G67" t="s">
        <v>23</v>
      </c>
      <c r="H67" s="14">
        <v>0.24</v>
      </c>
      <c r="I67" s="23">
        <v>856.57</v>
      </c>
      <c r="J67" s="4">
        <v>1712.66</v>
      </c>
    </row>
    <row r="68" spans="1:10">
      <c r="A68" t="s">
        <v>325</v>
      </c>
      <c r="B68" s="3">
        <v>45213</v>
      </c>
      <c r="C68" t="s">
        <v>326</v>
      </c>
      <c r="D68" t="s">
        <v>192</v>
      </c>
      <c r="E68" t="s">
        <v>198</v>
      </c>
      <c r="F68">
        <v>4</v>
      </c>
      <c r="G68" t="s">
        <v>23</v>
      </c>
      <c r="H68" s="14">
        <v>0.18</v>
      </c>
      <c r="I68" s="23">
        <v>814.25</v>
      </c>
      <c r="J68" s="4">
        <v>3256.28</v>
      </c>
    </row>
    <row r="69" spans="1:10">
      <c r="A69" t="s">
        <v>327</v>
      </c>
      <c r="B69" s="3">
        <v>45255</v>
      </c>
      <c r="C69" t="s">
        <v>328</v>
      </c>
      <c r="D69" t="s">
        <v>173</v>
      </c>
      <c r="E69" t="s">
        <v>198</v>
      </c>
      <c r="F69">
        <v>1</v>
      </c>
      <c r="G69" t="s">
        <v>33</v>
      </c>
      <c r="H69" s="14">
        <v>0.2</v>
      </c>
      <c r="I69" s="23">
        <v>989.17</v>
      </c>
      <c r="J69" s="4">
        <v>988.97</v>
      </c>
    </row>
    <row r="70" spans="1:10">
      <c r="A70" t="s">
        <v>329</v>
      </c>
      <c r="B70" s="3">
        <v>45270</v>
      </c>
      <c r="C70" t="s">
        <v>330</v>
      </c>
      <c r="D70" t="s">
        <v>155</v>
      </c>
      <c r="E70" t="s">
        <v>168</v>
      </c>
      <c r="F70">
        <v>4</v>
      </c>
      <c r="G70" t="s">
        <v>23</v>
      </c>
      <c r="H70" s="14">
        <v>0.18</v>
      </c>
      <c r="I70" s="23">
        <v>62.48</v>
      </c>
      <c r="J70" s="4">
        <v>249.2</v>
      </c>
    </row>
    <row r="71" spans="1:10">
      <c r="A71" t="s">
        <v>331</v>
      </c>
      <c r="B71" s="3">
        <v>45897</v>
      </c>
      <c r="C71" t="s">
        <v>332</v>
      </c>
      <c r="D71" t="s">
        <v>197</v>
      </c>
      <c r="E71" t="s">
        <v>117</v>
      </c>
      <c r="F71">
        <v>4</v>
      </c>
      <c r="G71" t="s">
        <v>23</v>
      </c>
      <c r="H71" s="14">
        <v>0.24</v>
      </c>
      <c r="I71" s="23">
        <v>561.24</v>
      </c>
      <c r="J71" s="4">
        <v>2244</v>
      </c>
    </row>
    <row r="72" spans="1:10">
      <c r="A72" t="s">
        <v>334</v>
      </c>
      <c r="B72" s="3">
        <v>45849</v>
      </c>
      <c r="C72" t="s">
        <v>335</v>
      </c>
      <c r="D72" t="s">
        <v>148</v>
      </c>
      <c r="E72" t="s">
        <v>58</v>
      </c>
      <c r="F72">
        <v>3</v>
      </c>
      <c r="G72" t="s">
        <v>50</v>
      </c>
      <c r="H72" s="14">
        <v>0.28000000000000003</v>
      </c>
      <c r="I72" s="23">
        <v>92.24</v>
      </c>
      <c r="J72" s="4">
        <v>275.88</v>
      </c>
    </row>
    <row r="73" spans="1:10">
      <c r="A73" t="s">
        <v>337</v>
      </c>
      <c r="B73" s="3">
        <v>45889</v>
      </c>
      <c r="C73" t="s">
        <v>338</v>
      </c>
      <c r="D73" t="s">
        <v>155</v>
      </c>
      <c r="E73" t="s">
        <v>105</v>
      </c>
      <c r="F73">
        <v>2</v>
      </c>
      <c r="G73" t="s">
        <v>23</v>
      </c>
      <c r="H73" s="14">
        <v>7.0000000000000007E-2</v>
      </c>
      <c r="I73" s="23">
        <v>668.3</v>
      </c>
      <c r="J73" s="4">
        <v>1336.46</v>
      </c>
    </row>
    <row r="74" spans="1:10">
      <c r="A74" t="s">
        <v>339</v>
      </c>
      <c r="B74" s="3">
        <v>45533</v>
      </c>
      <c r="C74" t="s">
        <v>20</v>
      </c>
      <c r="D74" t="s">
        <v>340</v>
      </c>
      <c r="E74" t="s">
        <v>58</v>
      </c>
      <c r="F74">
        <v>1</v>
      </c>
      <c r="G74" t="s">
        <v>23</v>
      </c>
      <c r="H74" s="14">
        <v>0.09</v>
      </c>
      <c r="I74" s="23">
        <v>553.82000000000005</v>
      </c>
      <c r="J74" s="4">
        <v>553.73</v>
      </c>
    </row>
    <row r="75" spans="1:10">
      <c r="A75" t="s">
        <v>342</v>
      </c>
      <c r="B75" s="3">
        <v>45626</v>
      </c>
      <c r="C75" t="s">
        <v>343</v>
      </c>
      <c r="D75" t="s">
        <v>344</v>
      </c>
      <c r="E75" t="s">
        <v>272</v>
      </c>
      <c r="F75">
        <v>2</v>
      </c>
      <c r="G75" t="s">
        <v>23</v>
      </c>
      <c r="H75" s="14">
        <v>0.13</v>
      </c>
      <c r="I75" s="23">
        <v>556.42999999999995</v>
      </c>
      <c r="J75" s="4">
        <v>1112.5999999999999</v>
      </c>
    </row>
    <row r="76" spans="1:10">
      <c r="A76" t="s">
        <v>348</v>
      </c>
      <c r="B76" s="3">
        <v>45942</v>
      </c>
      <c r="C76" t="s">
        <v>349</v>
      </c>
      <c r="D76" t="s">
        <v>291</v>
      </c>
      <c r="E76" t="s">
        <v>43</v>
      </c>
      <c r="F76">
        <v>1</v>
      </c>
      <c r="G76" t="s">
        <v>50</v>
      </c>
      <c r="H76" s="14">
        <v>0.1</v>
      </c>
      <c r="I76" s="23">
        <v>184.98</v>
      </c>
      <c r="J76" s="4">
        <v>184.88</v>
      </c>
    </row>
    <row r="77" spans="1:10">
      <c r="A77" t="s">
        <v>350</v>
      </c>
      <c r="B77" s="3">
        <v>45500</v>
      </c>
      <c r="C77" t="s">
        <v>351</v>
      </c>
      <c r="D77" t="s">
        <v>21</v>
      </c>
      <c r="E77" t="s">
        <v>208</v>
      </c>
      <c r="F77">
        <v>4</v>
      </c>
      <c r="G77" t="s">
        <v>23</v>
      </c>
      <c r="H77" s="14">
        <v>0.23</v>
      </c>
      <c r="I77" s="23">
        <v>700.18</v>
      </c>
      <c r="J77" s="4">
        <v>2799.8</v>
      </c>
    </row>
    <row r="78" spans="1:10">
      <c r="A78" t="s">
        <v>352</v>
      </c>
      <c r="B78" s="3">
        <v>45285</v>
      </c>
      <c r="C78" t="s">
        <v>353</v>
      </c>
      <c r="D78" t="s">
        <v>49</v>
      </c>
      <c r="E78" t="s">
        <v>168</v>
      </c>
      <c r="F78">
        <v>2</v>
      </c>
      <c r="G78" t="s">
        <v>23</v>
      </c>
      <c r="H78" s="14">
        <v>0.25</v>
      </c>
      <c r="I78" s="23">
        <v>686.31</v>
      </c>
      <c r="J78" s="4">
        <v>1372.12</v>
      </c>
    </row>
    <row r="79" spans="1:10">
      <c r="A79" t="s">
        <v>354</v>
      </c>
      <c r="B79" s="3">
        <v>45800</v>
      </c>
      <c r="C79" t="s">
        <v>355</v>
      </c>
      <c r="D79" t="s">
        <v>178</v>
      </c>
      <c r="E79" t="s">
        <v>122</v>
      </c>
      <c r="F79">
        <v>1</v>
      </c>
      <c r="G79" t="s">
        <v>50</v>
      </c>
      <c r="H79" s="14">
        <v>0.27</v>
      </c>
      <c r="I79" s="23">
        <v>687.82</v>
      </c>
      <c r="J79" s="4">
        <v>687.55</v>
      </c>
    </row>
    <row r="80" spans="1:10">
      <c r="A80" t="s">
        <v>357</v>
      </c>
      <c r="B80" s="3">
        <v>45609</v>
      </c>
      <c r="C80" t="s">
        <v>358</v>
      </c>
      <c r="D80" t="s">
        <v>359</v>
      </c>
      <c r="E80" t="s">
        <v>43</v>
      </c>
      <c r="F80">
        <v>2</v>
      </c>
      <c r="G80" t="s">
        <v>23</v>
      </c>
      <c r="H80" s="14">
        <v>0.16</v>
      </c>
      <c r="I80" s="23">
        <v>900.55</v>
      </c>
      <c r="J80" s="4">
        <v>1800.78</v>
      </c>
    </row>
    <row r="81" spans="1:10">
      <c r="A81" t="s">
        <v>362</v>
      </c>
      <c r="B81" s="3">
        <v>45268</v>
      </c>
      <c r="C81" t="s">
        <v>363</v>
      </c>
      <c r="D81" t="s">
        <v>279</v>
      </c>
      <c r="E81" t="s">
        <v>198</v>
      </c>
      <c r="F81">
        <v>1</v>
      </c>
      <c r="G81" t="s">
        <v>23</v>
      </c>
      <c r="H81" s="14">
        <v>0.15</v>
      </c>
      <c r="I81" s="23">
        <v>341.17</v>
      </c>
      <c r="J81" s="4">
        <v>341.02</v>
      </c>
    </row>
    <row r="82" spans="1:10">
      <c r="A82" t="s">
        <v>364</v>
      </c>
      <c r="B82" s="3">
        <v>45885</v>
      </c>
      <c r="C82" t="s">
        <v>365</v>
      </c>
      <c r="D82" t="s">
        <v>282</v>
      </c>
      <c r="E82" t="s">
        <v>43</v>
      </c>
      <c r="F82">
        <v>1</v>
      </c>
      <c r="G82" t="s">
        <v>50</v>
      </c>
      <c r="H82" s="14">
        <v>0.06</v>
      </c>
      <c r="I82" s="23">
        <v>442.27</v>
      </c>
      <c r="J82" s="4">
        <v>442.21</v>
      </c>
    </row>
    <row r="83" spans="1:10">
      <c r="A83" t="s">
        <v>366</v>
      </c>
      <c r="B83" s="3">
        <v>45616</v>
      </c>
      <c r="C83" t="s">
        <v>367</v>
      </c>
      <c r="D83" t="s">
        <v>368</v>
      </c>
      <c r="E83" t="s">
        <v>127</v>
      </c>
      <c r="F83">
        <v>1</v>
      </c>
      <c r="G83" t="s">
        <v>33</v>
      </c>
      <c r="H83" s="14">
        <v>0.25</v>
      </c>
      <c r="I83" s="23">
        <v>363.73</v>
      </c>
      <c r="J83" s="4">
        <v>363.48</v>
      </c>
    </row>
    <row r="84" spans="1:10">
      <c r="A84" t="s">
        <v>370</v>
      </c>
      <c r="B84" s="3">
        <v>45518</v>
      </c>
      <c r="C84" t="s">
        <v>371</v>
      </c>
      <c r="D84" t="s">
        <v>372</v>
      </c>
      <c r="E84" t="s">
        <v>32</v>
      </c>
      <c r="F84">
        <v>2</v>
      </c>
      <c r="G84" t="s">
        <v>33</v>
      </c>
      <c r="H84" s="14">
        <v>0.16</v>
      </c>
      <c r="I84" s="23">
        <v>601.33000000000004</v>
      </c>
      <c r="J84" s="4">
        <v>1202.3399999999999</v>
      </c>
    </row>
    <row r="85" spans="1:10">
      <c r="A85" t="s">
        <v>375</v>
      </c>
      <c r="B85" s="3">
        <v>45427</v>
      </c>
      <c r="C85" t="s">
        <v>376</v>
      </c>
      <c r="D85" t="s">
        <v>377</v>
      </c>
      <c r="E85" t="s">
        <v>160</v>
      </c>
      <c r="F85">
        <v>4</v>
      </c>
      <c r="G85" t="s">
        <v>33</v>
      </c>
      <c r="H85" s="14">
        <v>0.03</v>
      </c>
      <c r="I85" s="23">
        <v>34.39</v>
      </c>
      <c r="J85" s="4">
        <v>137.44</v>
      </c>
    </row>
    <row r="86" spans="1:10">
      <c r="A86" t="s">
        <v>380</v>
      </c>
      <c r="B86" s="3">
        <v>45268</v>
      </c>
      <c r="C86" t="s">
        <v>332</v>
      </c>
      <c r="D86" t="s">
        <v>381</v>
      </c>
      <c r="E86" t="s">
        <v>32</v>
      </c>
      <c r="F86">
        <v>1</v>
      </c>
      <c r="G86" t="s">
        <v>50</v>
      </c>
      <c r="H86" s="14">
        <v>0.05</v>
      </c>
      <c r="I86" s="23">
        <v>773.57</v>
      </c>
      <c r="J86" s="4">
        <v>773.52</v>
      </c>
    </row>
    <row r="87" spans="1:10">
      <c r="A87" t="s">
        <v>383</v>
      </c>
      <c r="B87" s="3">
        <v>45282</v>
      </c>
      <c r="C87" t="s">
        <v>384</v>
      </c>
      <c r="D87" t="s">
        <v>110</v>
      </c>
      <c r="E87" t="s">
        <v>66</v>
      </c>
      <c r="F87">
        <v>4</v>
      </c>
      <c r="G87" t="s">
        <v>50</v>
      </c>
      <c r="H87" s="14">
        <v>0.24</v>
      </c>
      <c r="I87" s="23">
        <v>127.1</v>
      </c>
      <c r="J87" s="4">
        <v>507.44</v>
      </c>
    </row>
    <row r="88" spans="1:10">
      <c r="A88" t="s">
        <v>385</v>
      </c>
      <c r="B88" s="3">
        <v>45545</v>
      </c>
      <c r="C88" t="s">
        <v>386</v>
      </c>
      <c r="D88" t="s">
        <v>291</v>
      </c>
      <c r="E88" t="s">
        <v>22</v>
      </c>
      <c r="F88">
        <v>3</v>
      </c>
      <c r="G88" t="s">
        <v>33</v>
      </c>
      <c r="H88" s="14">
        <v>0.28000000000000003</v>
      </c>
      <c r="I88" s="23">
        <v>899.58</v>
      </c>
      <c r="J88" s="4">
        <v>2697.9</v>
      </c>
    </row>
    <row r="89" spans="1:10">
      <c r="A89" t="s">
        <v>387</v>
      </c>
      <c r="B89" s="3">
        <v>45755</v>
      </c>
      <c r="C89" t="s">
        <v>388</v>
      </c>
      <c r="D89" t="s">
        <v>389</v>
      </c>
      <c r="E89" t="s">
        <v>168</v>
      </c>
      <c r="F89">
        <v>3</v>
      </c>
      <c r="G89" t="s">
        <v>23</v>
      </c>
      <c r="H89" s="14">
        <v>0.04</v>
      </c>
      <c r="I89" s="23">
        <v>964.39</v>
      </c>
      <c r="J89" s="4">
        <v>2893.05</v>
      </c>
    </row>
    <row r="90" spans="1:10">
      <c r="A90" t="s">
        <v>391</v>
      </c>
      <c r="B90" s="3">
        <v>45588</v>
      </c>
      <c r="C90" t="s">
        <v>392</v>
      </c>
      <c r="D90" t="s">
        <v>340</v>
      </c>
      <c r="E90" t="s">
        <v>90</v>
      </c>
      <c r="F90">
        <v>2</v>
      </c>
      <c r="G90" t="s">
        <v>33</v>
      </c>
      <c r="H90" s="14">
        <v>0.14000000000000001</v>
      </c>
      <c r="I90" s="23">
        <v>217.83</v>
      </c>
      <c r="J90" s="4">
        <v>435.38</v>
      </c>
    </row>
    <row r="91" spans="1:10">
      <c r="A91" t="s">
        <v>393</v>
      </c>
      <c r="B91" s="3">
        <v>45848</v>
      </c>
      <c r="C91" t="s">
        <v>394</v>
      </c>
      <c r="D91" t="s">
        <v>377</v>
      </c>
      <c r="E91" t="s">
        <v>105</v>
      </c>
      <c r="F91">
        <v>4</v>
      </c>
      <c r="G91" t="s">
        <v>50</v>
      </c>
      <c r="H91" s="14">
        <v>0.06</v>
      </c>
      <c r="I91" s="23">
        <v>187.71</v>
      </c>
      <c r="J91" s="4">
        <v>750.6</v>
      </c>
    </row>
    <row r="92" spans="1:10">
      <c r="A92" t="s">
        <v>395</v>
      </c>
      <c r="B92" s="3">
        <v>45577</v>
      </c>
      <c r="C92" t="s">
        <v>396</v>
      </c>
      <c r="D92" t="s">
        <v>89</v>
      </c>
      <c r="E92" t="s">
        <v>160</v>
      </c>
      <c r="F92">
        <v>2</v>
      </c>
      <c r="G92" t="s">
        <v>50</v>
      </c>
      <c r="H92" s="14">
        <v>0.12</v>
      </c>
      <c r="I92" s="23">
        <v>350.12</v>
      </c>
      <c r="J92" s="4">
        <v>700</v>
      </c>
    </row>
    <row r="93" spans="1:10">
      <c r="A93" t="s">
        <v>397</v>
      </c>
      <c r="B93" s="3">
        <v>45312</v>
      </c>
      <c r="C93" t="s">
        <v>398</v>
      </c>
      <c r="D93" t="s">
        <v>226</v>
      </c>
      <c r="E93" t="s">
        <v>105</v>
      </c>
      <c r="F93">
        <v>4</v>
      </c>
      <c r="G93" t="s">
        <v>33</v>
      </c>
      <c r="H93" s="14">
        <v>0.17</v>
      </c>
      <c r="I93" s="23">
        <v>102.19</v>
      </c>
      <c r="J93" s="4">
        <v>408.08</v>
      </c>
    </row>
    <row r="94" spans="1:10">
      <c r="A94" t="s">
        <v>399</v>
      </c>
      <c r="B94" s="3">
        <v>45350</v>
      </c>
      <c r="C94" t="s">
        <v>355</v>
      </c>
      <c r="D94" t="s">
        <v>400</v>
      </c>
      <c r="E94" t="s">
        <v>72</v>
      </c>
      <c r="F94">
        <v>1</v>
      </c>
      <c r="G94" t="s">
        <v>23</v>
      </c>
      <c r="H94" s="14">
        <v>0.17</v>
      </c>
      <c r="I94" s="23">
        <v>696.53</v>
      </c>
      <c r="J94" s="4">
        <v>696.36</v>
      </c>
    </row>
    <row r="95" spans="1:10">
      <c r="A95" t="s">
        <v>402</v>
      </c>
      <c r="B95" s="3">
        <v>45657</v>
      </c>
      <c r="C95" t="s">
        <v>96</v>
      </c>
      <c r="D95" t="s">
        <v>314</v>
      </c>
      <c r="E95" t="s">
        <v>72</v>
      </c>
      <c r="F95">
        <v>2</v>
      </c>
      <c r="G95" t="s">
        <v>33</v>
      </c>
      <c r="H95" s="14">
        <v>0.15</v>
      </c>
      <c r="I95" s="23">
        <v>327.52</v>
      </c>
      <c r="J95" s="4">
        <v>654.74</v>
      </c>
    </row>
    <row r="96" spans="1:10">
      <c r="A96" t="s">
        <v>403</v>
      </c>
      <c r="B96" s="3">
        <v>45530</v>
      </c>
      <c r="C96" t="s">
        <v>404</v>
      </c>
      <c r="D96" t="s">
        <v>21</v>
      </c>
      <c r="E96" t="s">
        <v>135</v>
      </c>
      <c r="F96">
        <v>2</v>
      </c>
      <c r="G96" t="s">
        <v>33</v>
      </c>
      <c r="H96" s="14">
        <v>0.01</v>
      </c>
      <c r="I96" s="23">
        <v>569.36</v>
      </c>
      <c r="J96" s="4">
        <v>1138.7</v>
      </c>
    </row>
    <row r="97" spans="1:10">
      <c r="A97" t="s">
        <v>405</v>
      </c>
      <c r="B97" s="3">
        <v>45556</v>
      </c>
      <c r="C97" t="s">
        <v>406</v>
      </c>
      <c r="D97" t="s">
        <v>85</v>
      </c>
      <c r="E97" t="s">
        <v>179</v>
      </c>
      <c r="F97">
        <v>2</v>
      </c>
      <c r="G97" t="s">
        <v>50</v>
      </c>
      <c r="H97" s="14">
        <v>0.14000000000000001</v>
      </c>
      <c r="I97" s="23">
        <v>68.290000000000006</v>
      </c>
      <c r="J97" s="4">
        <v>136.30000000000001</v>
      </c>
    </row>
    <row r="98" spans="1:10">
      <c r="A98" t="s">
        <v>407</v>
      </c>
      <c r="B98" s="3">
        <v>45523</v>
      </c>
      <c r="C98" t="s">
        <v>408</v>
      </c>
      <c r="D98" t="s">
        <v>409</v>
      </c>
      <c r="E98" t="s">
        <v>168</v>
      </c>
      <c r="F98">
        <v>1</v>
      </c>
      <c r="G98" t="s">
        <v>50</v>
      </c>
      <c r="H98" s="14">
        <v>0.06</v>
      </c>
      <c r="I98" s="23">
        <v>842.9</v>
      </c>
      <c r="J98" s="4">
        <v>842.84</v>
      </c>
    </row>
    <row r="99" spans="1:10">
      <c r="A99" t="s">
        <v>412</v>
      </c>
      <c r="B99" s="3">
        <v>45587</v>
      </c>
      <c r="C99" t="s">
        <v>413</v>
      </c>
      <c r="D99" t="s">
        <v>414</v>
      </c>
      <c r="E99" t="s">
        <v>22</v>
      </c>
      <c r="F99">
        <v>3</v>
      </c>
      <c r="G99" t="s">
        <v>33</v>
      </c>
      <c r="H99" s="14">
        <v>0.26</v>
      </c>
      <c r="I99" s="23">
        <v>751.94</v>
      </c>
      <c r="J99" s="4">
        <v>2255.04</v>
      </c>
    </row>
    <row r="100" spans="1:10">
      <c r="A100" t="s">
        <v>416</v>
      </c>
      <c r="B100" s="3">
        <v>45580</v>
      </c>
      <c r="C100" t="s">
        <v>417</v>
      </c>
      <c r="D100" t="s">
        <v>71</v>
      </c>
      <c r="E100" t="s">
        <v>66</v>
      </c>
      <c r="F100">
        <v>4</v>
      </c>
      <c r="G100" t="s">
        <v>23</v>
      </c>
      <c r="H100" s="14">
        <v>0.17</v>
      </c>
      <c r="I100" s="23">
        <v>476.28</v>
      </c>
      <c r="J100" s="4">
        <v>1904.44</v>
      </c>
    </row>
    <row r="101" spans="1:10">
      <c r="A101" t="s">
        <v>418</v>
      </c>
      <c r="B101" s="3">
        <v>45479</v>
      </c>
      <c r="C101" t="s">
        <v>419</v>
      </c>
      <c r="D101" t="s">
        <v>420</v>
      </c>
      <c r="E101" t="s">
        <v>22</v>
      </c>
      <c r="F101">
        <v>3</v>
      </c>
      <c r="G101" t="s">
        <v>50</v>
      </c>
      <c r="H101" s="14">
        <v>0.24</v>
      </c>
      <c r="I101" s="23">
        <v>541.99</v>
      </c>
      <c r="J101" s="4">
        <v>1625.25</v>
      </c>
    </row>
    <row r="102" spans="1:10">
      <c r="A102" t="s">
        <v>422</v>
      </c>
      <c r="B102" s="3">
        <v>45677</v>
      </c>
      <c r="C102" t="s">
        <v>423</v>
      </c>
      <c r="D102" t="s">
        <v>89</v>
      </c>
      <c r="E102" t="s">
        <v>58</v>
      </c>
      <c r="F102">
        <v>2</v>
      </c>
      <c r="G102" t="s">
        <v>23</v>
      </c>
      <c r="H102" s="14">
        <v>0.18</v>
      </c>
      <c r="I102" s="23">
        <v>401.5</v>
      </c>
      <c r="J102" s="4">
        <v>802.64</v>
      </c>
    </row>
    <row r="103" spans="1:10">
      <c r="A103" t="s">
        <v>424</v>
      </c>
      <c r="B103" s="3">
        <v>45453</v>
      </c>
      <c r="C103" t="s">
        <v>259</v>
      </c>
      <c r="D103" t="s">
        <v>425</v>
      </c>
      <c r="E103" t="s">
        <v>149</v>
      </c>
      <c r="F103">
        <v>3</v>
      </c>
      <c r="G103" t="s">
        <v>33</v>
      </c>
      <c r="H103" s="14">
        <v>0.17</v>
      </c>
      <c r="I103" s="23">
        <v>359.56</v>
      </c>
      <c r="J103" s="4">
        <v>1078.17</v>
      </c>
    </row>
    <row r="104" spans="1:10">
      <c r="A104" t="s">
        <v>427</v>
      </c>
      <c r="B104" s="3">
        <v>45552</v>
      </c>
      <c r="C104" t="s">
        <v>428</v>
      </c>
      <c r="D104" t="s">
        <v>429</v>
      </c>
      <c r="E104" t="s">
        <v>208</v>
      </c>
      <c r="F104">
        <v>2</v>
      </c>
      <c r="G104" t="s">
        <v>33</v>
      </c>
      <c r="H104" s="14">
        <v>0.24</v>
      </c>
      <c r="I104" s="23">
        <v>471.88</v>
      </c>
      <c r="J104" s="4">
        <v>943.28</v>
      </c>
    </row>
    <row r="105" spans="1:10">
      <c r="A105" t="s">
        <v>431</v>
      </c>
      <c r="B105" s="3">
        <v>45907</v>
      </c>
      <c r="C105" t="s">
        <v>432</v>
      </c>
      <c r="D105" t="s">
        <v>116</v>
      </c>
      <c r="E105" t="s">
        <v>72</v>
      </c>
      <c r="F105">
        <v>4</v>
      </c>
      <c r="G105" t="s">
        <v>33</v>
      </c>
      <c r="H105" s="14">
        <v>0.19</v>
      </c>
      <c r="I105" s="23">
        <v>925.19</v>
      </c>
      <c r="J105" s="4">
        <v>3700</v>
      </c>
    </row>
    <row r="106" spans="1:10">
      <c r="A106" t="s">
        <v>433</v>
      </c>
      <c r="B106" s="3">
        <v>45330</v>
      </c>
      <c r="C106" t="s">
        <v>434</v>
      </c>
      <c r="D106" t="s">
        <v>400</v>
      </c>
      <c r="E106" t="s">
        <v>272</v>
      </c>
      <c r="F106">
        <v>2</v>
      </c>
      <c r="G106" t="s">
        <v>50</v>
      </c>
      <c r="H106" s="14">
        <v>7.0000000000000007E-2</v>
      </c>
      <c r="I106" s="23">
        <v>879.63</v>
      </c>
      <c r="J106" s="4">
        <v>1759.12</v>
      </c>
    </row>
    <row r="107" spans="1:10">
      <c r="A107" t="s">
        <v>435</v>
      </c>
      <c r="B107" s="3">
        <v>45214</v>
      </c>
      <c r="C107" t="s">
        <v>436</v>
      </c>
      <c r="D107" t="s">
        <v>221</v>
      </c>
      <c r="E107" t="s">
        <v>32</v>
      </c>
      <c r="F107">
        <v>2</v>
      </c>
      <c r="G107" t="s">
        <v>23</v>
      </c>
      <c r="H107" s="14">
        <v>0.28000000000000003</v>
      </c>
      <c r="I107" s="23">
        <v>418.23</v>
      </c>
      <c r="J107" s="4">
        <v>835.9</v>
      </c>
    </row>
    <row r="108" spans="1:10">
      <c r="A108" t="s">
        <v>437</v>
      </c>
      <c r="B108" s="3">
        <v>45891</v>
      </c>
      <c r="C108" t="s">
        <v>326</v>
      </c>
      <c r="D108" t="s">
        <v>314</v>
      </c>
      <c r="E108" t="s">
        <v>160</v>
      </c>
      <c r="F108">
        <v>3</v>
      </c>
      <c r="G108" t="s">
        <v>50</v>
      </c>
      <c r="H108" s="14">
        <v>0.03</v>
      </c>
      <c r="I108" s="23">
        <v>551.72</v>
      </c>
      <c r="J108" s="4">
        <v>1655.07</v>
      </c>
    </row>
    <row r="109" spans="1:10">
      <c r="A109" t="s">
        <v>438</v>
      </c>
      <c r="B109" s="3">
        <v>45323</v>
      </c>
      <c r="C109" t="s">
        <v>439</v>
      </c>
      <c r="D109" t="s">
        <v>400</v>
      </c>
      <c r="E109" t="s">
        <v>66</v>
      </c>
      <c r="F109">
        <v>4</v>
      </c>
      <c r="G109" t="s">
        <v>33</v>
      </c>
      <c r="H109" s="14">
        <v>0.02</v>
      </c>
      <c r="I109" s="23">
        <v>525.61</v>
      </c>
      <c r="J109" s="4">
        <v>2102.36</v>
      </c>
    </row>
    <row r="110" spans="1:10">
      <c r="A110" t="s">
        <v>441</v>
      </c>
      <c r="B110" s="3">
        <v>45785</v>
      </c>
      <c r="C110" t="s">
        <v>442</v>
      </c>
      <c r="D110" t="s">
        <v>443</v>
      </c>
      <c r="E110" t="s">
        <v>149</v>
      </c>
      <c r="F110">
        <v>3</v>
      </c>
      <c r="G110" t="s">
        <v>23</v>
      </c>
      <c r="H110" s="14">
        <v>0.03</v>
      </c>
      <c r="I110" s="23">
        <v>815.3</v>
      </c>
      <c r="J110" s="4">
        <v>2445.81</v>
      </c>
    </row>
    <row r="111" spans="1:10">
      <c r="A111" t="s">
        <v>446</v>
      </c>
      <c r="B111" s="3">
        <v>45738</v>
      </c>
      <c r="C111" t="s">
        <v>447</v>
      </c>
      <c r="D111" t="s">
        <v>372</v>
      </c>
      <c r="E111" t="s">
        <v>90</v>
      </c>
      <c r="F111">
        <v>3</v>
      </c>
      <c r="G111" t="s">
        <v>50</v>
      </c>
      <c r="H111" s="14">
        <v>0.09</v>
      </c>
      <c r="I111" s="23">
        <v>376.46</v>
      </c>
      <c r="J111" s="4">
        <v>1129.1099999999999</v>
      </c>
    </row>
    <row r="112" spans="1:10">
      <c r="A112" t="s">
        <v>448</v>
      </c>
      <c r="B112" s="3">
        <v>45851</v>
      </c>
      <c r="C112" t="s">
        <v>355</v>
      </c>
      <c r="D112" t="s">
        <v>449</v>
      </c>
      <c r="E112" t="s">
        <v>43</v>
      </c>
      <c r="F112">
        <v>4</v>
      </c>
      <c r="G112" t="s">
        <v>23</v>
      </c>
      <c r="H112" s="14">
        <v>0.08</v>
      </c>
      <c r="I112" s="23">
        <v>239.83</v>
      </c>
      <c r="J112" s="4">
        <v>959</v>
      </c>
    </row>
    <row r="113" spans="1:10">
      <c r="A113" t="s">
        <v>451</v>
      </c>
      <c r="B113" s="3">
        <v>45798</v>
      </c>
      <c r="C113" t="s">
        <v>452</v>
      </c>
      <c r="D113" t="s">
        <v>453</v>
      </c>
      <c r="E113" t="s">
        <v>22</v>
      </c>
      <c r="F113">
        <v>2</v>
      </c>
      <c r="G113" t="s">
        <v>33</v>
      </c>
      <c r="H113" s="14">
        <v>0.01</v>
      </c>
      <c r="I113" s="23">
        <v>845.71</v>
      </c>
      <c r="J113" s="4">
        <v>1691.4</v>
      </c>
    </row>
    <row r="114" spans="1:10">
      <c r="A114" t="s">
        <v>455</v>
      </c>
      <c r="B114" s="3">
        <v>45705</v>
      </c>
      <c r="C114" t="s">
        <v>456</v>
      </c>
      <c r="D114" t="s">
        <v>49</v>
      </c>
      <c r="E114" t="s">
        <v>149</v>
      </c>
      <c r="F114">
        <v>3</v>
      </c>
      <c r="G114" t="s">
        <v>23</v>
      </c>
      <c r="H114" s="14">
        <v>0.28999999999999998</v>
      </c>
      <c r="I114" s="23">
        <v>948.69</v>
      </c>
      <c r="J114" s="4">
        <v>2845.2</v>
      </c>
    </row>
    <row r="115" spans="1:10">
      <c r="A115" t="s">
        <v>458</v>
      </c>
      <c r="B115" s="3">
        <v>45413</v>
      </c>
      <c r="C115" t="s">
        <v>30</v>
      </c>
      <c r="D115" t="s">
        <v>139</v>
      </c>
      <c r="E115" t="s">
        <v>168</v>
      </c>
      <c r="F115">
        <v>1</v>
      </c>
      <c r="G115" t="s">
        <v>33</v>
      </c>
      <c r="H115" s="14">
        <v>0.2</v>
      </c>
      <c r="I115" s="23">
        <v>281.97000000000003</v>
      </c>
      <c r="J115" s="4">
        <v>281.77</v>
      </c>
    </row>
    <row r="116" spans="1:10">
      <c r="A116" t="s">
        <v>459</v>
      </c>
      <c r="B116" s="3">
        <v>45482</v>
      </c>
      <c r="C116" t="s">
        <v>78</v>
      </c>
      <c r="D116" t="s">
        <v>372</v>
      </c>
      <c r="E116" t="s">
        <v>72</v>
      </c>
      <c r="F116">
        <v>2</v>
      </c>
      <c r="G116" t="s">
        <v>33</v>
      </c>
      <c r="H116" s="14">
        <v>0.05</v>
      </c>
      <c r="I116" s="23">
        <v>731.01</v>
      </c>
      <c r="J116" s="4">
        <v>1461.92</v>
      </c>
    </row>
    <row r="117" spans="1:10">
      <c r="A117" t="s">
        <v>460</v>
      </c>
      <c r="B117" s="3">
        <v>45925</v>
      </c>
      <c r="C117" t="s">
        <v>461</v>
      </c>
      <c r="D117" t="s">
        <v>462</v>
      </c>
      <c r="E117" t="s">
        <v>66</v>
      </c>
      <c r="F117">
        <v>4</v>
      </c>
      <c r="G117" t="s">
        <v>33</v>
      </c>
      <c r="H117" s="14">
        <v>0.13</v>
      </c>
      <c r="I117" s="23">
        <v>930.85</v>
      </c>
      <c r="J117" s="4">
        <v>3722.88</v>
      </c>
    </row>
    <row r="118" spans="1:10">
      <c r="A118" t="s">
        <v>465</v>
      </c>
      <c r="B118" s="3">
        <v>45420</v>
      </c>
      <c r="C118" t="s">
        <v>466</v>
      </c>
      <c r="D118" t="s">
        <v>414</v>
      </c>
      <c r="E118" t="s">
        <v>43</v>
      </c>
      <c r="F118">
        <v>4</v>
      </c>
      <c r="G118" t="s">
        <v>23</v>
      </c>
      <c r="H118" s="14">
        <v>0.22</v>
      </c>
      <c r="I118" s="23">
        <v>770.77</v>
      </c>
      <c r="J118" s="4">
        <v>3082.2</v>
      </c>
    </row>
    <row r="119" spans="1:10">
      <c r="A119" t="s">
        <v>467</v>
      </c>
      <c r="B119" s="3">
        <v>45554</v>
      </c>
      <c r="C119" t="s">
        <v>468</v>
      </c>
      <c r="D119" t="s">
        <v>381</v>
      </c>
      <c r="E119" t="s">
        <v>72</v>
      </c>
      <c r="F119">
        <v>3</v>
      </c>
      <c r="G119" t="s">
        <v>33</v>
      </c>
      <c r="H119" s="14">
        <v>0.3</v>
      </c>
      <c r="I119" s="23">
        <v>479.63</v>
      </c>
      <c r="J119" s="4">
        <v>1437.99</v>
      </c>
    </row>
    <row r="120" spans="1:10">
      <c r="A120" t="s">
        <v>469</v>
      </c>
      <c r="B120" s="3">
        <v>45405</v>
      </c>
      <c r="C120" t="s">
        <v>470</v>
      </c>
      <c r="D120" t="s">
        <v>104</v>
      </c>
      <c r="E120" t="s">
        <v>272</v>
      </c>
      <c r="F120">
        <v>1</v>
      </c>
      <c r="G120" t="s">
        <v>50</v>
      </c>
      <c r="H120" s="14">
        <v>0.3</v>
      </c>
      <c r="I120" s="23">
        <v>165</v>
      </c>
      <c r="J120" s="4">
        <v>164.7</v>
      </c>
    </row>
    <row r="121" spans="1:10">
      <c r="A121" t="s">
        <v>471</v>
      </c>
      <c r="B121" s="3">
        <v>45503</v>
      </c>
      <c r="C121" t="s">
        <v>472</v>
      </c>
      <c r="D121" t="s">
        <v>314</v>
      </c>
      <c r="E121" t="s">
        <v>43</v>
      </c>
      <c r="F121">
        <v>2</v>
      </c>
      <c r="G121" t="s">
        <v>50</v>
      </c>
      <c r="H121" s="14">
        <v>0.28999999999999998</v>
      </c>
      <c r="I121" s="23">
        <v>151.51</v>
      </c>
      <c r="J121" s="4">
        <v>302.44</v>
      </c>
    </row>
    <row r="122" spans="1:10">
      <c r="A122" t="s">
        <v>473</v>
      </c>
      <c r="B122" s="3">
        <v>45274</v>
      </c>
      <c r="C122" t="s">
        <v>474</v>
      </c>
      <c r="D122" t="s">
        <v>311</v>
      </c>
      <c r="E122" t="s">
        <v>32</v>
      </c>
      <c r="F122">
        <v>2</v>
      </c>
      <c r="G122" t="s">
        <v>50</v>
      </c>
      <c r="H122" s="14">
        <v>0.28999999999999998</v>
      </c>
      <c r="I122" s="23">
        <v>872.93</v>
      </c>
      <c r="J122" s="4">
        <v>1745.28</v>
      </c>
    </row>
    <row r="123" spans="1:10">
      <c r="A123" t="s">
        <v>475</v>
      </c>
      <c r="B123" s="3">
        <v>45558</v>
      </c>
      <c r="C123" t="s">
        <v>476</v>
      </c>
      <c r="D123" t="s">
        <v>443</v>
      </c>
      <c r="E123" t="s">
        <v>168</v>
      </c>
      <c r="F123">
        <v>3</v>
      </c>
      <c r="G123" t="s">
        <v>23</v>
      </c>
      <c r="H123" s="14">
        <v>0.04</v>
      </c>
      <c r="I123" s="23">
        <v>432.4</v>
      </c>
      <c r="J123" s="4">
        <v>1297.08</v>
      </c>
    </row>
    <row r="124" spans="1:10">
      <c r="A124" t="s">
        <v>477</v>
      </c>
      <c r="B124" s="3">
        <v>45886</v>
      </c>
      <c r="C124" t="s">
        <v>439</v>
      </c>
      <c r="D124" t="s">
        <v>409</v>
      </c>
      <c r="E124" t="s">
        <v>66</v>
      </c>
      <c r="F124">
        <v>2</v>
      </c>
      <c r="G124" t="s">
        <v>23</v>
      </c>
      <c r="H124" s="14">
        <v>0.04</v>
      </c>
      <c r="I124" s="23">
        <v>197.76</v>
      </c>
      <c r="J124" s="4">
        <v>395.44</v>
      </c>
    </row>
    <row r="125" spans="1:10">
      <c r="A125" t="s">
        <v>478</v>
      </c>
      <c r="B125" s="3">
        <v>45674</v>
      </c>
      <c r="C125" t="s">
        <v>166</v>
      </c>
      <c r="D125" t="s">
        <v>295</v>
      </c>
      <c r="E125" t="s">
        <v>198</v>
      </c>
      <c r="F125">
        <v>3</v>
      </c>
      <c r="G125" t="s">
        <v>33</v>
      </c>
      <c r="H125" s="14">
        <v>0.11</v>
      </c>
      <c r="I125" s="23">
        <v>334.6</v>
      </c>
      <c r="J125" s="4">
        <v>1003.47</v>
      </c>
    </row>
    <row r="126" spans="1:10">
      <c r="A126" t="s">
        <v>479</v>
      </c>
      <c r="B126" s="3">
        <v>45777</v>
      </c>
      <c r="C126" t="s">
        <v>456</v>
      </c>
      <c r="D126" t="s">
        <v>480</v>
      </c>
      <c r="E126" t="s">
        <v>22</v>
      </c>
      <c r="F126">
        <v>2</v>
      </c>
      <c r="G126" t="s">
        <v>50</v>
      </c>
      <c r="H126" s="14">
        <v>0.2</v>
      </c>
      <c r="I126" s="23">
        <v>44.35</v>
      </c>
      <c r="J126" s="4">
        <v>88.3</v>
      </c>
    </row>
    <row r="127" spans="1:10">
      <c r="A127" t="s">
        <v>482</v>
      </c>
      <c r="B127" s="3">
        <v>45598</v>
      </c>
      <c r="C127" t="s">
        <v>483</v>
      </c>
      <c r="D127" t="s">
        <v>484</v>
      </c>
      <c r="E127" t="s">
        <v>179</v>
      </c>
      <c r="F127">
        <v>1</v>
      </c>
      <c r="G127" t="s">
        <v>33</v>
      </c>
      <c r="H127" s="14">
        <v>0.05</v>
      </c>
      <c r="I127" s="23">
        <v>846.31</v>
      </c>
      <c r="J127" s="4">
        <v>846.26</v>
      </c>
    </row>
    <row r="128" spans="1:10">
      <c r="A128" t="s">
        <v>486</v>
      </c>
      <c r="B128" s="3">
        <v>45884</v>
      </c>
      <c r="C128" t="s">
        <v>417</v>
      </c>
      <c r="D128" t="s">
        <v>487</v>
      </c>
      <c r="E128" t="s">
        <v>208</v>
      </c>
      <c r="F128">
        <v>1</v>
      </c>
      <c r="G128" t="s">
        <v>50</v>
      </c>
      <c r="H128" s="14">
        <v>7.0000000000000007E-2</v>
      </c>
      <c r="I128" s="23">
        <v>996.48</v>
      </c>
      <c r="J128" s="4">
        <v>996.41</v>
      </c>
    </row>
    <row r="129" spans="1:10">
      <c r="A129" t="s">
        <v>489</v>
      </c>
      <c r="B129" s="3">
        <v>45916</v>
      </c>
      <c r="C129" t="s">
        <v>490</v>
      </c>
      <c r="D129" t="s">
        <v>317</v>
      </c>
      <c r="E129" t="s">
        <v>179</v>
      </c>
      <c r="F129">
        <v>3</v>
      </c>
      <c r="G129" t="s">
        <v>50</v>
      </c>
      <c r="H129" s="14">
        <v>0.03</v>
      </c>
      <c r="I129" s="23">
        <v>949.19</v>
      </c>
      <c r="J129" s="4">
        <v>2847.48</v>
      </c>
    </row>
    <row r="130" spans="1:10">
      <c r="A130" t="s">
        <v>492</v>
      </c>
      <c r="B130" s="3">
        <v>45347</v>
      </c>
      <c r="C130" t="s">
        <v>493</v>
      </c>
      <c r="D130" t="s">
        <v>242</v>
      </c>
      <c r="E130" t="s">
        <v>127</v>
      </c>
      <c r="F130">
        <v>2</v>
      </c>
      <c r="G130" t="s">
        <v>23</v>
      </c>
      <c r="H130" s="14">
        <v>0.1</v>
      </c>
      <c r="I130" s="23">
        <v>724.97</v>
      </c>
      <c r="J130" s="4">
        <v>1449.74</v>
      </c>
    </row>
    <row r="131" spans="1:10">
      <c r="A131" t="s">
        <v>494</v>
      </c>
      <c r="B131" s="3">
        <v>45723</v>
      </c>
      <c r="C131" t="s">
        <v>495</v>
      </c>
      <c r="D131" t="s">
        <v>389</v>
      </c>
      <c r="E131" t="s">
        <v>117</v>
      </c>
      <c r="F131">
        <v>1</v>
      </c>
      <c r="G131" t="s">
        <v>23</v>
      </c>
      <c r="H131" s="14">
        <v>0.3</v>
      </c>
      <c r="I131" s="23">
        <v>783.25</v>
      </c>
      <c r="J131" s="4">
        <v>782.95</v>
      </c>
    </row>
    <row r="132" spans="1:10">
      <c r="A132" t="s">
        <v>496</v>
      </c>
      <c r="B132" s="3">
        <v>45495</v>
      </c>
      <c r="C132" t="s">
        <v>497</v>
      </c>
      <c r="D132" t="s">
        <v>377</v>
      </c>
      <c r="E132" t="s">
        <v>22</v>
      </c>
      <c r="F132">
        <v>1</v>
      </c>
      <c r="G132" t="s">
        <v>23</v>
      </c>
      <c r="H132" s="14">
        <v>0.17</v>
      </c>
      <c r="I132" s="23">
        <v>942.38</v>
      </c>
      <c r="J132" s="4">
        <v>942.21</v>
      </c>
    </row>
    <row r="133" spans="1:10">
      <c r="A133" t="s">
        <v>499</v>
      </c>
      <c r="B133" s="3">
        <v>45444</v>
      </c>
      <c r="C133" t="s">
        <v>500</v>
      </c>
      <c r="D133" t="s">
        <v>501</v>
      </c>
      <c r="E133" t="s">
        <v>272</v>
      </c>
      <c r="F133">
        <v>3</v>
      </c>
      <c r="G133" t="s">
        <v>50</v>
      </c>
      <c r="H133" s="14">
        <v>0.05</v>
      </c>
      <c r="I133" s="23">
        <v>298.35000000000002</v>
      </c>
      <c r="J133" s="4">
        <v>894.9</v>
      </c>
    </row>
    <row r="134" spans="1:10">
      <c r="A134" t="s">
        <v>503</v>
      </c>
      <c r="B134" s="3">
        <v>45662</v>
      </c>
      <c r="C134" t="s">
        <v>504</v>
      </c>
      <c r="D134" t="s">
        <v>505</v>
      </c>
      <c r="E134" t="s">
        <v>208</v>
      </c>
      <c r="F134">
        <v>4</v>
      </c>
      <c r="G134" t="s">
        <v>33</v>
      </c>
      <c r="H134" s="14">
        <v>0.13</v>
      </c>
      <c r="I134" s="23">
        <v>950.04</v>
      </c>
      <c r="J134" s="4">
        <v>3799.64</v>
      </c>
    </row>
    <row r="135" spans="1:10">
      <c r="A135" t="s">
        <v>507</v>
      </c>
      <c r="B135" s="3">
        <v>45910</v>
      </c>
      <c r="C135" t="s">
        <v>508</v>
      </c>
      <c r="D135" t="s">
        <v>509</v>
      </c>
      <c r="E135" t="s">
        <v>72</v>
      </c>
      <c r="F135">
        <v>2</v>
      </c>
      <c r="G135" t="s">
        <v>23</v>
      </c>
      <c r="H135" s="14">
        <v>7.0000000000000007E-2</v>
      </c>
      <c r="I135" s="23">
        <v>267.19</v>
      </c>
      <c r="J135" s="4">
        <v>534.24</v>
      </c>
    </row>
    <row r="136" spans="1:10">
      <c r="A136" t="s">
        <v>512</v>
      </c>
      <c r="B136" s="3">
        <v>45827</v>
      </c>
      <c r="C136" t="s">
        <v>513</v>
      </c>
      <c r="D136" t="s">
        <v>514</v>
      </c>
      <c r="E136" t="s">
        <v>122</v>
      </c>
      <c r="F136">
        <v>4</v>
      </c>
      <c r="G136" t="s">
        <v>33</v>
      </c>
      <c r="H136" s="14">
        <v>0.06</v>
      </c>
      <c r="I136" s="23">
        <v>72.63</v>
      </c>
      <c r="J136" s="4">
        <v>290.27999999999997</v>
      </c>
    </row>
    <row r="137" spans="1:10">
      <c r="A137" t="s">
        <v>516</v>
      </c>
      <c r="B137" s="3">
        <v>45544</v>
      </c>
      <c r="C137" t="s">
        <v>517</v>
      </c>
      <c r="D137" t="s">
        <v>207</v>
      </c>
      <c r="E137" t="s">
        <v>58</v>
      </c>
      <c r="F137">
        <v>3</v>
      </c>
      <c r="G137" t="s">
        <v>50</v>
      </c>
      <c r="H137" s="14">
        <v>0.22</v>
      </c>
      <c r="I137" s="23">
        <v>576.52</v>
      </c>
      <c r="J137" s="4">
        <v>1728.9</v>
      </c>
    </row>
    <row r="138" spans="1:10">
      <c r="A138" t="s">
        <v>518</v>
      </c>
      <c r="B138" s="3">
        <v>45751</v>
      </c>
      <c r="C138" t="s">
        <v>519</v>
      </c>
      <c r="D138" t="s">
        <v>368</v>
      </c>
      <c r="E138" t="s">
        <v>127</v>
      </c>
      <c r="F138">
        <v>3</v>
      </c>
      <c r="G138" t="s">
        <v>23</v>
      </c>
      <c r="H138" s="14">
        <v>0.03</v>
      </c>
      <c r="I138" s="23">
        <v>849.36</v>
      </c>
      <c r="J138" s="4">
        <v>2547.9899999999998</v>
      </c>
    </row>
    <row r="139" spans="1:10">
      <c r="A139" t="s">
        <v>520</v>
      </c>
      <c r="B139" s="3">
        <v>45392</v>
      </c>
      <c r="C139" t="s">
        <v>521</v>
      </c>
      <c r="D139" t="s">
        <v>409</v>
      </c>
      <c r="E139" t="s">
        <v>179</v>
      </c>
      <c r="F139">
        <v>1</v>
      </c>
      <c r="G139" t="s">
        <v>50</v>
      </c>
      <c r="H139" s="14">
        <v>0.18</v>
      </c>
      <c r="I139" s="23">
        <v>245.85</v>
      </c>
      <c r="J139" s="4">
        <v>245.67</v>
      </c>
    </row>
    <row r="140" spans="1:10">
      <c r="A140" t="s">
        <v>522</v>
      </c>
      <c r="B140" s="3">
        <v>45589</v>
      </c>
      <c r="C140" t="s">
        <v>523</v>
      </c>
      <c r="D140" t="s">
        <v>21</v>
      </c>
      <c r="E140" t="s">
        <v>168</v>
      </c>
      <c r="F140">
        <v>3</v>
      </c>
      <c r="G140" t="s">
        <v>50</v>
      </c>
      <c r="H140" s="14">
        <v>0.1</v>
      </c>
      <c r="I140" s="23">
        <v>237.68</v>
      </c>
      <c r="J140" s="4">
        <v>712.74</v>
      </c>
    </row>
    <row r="141" spans="1:10">
      <c r="A141" t="s">
        <v>524</v>
      </c>
      <c r="B141" s="3">
        <v>45756</v>
      </c>
      <c r="C141" t="s">
        <v>525</v>
      </c>
      <c r="D141" t="s">
        <v>368</v>
      </c>
      <c r="E141" t="s">
        <v>98</v>
      </c>
      <c r="F141">
        <v>4</v>
      </c>
      <c r="G141" t="s">
        <v>33</v>
      </c>
      <c r="H141" s="14">
        <v>0.25</v>
      </c>
      <c r="I141" s="23">
        <v>715.85</v>
      </c>
      <c r="J141" s="4">
        <v>2862.4</v>
      </c>
    </row>
    <row r="142" spans="1:10">
      <c r="A142" t="s">
        <v>526</v>
      </c>
      <c r="B142" s="3">
        <v>45255</v>
      </c>
      <c r="C142" t="s">
        <v>527</v>
      </c>
      <c r="D142" t="s">
        <v>453</v>
      </c>
      <c r="E142" t="s">
        <v>58</v>
      </c>
      <c r="F142">
        <v>2</v>
      </c>
      <c r="G142" t="s">
        <v>50</v>
      </c>
      <c r="H142" s="14">
        <v>0.01</v>
      </c>
      <c r="I142" s="23">
        <v>478.85</v>
      </c>
      <c r="J142" s="4">
        <v>957.68</v>
      </c>
    </row>
    <row r="143" spans="1:10">
      <c r="A143" t="s">
        <v>528</v>
      </c>
      <c r="B143" s="3">
        <v>45718</v>
      </c>
      <c r="C143" t="s">
        <v>529</v>
      </c>
      <c r="D143" t="s">
        <v>302</v>
      </c>
      <c r="E143" t="s">
        <v>90</v>
      </c>
      <c r="F143">
        <v>1</v>
      </c>
      <c r="G143" t="s">
        <v>50</v>
      </c>
      <c r="H143" s="14">
        <v>0.26</v>
      </c>
      <c r="I143" s="23">
        <v>503.95</v>
      </c>
      <c r="J143" s="4">
        <v>503.69</v>
      </c>
    </row>
    <row r="144" spans="1:10">
      <c r="A144" t="s">
        <v>530</v>
      </c>
      <c r="B144" s="3">
        <v>45573</v>
      </c>
      <c r="C144" t="s">
        <v>531</v>
      </c>
      <c r="D144" t="s">
        <v>532</v>
      </c>
      <c r="E144" t="s">
        <v>208</v>
      </c>
      <c r="F144">
        <v>2</v>
      </c>
      <c r="G144" t="s">
        <v>50</v>
      </c>
      <c r="H144" s="14">
        <v>0.26</v>
      </c>
      <c r="I144" s="23">
        <v>975.48</v>
      </c>
      <c r="J144" s="4">
        <v>1950.44</v>
      </c>
    </row>
    <row r="145" spans="1:10">
      <c r="A145" t="s">
        <v>534</v>
      </c>
      <c r="B145" s="3">
        <v>45884</v>
      </c>
      <c r="C145" t="s">
        <v>535</v>
      </c>
      <c r="D145" t="s">
        <v>116</v>
      </c>
      <c r="E145" t="s">
        <v>117</v>
      </c>
      <c r="F145">
        <v>4</v>
      </c>
      <c r="G145" t="s">
        <v>50</v>
      </c>
      <c r="H145" s="14">
        <v>0.28999999999999998</v>
      </c>
      <c r="I145" s="23">
        <v>450.12</v>
      </c>
      <c r="J145" s="4">
        <v>1799.32</v>
      </c>
    </row>
    <row r="146" spans="1:10">
      <c r="A146" t="s">
        <v>536</v>
      </c>
      <c r="B146" s="3">
        <v>45448</v>
      </c>
      <c r="C146" t="s">
        <v>125</v>
      </c>
      <c r="D146" t="s">
        <v>126</v>
      </c>
      <c r="E146" t="s">
        <v>43</v>
      </c>
      <c r="F146">
        <v>3</v>
      </c>
      <c r="G146" t="s">
        <v>33</v>
      </c>
      <c r="H146" s="14">
        <v>0.24</v>
      </c>
      <c r="I146" s="23">
        <v>237.24</v>
      </c>
      <c r="J146" s="4">
        <v>711</v>
      </c>
    </row>
    <row r="147" spans="1:10">
      <c r="A147" t="s">
        <v>537</v>
      </c>
      <c r="B147" s="3">
        <v>45522</v>
      </c>
      <c r="C147" t="s">
        <v>538</v>
      </c>
      <c r="D147" t="s">
        <v>420</v>
      </c>
      <c r="E147" t="s">
        <v>122</v>
      </c>
      <c r="F147">
        <v>2</v>
      </c>
      <c r="G147" t="s">
        <v>50</v>
      </c>
      <c r="H147" s="14">
        <v>0.09</v>
      </c>
      <c r="I147" s="23">
        <v>536.84</v>
      </c>
      <c r="J147" s="4">
        <v>1073.5</v>
      </c>
    </row>
    <row r="148" spans="1:10">
      <c r="A148" t="s">
        <v>539</v>
      </c>
      <c r="B148" s="3">
        <v>45626</v>
      </c>
      <c r="C148" t="s">
        <v>115</v>
      </c>
      <c r="D148" t="s">
        <v>126</v>
      </c>
      <c r="E148" t="s">
        <v>135</v>
      </c>
      <c r="F148">
        <v>3</v>
      </c>
      <c r="G148" t="s">
        <v>50</v>
      </c>
      <c r="H148" s="14">
        <v>0</v>
      </c>
      <c r="I148" s="23">
        <v>584.41</v>
      </c>
      <c r="J148" s="4">
        <v>1753.23</v>
      </c>
    </row>
    <row r="149" spans="1:10">
      <c r="A149" t="s">
        <v>540</v>
      </c>
      <c r="B149" s="3">
        <v>45617</v>
      </c>
      <c r="C149" t="s">
        <v>541</v>
      </c>
      <c r="D149" t="s">
        <v>542</v>
      </c>
      <c r="E149" t="s">
        <v>135</v>
      </c>
      <c r="F149">
        <v>1</v>
      </c>
      <c r="G149" t="s">
        <v>33</v>
      </c>
      <c r="H149" s="14">
        <v>0.14000000000000001</v>
      </c>
      <c r="I149" s="23">
        <v>653.87</v>
      </c>
      <c r="J149" s="4">
        <v>653.73</v>
      </c>
    </row>
    <row r="150" spans="1:10">
      <c r="A150" t="s">
        <v>544</v>
      </c>
      <c r="B150" s="3">
        <v>45878</v>
      </c>
      <c r="C150" t="s">
        <v>56</v>
      </c>
      <c r="D150" t="s">
        <v>514</v>
      </c>
      <c r="E150" t="s">
        <v>90</v>
      </c>
      <c r="F150">
        <v>1</v>
      </c>
      <c r="G150" t="s">
        <v>23</v>
      </c>
      <c r="H150" s="14">
        <v>0.27</v>
      </c>
      <c r="I150" s="23">
        <v>652.03</v>
      </c>
      <c r="J150" s="4">
        <v>651.76</v>
      </c>
    </row>
    <row r="151" spans="1:10">
      <c r="A151" t="s">
        <v>545</v>
      </c>
      <c r="B151" s="3">
        <v>45502</v>
      </c>
      <c r="C151" t="s">
        <v>546</v>
      </c>
      <c r="D151" t="s">
        <v>183</v>
      </c>
      <c r="E151" t="s">
        <v>208</v>
      </c>
      <c r="F151">
        <v>3</v>
      </c>
      <c r="G151" t="s">
        <v>50</v>
      </c>
      <c r="H151" s="14">
        <v>7.0000000000000007E-2</v>
      </c>
      <c r="I151" s="23">
        <v>513.36</v>
      </c>
      <c r="J151" s="4">
        <v>1539.87</v>
      </c>
    </row>
    <row r="152" spans="1:10">
      <c r="A152" t="s">
        <v>547</v>
      </c>
      <c r="B152" s="3">
        <v>45433</v>
      </c>
      <c r="C152" t="s">
        <v>548</v>
      </c>
      <c r="D152" t="s">
        <v>282</v>
      </c>
      <c r="E152" t="s">
        <v>58</v>
      </c>
      <c r="F152">
        <v>4</v>
      </c>
      <c r="G152" t="s">
        <v>50</v>
      </c>
      <c r="H152" s="14">
        <v>0.16</v>
      </c>
      <c r="I152" s="23">
        <v>355.64</v>
      </c>
      <c r="J152" s="4">
        <v>1421.92</v>
      </c>
    </row>
    <row r="153" spans="1:10">
      <c r="A153" t="s">
        <v>549</v>
      </c>
      <c r="B153" s="3">
        <v>45594</v>
      </c>
      <c r="C153" t="s">
        <v>550</v>
      </c>
      <c r="D153" t="s">
        <v>197</v>
      </c>
      <c r="E153" t="s">
        <v>43</v>
      </c>
      <c r="F153">
        <v>4</v>
      </c>
      <c r="G153" t="s">
        <v>33</v>
      </c>
      <c r="H153" s="14">
        <v>0.26</v>
      </c>
      <c r="I153" s="23">
        <v>535.4</v>
      </c>
      <c r="J153" s="4">
        <v>2140.56</v>
      </c>
    </row>
    <row r="154" spans="1:10">
      <c r="A154" t="s">
        <v>551</v>
      </c>
      <c r="B154" s="3">
        <v>45798</v>
      </c>
      <c r="C154" t="s">
        <v>552</v>
      </c>
      <c r="D154" t="s">
        <v>167</v>
      </c>
      <c r="E154" t="s">
        <v>135</v>
      </c>
      <c r="F154">
        <v>2</v>
      </c>
      <c r="G154" t="s">
        <v>33</v>
      </c>
      <c r="H154" s="14">
        <v>0.11</v>
      </c>
      <c r="I154" s="23">
        <v>108.74</v>
      </c>
      <c r="J154" s="4">
        <v>217.26</v>
      </c>
    </row>
    <row r="155" spans="1:10">
      <c r="A155" t="s">
        <v>553</v>
      </c>
      <c r="B155" s="3">
        <v>45579</v>
      </c>
      <c r="C155" t="s">
        <v>554</v>
      </c>
      <c r="D155" t="s">
        <v>555</v>
      </c>
      <c r="E155" t="s">
        <v>135</v>
      </c>
      <c r="F155">
        <v>3</v>
      </c>
      <c r="G155" t="s">
        <v>23</v>
      </c>
      <c r="H155" s="14">
        <v>0.16</v>
      </c>
      <c r="I155" s="23">
        <v>591.98</v>
      </c>
      <c r="J155" s="4">
        <v>1775.46</v>
      </c>
    </row>
    <row r="156" spans="1:10">
      <c r="A156" t="s">
        <v>557</v>
      </c>
      <c r="B156" s="3">
        <v>45613</v>
      </c>
      <c r="C156" t="s">
        <v>558</v>
      </c>
      <c r="D156" t="s">
        <v>505</v>
      </c>
      <c r="E156" t="s">
        <v>198</v>
      </c>
      <c r="F156">
        <v>1</v>
      </c>
      <c r="G156" t="s">
        <v>50</v>
      </c>
      <c r="H156" s="14">
        <v>0.13</v>
      </c>
      <c r="I156" s="23">
        <v>345.06</v>
      </c>
      <c r="J156" s="4">
        <v>344.93</v>
      </c>
    </row>
    <row r="157" spans="1:10">
      <c r="A157" t="s">
        <v>559</v>
      </c>
      <c r="B157" s="3">
        <v>45745</v>
      </c>
      <c r="C157" t="s">
        <v>560</v>
      </c>
      <c r="D157" t="s">
        <v>317</v>
      </c>
      <c r="E157" t="s">
        <v>208</v>
      </c>
      <c r="F157">
        <v>4</v>
      </c>
      <c r="G157" t="s">
        <v>23</v>
      </c>
      <c r="H157" s="14">
        <v>0.22</v>
      </c>
      <c r="I157" s="23">
        <v>986.41</v>
      </c>
      <c r="J157" s="4">
        <v>3944.76</v>
      </c>
    </row>
    <row r="158" spans="1:10">
      <c r="A158" t="s">
        <v>561</v>
      </c>
      <c r="B158" s="3">
        <v>45494</v>
      </c>
      <c r="C158" t="s">
        <v>562</v>
      </c>
      <c r="D158" t="s">
        <v>42</v>
      </c>
      <c r="E158" t="s">
        <v>90</v>
      </c>
      <c r="F158">
        <v>2</v>
      </c>
      <c r="G158" t="s">
        <v>33</v>
      </c>
      <c r="H158" s="14">
        <v>0</v>
      </c>
      <c r="I158" s="23">
        <v>921.52</v>
      </c>
      <c r="J158" s="4">
        <v>1843.04</v>
      </c>
    </row>
    <row r="159" spans="1:10">
      <c r="A159" t="s">
        <v>563</v>
      </c>
      <c r="B159" s="3">
        <v>45883</v>
      </c>
      <c r="C159" t="s">
        <v>428</v>
      </c>
      <c r="D159" t="s">
        <v>564</v>
      </c>
      <c r="E159" t="s">
        <v>58</v>
      </c>
      <c r="F159">
        <v>1</v>
      </c>
      <c r="G159" t="s">
        <v>33</v>
      </c>
      <c r="H159" s="14">
        <v>0.04</v>
      </c>
      <c r="I159" s="23">
        <v>83.1</v>
      </c>
      <c r="J159" s="4">
        <v>83.06</v>
      </c>
    </row>
    <row r="160" spans="1:10">
      <c r="A160" t="s">
        <v>566</v>
      </c>
      <c r="B160" s="3">
        <v>45601</v>
      </c>
      <c r="C160" t="s">
        <v>423</v>
      </c>
      <c r="D160" t="s">
        <v>567</v>
      </c>
      <c r="E160" t="s">
        <v>272</v>
      </c>
      <c r="F160">
        <v>2</v>
      </c>
      <c r="G160" t="s">
        <v>33</v>
      </c>
      <c r="H160" s="14">
        <v>0.23</v>
      </c>
      <c r="I160" s="23">
        <v>60.98</v>
      </c>
      <c r="J160" s="4">
        <v>121.5</v>
      </c>
    </row>
    <row r="161" spans="1:10">
      <c r="A161" t="s">
        <v>569</v>
      </c>
      <c r="B161" s="3">
        <v>45454</v>
      </c>
      <c r="C161" t="s">
        <v>570</v>
      </c>
      <c r="D161" t="s">
        <v>287</v>
      </c>
      <c r="E161" t="s">
        <v>117</v>
      </c>
      <c r="F161">
        <v>2</v>
      </c>
      <c r="G161" t="s">
        <v>50</v>
      </c>
      <c r="H161" s="14">
        <v>0.21</v>
      </c>
      <c r="I161" s="23">
        <v>122.23</v>
      </c>
      <c r="J161" s="4">
        <v>244.04</v>
      </c>
    </row>
    <row r="162" spans="1:10">
      <c r="A162" t="s">
        <v>571</v>
      </c>
      <c r="B162" s="3">
        <v>45918</v>
      </c>
      <c r="C162" t="s">
        <v>572</v>
      </c>
      <c r="D162" t="s">
        <v>79</v>
      </c>
      <c r="E162" t="s">
        <v>160</v>
      </c>
      <c r="F162">
        <v>2</v>
      </c>
      <c r="G162" t="s">
        <v>23</v>
      </c>
      <c r="H162" s="14">
        <v>0.13</v>
      </c>
      <c r="I162" s="23">
        <v>623.38</v>
      </c>
      <c r="J162" s="4">
        <v>1246.5</v>
      </c>
    </row>
    <row r="163" spans="1:10">
      <c r="A163" t="s">
        <v>573</v>
      </c>
      <c r="B163" s="3">
        <v>45729</v>
      </c>
      <c r="C163" t="s">
        <v>335</v>
      </c>
      <c r="D163" t="s">
        <v>79</v>
      </c>
      <c r="E163" t="s">
        <v>90</v>
      </c>
      <c r="F163">
        <v>1</v>
      </c>
      <c r="G163" t="s">
        <v>33</v>
      </c>
      <c r="H163" s="14">
        <v>0.05</v>
      </c>
      <c r="I163" s="23">
        <v>479.58</v>
      </c>
      <c r="J163" s="4">
        <v>479.53</v>
      </c>
    </row>
    <row r="164" spans="1:10">
      <c r="A164" t="s">
        <v>574</v>
      </c>
      <c r="B164" s="3">
        <v>45276</v>
      </c>
      <c r="C164" t="s">
        <v>404</v>
      </c>
      <c r="D164" t="s">
        <v>575</v>
      </c>
      <c r="E164" t="s">
        <v>179</v>
      </c>
      <c r="F164">
        <v>3</v>
      </c>
      <c r="G164" t="s">
        <v>33</v>
      </c>
      <c r="H164" s="14">
        <v>0.14000000000000001</v>
      </c>
      <c r="I164" s="23">
        <v>369.32</v>
      </c>
      <c r="J164" s="4">
        <v>1107.54</v>
      </c>
    </row>
    <row r="165" spans="1:10">
      <c r="A165" t="s">
        <v>577</v>
      </c>
      <c r="B165" s="3">
        <v>45851</v>
      </c>
      <c r="C165" t="s">
        <v>578</v>
      </c>
      <c r="D165" t="s">
        <v>579</v>
      </c>
      <c r="E165" t="s">
        <v>105</v>
      </c>
      <c r="F165">
        <v>1</v>
      </c>
      <c r="G165" t="s">
        <v>33</v>
      </c>
      <c r="H165" s="14">
        <v>0.03</v>
      </c>
      <c r="I165" s="23">
        <v>488.31</v>
      </c>
      <c r="J165" s="4">
        <v>488.28</v>
      </c>
    </row>
    <row r="166" spans="1:10">
      <c r="A166" t="s">
        <v>581</v>
      </c>
      <c r="B166" s="3">
        <v>45418</v>
      </c>
      <c r="C166" t="s">
        <v>133</v>
      </c>
      <c r="D166" t="s">
        <v>420</v>
      </c>
      <c r="E166" t="s">
        <v>208</v>
      </c>
      <c r="F166">
        <v>4</v>
      </c>
      <c r="G166" t="s">
        <v>23</v>
      </c>
      <c r="H166" s="14">
        <v>0.26</v>
      </c>
      <c r="I166" s="23">
        <v>164.04</v>
      </c>
      <c r="J166" s="4">
        <v>655.12</v>
      </c>
    </row>
    <row r="167" spans="1:10">
      <c r="A167" t="s">
        <v>582</v>
      </c>
      <c r="B167" s="3">
        <v>45508</v>
      </c>
      <c r="C167" t="s">
        <v>583</v>
      </c>
      <c r="D167" t="s">
        <v>234</v>
      </c>
      <c r="E167" t="s">
        <v>32</v>
      </c>
      <c r="F167">
        <v>3</v>
      </c>
      <c r="G167" t="s">
        <v>33</v>
      </c>
      <c r="H167" s="14">
        <v>0.18</v>
      </c>
      <c r="I167" s="23">
        <v>707.95</v>
      </c>
      <c r="J167" s="4">
        <v>2123.31</v>
      </c>
    </row>
    <row r="168" spans="1:10">
      <c r="A168" t="s">
        <v>584</v>
      </c>
      <c r="B168" s="3">
        <v>45269</v>
      </c>
      <c r="C168" t="s">
        <v>585</v>
      </c>
      <c r="D168" t="s">
        <v>167</v>
      </c>
      <c r="E168" t="s">
        <v>43</v>
      </c>
      <c r="F168">
        <v>4</v>
      </c>
      <c r="G168" t="s">
        <v>50</v>
      </c>
      <c r="H168" s="14">
        <v>0.18</v>
      </c>
      <c r="I168" s="23">
        <v>714.47</v>
      </c>
      <c r="J168" s="4">
        <v>2857.16</v>
      </c>
    </row>
    <row r="169" spans="1:10">
      <c r="A169" t="s">
        <v>586</v>
      </c>
      <c r="B169" s="3">
        <v>45866</v>
      </c>
      <c r="C169" t="s">
        <v>587</v>
      </c>
      <c r="D169" t="s">
        <v>221</v>
      </c>
      <c r="E169" t="s">
        <v>66</v>
      </c>
      <c r="F169">
        <v>4</v>
      </c>
      <c r="G169" t="s">
        <v>23</v>
      </c>
      <c r="H169" s="14">
        <v>0.04</v>
      </c>
      <c r="I169" s="23">
        <v>422.09</v>
      </c>
      <c r="J169" s="4">
        <v>1688.2</v>
      </c>
    </row>
    <row r="170" spans="1:10">
      <c r="A170" t="s">
        <v>588</v>
      </c>
      <c r="B170" s="3">
        <v>45462</v>
      </c>
      <c r="C170" t="s">
        <v>589</v>
      </c>
      <c r="D170" t="s">
        <v>271</v>
      </c>
      <c r="E170" t="s">
        <v>127</v>
      </c>
      <c r="F170">
        <v>1</v>
      </c>
      <c r="G170" t="s">
        <v>23</v>
      </c>
      <c r="H170" s="14">
        <v>0.2</v>
      </c>
      <c r="I170" s="23">
        <v>998.19</v>
      </c>
      <c r="J170" s="4">
        <v>997.99</v>
      </c>
    </row>
    <row r="171" spans="1:10">
      <c r="A171" t="s">
        <v>590</v>
      </c>
      <c r="B171" s="3">
        <v>45313</v>
      </c>
      <c r="C171" t="s">
        <v>591</v>
      </c>
      <c r="D171" t="s">
        <v>155</v>
      </c>
      <c r="E171" t="s">
        <v>66</v>
      </c>
      <c r="F171">
        <v>2</v>
      </c>
      <c r="G171" t="s">
        <v>50</v>
      </c>
      <c r="H171" s="14">
        <v>0.12</v>
      </c>
      <c r="I171" s="23">
        <v>343.42</v>
      </c>
      <c r="J171" s="4">
        <v>686.6</v>
      </c>
    </row>
    <row r="172" spans="1:10">
      <c r="A172" t="s">
        <v>592</v>
      </c>
      <c r="B172" s="3">
        <v>45390</v>
      </c>
      <c r="C172" t="s">
        <v>593</v>
      </c>
      <c r="D172" t="s">
        <v>116</v>
      </c>
      <c r="E172" t="s">
        <v>179</v>
      </c>
      <c r="F172">
        <v>1</v>
      </c>
      <c r="G172" t="s">
        <v>50</v>
      </c>
      <c r="H172" s="14">
        <v>0.28000000000000003</v>
      </c>
      <c r="I172" s="23">
        <v>152.16999999999999</v>
      </c>
      <c r="J172" s="4">
        <v>151.88999999999999</v>
      </c>
    </row>
    <row r="173" spans="1:10">
      <c r="A173" t="s">
        <v>594</v>
      </c>
      <c r="B173" s="3">
        <v>45795</v>
      </c>
      <c r="C173" t="s">
        <v>595</v>
      </c>
      <c r="D173" t="s">
        <v>42</v>
      </c>
      <c r="E173" t="s">
        <v>272</v>
      </c>
      <c r="F173">
        <v>1</v>
      </c>
      <c r="G173" t="s">
        <v>33</v>
      </c>
      <c r="H173" s="14">
        <v>0.26</v>
      </c>
      <c r="I173" s="23">
        <v>325.08</v>
      </c>
      <c r="J173" s="4">
        <v>324.82</v>
      </c>
    </row>
    <row r="174" spans="1:10">
      <c r="A174" t="s">
        <v>596</v>
      </c>
      <c r="B174" s="3">
        <v>45267</v>
      </c>
      <c r="C174" t="s">
        <v>220</v>
      </c>
      <c r="D174" t="s">
        <v>287</v>
      </c>
      <c r="E174" t="s">
        <v>168</v>
      </c>
      <c r="F174">
        <v>2</v>
      </c>
      <c r="G174" t="s">
        <v>50</v>
      </c>
      <c r="H174" s="14">
        <v>0.25</v>
      </c>
      <c r="I174" s="23">
        <v>827.92</v>
      </c>
      <c r="J174" s="4">
        <v>1655.34</v>
      </c>
    </row>
    <row r="175" spans="1:10">
      <c r="A175" t="s">
        <v>597</v>
      </c>
      <c r="B175" s="3">
        <v>45314</v>
      </c>
      <c r="C175" t="s">
        <v>598</v>
      </c>
      <c r="D175" t="s">
        <v>246</v>
      </c>
      <c r="E175" t="s">
        <v>198</v>
      </c>
      <c r="F175">
        <v>2</v>
      </c>
      <c r="G175" t="s">
        <v>50</v>
      </c>
      <c r="H175" s="14">
        <v>0.1</v>
      </c>
      <c r="I175" s="23">
        <v>593.47</v>
      </c>
      <c r="J175" s="4">
        <v>1186.74</v>
      </c>
    </row>
    <row r="176" spans="1:10">
      <c r="A176" t="s">
        <v>599</v>
      </c>
      <c r="B176" s="3">
        <v>45267</v>
      </c>
      <c r="C176" t="s">
        <v>600</v>
      </c>
      <c r="D176" t="s">
        <v>291</v>
      </c>
      <c r="E176" t="s">
        <v>66</v>
      </c>
      <c r="F176">
        <v>4</v>
      </c>
      <c r="G176" t="s">
        <v>50</v>
      </c>
      <c r="H176" s="14">
        <v>0.05</v>
      </c>
      <c r="I176" s="23">
        <v>756.28</v>
      </c>
      <c r="J176" s="4">
        <v>3024.92</v>
      </c>
    </row>
    <row r="177" spans="1:10">
      <c r="A177" t="s">
        <v>601</v>
      </c>
      <c r="B177" s="3">
        <v>45641</v>
      </c>
      <c r="C177" t="s">
        <v>602</v>
      </c>
      <c r="D177" t="s">
        <v>603</v>
      </c>
      <c r="E177" t="s">
        <v>105</v>
      </c>
      <c r="F177">
        <v>2</v>
      </c>
      <c r="G177" t="s">
        <v>23</v>
      </c>
      <c r="H177" s="14">
        <v>0.14000000000000001</v>
      </c>
      <c r="I177" s="23">
        <v>707.65</v>
      </c>
      <c r="J177" s="4">
        <v>1415.02</v>
      </c>
    </row>
    <row r="178" spans="1:10">
      <c r="A178" t="s">
        <v>605</v>
      </c>
      <c r="B178" s="3">
        <v>45371</v>
      </c>
      <c r="C178" t="s">
        <v>606</v>
      </c>
      <c r="D178" t="s">
        <v>425</v>
      </c>
      <c r="E178" t="s">
        <v>122</v>
      </c>
      <c r="F178">
        <v>1</v>
      </c>
      <c r="G178" t="s">
        <v>33</v>
      </c>
      <c r="H178" s="14">
        <v>0.28000000000000003</v>
      </c>
      <c r="I178" s="23">
        <v>857.35</v>
      </c>
      <c r="J178" s="4">
        <v>857.07</v>
      </c>
    </row>
    <row r="179" spans="1:10">
      <c r="A179" t="s">
        <v>607</v>
      </c>
      <c r="B179" s="3">
        <v>45670</v>
      </c>
      <c r="C179" t="s">
        <v>608</v>
      </c>
      <c r="D179" t="s">
        <v>564</v>
      </c>
      <c r="E179" t="s">
        <v>43</v>
      </c>
      <c r="F179">
        <v>1</v>
      </c>
      <c r="G179" t="s">
        <v>33</v>
      </c>
      <c r="H179" s="14">
        <v>0.04</v>
      </c>
      <c r="I179" s="23">
        <v>79</v>
      </c>
      <c r="J179" s="4">
        <v>78.959999999999994</v>
      </c>
    </row>
    <row r="180" spans="1:10">
      <c r="A180" t="s">
        <v>610</v>
      </c>
      <c r="B180" s="3">
        <v>45885</v>
      </c>
      <c r="C180" t="s">
        <v>611</v>
      </c>
      <c r="D180" t="s">
        <v>242</v>
      </c>
      <c r="E180" t="s">
        <v>58</v>
      </c>
      <c r="F180">
        <v>4</v>
      </c>
      <c r="G180" t="s">
        <v>50</v>
      </c>
      <c r="H180" s="14">
        <v>0</v>
      </c>
      <c r="I180" s="23">
        <v>638.91</v>
      </c>
      <c r="J180" s="4">
        <v>2555.64</v>
      </c>
    </row>
    <row r="181" spans="1:10">
      <c r="A181" t="s">
        <v>612</v>
      </c>
      <c r="B181" s="3">
        <v>45812</v>
      </c>
      <c r="C181" t="s">
        <v>613</v>
      </c>
      <c r="D181" t="s">
        <v>344</v>
      </c>
      <c r="E181" t="s">
        <v>90</v>
      </c>
      <c r="F181">
        <v>2</v>
      </c>
      <c r="G181" t="s">
        <v>23</v>
      </c>
      <c r="H181" s="14">
        <v>0.27</v>
      </c>
      <c r="I181" s="23">
        <v>522.16999999999996</v>
      </c>
      <c r="J181" s="4">
        <v>1043.8</v>
      </c>
    </row>
    <row r="182" spans="1:10">
      <c r="A182" t="s">
        <v>614</v>
      </c>
      <c r="B182" s="3">
        <v>45235</v>
      </c>
      <c r="C182" t="s">
        <v>615</v>
      </c>
      <c r="D182" t="s">
        <v>104</v>
      </c>
      <c r="E182" t="s">
        <v>208</v>
      </c>
      <c r="F182">
        <v>3</v>
      </c>
      <c r="G182" t="s">
        <v>23</v>
      </c>
      <c r="H182" s="14">
        <v>0.27</v>
      </c>
      <c r="I182" s="23">
        <v>954.29</v>
      </c>
      <c r="J182" s="4">
        <v>2862.06</v>
      </c>
    </row>
    <row r="183" spans="1:10">
      <c r="A183" t="s">
        <v>616</v>
      </c>
      <c r="B183" s="3">
        <v>45710</v>
      </c>
      <c r="C183" t="s">
        <v>617</v>
      </c>
      <c r="D183" t="s">
        <v>89</v>
      </c>
      <c r="E183" t="s">
        <v>149</v>
      </c>
      <c r="F183">
        <v>3</v>
      </c>
      <c r="G183" t="s">
        <v>33</v>
      </c>
      <c r="H183" s="14">
        <v>0.15</v>
      </c>
      <c r="I183" s="23">
        <v>53.92</v>
      </c>
      <c r="J183" s="4">
        <v>161.31</v>
      </c>
    </row>
    <row r="184" spans="1:10">
      <c r="A184" t="s">
        <v>618</v>
      </c>
      <c r="B184" s="3">
        <v>45753</v>
      </c>
      <c r="C184" t="s">
        <v>158</v>
      </c>
      <c r="D184" t="s">
        <v>116</v>
      </c>
      <c r="E184" t="s">
        <v>90</v>
      </c>
      <c r="F184">
        <v>4</v>
      </c>
      <c r="G184" t="s">
        <v>50</v>
      </c>
      <c r="H184" s="14">
        <v>0.02</v>
      </c>
      <c r="I184" s="23">
        <v>741.88</v>
      </c>
      <c r="J184" s="4">
        <v>2967.44</v>
      </c>
    </row>
    <row r="185" spans="1:10">
      <c r="A185" t="s">
        <v>619</v>
      </c>
      <c r="B185" s="3">
        <v>45594</v>
      </c>
      <c r="C185" t="s">
        <v>620</v>
      </c>
      <c r="D185" t="s">
        <v>381</v>
      </c>
      <c r="E185" t="s">
        <v>22</v>
      </c>
      <c r="F185">
        <v>1</v>
      </c>
      <c r="G185" t="s">
        <v>33</v>
      </c>
      <c r="H185" s="14">
        <v>0.01</v>
      </c>
      <c r="I185" s="23">
        <v>547.09</v>
      </c>
      <c r="J185" s="4">
        <v>547.08000000000004</v>
      </c>
    </row>
    <row r="186" spans="1:10">
      <c r="A186" t="s">
        <v>621</v>
      </c>
      <c r="B186" s="3">
        <v>45686</v>
      </c>
      <c r="C186" t="s">
        <v>622</v>
      </c>
      <c r="D186" t="s">
        <v>287</v>
      </c>
      <c r="E186" t="s">
        <v>22</v>
      </c>
      <c r="F186">
        <v>1</v>
      </c>
      <c r="G186" t="s">
        <v>33</v>
      </c>
      <c r="H186" s="14">
        <v>0.14000000000000001</v>
      </c>
      <c r="I186" s="23">
        <v>789.35</v>
      </c>
      <c r="J186" s="4">
        <v>789.21</v>
      </c>
    </row>
    <row r="187" spans="1:10">
      <c r="A187" t="s">
        <v>623</v>
      </c>
      <c r="B187" s="3">
        <v>45354</v>
      </c>
      <c r="C187" t="s">
        <v>624</v>
      </c>
      <c r="D187" t="s">
        <v>625</v>
      </c>
      <c r="E187" t="s">
        <v>22</v>
      </c>
      <c r="F187">
        <v>3</v>
      </c>
      <c r="G187" t="s">
        <v>50</v>
      </c>
      <c r="H187" s="14">
        <v>0.09</v>
      </c>
      <c r="I187" s="23">
        <v>476.78</v>
      </c>
      <c r="J187" s="4">
        <v>1430.07</v>
      </c>
    </row>
    <row r="188" spans="1:10">
      <c r="A188" t="s">
        <v>627</v>
      </c>
      <c r="B188" s="3">
        <v>45600</v>
      </c>
      <c r="C188" t="s">
        <v>217</v>
      </c>
      <c r="D188" t="s">
        <v>221</v>
      </c>
      <c r="E188" t="s">
        <v>160</v>
      </c>
      <c r="F188">
        <v>2</v>
      </c>
      <c r="G188" t="s">
        <v>33</v>
      </c>
      <c r="H188" s="14">
        <v>0.04</v>
      </c>
      <c r="I188" s="23">
        <v>504.26</v>
      </c>
      <c r="J188" s="4">
        <v>1008.44</v>
      </c>
    </row>
    <row r="189" spans="1:10">
      <c r="A189" t="s">
        <v>628</v>
      </c>
      <c r="B189" s="3">
        <v>45538</v>
      </c>
      <c r="C189" t="s">
        <v>629</v>
      </c>
      <c r="D189" t="s">
        <v>630</v>
      </c>
      <c r="E189" t="s">
        <v>179</v>
      </c>
      <c r="F189">
        <v>2</v>
      </c>
      <c r="G189" t="s">
        <v>50</v>
      </c>
      <c r="H189" s="14">
        <v>0.01</v>
      </c>
      <c r="I189" s="23">
        <v>549.33000000000004</v>
      </c>
      <c r="J189" s="4">
        <v>1098.6400000000001</v>
      </c>
    </row>
    <row r="190" spans="1:10">
      <c r="A190" t="s">
        <v>632</v>
      </c>
      <c r="B190" s="3">
        <v>45411</v>
      </c>
      <c r="C190" t="s">
        <v>633</v>
      </c>
      <c r="D190" t="s">
        <v>634</v>
      </c>
      <c r="E190" t="s">
        <v>22</v>
      </c>
      <c r="F190">
        <v>3</v>
      </c>
      <c r="G190" t="s">
        <v>23</v>
      </c>
      <c r="H190" s="14">
        <v>0.04</v>
      </c>
      <c r="I190" s="23">
        <v>620.22</v>
      </c>
      <c r="J190" s="4">
        <v>1860.54</v>
      </c>
    </row>
    <row r="191" spans="1:10">
      <c r="A191" t="s">
        <v>636</v>
      </c>
      <c r="B191" s="3">
        <v>45411</v>
      </c>
      <c r="C191" t="s">
        <v>637</v>
      </c>
      <c r="D191" t="s">
        <v>381</v>
      </c>
      <c r="E191" t="s">
        <v>22</v>
      </c>
      <c r="F191">
        <v>1</v>
      </c>
      <c r="G191" t="s">
        <v>50</v>
      </c>
      <c r="H191" s="14">
        <v>0.1</v>
      </c>
      <c r="I191" s="23">
        <v>580.76</v>
      </c>
      <c r="J191" s="4">
        <v>580.66</v>
      </c>
    </row>
    <row r="192" spans="1:10">
      <c r="A192" t="s">
        <v>638</v>
      </c>
      <c r="B192" s="3">
        <v>45775</v>
      </c>
      <c r="C192" t="s">
        <v>639</v>
      </c>
      <c r="D192" t="s">
        <v>368</v>
      </c>
      <c r="E192" t="s">
        <v>127</v>
      </c>
      <c r="F192">
        <v>3</v>
      </c>
      <c r="G192" t="s">
        <v>33</v>
      </c>
      <c r="H192" s="14">
        <v>0.14000000000000001</v>
      </c>
      <c r="I192" s="23">
        <v>444.55</v>
      </c>
      <c r="J192" s="4">
        <v>1333.23</v>
      </c>
    </row>
    <row r="193" spans="1:10">
      <c r="A193" t="s">
        <v>640</v>
      </c>
      <c r="B193" s="3">
        <v>45459</v>
      </c>
      <c r="C193" t="s">
        <v>641</v>
      </c>
      <c r="D193" t="s">
        <v>381</v>
      </c>
      <c r="E193" t="s">
        <v>160</v>
      </c>
      <c r="F193">
        <v>1</v>
      </c>
      <c r="G193" t="s">
        <v>33</v>
      </c>
      <c r="H193" s="14">
        <v>0.03</v>
      </c>
      <c r="I193" s="23">
        <v>804.9</v>
      </c>
      <c r="J193" s="4">
        <v>804.87</v>
      </c>
    </row>
    <row r="194" spans="1:10">
      <c r="A194" t="s">
        <v>642</v>
      </c>
      <c r="B194" s="3">
        <v>45617</v>
      </c>
      <c r="C194" t="s">
        <v>643</v>
      </c>
      <c r="D194" t="s">
        <v>603</v>
      </c>
      <c r="E194" t="s">
        <v>98</v>
      </c>
      <c r="F194">
        <v>3</v>
      </c>
      <c r="G194" t="s">
        <v>50</v>
      </c>
      <c r="H194" s="14">
        <v>0.15</v>
      </c>
      <c r="I194" s="23">
        <v>361.65</v>
      </c>
      <c r="J194" s="4">
        <v>1084.5</v>
      </c>
    </row>
    <row r="195" spans="1:10">
      <c r="A195" t="s">
        <v>644</v>
      </c>
      <c r="B195" s="3">
        <v>45763</v>
      </c>
      <c r="C195" t="s">
        <v>324</v>
      </c>
      <c r="D195" t="s">
        <v>645</v>
      </c>
      <c r="E195" t="s">
        <v>72</v>
      </c>
      <c r="F195">
        <v>1</v>
      </c>
      <c r="G195" t="s">
        <v>23</v>
      </c>
      <c r="H195" s="14">
        <v>0.03</v>
      </c>
      <c r="I195" s="23">
        <v>271.76</v>
      </c>
      <c r="J195" s="4">
        <v>271.73</v>
      </c>
    </row>
    <row r="196" spans="1:10">
      <c r="A196" t="s">
        <v>647</v>
      </c>
      <c r="B196" s="3">
        <v>45618</v>
      </c>
      <c r="C196" t="s">
        <v>648</v>
      </c>
      <c r="D196" t="s">
        <v>42</v>
      </c>
      <c r="E196" t="s">
        <v>168</v>
      </c>
      <c r="F196">
        <v>3</v>
      </c>
      <c r="G196" t="s">
        <v>50</v>
      </c>
      <c r="H196" s="14">
        <v>0.24</v>
      </c>
      <c r="I196" s="23">
        <v>958.15</v>
      </c>
      <c r="J196" s="4">
        <v>2873.73</v>
      </c>
    </row>
    <row r="197" spans="1:10">
      <c r="A197" t="s">
        <v>649</v>
      </c>
      <c r="B197" s="3">
        <v>45290</v>
      </c>
      <c r="C197" t="s">
        <v>517</v>
      </c>
      <c r="D197" t="s">
        <v>148</v>
      </c>
      <c r="E197" t="s">
        <v>32</v>
      </c>
      <c r="F197">
        <v>1</v>
      </c>
      <c r="G197" t="s">
        <v>23</v>
      </c>
      <c r="H197" s="14">
        <v>0.03</v>
      </c>
      <c r="I197" s="23">
        <v>889.19</v>
      </c>
      <c r="J197" s="4">
        <v>889.16</v>
      </c>
    </row>
    <row r="198" spans="1:10">
      <c r="A198" t="s">
        <v>650</v>
      </c>
      <c r="B198" s="3">
        <v>45904</v>
      </c>
      <c r="C198" t="s">
        <v>88</v>
      </c>
      <c r="D198" t="s">
        <v>509</v>
      </c>
      <c r="E198" t="s">
        <v>117</v>
      </c>
      <c r="F198">
        <v>4</v>
      </c>
      <c r="G198" t="s">
        <v>50</v>
      </c>
      <c r="H198" s="14">
        <v>0.05</v>
      </c>
      <c r="I198" s="23">
        <v>689.67</v>
      </c>
      <c r="J198" s="4">
        <v>2758.48</v>
      </c>
    </row>
    <row r="199" spans="1:10">
      <c r="A199" t="s">
        <v>651</v>
      </c>
      <c r="B199" s="3">
        <v>45227</v>
      </c>
      <c r="C199" t="s">
        <v>652</v>
      </c>
      <c r="D199" t="s">
        <v>275</v>
      </c>
      <c r="E199" t="s">
        <v>272</v>
      </c>
      <c r="F199">
        <v>1</v>
      </c>
      <c r="G199" t="s">
        <v>33</v>
      </c>
      <c r="H199" s="14">
        <v>0.03</v>
      </c>
      <c r="I199" s="23">
        <v>541.24</v>
      </c>
      <c r="J199" s="4">
        <v>541.21</v>
      </c>
    </row>
    <row r="200" spans="1:10">
      <c r="A200" t="s">
        <v>653</v>
      </c>
      <c r="B200" s="3">
        <v>45600</v>
      </c>
      <c r="C200" t="s">
        <v>654</v>
      </c>
      <c r="D200" t="s">
        <v>630</v>
      </c>
      <c r="E200" t="s">
        <v>179</v>
      </c>
      <c r="F200">
        <v>1</v>
      </c>
      <c r="G200" t="s">
        <v>33</v>
      </c>
      <c r="H200" s="14">
        <v>0.16</v>
      </c>
      <c r="I200" s="23">
        <v>454.71</v>
      </c>
      <c r="J200" s="4">
        <v>454.55</v>
      </c>
    </row>
    <row r="201" spans="1:10">
      <c r="A201" t="s">
        <v>655</v>
      </c>
      <c r="B201" s="3">
        <v>45646</v>
      </c>
      <c r="C201" t="s">
        <v>656</v>
      </c>
      <c r="D201" t="s">
        <v>532</v>
      </c>
      <c r="E201" t="s">
        <v>58</v>
      </c>
      <c r="F201">
        <v>2</v>
      </c>
      <c r="G201" t="s">
        <v>23</v>
      </c>
      <c r="H201" s="14">
        <v>0.26</v>
      </c>
      <c r="I201" s="23">
        <v>397.63</v>
      </c>
      <c r="J201" s="4">
        <v>794.74</v>
      </c>
    </row>
    <row r="202" spans="1:10">
      <c r="A202" t="s">
        <v>657</v>
      </c>
      <c r="B202" s="3">
        <v>45725</v>
      </c>
      <c r="C202" t="s">
        <v>658</v>
      </c>
      <c r="D202" t="s">
        <v>359</v>
      </c>
      <c r="E202" t="s">
        <v>179</v>
      </c>
      <c r="F202">
        <v>3</v>
      </c>
      <c r="G202" t="s">
        <v>33</v>
      </c>
      <c r="H202" s="14">
        <v>0.26</v>
      </c>
      <c r="I202" s="23">
        <v>748.56</v>
      </c>
      <c r="J202" s="4">
        <v>2244.9</v>
      </c>
    </row>
    <row r="203" spans="1:10">
      <c r="A203" t="s">
        <v>659</v>
      </c>
      <c r="B203" s="3">
        <v>45742</v>
      </c>
      <c r="C203" t="s">
        <v>154</v>
      </c>
      <c r="D203" t="s">
        <v>89</v>
      </c>
      <c r="E203" t="s">
        <v>72</v>
      </c>
      <c r="F203">
        <v>1</v>
      </c>
      <c r="G203" t="s">
        <v>23</v>
      </c>
      <c r="H203" s="14">
        <v>0.15</v>
      </c>
      <c r="I203" s="23">
        <v>885.72</v>
      </c>
      <c r="J203" s="4">
        <v>885.57</v>
      </c>
    </row>
    <row r="204" spans="1:10">
      <c r="A204" t="s">
        <v>660</v>
      </c>
      <c r="B204" s="3">
        <v>45750</v>
      </c>
      <c r="C204" t="s">
        <v>589</v>
      </c>
      <c r="D204" t="s">
        <v>661</v>
      </c>
      <c r="E204" t="s">
        <v>105</v>
      </c>
      <c r="F204">
        <v>4</v>
      </c>
      <c r="G204" t="s">
        <v>50</v>
      </c>
      <c r="H204" s="14">
        <v>0.28000000000000003</v>
      </c>
      <c r="I204" s="23">
        <v>408.07</v>
      </c>
      <c r="J204" s="4">
        <v>1631.16</v>
      </c>
    </row>
    <row r="205" spans="1:10">
      <c r="A205" t="s">
        <v>663</v>
      </c>
      <c r="B205" s="3">
        <v>45327</v>
      </c>
      <c r="C205" t="s">
        <v>664</v>
      </c>
      <c r="D205" t="s">
        <v>116</v>
      </c>
      <c r="E205" t="s">
        <v>127</v>
      </c>
      <c r="F205">
        <v>2</v>
      </c>
      <c r="G205" t="s">
        <v>33</v>
      </c>
      <c r="H205" s="14">
        <v>0.28000000000000003</v>
      </c>
      <c r="I205" s="23">
        <v>597.07000000000005</v>
      </c>
      <c r="J205" s="4">
        <v>1193.58</v>
      </c>
    </row>
    <row r="206" spans="1:10">
      <c r="A206" t="s">
        <v>665</v>
      </c>
      <c r="B206" s="3">
        <v>45465</v>
      </c>
      <c r="C206" t="s">
        <v>550</v>
      </c>
      <c r="D206" t="s">
        <v>178</v>
      </c>
      <c r="E206" t="s">
        <v>127</v>
      </c>
      <c r="F206">
        <v>3</v>
      </c>
      <c r="G206" t="s">
        <v>50</v>
      </c>
      <c r="H206" s="14">
        <v>0.12</v>
      </c>
      <c r="I206" s="23">
        <v>723.47</v>
      </c>
      <c r="J206" s="4">
        <v>2170.0500000000002</v>
      </c>
    </row>
    <row r="207" spans="1:10">
      <c r="A207" t="s">
        <v>666</v>
      </c>
      <c r="B207" s="3">
        <v>45883</v>
      </c>
      <c r="C207" t="s">
        <v>667</v>
      </c>
      <c r="D207" t="s">
        <v>110</v>
      </c>
      <c r="E207" t="s">
        <v>58</v>
      </c>
      <c r="F207">
        <v>1</v>
      </c>
      <c r="G207" t="s">
        <v>23</v>
      </c>
      <c r="H207" s="14">
        <v>0.22</v>
      </c>
      <c r="I207" s="23">
        <v>479.93</v>
      </c>
      <c r="J207" s="4">
        <v>479.71</v>
      </c>
    </row>
    <row r="208" spans="1:10">
      <c r="A208" t="s">
        <v>668</v>
      </c>
      <c r="B208" s="3">
        <v>45445</v>
      </c>
      <c r="C208" t="s">
        <v>552</v>
      </c>
      <c r="D208" t="s">
        <v>116</v>
      </c>
      <c r="E208" t="s">
        <v>117</v>
      </c>
      <c r="F208">
        <v>4</v>
      </c>
      <c r="G208" t="s">
        <v>50</v>
      </c>
      <c r="H208" s="14">
        <v>0.21</v>
      </c>
      <c r="I208" s="23">
        <v>362.81</v>
      </c>
      <c r="J208" s="4">
        <v>1450.4</v>
      </c>
    </row>
    <row r="209" spans="1:10">
      <c r="A209" t="s">
        <v>669</v>
      </c>
      <c r="B209" s="3">
        <v>45640</v>
      </c>
      <c r="C209" t="s">
        <v>670</v>
      </c>
      <c r="D209" t="s">
        <v>221</v>
      </c>
      <c r="E209" t="s">
        <v>22</v>
      </c>
      <c r="F209">
        <v>1</v>
      </c>
      <c r="G209" t="s">
        <v>33</v>
      </c>
      <c r="H209" s="14">
        <v>0.01</v>
      </c>
      <c r="I209" s="23">
        <v>127.11</v>
      </c>
      <c r="J209" s="4">
        <v>127.1</v>
      </c>
    </row>
    <row r="210" spans="1:10">
      <c r="A210" t="s">
        <v>671</v>
      </c>
      <c r="B210" s="3">
        <v>45411</v>
      </c>
      <c r="C210" t="s">
        <v>672</v>
      </c>
      <c r="D210" t="s">
        <v>116</v>
      </c>
      <c r="E210" t="s">
        <v>32</v>
      </c>
      <c r="F210">
        <v>4</v>
      </c>
      <c r="G210" t="s">
        <v>23</v>
      </c>
      <c r="H210" s="14">
        <v>0.04</v>
      </c>
      <c r="I210" s="23">
        <v>931.26</v>
      </c>
      <c r="J210" s="4">
        <v>3724.88</v>
      </c>
    </row>
    <row r="211" spans="1:10">
      <c r="A211" t="s">
        <v>673</v>
      </c>
      <c r="B211" s="3">
        <v>45224</v>
      </c>
      <c r="C211" t="s">
        <v>674</v>
      </c>
      <c r="D211" t="s">
        <v>178</v>
      </c>
      <c r="E211" t="s">
        <v>43</v>
      </c>
      <c r="F211">
        <v>1</v>
      </c>
      <c r="G211" t="s">
        <v>33</v>
      </c>
      <c r="H211" s="14">
        <v>0.04</v>
      </c>
      <c r="I211" s="23">
        <v>620.80999999999995</v>
      </c>
      <c r="J211" s="4">
        <v>620.77</v>
      </c>
    </row>
    <row r="212" spans="1:10">
      <c r="A212" t="s">
        <v>675</v>
      </c>
      <c r="B212" s="3">
        <v>45497</v>
      </c>
      <c r="C212" t="s">
        <v>145</v>
      </c>
      <c r="D212" t="s">
        <v>409</v>
      </c>
      <c r="E212" t="s">
        <v>198</v>
      </c>
      <c r="F212">
        <v>1</v>
      </c>
      <c r="G212" t="s">
        <v>50</v>
      </c>
      <c r="H212" s="14">
        <v>0.27</v>
      </c>
      <c r="I212" s="23">
        <v>823.26</v>
      </c>
      <c r="J212" s="4">
        <v>822.99</v>
      </c>
    </row>
    <row r="213" spans="1:10">
      <c r="A213" t="s">
        <v>676</v>
      </c>
      <c r="B213" s="3">
        <v>45807</v>
      </c>
      <c r="C213" t="s">
        <v>677</v>
      </c>
      <c r="D213" t="s">
        <v>139</v>
      </c>
      <c r="E213" t="s">
        <v>43</v>
      </c>
      <c r="F213">
        <v>3</v>
      </c>
      <c r="G213" t="s">
        <v>50</v>
      </c>
      <c r="H213" s="14">
        <v>0.27</v>
      </c>
      <c r="I213" s="23">
        <v>681.01</v>
      </c>
      <c r="J213" s="4">
        <v>2042.22</v>
      </c>
    </row>
    <row r="214" spans="1:10">
      <c r="A214" t="s">
        <v>678</v>
      </c>
      <c r="B214" s="3">
        <v>45942</v>
      </c>
      <c r="C214" t="s">
        <v>679</v>
      </c>
      <c r="D214" t="s">
        <v>71</v>
      </c>
      <c r="E214" t="s">
        <v>135</v>
      </c>
      <c r="F214">
        <v>4</v>
      </c>
      <c r="G214" t="s">
        <v>23</v>
      </c>
      <c r="H214" s="14">
        <v>0.13</v>
      </c>
      <c r="I214" s="23">
        <v>119.83</v>
      </c>
      <c r="J214" s="4">
        <v>478.8</v>
      </c>
    </row>
    <row r="215" spans="1:10">
      <c r="A215" t="s">
        <v>680</v>
      </c>
      <c r="B215" s="3">
        <v>45314</v>
      </c>
      <c r="C215" t="s">
        <v>560</v>
      </c>
      <c r="D215" t="s">
        <v>267</v>
      </c>
      <c r="E215" t="s">
        <v>198</v>
      </c>
      <c r="F215">
        <v>1</v>
      </c>
      <c r="G215" t="s">
        <v>33</v>
      </c>
      <c r="H215" s="14">
        <v>0.03</v>
      </c>
      <c r="I215" s="23">
        <v>575.66</v>
      </c>
      <c r="J215" s="4">
        <v>575.63</v>
      </c>
    </row>
    <row r="216" spans="1:10">
      <c r="A216" t="s">
        <v>681</v>
      </c>
      <c r="B216" s="3">
        <v>45943</v>
      </c>
      <c r="C216" t="s">
        <v>682</v>
      </c>
      <c r="D216" t="s">
        <v>505</v>
      </c>
      <c r="E216" t="s">
        <v>117</v>
      </c>
      <c r="F216">
        <v>1</v>
      </c>
      <c r="G216" t="s">
        <v>23</v>
      </c>
      <c r="H216" s="14">
        <v>0.26</v>
      </c>
      <c r="I216" s="23">
        <v>775.84</v>
      </c>
      <c r="J216" s="4">
        <v>775.58</v>
      </c>
    </row>
    <row r="217" spans="1:10">
      <c r="A217" t="s">
        <v>683</v>
      </c>
      <c r="B217" s="3">
        <v>45356</v>
      </c>
      <c r="C217" t="s">
        <v>115</v>
      </c>
      <c r="D217" t="s">
        <v>480</v>
      </c>
      <c r="E217" t="s">
        <v>127</v>
      </c>
      <c r="F217">
        <v>3</v>
      </c>
      <c r="G217" t="s">
        <v>23</v>
      </c>
      <c r="H217" s="14">
        <v>0.05</v>
      </c>
      <c r="I217" s="23">
        <v>318.43</v>
      </c>
      <c r="J217" s="4">
        <v>955.14</v>
      </c>
    </row>
    <row r="218" spans="1:10">
      <c r="A218" t="s">
        <v>684</v>
      </c>
      <c r="B218" s="3">
        <v>45854</v>
      </c>
      <c r="C218" t="s">
        <v>685</v>
      </c>
      <c r="D218" t="s">
        <v>155</v>
      </c>
      <c r="E218" t="s">
        <v>43</v>
      </c>
      <c r="F218">
        <v>3</v>
      </c>
      <c r="G218" t="s">
        <v>50</v>
      </c>
      <c r="H218" s="14">
        <v>0.08</v>
      </c>
      <c r="I218" s="23">
        <v>141.6</v>
      </c>
      <c r="J218" s="4">
        <v>424.56</v>
      </c>
    </row>
    <row r="219" spans="1:10">
      <c r="A219" t="s">
        <v>686</v>
      </c>
      <c r="B219" s="3">
        <v>45219</v>
      </c>
      <c r="C219" t="s">
        <v>687</v>
      </c>
      <c r="D219" t="s">
        <v>65</v>
      </c>
      <c r="E219" t="s">
        <v>135</v>
      </c>
      <c r="F219">
        <v>1</v>
      </c>
      <c r="G219" t="s">
        <v>33</v>
      </c>
      <c r="H219" s="14">
        <v>0.14000000000000001</v>
      </c>
      <c r="I219" s="23">
        <v>332.82</v>
      </c>
      <c r="J219" s="4">
        <v>332.68</v>
      </c>
    </row>
    <row r="220" spans="1:10">
      <c r="A220" t="s">
        <v>688</v>
      </c>
      <c r="B220" s="3">
        <v>45447</v>
      </c>
      <c r="C220" t="s">
        <v>689</v>
      </c>
      <c r="D220" t="s">
        <v>155</v>
      </c>
      <c r="E220" t="s">
        <v>105</v>
      </c>
      <c r="F220">
        <v>4</v>
      </c>
      <c r="G220" t="s">
        <v>50</v>
      </c>
      <c r="H220" s="14">
        <v>0.11</v>
      </c>
      <c r="I220" s="23">
        <v>640.97</v>
      </c>
      <c r="J220" s="4">
        <v>2563.44</v>
      </c>
    </row>
    <row r="221" spans="1:10">
      <c r="A221" t="s">
        <v>690</v>
      </c>
      <c r="B221" s="3">
        <v>45225</v>
      </c>
      <c r="C221" t="s">
        <v>262</v>
      </c>
      <c r="D221" t="s">
        <v>453</v>
      </c>
      <c r="E221" t="s">
        <v>122</v>
      </c>
      <c r="F221">
        <v>4</v>
      </c>
      <c r="G221" t="s">
        <v>50</v>
      </c>
      <c r="H221" s="14">
        <v>0.02</v>
      </c>
      <c r="I221" s="23">
        <v>75.37</v>
      </c>
      <c r="J221" s="4">
        <v>301.39999999999998</v>
      </c>
    </row>
    <row r="222" spans="1:10">
      <c r="A222" t="s">
        <v>691</v>
      </c>
      <c r="B222" s="3">
        <v>45754</v>
      </c>
      <c r="C222" t="s">
        <v>692</v>
      </c>
      <c r="D222" t="s">
        <v>226</v>
      </c>
      <c r="E222" t="s">
        <v>160</v>
      </c>
      <c r="F222">
        <v>3</v>
      </c>
      <c r="G222" t="s">
        <v>50</v>
      </c>
      <c r="H222" s="14">
        <v>0.08</v>
      </c>
      <c r="I222" s="23">
        <v>434.55</v>
      </c>
      <c r="J222" s="4">
        <v>1303.4100000000001</v>
      </c>
    </row>
    <row r="223" spans="1:10">
      <c r="A223" t="s">
        <v>693</v>
      </c>
      <c r="B223" s="3">
        <v>45729</v>
      </c>
      <c r="C223" t="s">
        <v>694</v>
      </c>
      <c r="D223" t="s">
        <v>246</v>
      </c>
      <c r="E223" t="s">
        <v>98</v>
      </c>
      <c r="F223">
        <v>4</v>
      </c>
      <c r="G223" t="s">
        <v>23</v>
      </c>
      <c r="H223" s="14">
        <v>0.15</v>
      </c>
      <c r="I223" s="23">
        <v>652.28</v>
      </c>
      <c r="J223" s="4">
        <v>2608.52</v>
      </c>
    </row>
    <row r="224" spans="1:10">
      <c r="A224" t="s">
        <v>695</v>
      </c>
      <c r="B224" s="3">
        <v>45480</v>
      </c>
      <c r="C224" t="s">
        <v>326</v>
      </c>
      <c r="D224" t="s">
        <v>49</v>
      </c>
      <c r="E224" t="s">
        <v>32</v>
      </c>
      <c r="F224">
        <v>3</v>
      </c>
      <c r="G224" t="s">
        <v>23</v>
      </c>
      <c r="H224" s="14">
        <v>0.15</v>
      </c>
      <c r="I224" s="23">
        <v>207.8</v>
      </c>
      <c r="J224" s="4">
        <v>622.95000000000005</v>
      </c>
    </row>
    <row r="225" spans="1:10">
      <c r="A225" t="s">
        <v>696</v>
      </c>
      <c r="B225" s="3">
        <v>45361</v>
      </c>
      <c r="C225" t="s">
        <v>697</v>
      </c>
      <c r="D225" t="s">
        <v>698</v>
      </c>
      <c r="E225" t="s">
        <v>122</v>
      </c>
      <c r="F225">
        <v>4</v>
      </c>
      <c r="G225" t="s">
        <v>33</v>
      </c>
      <c r="H225" s="14">
        <v>0.03</v>
      </c>
      <c r="I225" s="23">
        <v>385.5</v>
      </c>
      <c r="J225" s="4">
        <v>1541.88</v>
      </c>
    </row>
    <row r="226" spans="1:10">
      <c r="A226" t="s">
        <v>700</v>
      </c>
      <c r="B226" s="3">
        <v>45915</v>
      </c>
      <c r="C226" t="s">
        <v>701</v>
      </c>
      <c r="D226" t="s">
        <v>134</v>
      </c>
      <c r="E226" t="s">
        <v>179</v>
      </c>
      <c r="F226">
        <v>3</v>
      </c>
      <c r="G226" t="s">
        <v>23</v>
      </c>
      <c r="H226" s="14">
        <v>0.12</v>
      </c>
      <c r="I226" s="23">
        <v>548.19000000000005</v>
      </c>
      <c r="J226" s="4">
        <v>1644.21</v>
      </c>
    </row>
    <row r="227" spans="1:10">
      <c r="A227" t="s">
        <v>702</v>
      </c>
      <c r="B227" s="3">
        <v>45607</v>
      </c>
      <c r="C227" t="s">
        <v>703</v>
      </c>
      <c r="D227" t="s">
        <v>575</v>
      </c>
      <c r="E227" t="s">
        <v>127</v>
      </c>
      <c r="F227">
        <v>3</v>
      </c>
      <c r="G227" t="s">
        <v>23</v>
      </c>
      <c r="H227" s="14">
        <v>0.09</v>
      </c>
      <c r="I227" s="23">
        <v>927.6</v>
      </c>
      <c r="J227" s="4">
        <v>2782.53</v>
      </c>
    </row>
    <row r="228" spans="1:10">
      <c r="A228" t="s">
        <v>704</v>
      </c>
      <c r="B228" s="3">
        <v>45666</v>
      </c>
      <c r="C228" t="s">
        <v>687</v>
      </c>
      <c r="D228" t="s">
        <v>698</v>
      </c>
      <c r="E228" t="s">
        <v>22</v>
      </c>
      <c r="F228">
        <v>4</v>
      </c>
      <c r="G228" t="s">
        <v>33</v>
      </c>
      <c r="H228" s="14">
        <v>0.22</v>
      </c>
      <c r="I228" s="23">
        <v>585.04</v>
      </c>
      <c r="J228" s="4">
        <v>2339.2800000000002</v>
      </c>
    </row>
    <row r="229" spans="1:10">
      <c r="A229" t="s">
        <v>705</v>
      </c>
      <c r="B229" s="3">
        <v>45406</v>
      </c>
      <c r="C229" t="s">
        <v>608</v>
      </c>
      <c r="D229" t="s">
        <v>104</v>
      </c>
      <c r="E229" t="s">
        <v>198</v>
      </c>
      <c r="F229">
        <v>2</v>
      </c>
      <c r="G229" t="s">
        <v>23</v>
      </c>
      <c r="H229" s="14">
        <v>0.09</v>
      </c>
      <c r="I229" s="23">
        <v>999.89</v>
      </c>
      <c r="J229" s="4">
        <v>1999.6</v>
      </c>
    </row>
    <row r="230" spans="1:10">
      <c r="A230" t="s">
        <v>706</v>
      </c>
      <c r="B230" s="3">
        <v>45284</v>
      </c>
      <c r="C230" t="s">
        <v>707</v>
      </c>
      <c r="D230" t="s">
        <v>213</v>
      </c>
      <c r="E230" t="s">
        <v>22</v>
      </c>
      <c r="F230">
        <v>2</v>
      </c>
      <c r="G230" t="s">
        <v>33</v>
      </c>
      <c r="H230" s="14">
        <v>0.04</v>
      </c>
      <c r="I230" s="23">
        <v>848.98</v>
      </c>
      <c r="J230" s="4">
        <v>1697.88</v>
      </c>
    </row>
    <row r="231" spans="1:10">
      <c r="A231" t="s">
        <v>708</v>
      </c>
      <c r="B231" s="3">
        <v>45348</v>
      </c>
      <c r="C231" t="s">
        <v>285</v>
      </c>
      <c r="D231" t="s">
        <v>148</v>
      </c>
      <c r="E231" t="s">
        <v>98</v>
      </c>
      <c r="F231">
        <v>3</v>
      </c>
      <c r="G231" t="s">
        <v>23</v>
      </c>
      <c r="H231" s="14">
        <v>0.08</v>
      </c>
      <c r="I231" s="23">
        <v>769.56</v>
      </c>
      <c r="J231" s="4">
        <v>2308.44</v>
      </c>
    </row>
    <row r="232" spans="1:10">
      <c r="A232" t="s">
        <v>709</v>
      </c>
      <c r="B232" s="3">
        <v>45676</v>
      </c>
      <c r="C232" t="s">
        <v>710</v>
      </c>
      <c r="D232" t="s">
        <v>505</v>
      </c>
      <c r="E232" t="s">
        <v>149</v>
      </c>
      <c r="F232">
        <v>3</v>
      </c>
      <c r="G232" t="s">
        <v>33</v>
      </c>
      <c r="H232" s="14">
        <v>0.1</v>
      </c>
      <c r="I232" s="23">
        <v>449.88</v>
      </c>
      <c r="J232" s="4">
        <v>1349.34</v>
      </c>
    </row>
    <row r="233" spans="1:10">
      <c r="A233" t="s">
        <v>711</v>
      </c>
      <c r="B233" s="3">
        <v>45863</v>
      </c>
      <c r="C233" t="s">
        <v>712</v>
      </c>
      <c r="D233" t="s">
        <v>167</v>
      </c>
      <c r="E233" t="s">
        <v>208</v>
      </c>
      <c r="F233">
        <v>4</v>
      </c>
      <c r="G233" t="s">
        <v>23</v>
      </c>
      <c r="H233" s="14">
        <v>0.01</v>
      </c>
      <c r="I233" s="23">
        <v>383.74</v>
      </c>
      <c r="J233" s="4">
        <v>1534.92</v>
      </c>
    </row>
    <row r="234" spans="1:10">
      <c r="A234" t="s">
        <v>713</v>
      </c>
      <c r="B234" s="3">
        <v>45409</v>
      </c>
      <c r="C234" t="s">
        <v>196</v>
      </c>
      <c r="D234" t="s">
        <v>714</v>
      </c>
      <c r="E234" t="s">
        <v>168</v>
      </c>
      <c r="F234">
        <v>4</v>
      </c>
      <c r="G234" t="s">
        <v>33</v>
      </c>
      <c r="H234" s="14">
        <v>0.24</v>
      </c>
      <c r="I234" s="23">
        <v>794.97</v>
      </c>
      <c r="J234" s="4">
        <v>3178.92</v>
      </c>
    </row>
    <row r="235" spans="1:10">
      <c r="A235" t="s">
        <v>716</v>
      </c>
      <c r="B235" s="3">
        <v>45880</v>
      </c>
      <c r="C235" t="s">
        <v>396</v>
      </c>
      <c r="D235" t="s">
        <v>221</v>
      </c>
      <c r="E235" t="s">
        <v>58</v>
      </c>
      <c r="F235">
        <v>1</v>
      </c>
      <c r="G235" t="s">
        <v>33</v>
      </c>
      <c r="H235" s="14">
        <v>0.05</v>
      </c>
      <c r="I235" s="23">
        <v>989.63</v>
      </c>
      <c r="J235" s="4">
        <v>989.58</v>
      </c>
    </row>
    <row r="236" spans="1:10">
      <c r="A236" t="s">
        <v>717</v>
      </c>
      <c r="B236" s="3">
        <v>45731</v>
      </c>
      <c r="C236" t="s">
        <v>254</v>
      </c>
      <c r="D236" t="s">
        <v>420</v>
      </c>
      <c r="E236" t="s">
        <v>90</v>
      </c>
      <c r="F236">
        <v>1</v>
      </c>
      <c r="G236" t="s">
        <v>50</v>
      </c>
      <c r="H236" s="14">
        <v>0.22</v>
      </c>
      <c r="I236" s="23">
        <v>447.16</v>
      </c>
      <c r="J236" s="4">
        <v>446.94</v>
      </c>
    </row>
    <row r="237" spans="1:10">
      <c r="A237" t="s">
        <v>718</v>
      </c>
      <c r="B237" s="3">
        <v>45671</v>
      </c>
      <c r="C237" t="s">
        <v>270</v>
      </c>
      <c r="D237" t="s">
        <v>242</v>
      </c>
      <c r="E237" t="s">
        <v>179</v>
      </c>
      <c r="F237">
        <v>1</v>
      </c>
      <c r="G237" t="s">
        <v>50</v>
      </c>
      <c r="H237" s="14">
        <v>0.28999999999999998</v>
      </c>
      <c r="I237" s="23">
        <v>946.9</v>
      </c>
      <c r="J237" s="4">
        <v>946.61</v>
      </c>
    </row>
    <row r="238" spans="1:10">
      <c r="A238" t="s">
        <v>719</v>
      </c>
      <c r="B238" s="3">
        <v>45809</v>
      </c>
      <c r="C238" t="s">
        <v>720</v>
      </c>
      <c r="D238" t="s">
        <v>377</v>
      </c>
      <c r="E238" t="s">
        <v>90</v>
      </c>
      <c r="F238">
        <v>4</v>
      </c>
      <c r="G238" t="s">
        <v>23</v>
      </c>
      <c r="H238" s="14">
        <v>0.19</v>
      </c>
      <c r="I238" s="23">
        <v>469.68</v>
      </c>
      <c r="J238" s="4">
        <v>1877.96</v>
      </c>
    </row>
    <row r="239" spans="1:10">
      <c r="A239" t="s">
        <v>721</v>
      </c>
      <c r="B239" s="3">
        <v>45559</v>
      </c>
      <c r="C239" t="s">
        <v>722</v>
      </c>
      <c r="D239" t="s">
        <v>567</v>
      </c>
      <c r="E239" t="s">
        <v>32</v>
      </c>
      <c r="F239">
        <v>4</v>
      </c>
      <c r="G239" t="s">
        <v>50</v>
      </c>
      <c r="H239" s="14">
        <v>0.2</v>
      </c>
      <c r="I239" s="23">
        <v>320.64</v>
      </c>
      <c r="J239" s="4">
        <v>1281.76</v>
      </c>
    </row>
    <row r="240" spans="1:10">
      <c r="A240" t="s">
        <v>723</v>
      </c>
      <c r="B240" s="3">
        <v>45253</v>
      </c>
      <c r="C240" t="s">
        <v>652</v>
      </c>
      <c r="D240" t="s">
        <v>65</v>
      </c>
      <c r="E240" t="s">
        <v>58</v>
      </c>
      <c r="F240">
        <v>1</v>
      </c>
      <c r="G240" t="s">
        <v>23</v>
      </c>
      <c r="H240" s="14">
        <v>0.21</v>
      </c>
      <c r="I240" s="23">
        <v>594.44000000000005</v>
      </c>
      <c r="J240" s="4">
        <v>594.23</v>
      </c>
    </row>
    <row r="241" spans="1:10">
      <c r="A241" t="s">
        <v>724</v>
      </c>
      <c r="B241" s="3">
        <v>45861</v>
      </c>
      <c r="C241" t="s">
        <v>725</v>
      </c>
      <c r="D241" t="s">
        <v>400</v>
      </c>
      <c r="E241" t="s">
        <v>43</v>
      </c>
      <c r="F241">
        <v>3</v>
      </c>
      <c r="G241" t="s">
        <v>50</v>
      </c>
      <c r="H241" s="14">
        <v>0.08</v>
      </c>
      <c r="I241" s="23">
        <v>91.7</v>
      </c>
      <c r="J241" s="4">
        <v>274.86</v>
      </c>
    </row>
    <row r="242" spans="1:10">
      <c r="A242" t="s">
        <v>726</v>
      </c>
      <c r="B242" s="3">
        <v>45917</v>
      </c>
      <c r="C242" t="s">
        <v>727</v>
      </c>
      <c r="D242" t="s">
        <v>661</v>
      </c>
      <c r="E242" t="s">
        <v>208</v>
      </c>
      <c r="F242">
        <v>3</v>
      </c>
      <c r="G242" t="s">
        <v>23</v>
      </c>
      <c r="H242" s="14">
        <v>0.03</v>
      </c>
      <c r="I242" s="23">
        <v>741.33</v>
      </c>
      <c r="J242" s="4">
        <v>2223.9</v>
      </c>
    </row>
    <row r="243" spans="1:10">
      <c r="A243" t="s">
        <v>728</v>
      </c>
      <c r="B243" s="3">
        <v>45754</v>
      </c>
      <c r="C243" t="s">
        <v>166</v>
      </c>
      <c r="D243" t="s">
        <v>226</v>
      </c>
      <c r="E243" t="s">
        <v>135</v>
      </c>
      <c r="F243">
        <v>1</v>
      </c>
      <c r="G243" t="s">
        <v>50</v>
      </c>
      <c r="H243" s="14">
        <v>0.28999999999999998</v>
      </c>
      <c r="I243" s="23">
        <v>922.78</v>
      </c>
      <c r="J243" s="4">
        <v>922.49</v>
      </c>
    </row>
    <row r="244" spans="1:10">
      <c r="A244" t="s">
        <v>729</v>
      </c>
      <c r="B244" s="3">
        <v>45312</v>
      </c>
      <c r="C244" t="s">
        <v>419</v>
      </c>
      <c r="D244" t="s">
        <v>484</v>
      </c>
      <c r="E244" t="s">
        <v>117</v>
      </c>
      <c r="F244">
        <v>1</v>
      </c>
      <c r="G244" t="s">
        <v>33</v>
      </c>
      <c r="H244" s="14">
        <v>0.09</v>
      </c>
      <c r="I244" s="23">
        <v>394.35</v>
      </c>
      <c r="J244" s="4">
        <v>394.26</v>
      </c>
    </row>
    <row r="245" spans="1:10">
      <c r="A245" t="s">
        <v>730</v>
      </c>
      <c r="B245" s="3">
        <v>45480</v>
      </c>
      <c r="C245" t="s">
        <v>731</v>
      </c>
      <c r="D245" t="s">
        <v>134</v>
      </c>
      <c r="E245" t="s">
        <v>272</v>
      </c>
      <c r="F245">
        <v>2</v>
      </c>
      <c r="G245" t="s">
        <v>23</v>
      </c>
      <c r="H245" s="14">
        <v>0.03</v>
      </c>
      <c r="I245" s="23">
        <v>703.95</v>
      </c>
      <c r="J245" s="4">
        <v>1407.84</v>
      </c>
    </row>
    <row r="246" spans="1:10">
      <c r="A246" t="s">
        <v>732</v>
      </c>
      <c r="B246" s="3">
        <v>45780</v>
      </c>
      <c r="C246" t="s">
        <v>191</v>
      </c>
      <c r="D246" t="s">
        <v>480</v>
      </c>
      <c r="E246" t="s">
        <v>90</v>
      </c>
      <c r="F246">
        <v>4</v>
      </c>
      <c r="G246" t="s">
        <v>33</v>
      </c>
      <c r="H246" s="14">
        <v>0.28000000000000003</v>
      </c>
      <c r="I246" s="23">
        <v>452.67</v>
      </c>
      <c r="J246" s="4">
        <v>1809.56</v>
      </c>
    </row>
    <row r="247" spans="1:10">
      <c r="A247" t="s">
        <v>733</v>
      </c>
      <c r="B247" s="3">
        <v>45349</v>
      </c>
      <c r="C247" t="s">
        <v>734</v>
      </c>
      <c r="D247" t="s">
        <v>484</v>
      </c>
      <c r="E247" t="s">
        <v>66</v>
      </c>
      <c r="F247">
        <v>2</v>
      </c>
      <c r="G247" t="s">
        <v>33</v>
      </c>
      <c r="H247" s="14">
        <v>0.15</v>
      </c>
      <c r="I247" s="23">
        <v>377.3</v>
      </c>
      <c r="J247" s="4">
        <v>754.3</v>
      </c>
    </row>
    <row r="248" spans="1:10">
      <c r="A248" t="s">
        <v>735</v>
      </c>
      <c r="B248" s="3">
        <v>45846</v>
      </c>
      <c r="C248" t="s">
        <v>220</v>
      </c>
      <c r="D248" t="s">
        <v>31</v>
      </c>
      <c r="E248" t="s">
        <v>66</v>
      </c>
      <c r="F248">
        <v>2</v>
      </c>
      <c r="G248" t="s">
        <v>33</v>
      </c>
      <c r="H248" s="14">
        <v>0.23</v>
      </c>
      <c r="I248" s="23">
        <v>130.47999999999999</v>
      </c>
      <c r="J248" s="4">
        <v>260.5</v>
      </c>
    </row>
    <row r="249" spans="1:10">
      <c r="A249" t="s">
        <v>736</v>
      </c>
      <c r="B249" s="3">
        <v>45729</v>
      </c>
      <c r="C249" t="s">
        <v>125</v>
      </c>
      <c r="D249" t="s">
        <v>242</v>
      </c>
      <c r="E249" t="s">
        <v>208</v>
      </c>
      <c r="F249">
        <v>1</v>
      </c>
      <c r="G249" t="s">
        <v>50</v>
      </c>
      <c r="H249" s="14">
        <v>0.09</v>
      </c>
      <c r="I249" s="23">
        <v>809.45</v>
      </c>
      <c r="J249" s="4">
        <v>809.36</v>
      </c>
    </row>
    <row r="250" spans="1:10">
      <c r="A250" t="s">
        <v>737</v>
      </c>
      <c r="B250" s="3">
        <v>45768</v>
      </c>
      <c r="C250" t="s">
        <v>738</v>
      </c>
      <c r="D250" t="s">
        <v>344</v>
      </c>
      <c r="E250" t="s">
        <v>127</v>
      </c>
      <c r="F250">
        <v>3</v>
      </c>
      <c r="G250" t="s">
        <v>33</v>
      </c>
      <c r="H250" s="14">
        <v>0.05</v>
      </c>
      <c r="I250" s="23">
        <v>499.12</v>
      </c>
      <c r="J250" s="4">
        <v>1497.21</v>
      </c>
    </row>
    <row r="251" spans="1:10">
      <c r="A251" t="s">
        <v>739</v>
      </c>
      <c r="B251" s="3">
        <v>45606</v>
      </c>
      <c r="C251" t="s">
        <v>740</v>
      </c>
      <c r="D251" t="s">
        <v>741</v>
      </c>
      <c r="E251" t="s">
        <v>22</v>
      </c>
      <c r="F251">
        <v>2</v>
      </c>
      <c r="G251" t="s">
        <v>23</v>
      </c>
      <c r="H251" s="14">
        <v>0.25</v>
      </c>
      <c r="I251" s="23">
        <v>894.58</v>
      </c>
      <c r="J251" s="4">
        <v>1788.66</v>
      </c>
    </row>
    <row r="252" spans="1:10">
      <c r="A252" t="s">
        <v>743</v>
      </c>
      <c r="B252" s="3">
        <v>45513</v>
      </c>
      <c r="C252" t="s">
        <v>417</v>
      </c>
      <c r="D252" t="s">
        <v>213</v>
      </c>
      <c r="E252" t="s">
        <v>127</v>
      </c>
      <c r="F252">
        <v>4</v>
      </c>
      <c r="G252" t="s">
        <v>23</v>
      </c>
      <c r="H252" s="14">
        <v>0.01</v>
      </c>
      <c r="I252" s="23">
        <v>578.39</v>
      </c>
      <c r="J252" s="4">
        <v>2313.52</v>
      </c>
    </row>
    <row r="253" spans="1:10">
      <c r="A253" t="s">
        <v>744</v>
      </c>
      <c r="B253" s="3">
        <v>45356</v>
      </c>
      <c r="C253" t="s">
        <v>598</v>
      </c>
      <c r="D253" t="s">
        <v>745</v>
      </c>
      <c r="E253" t="s">
        <v>32</v>
      </c>
      <c r="F253">
        <v>4</v>
      </c>
      <c r="G253" t="s">
        <v>33</v>
      </c>
      <c r="H253" s="14">
        <v>0.2</v>
      </c>
      <c r="I253" s="23">
        <v>982.45</v>
      </c>
      <c r="J253" s="4">
        <v>3929</v>
      </c>
    </row>
    <row r="254" spans="1:10">
      <c r="A254" t="s">
        <v>747</v>
      </c>
      <c r="B254" s="3">
        <v>45925</v>
      </c>
      <c r="C254" t="s">
        <v>748</v>
      </c>
      <c r="D254" t="s">
        <v>187</v>
      </c>
      <c r="E254" t="s">
        <v>135</v>
      </c>
      <c r="F254">
        <v>1</v>
      </c>
      <c r="G254" t="s">
        <v>33</v>
      </c>
      <c r="H254" s="14">
        <v>0.1</v>
      </c>
      <c r="I254" s="23">
        <v>549.52</v>
      </c>
      <c r="J254" s="4">
        <v>549.41999999999996</v>
      </c>
    </row>
    <row r="255" spans="1:10">
      <c r="A255" t="s">
        <v>749</v>
      </c>
      <c r="B255" s="3">
        <v>45876</v>
      </c>
      <c r="C255" t="s">
        <v>750</v>
      </c>
      <c r="D255" t="s">
        <v>603</v>
      </c>
      <c r="E255" t="s">
        <v>160</v>
      </c>
      <c r="F255">
        <v>2</v>
      </c>
      <c r="G255" t="s">
        <v>23</v>
      </c>
      <c r="H255" s="14">
        <v>0.16</v>
      </c>
      <c r="I255" s="23">
        <v>239.92</v>
      </c>
      <c r="J255" s="4">
        <v>479.52</v>
      </c>
    </row>
    <row r="256" spans="1:10">
      <c r="A256" t="s">
        <v>751</v>
      </c>
      <c r="B256" s="3">
        <v>45338</v>
      </c>
      <c r="C256" t="s">
        <v>752</v>
      </c>
      <c r="D256" t="s">
        <v>603</v>
      </c>
      <c r="E256" t="s">
        <v>179</v>
      </c>
      <c r="F256">
        <v>2</v>
      </c>
      <c r="G256" t="s">
        <v>33</v>
      </c>
      <c r="H256" s="14">
        <v>0.11</v>
      </c>
      <c r="I256" s="23">
        <v>878.05</v>
      </c>
      <c r="J256" s="4">
        <v>1755.88</v>
      </c>
    </row>
    <row r="257" spans="1:10">
      <c r="A257" t="s">
        <v>753</v>
      </c>
      <c r="B257" s="3">
        <v>45746</v>
      </c>
      <c r="C257" t="s">
        <v>754</v>
      </c>
      <c r="D257" t="s">
        <v>389</v>
      </c>
      <c r="E257" t="s">
        <v>127</v>
      </c>
      <c r="F257">
        <v>3</v>
      </c>
      <c r="G257" t="s">
        <v>23</v>
      </c>
      <c r="H257" s="14">
        <v>0.19</v>
      </c>
      <c r="I257" s="23">
        <v>546.96</v>
      </c>
      <c r="J257" s="4">
        <v>1640.31</v>
      </c>
    </row>
    <row r="258" spans="1:10">
      <c r="A258" t="s">
        <v>755</v>
      </c>
      <c r="B258" s="3">
        <v>45706</v>
      </c>
      <c r="C258" t="s">
        <v>756</v>
      </c>
      <c r="D258" t="s">
        <v>377</v>
      </c>
      <c r="E258" t="s">
        <v>168</v>
      </c>
      <c r="F258">
        <v>2</v>
      </c>
      <c r="G258" t="s">
        <v>23</v>
      </c>
      <c r="H258" s="14">
        <v>0.22</v>
      </c>
      <c r="I258" s="23">
        <v>71.77</v>
      </c>
      <c r="J258" s="4">
        <v>143.1</v>
      </c>
    </row>
    <row r="259" spans="1:10">
      <c r="A259" t="s">
        <v>757</v>
      </c>
      <c r="B259" s="3">
        <v>45717</v>
      </c>
      <c r="C259" t="s">
        <v>758</v>
      </c>
      <c r="D259" t="s">
        <v>97</v>
      </c>
      <c r="E259" t="s">
        <v>105</v>
      </c>
      <c r="F259">
        <v>2</v>
      </c>
      <c r="G259" t="s">
        <v>50</v>
      </c>
      <c r="H259" s="14">
        <v>0.22</v>
      </c>
      <c r="I259" s="23">
        <v>679.86</v>
      </c>
      <c r="J259" s="4">
        <v>1359.28</v>
      </c>
    </row>
    <row r="260" spans="1:10">
      <c r="A260" t="s">
        <v>759</v>
      </c>
      <c r="B260" s="3">
        <v>45300</v>
      </c>
      <c r="C260" t="s">
        <v>760</v>
      </c>
      <c r="D260" t="s">
        <v>487</v>
      </c>
      <c r="E260" t="s">
        <v>32</v>
      </c>
      <c r="F260">
        <v>1</v>
      </c>
      <c r="G260" t="s">
        <v>23</v>
      </c>
      <c r="H260" s="14">
        <v>0.19</v>
      </c>
      <c r="I260" s="23">
        <v>222.94</v>
      </c>
      <c r="J260" s="4">
        <v>222.75</v>
      </c>
    </row>
    <row r="261" spans="1:10">
      <c r="A261" t="s">
        <v>762</v>
      </c>
      <c r="B261" s="3">
        <v>45773</v>
      </c>
      <c r="C261" t="s">
        <v>763</v>
      </c>
      <c r="D261" t="s">
        <v>487</v>
      </c>
      <c r="E261" t="s">
        <v>198</v>
      </c>
      <c r="F261">
        <v>2</v>
      </c>
      <c r="G261" t="s">
        <v>33</v>
      </c>
      <c r="H261" s="14">
        <v>0.14799999999999999</v>
      </c>
      <c r="I261" s="23">
        <v>355.3</v>
      </c>
      <c r="J261" s="4">
        <v>710.30399999999997</v>
      </c>
    </row>
    <row r="262" spans="1:10">
      <c r="A262" t="s">
        <v>764</v>
      </c>
      <c r="B262" s="3">
        <v>45497</v>
      </c>
      <c r="C262" t="s">
        <v>765</v>
      </c>
      <c r="D262" t="s">
        <v>287</v>
      </c>
      <c r="E262" t="s">
        <v>135</v>
      </c>
      <c r="F262">
        <v>4</v>
      </c>
      <c r="G262" t="s">
        <v>33</v>
      </c>
      <c r="H262" s="14">
        <v>0.11</v>
      </c>
      <c r="I262" s="23">
        <v>611.29999999999995</v>
      </c>
      <c r="J262" s="4">
        <v>2444.7600000000002</v>
      </c>
    </row>
    <row r="263" spans="1:10">
      <c r="A263" t="s">
        <v>766</v>
      </c>
      <c r="B263" s="3">
        <v>45742</v>
      </c>
      <c r="C263" t="s">
        <v>767</v>
      </c>
      <c r="D263" t="s">
        <v>768</v>
      </c>
      <c r="E263" t="s">
        <v>43</v>
      </c>
      <c r="F263">
        <v>4</v>
      </c>
      <c r="G263" t="s">
        <v>23</v>
      </c>
      <c r="H263" s="14">
        <v>7.0000000000000007E-2</v>
      </c>
      <c r="I263" s="23">
        <v>849.21</v>
      </c>
      <c r="J263" s="4">
        <v>3396.56</v>
      </c>
    </row>
    <row r="264" spans="1:10">
      <c r="A264" t="s">
        <v>770</v>
      </c>
      <c r="B264" s="3">
        <v>45713</v>
      </c>
      <c r="C264" t="s">
        <v>771</v>
      </c>
      <c r="D264" t="s">
        <v>449</v>
      </c>
      <c r="E264" t="s">
        <v>66</v>
      </c>
      <c r="F264">
        <v>3</v>
      </c>
      <c r="G264" t="s">
        <v>50</v>
      </c>
      <c r="H264" s="14">
        <v>0.28000000000000003</v>
      </c>
      <c r="I264" s="23">
        <v>553.12</v>
      </c>
      <c r="J264" s="4">
        <v>1658.52</v>
      </c>
    </row>
    <row r="265" spans="1:10">
      <c r="A265" t="s">
        <v>772</v>
      </c>
      <c r="B265" s="3">
        <v>45826</v>
      </c>
      <c r="C265" t="s">
        <v>773</v>
      </c>
      <c r="D265" t="s">
        <v>372</v>
      </c>
      <c r="E265" t="s">
        <v>127</v>
      </c>
      <c r="F265">
        <v>2</v>
      </c>
      <c r="G265" t="s">
        <v>50</v>
      </c>
      <c r="H265" s="14">
        <v>0.18</v>
      </c>
      <c r="I265" s="23">
        <v>903.08</v>
      </c>
      <c r="J265" s="4">
        <v>1805.8</v>
      </c>
    </row>
    <row r="266" spans="1:10">
      <c r="A266" t="s">
        <v>774</v>
      </c>
      <c r="B266" s="3">
        <v>45648</v>
      </c>
      <c r="C266" t="s">
        <v>615</v>
      </c>
      <c r="D266" t="s">
        <v>226</v>
      </c>
      <c r="E266" t="s">
        <v>272</v>
      </c>
      <c r="F266">
        <v>4</v>
      </c>
      <c r="G266" t="s">
        <v>50</v>
      </c>
      <c r="H266" s="14">
        <v>0.06</v>
      </c>
      <c r="I266" s="23">
        <v>640.23</v>
      </c>
      <c r="J266" s="4">
        <v>2560.6799999999998</v>
      </c>
    </row>
    <row r="267" spans="1:10">
      <c r="A267" t="s">
        <v>775</v>
      </c>
      <c r="B267" s="3">
        <v>45836</v>
      </c>
      <c r="C267" t="s">
        <v>776</v>
      </c>
      <c r="D267" t="s">
        <v>279</v>
      </c>
      <c r="E267" t="s">
        <v>179</v>
      </c>
      <c r="F267">
        <v>1</v>
      </c>
      <c r="G267" t="s">
        <v>23</v>
      </c>
      <c r="H267" s="14">
        <v>0.25</v>
      </c>
      <c r="I267" s="23">
        <v>518</v>
      </c>
      <c r="J267" s="4">
        <v>517.75</v>
      </c>
    </row>
    <row r="268" spans="1:10">
      <c r="A268" t="s">
        <v>777</v>
      </c>
      <c r="B268" s="3">
        <v>45437</v>
      </c>
      <c r="C268" t="s">
        <v>778</v>
      </c>
      <c r="D268" t="s">
        <v>779</v>
      </c>
      <c r="E268" t="s">
        <v>72</v>
      </c>
      <c r="F268">
        <v>4</v>
      </c>
      <c r="G268" t="s">
        <v>23</v>
      </c>
      <c r="H268" s="14">
        <v>0.25</v>
      </c>
      <c r="I268" s="23">
        <v>779.25</v>
      </c>
      <c r="J268" s="4">
        <v>3116</v>
      </c>
    </row>
    <row r="269" spans="1:10">
      <c r="A269" t="s">
        <v>781</v>
      </c>
      <c r="B269" s="3">
        <v>45807</v>
      </c>
      <c r="C269" t="s">
        <v>782</v>
      </c>
      <c r="D269" t="s">
        <v>359</v>
      </c>
      <c r="E269" t="s">
        <v>66</v>
      </c>
      <c r="F269">
        <v>2</v>
      </c>
      <c r="G269" t="s">
        <v>23</v>
      </c>
      <c r="H269" s="14">
        <v>0.26</v>
      </c>
      <c r="I269" s="23">
        <v>467.75</v>
      </c>
      <c r="J269" s="4">
        <v>934.98</v>
      </c>
    </row>
    <row r="270" spans="1:10">
      <c r="A270" t="s">
        <v>783</v>
      </c>
      <c r="B270" s="3">
        <v>45555</v>
      </c>
      <c r="C270" t="s">
        <v>398</v>
      </c>
      <c r="D270" t="s">
        <v>453</v>
      </c>
      <c r="E270" t="s">
        <v>160</v>
      </c>
      <c r="F270">
        <v>3</v>
      </c>
      <c r="G270" t="s">
        <v>23</v>
      </c>
      <c r="H270" s="14">
        <v>0.06</v>
      </c>
      <c r="I270" s="23">
        <v>513.98477215823698</v>
      </c>
      <c r="J270" s="4">
        <v>1541.7743164747101</v>
      </c>
    </row>
    <row r="271" spans="1:10">
      <c r="A271" t="s">
        <v>784</v>
      </c>
      <c r="B271" s="3">
        <v>45803</v>
      </c>
      <c r="C271" t="s">
        <v>785</v>
      </c>
      <c r="D271" t="s">
        <v>786</v>
      </c>
      <c r="E271" t="s">
        <v>90</v>
      </c>
      <c r="F271">
        <v>4</v>
      </c>
      <c r="G271" t="s">
        <v>33</v>
      </c>
      <c r="H271" s="14">
        <v>0.13</v>
      </c>
      <c r="I271" s="23">
        <v>747.01</v>
      </c>
      <c r="J271" s="4">
        <v>2987.52</v>
      </c>
    </row>
    <row r="272" spans="1:10">
      <c r="A272" t="s">
        <v>788</v>
      </c>
      <c r="B272" s="3">
        <v>45735</v>
      </c>
      <c r="C272" t="s">
        <v>789</v>
      </c>
      <c r="D272" t="s">
        <v>287</v>
      </c>
      <c r="E272" t="s">
        <v>208</v>
      </c>
      <c r="F272">
        <v>4</v>
      </c>
      <c r="G272" t="s">
        <v>33</v>
      </c>
      <c r="H272" s="14">
        <v>0.28000000000000003</v>
      </c>
      <c r="I272" s="23">
        <v>461.83</v>
      </c>
      <c r="J272" s="4">
        <v>1846.2</v>
      </c>
    </row>
    <row r="273" spans="1:10">
      <c r="A273" t="s">
        <v>790</v>
      </c>
      <c r="B273" s="3">
        <v>45750</v>
      </c>
      <c r="C273" t="s">
        <v>791</v>
      </c>
      <c r="D273" t="s">
        <v>79</v>
      </c>
      <c r="E273" t="s">
        <v>43</v>
      </c>
      <c r="F273">
        <v>2</v>
      </c>
      <c r="G273" t="s">
        <v>23</v>
      </c>
      <c r="H273" s="14">
        <v>0.06</v>
      </c>
      <c r="I273" s="23">
        <v>105.15</v>
      </c>
      <c r="J273" s="4">
        <v>210.18</v>
      </c>
    </row>
    <row r="274" spans="1:10">
      <c r="A274" t="s">
        <v>792</v>
      </c>
      <c r="B274" s="3">
        <v>45693</v>
      </c>
      <c r="C274" t="s">
        <v>620</v>
      </c>
      <c r="D274" t="s">
        <v>250</v>
      </c>
      <c r="E274" t="s">
        <v>22</v>
      </c>
      <c r="F274">
        <v>3</v>
      </c>
      <c r="G274" t="s">
        <v>50</v>
      </c>
      <c r="H274" s="14">
        <v>0.17</v>
      </c>
      <c r="I274" s="23">
        <v>610.24</v>
      </c>
      <c r="J274" s="4">
        <v>1830.21</v>
      </c>
    </row>
    <row r="275" spans="1:10">
      <c r="A275" t="s">
        <v>793</v>
      </c>
      <c r="B275" s="3">
        <v>45667</v>
      </c>
      <c r="C275" t="s">
        <v>794</v>
      </c>
      <c r="D275" t="s">
        <v>31</v>
      </c>
      <c r="E275" t="s">
        <v>43</v>
      </c>
      <c r="F275">
        <v>1</v>
      </c>
      <c r="G275" t="s">
        <v>33</v>
      </c>
      <c r="H275" s="14">
        <v>7.0000000000000007E-2</v>
      </c>
      <c r="I275" s="23">
        <v>872.12</v>
      </c>
      <c r="J275" s="4">
        <v>872.05</v>
      </c>
    </row>
    <row r="276" spans="1:10">
      <c r="A276" t="s">
        <v>795</v>
      </c>
      <c r="B276" s="3">
        <v>45316</v>
      </c>
      <c r="C276" t="s">
        <v>778</v>
      </c>
      <c r="D276" t="s">
        <v>234</v>
      </c>
      <c r="E276" t="s">
        <v>105</v>
      </c>
      <c r="F276">
        <v>1</v>
      </c>
      <c r="G276" t="s">
        <v>50</v>
      </c>
      <c r="H276" s="14">
        <v>0.03</v>
      </c>
      <c r="I276" s="23">
        <v>406.79</v>
      </c>
      <c r="J276" s="4">
        <v>406.76</v>
      </c>
    </row>
    <row r="277" spans="1:10">
      <c r="A277" t="s">
        <v>796</v>
      </c>
      <c r="B277" s="3">
        <v>45932</v>
      </c>
      <c r="C277" t="s">
        <v>330</v>
      </c>
      <c r="D277" t="s">
        <v>420</v>
      </c>
      <c r="E277" t="s">
        <v>98</v>
      </c>
      <c r="F277">
        <v>1</v>
      </c>
      <c r="G277" t="s">
        <v>33</v>
      </c>
      <c r="H277" s="14">
        <v>0.04</v>
      </c>
      <c r="I277" s="23">
        <v>606.01</v>
      </c>
      <c r="J277" s="4">
        <v>605.97</v>
      </c>
    </row>
    <row r="278" spans="1:10">
      <c r="A278" t="s">
        <v>797</v>
      </c>
      <c r="B278" s="3">
        <v>45483</v>
      </c>
      <c r="C278" t="s">
        <v>519</v>
      </c>
      <c r="D278" t="s">
        <v>377</v>
      </c>
      <c r="E278" t="s">
        <v>58</v>
      </c>
      <c r="F278">
        <v>4</v>
      </c>
      <c r="G278" t="s">
        <v>23</v>
      </c>
      <c r="H278" s="14">
        <v>0.06</v>
      </c>
      <c r="I278" s="23">
        <v>322.58</v>
      </c>
      <c r="J278" s="4">
        <v>1290.08</v>
      </c>
    </row>
    <row r="279" spans="1:10">
      <c r="A279" t="s">
        <v>798</v>
      </c>
      <c r="B279" s="3">
        <v>45661</v>
      </c>
      <c r="C279" t="s">
        <v>799</v>
      </c>
      <c r="D279" t="s">
        <v>192</v>
      </c>
      <c r="E279" t="s">
        <v>160</v>
      </c>
      <c r="F279">
        <v>4</v>
      </c>
      <c r="G279" t="s">
        <v>33</v>
      </c>
      <c r="H279" s="14">
        <v>0.06</v>
      </c>
      <c r="I279" s="23">
        <v>463.17</v>
      </c>
      <c r="J279" s="4">
        <v>1852.44</v>
      </c>
    </row>
    <row r="280" spans="1:10">
      <c r="A280" t="s">
        <v>800</v>
      </c>
      <c r="B280" s="3">
        <v>45798</v>
      </c>
      <c r="C280" t="s">
        <v>801</v>
      </c>
      <c r="D280" t="s">
        <v>425</v>
      </c>
      <c r="E280" t="s">
        <v>66</v>
      </c>
      <c r="F280">
        <v>4</v>
      </c>
      <c r="G280" t="s">
        <v>33</v>
      </c>
      <c r="H280" s="14">
        <v>0.18</v>
      </c>
      <c r="I280" s="23">
        <v>285.82</v>
      </c>
      <c r="J280" s="4">
        <v>1142.56</v>
      </c>
    </row>
    <row r="281" spans="1:10">
      <c r="A281" t="s">
        <v>802</v>
      </c>
      <c r="B281" s="3">
        <v>45868</v>
      </c>
      <c r="C281" t="s">
        <v>803</v>
      </c>
      <c r="D281" t="s">
        <v>786</v>
      </c>
      <c r="E281" t="s">
        <v>272</v>
      </c>
      <c r="F281">
        <v>3</v>
      </c>
      <c r="G281" t="s">
        <v>33</v>
      </c>
      <c r="H281" s="14">
        <v>0.1</v>
      </c>
      <c r="I281" s="23">
        <v>995.38</v>
      </c>
      <c r="J281" s="4">
        <v>2985.84</v>
      </c>
    </row>
    <row r="282" spans="1:10">
      <c r="A282" t="s">
        <v>804</v>
      </c>
      <c r="B282" s="3">
        <v>45757</v>
      </c>
      <c r="C282" t="s">
        <v>452</v>
      </c>
      <c r="D282" t="s">
        <v>661</v>
      </c>
      <c r="E282" t="s">
        <v>43</v>
      </c>
      <c r="F282">
        <v>1</v>
      </c>
      <c r="G282" t="s">
        <v>23</v>
      </c>
      <c r="H282" s="14">
        <v>0.09</v>
      </c>
      <c r="I282" s="23">
        <v>329.31</v>
      </c>
      <c r="J282" s="4">
        <v>329.22</v>
      </c>
    </row>
    <row r="283" spans="1:10">
      <c r="A283" t="s">
        <v>805</v>
      </c>
      <c r="B283" s="3">
        <v>45475</v>
      </c>
      <c r="C283" t="s">
        <v>806</v>
      </c>
      <c r="D283" t="s">
        <v>302</v>
      </c>
      <c r="E283" t="s">
        <v>117</v>
      </c>
      <c r="F283">
        <v>3</v>
      </c>
      <c r="G283" t="s">
        <v>50</v>
      </c>
      <c r="H283" s="14">
        <v>0.08</v>
      </c>
      <c r="I283" s="23">
        <v>64.2</v>
      </c>
      <c r="J283" s="4">
        <v>192.36</v>
      </c>
    </row>
    <row r="284" spans="1:10">
      <c r="A284" t="s">
        <v>807</v>
      </c>
      <c r="B284" s="3">
        <v>45829</v>
      </c>
      <c r="C284" t="s">
        <v>808</v>
      </c>
      <c r="D284" t="s">
        <v>555</v>
      </c>
      <c r="E284" t="s">
        <v>149</v>
      </c>
      <c r="F284">
        <v>3</v>
      </c>
      <c r="G284" t="s">
        <v>50</v>
      </c>
      <c r="H284" s="14">
        <v>0.25</v>
      </c>
      <c r="I284" s="23">
        <v>697.13</v>
      </c>
      <c r="J284" s="4">
        <v>2090.64</v>
      </c>
    </row>
    <row r="285" spans="1:10">
      <c r="A285" t="s">
        <v>809</v>
      </c>
      <c r="B285" s="3">
        <v>45639</v>
      </c>
      <c r="C285" t="s">
        <v>550</v>
      </c>
      <c r="D285" t="s">
        <v>810</v>
      </c>
      <c r="E285" t="s">
        <v>58</v>
      </c>
      <c r="F285">
        <v>3</v>
      </c>
      <c r="G285" t="s">
        <v>23</v>
      </c>
      <c r="H285" s="14">
        <v>0.14000000000000001</v>
      </c>
      <c r="I285" s="23">
        <v>134.30000000000001</v>
      </c>
      <c r="J285" s="4">
        <v>402.48</v>
      </c>
    </row>
    <row r="286" spans="1:10">
      <c r="A286" t="s">
        <v>812</v>
      </c>
      <c r="B286" s="3">
        <v>45518</v>
      </c>
      <c r="C286" t="s">
        <v>813</v>
      </c>
      <c r="D286" t="s">
        <v>814</v>
      </c>
      <c r="E286" t="s">
        <v>149</v>
      </c>
      <c r="F286">
        <v>1</v>
      </c>
      <c r="G286" t="s">
        <v>23</v>
      </c>
      <c r="H286" s="14">
        <v>0.15</v>
      </c>
      <c r="I286" s="23">
        <v>520.92999999999995</v>
      </c>
      <c r="J286" s="4">
        <v>520.78</v>
      </c>
    </row>
    <row r="287" spans="1:10">
      <c r="A287" t="s">
        <v>816</v>
      </c>
      <c r="B287" s="3">
        <v>45721</v>
      </c>
      <c r="C287" t="s">
        <v>817</v>
      </c>
      <c r="D287" t="s">
        <v>314</v>
      </c>
      <c r="E287" t="s">
        <v>66</v>
      </c>
      <c r="F287">
        <v>2</v>
      </c>
      <c r="G287" t="s">
        <v>50</v>
      </c>
      <c r="H287" s="14">
        <v>0.21</v>
      </c>
      <c r="I287" s="23">
        <v>350.12</v>
      </c>
      <c r="J287" s="4">
        <v>699.82</v>
      </c>
    </row>
    <row r="288" spans="1:10">
      <c r="A288" t="s">
        <v>818</v>
      </c>
      <c r="B288" s="3">
        <v>45308</v>
      </c>
      <c r="C288" t="s">
        <v>819</v>
      </c>
      <c r="D288" t="s">
        <v>505</v>
      </c>
      <c r="E288" t="s">
        <v>135</v>
      </c>
      <c r="F288">
        <v>3</v>
      </c>
      <c r="G288" t="s">
        <v>33</v>
      </c>
      <c r="H288" s="14">
        <v>0.1</v>
      </c>
      <c r="I288" s="23">
        <v>807.95</v>
      </c>
      <c r="J288" s="4">
        <v>2423.5500000000002</v>
      </c>
    </row>
    <row r="289" spans="1:10">
      <c r="A289" t="s">
        <v>820</v>
      </c>
      <c r="B289" s="3">
        <v>45889</v>
      </c>
      <c r="C289" t="s">
        <v>254</v>
      </c>
      <c r="D289" t="s">
        <v>340</v>
      </c>
      <c r="E289" t="s">
        <v>179</v>
      </c>
      <c r="F289">
        <v>4</v>
      </c>
      <c r="G289" t="s">
        <v>33</v>
      </c>
      <c r="H289" s="14">
        <v>0.28999999999999998</v>
      </c>
      <c r="I289" s="23">
        <v>766.03</v>
      </c>
      <c r="J289" s="4">
        <v>3062.96</v>
      </c>
    </row>
    <row r="290" spans="1:10">
      <c r="A290" t="s">
        <v>821</v>
      </c>
      <c r="B290" s="3">
        <v>45386</v>
      </c>
      <c r="C290" t="s">
        <v>432</v>
      </c>
      <c r="D290" t="s">
        <v>509</v>
      </c>
      <c r="E290" t="s">
        <v>43</v>
      </c>
      <c r="F290">
        <v>3</v>
      </c>
      <c r="G290" t="s">
        <v>50</v>
      </c>
      <c r="H290" s="14">
        <v>0.08</v>
      </c>
      <c r="I290" s="23">
        <v>545.1</v>
      </c>
      <c r="J290" s="4">
        <v>1635.06</v>
      </c>
    </row>
    <row r="291" spans="1:10">
      <c r="A291" t="s">
        <v>822</v>
      </c>
      <c r="B291" s="3">
        <v>45438</v>
      </c>
      <c r="C291" t="s">
        <v>823</v>
      </c>
      <c r="D291" t="s">
        <v>134</v>
      </c>
      <c r="E291" t="s">
        <v>66</v>
      </c>
      <c r="F291">
        <v>1</v>
      </c>
      <c r="G291" t="s">
        <v>50</v>
      </c>
      <c r="H291" s="14">
        <v>0.24</v>
      </c>
      <c r="I291" s="23">
        <v>203.61</v>
      </c>
      <c r="J291" s="4">
        <v>203.37</v>
      </c>
    </row>
    <row r="292" spans="1:10">
      <c r="A292" t="s">
        <v>824</v>
      </c>
      <c r="B292" s="3">
        <v>45856</v>
      </c>
      <c r="C292" t="s">
        <v>825</v>
      </c>
      <c r="D292" t="s">
        <v>21</v>
      </c>
      <c r="E292" t="s">
        <v>122</v>
      </c>
      <c r="F292">
        <v>4</v>
      </c>
      <c r="G292" t="s">
        <v>50</v>
      </c>
      <c r="H292" s="14">
        <v>0.24</v>
      </c>
      <c r="I292" s="23">
        <v>493.8</v>
      </c>
      <c r="J292" s="4">
        <v>1974.24</v>
      </c>
    </row>
    <row r="293" spans="1:10">
      <c r="A293" t="s">
        <v>826</v>
      </c>
      <c r="B293" s="3">
        <v>45485</v>
      </c>
      <c r="C293" t="s">
        <v>827</v>
      </c>
      <c r="D293" t="s">
        <v>745</v>
      </c>
      <c r="E293" t="s">
        <v>32</v>
      </c>
      <c r="F293">
        <v>1</v>
      </c>
      <c r="G293" t="s">
        <v>23</v>
      </c>
      <c r="H293" s="14">
        <v>0.25</v>
      </c>
      <c r="I293" s="23">
        <v>640.54999999999995</v>
      </c>
      <c r="J293" s="4">
        <v>640.29999999999995</v>
      </c>
    </row>
    <row r="294" spans="1:10">
      <c r="A294" t="s">
        <v>828</v>
      </c>
      <c r="B294" s="3">
        <v>45545</v>
      </c>
      <c r="C294" t="s">
        <v>452</v>
      </c>
      <c r="D294" t="s">
        <v>31</v>
      </c>
      <c r="E294" t="s">
        <v>72</v>
      </c>
      <c r="F294">
        <v>1</v>
      </c>
      <c r="G294" t="s">
        <v>23</v>
      </c>
      <c r="H294" s="14">
        <v>0.3</v>
      </c>
      <c r="I294" s="23">
        <v>702.53</v>
      </c>
      <c r="J294" s="4">
        <v>702.23</v>
      </c>
    </row>
    <row r="295" spans="1:10">
      <c r="A295" t="s">
        <v>829</v>
      </c>
      <c r="B295" s="3">
        <v>45826</v>
      </c>
      <c r="C295" t="s">
        <v>830</v>
      </c>
      <c r="D295" t="s">
        <v>104</v>
      </c>
      <c r="E295" t="s">
        <v>43</v>
      </c>
      <c r="F295">
        <v>4</v>
      </c>
      <c r="G295" t="s">
        <v>23</v>
      </c>
      <c r="H295" s="14">
        <v>0.24</v>
      </c>
      <c r="I295" s="23">
        <v>139.94</v>
      </c>
      <c r="J295" s="4">
        <v>558.79999999999995</v>
      </c>
    </row>
    <row r="296" spans="1:10">
      <c r="A296" t="s">
        <v>831</v>
      </c>
      <c r="B296" s="3">
        <v>45654</v>
      </c>
      <c r="C296" t="s">
        <v>490</v>
      </c>
      <c r="D296" t="s">
        <v>314</v>
      </c>
      <c r="E296" t="s">
        <v>43</v>
      </c>
      <c r="F296">
        <v>2</v>
      </c>
      <c r="G296" t="s">
        <v>23</v>
      </c>
      <c r="H296" s="14">
        <v>0.18</v>
      </c>
      <c r="I296" s="23">
        <v>230.85</v>
      </c>
      <c r="J296" s="4">
        <v>461.34</v>
      </c>
    </row>
    <row r="297" spans="1:10">
      <c r="A297" t="s">
        <v>832</v>
      </c>
      <c r="B297" s="3">
        <v>45556</v>
      </c>
      <c r="C297" t="s">
        <v>833</v>
      </c>
      <c r="D297" t="s">
        <v>462</v>
      </c>
      <c r="E297" t="s">
        <v>32</v>
      </c>
      <c r="F297">
        <v>4</v>
      </c>
      <c r="G297" t="s">
        <v>50</v>
      </c>
      <c r="H297" s="14">
        <v>0.25</v>
      </c>
      <c r="I297" s="23">
        <v>626.35</v>
      </c>
      <c r="J297" s="4">
        <v>2504.4</v>
      </c>
    </row>
    <row r="298" spans="1:10">
      <c r="A298" t="s">
        <v>834</v>
      </c>
      <c r="B298" s="3">
        <v>45434</v>
      </c>
      <c r="C298" t="s">
        <v>752</v>
      </c>
      <c r="D298" t="s">
        <v>745</v>
      </c>
      <c r="E298" t="s">
        <v>98</v>
      </c>
      <c r="F298">
        <v>4</v>
      </c>
      <c r="G298" t="s">
        <v>33</v>
      </c>
      <c r="H298" s="14">
        <v>0.18</v>
      </c>
      <c r="I298" s="23">
        <v>108.55</v>
      </c>
      <c r="J298" s="4">
        <v>433.48</v>
      </c>
    </row>
    <row r="299" spans="1:10">
      <c r="A299" t="s">
        <v>835</v>
      </c>
      <c r="B299" s="3">
        <v>45871</v>
      </c>
      <c r="C299" t="s">
        <v>836</v>
      </c>
      <c r="D299" t="s">
        <v>377</v>
      </c>
      <c r="E299" t="s">
        <v>105</v>
      </c>
      <c r="F299">
        <v>4</v>
      </c>
      <c r="G299" t="s">
        <v>50</v>
      </c>
      <c r="H299" s="14">
        <v>0.03</v>
      </c>
      <c r="I299" s="23">
        <v>353.67</v>
      </c>
      <c r="J299" s="4">
        <v>1414.56</v>
      </c>
    </row>
    <row r="300" spans="1:10">
      <c r="A300" t="s">
        <v>837</v>
      </c>
      <c r="B300" s="3">
        <v>45583</v>
      </c>
      <c r="C300" t="s">
        <v>96</v>
      </c>
      <c r="D300" t="s">
        <v>453</v>
      </c>
      <c r="E300" t="s">
        <v>105</v>
      </c>
      <c r="F300">
        <v>4</v>
      </c>
      <c r="G300" t="s">
        <v>23</v>
      </c>
      <c r="H300" s="14">
        <v>0.16</v>
      </c>
      <c r="I300" s="23">
        <v>61.98</v>
      </c>
      <c r="J300" s="4">
        <v>247.28</v>
      </c>
    </row>
    <row r="301" spans="1:10">
      <c r="A301" t="s">
        <v>838</v>
      </c>
      <c r="B301" s="3">
        <v>45348</v>
      </c>
      <c r="C301" t="s">
        <v>725</v>
      </c>
      <c r="D301" t="s">
        <v>443</v>
      </c>
      <c r="E301" t="s">
        <v>135</v>
      </c>
      <c r="F301">
        <v>2</v>
      </c>
      <c r="G301" t="s">
        <v>33</v>
      </c>
      <c r="H301" s="14">
        <v>0.12</v>
      </c>
      <c r="I301" s="23">
        <v>873.1</v>
      </c>
      <c r="J301" s="4">
        <v>1745.96</v>
      </c>
    </row>
    <row r="302" spans="1:10">
      <c r="A302" t="s">
        <v>839</v>
      </c>
      <c r="B302" s="3">
        <v>45268</v>
      </c>
      <c r="C302" t="s">
        <v>840</v>
      </c>
      <c r="D302" t="s">
        <v>173</v>
      </c>
      <c r="E302" t="s">
        <v>122</v>
      </c>
      <c r="F302">
        <v>4</v>
      </c>
      <c r="G302" t="s">
        <v>23</v>
      </c>
      <c r="H302" s="14">
        <v>0.24</v>
      </c>
      <c r="I302" s="23">
        <v>889.47</v>
      </c>
      <c r="J302" s="4">
        <v>3556.92</v>
      </c>
    </row>
    <row r="303" spans="1:10">
      <c r="A303" t="s">
        <v>841</v>
      </c>
      <c r="B303" s="3">
        <v>45596</v>
      </c>
      <c r="C303" t="s">
        <v>203</v>
      </c>
      <c r="D303" t="s">
        <v>31</v>
      </c>
      <c r="E303" t="s">
        <v>272</v>
      </c>
      <c r="F303">
        <v>3</v>
      </c>
      <c r="G303" t="s">
        <v>50</v>
      </c>
      <c r="H303" s="14">
        <v>0.19</v>
      </c>
      <c r="I303" s="23">
        <v>803.76</v>
      </c>
      <c r="J303" s="4">
        <v>2410.71</v>
      </c>
    </row>
    <row r="304" spans="1:10">
      <c r="A304" t="s">
        <v>842</v>
      </c>
      <c r="B304" s="3">
        <v>45624</v>
      </c>
      <c r="C304" t="s">
        <v>843</v>
      </c>
      <c r="D304" t="s">
        <v>213</v>
      </c>
      <c r="E304" t="s">
        <v>58</v>
      </c>
      <c r="F304">
        <v>2</v>
      </c>
      <c r="G304" t="s">
        <v>33</v>
      </c>
      <c r="H304" s="14">
        <v>0.2</v>
      </c>
      <c r="I304" s="23">
        <v>865.14</v>
      </c>
      <c r="J304" s="4">
        <v>1729.88</v>
      </c>
    </row>
    <row r="305" spans="1:10">
      <c r="A305" t="s">
        <v>844</v>
      </c>
      <c r="B305" s="3">
        <v>45813</v>
      </c>
      <c r="C305" t="s">
        <v>428</v>
      </c>
      <c r="D305" t="s">
        <v>311</v>
      </c>
      <c r="E305" t="s">
        <v>127</v>
      </c>
      <c r="F305">
        <v>2</v>
      </c>
      <c r="G305" t="s">
        <v>50</v>
      </c>
      <c r="H305" s="14">
        <v>0.3</v>
      </c>
      <c r="I305" s="23">
        <v>916.49</v>
      </c>
      <c r="J305" s="4">
        <v>1832.38</v>
      </c>
    </row>
    <row r="306" spans="1:10">
      <c r="A306" t="s">
        <v>845</v>
      </c>
      <c r="B306" s="3">
        <v>45615</v>
      </c>
      <c r="C306" t="s">
        <v>846</v>
      </c>
      <c r="D306" t="s">
        <v>501</v>
      </c>
      <c r="E306" t="s">
        <v>208</v>
      </c>
      <c r="F306">
        <v>3</v>
      </c>
      <c r="G306" t="s">
        <v>23</v>
      </c>
      <c r="H306" s="14">
        <v>0.12</v>
      </c>
      <c r="I306" s="23">
        <v>781.39</v>
      </c>
      <c r="J306" s="4">
        <v>2343.81</v>
      </c>
    </row>
    <row r="307" spans="1:10">
      <c r="A307" t="s">
        <v>847</v>
      </c>
      <c r="B307" s="3">
        <v>45431</v>
      </c>
      <c r="C307" t="s">
        <v>833</v>
      </c>
      <c r="D307" t="s">
        <v>340</v>
      </c>
      <c r="E307" t="s">
        <v>208</v>
      </c>
      <c r="F307">
        <v>4</v>
      </c>
      <c r="G307" t="s">
        <v>50</v>
      </c>
      <c r="H307" s="14">
        <v>0.13</v>
      </c>
      <c r="I307" s="23">
        <v>619.74</v>
      </c>
      <c r="J307" s="4">
        <v>2478.44</v>
      </c>
    </row>
    <row r="308" spans="1:10">
      <c r="A308" t="s">
        <v>848</v>
      </c>
      <c r="B308" s="3">
        <v>45679</v>
      </c>
      <c r="C308" t="s">
        <v>849</v>
      </c>
      <c r="D308" t="s">
        <v>661</v>
      </c>
      <c r="E308" t="s">
        <v>98</v>
      </c>
      <c r="F308">
        <v>2</v>
      </c>
      <c r="G308" t="s">
        <v>50</v>
      </c>
      <c r="H308" s="14">
        <v>0.03</v>
      </c>
      <c r="I308" s="23">
        <v>837.76</v>
      </c>
      <c r="J308" s="4">
        <v>1675.46</v>
      </c>
    </row>
    <row r="309" spans="1:10">
      <c r="A309" t="s">
        <v>850</v>
      </c>
      <c r="B309" s="3">
        <v>45842</v>
      </c>
      <c r="C309" t="s">
        <v>851</v>
      </c>
      <c r="D309" t="s">
        <v>453</v>
      </c>
      <c r="E309" t="s">
        <v>105</v>
      </c>
      <c r="F309">
        <v>3</v>
      </c>
      <c r="G309" t="s">
        <v>23</v>
      </c>
      <c r="H309" s="14">
        <v>0.2</v>
      </c>
      <c r="I309" s="23">
        <v>135.94</v>
      </c>
      <c r="J309" s="4">
        <v>407.22</v>
      </c>
    </row>
    <row r="310" spans="1:10">
      <c r="A310" t="s">
        <v>852</v>
      </c>
      <c r="B310" s="3">
        <v>45796</v>
      </c>
      <c r="C310" t="s">
        <v>853</v>
      </c>
      <c r="D310" t="s">
        <v>31</v>
      </c>
      <c r="E310" t="s">
        <v>105</v>
      </c>
      <c r="F310">
        <v>4</v>
      </c>
      <c r="G310" t="s">
        <v>33</v>
      </c>
      <c r="H310" s="14">
        <v>7.0000000000000007E-2</v>
      </c>
      <c r="I310" s="23">
        <v>396.53</v>
      </c>
      <c r="J310" s="4">
        <v>1585.84</v>
      </c>
    </row>
    <row r="311" spans="1:10">
      <c r="A311" t="s">
        <v>854</v>
      </c>
      <c r="B311" s="3">
        <v>45264</v>
      </c>
      <c r="C311" t="s">
        <v>855</v>
      </c>
      <c r="D311" t="s">
        <v>255</v>
      </c>
      <c r="E311" t="s">
        <v>98</v>
      </c>
      <c r="F311">
        <v>2</v>
      </c>
      <c r="G311" t="s">
        <v>33</v>
      </c>
      <c r="H311" s="14">
        <v>0.22</v>
      </c>
      <c r="I311" s="23">
        <v>722.45</v>
      </c>
      <c r="J311" s="4">
        <v>1444.46</v>
      </c>
    </row>
    <row r="312" spans="1:10">
      <c r="A312" t="s">
        <v>856</v>
      </c>
      <c r="B312" s="3">
        <v>45504</v>
      </c>
      <c r="C312" t="s">
        <v>857</v>
      </c>
      <c r="D312" t="s">
        <v>779</v>
      </c>
      <c r="E312" t="s">
        <v>198</v>
      </c>
      <c r="F312">
        <v>2</v>
      </c>
      <c r="G312" t="s">
        <v>23</v>
      </c>
      <c r="H312" s="14">
        <v>0.02</v>
      </c>
      <c r="I312" s="23">
        <v>138.41</v>
      </c>
      <c r="J312" s="4">
        <v>276.77999999999997</v>
      </c>
    </row>
    <row r="313" spans="1:10">
      <c r="A313" t="s">
        <v>858</v>
      </c>
      <c r="B313" s="3">
        <v>45679</v>
      </c>
      <c r="C313" t="s">
        <v>320</v>
      </c>
      <c r="D313" t="s">
        <v>429</v>
      </c>
      <c r="E313" t="s">
        <v>198</v>
      </c>
      <c r="F313">
        <v>4</v>
      </c>
      <c r="G313" t="s">
        <v>50</v>
      </c>
      <c r="H313" s="14">
        <v>0.09</v>
      </c>
      <c r="I313" s="23">
        <v>741.51</v>
      </c>
      <c r="J313" s="4">
        <v>2965.68</v>
      </c>
    </row>
    <row r="314" spans="1:10">
      <c r="A314" t="s">
        <v>859</v>
      </c>
      <c r="B314" s="3">
        <v>45611</v>
      </c>
      <c r="C314" t="s">
        <v>740</v>
      </c>
      <c r="D314" t="s">
        <v>429</v>
      </c>
      <c r="E314" t="s">
        <v>32</v>
      </c>
      <c r="F314">
        <v>2</v>
      </c>
      <c r="G314" t="s">
        <v>33</v>
      </c>
      <c r="H314" s="14">
        <v>0.19</v>
      </c>
      <c r="I314" s="23">
        <v>588.9</v>
      </c>
      <c r="J314" s="4">
        <v>1177.42</v>
      </c>
    </row>
    <row r="315" spans="1:10">
      <c r="A315" t="s">
        <v>860</v>
      </c>
      <c r="B315" s="3">
        <v>45389</v>
      </c>
      <c r="C315" t="s">
        <v>861</v>
      </c>
      <c r="D315" t="s">
        <v>409</v>
      </c>
      <c r="E315" t="s">
        <v>198</v>
      </c>
      <c r="F315">
        <v>1</v>
      </c>
      <c r="G315" t="s">
        <v>33</v>
      </c>
      <c r="H315" s="14">
        <v>0.19</v>
      </c>
      <c r="I315" s="23">
        <v>88.92</v>
      </c>
      <c r="J315" s="4">
        <v>88.73</v>
      </c>
    </row>
    <row r="316" spans="1:10">
      <c r="A316" t="s">
        <v>862</v>
      </c>
      <c r="B316" s="3">
        <v>45339</v>
      </c>
      <c r="C316" t="s">
        <v>782</v>
      </c>
      <c r="D316" t="s">
        <v>698</v>
      </c>
      <c r="E316" t="s">
        <v>117</v>
      </c>
      <c r="F316">
        <v>1</v>
      </c>
      <c r="G316" t="s">
        <v>50</v>
      </c>
      <c r="H316" s="14">
        <v>0.1</v>
      </c>
      <c r="I316" s="23">
        <v>299.13</v>
      </c>
      <c r="J316" s="4">
        <v>299.02999999999997</v>
      </c>
    </row>
    <row r="317" spans="1:10">
      <c r="A317" t="s">
        <v>863</v>
      </c>
      <c r="B317" s="3">
        <v>45433</v>
      </c>
      <c r="C317" t="s">
        <v>64</v>
      </c>
      <c r="D317" t="s">
        <v>192</v>
      </c>
      <c r="E317" t="s">
        <v>22</v>
      </c>
      <c r="F317">
        <v>2</v>
      </c>
      <c r="G317" t="s">
        <v>23</v>
      </c>
      <c r="H317" s="14">
        <v>0.23</v>
      </c>
      <c r="I317" s="23">
        <v>548.29999999999995</v>
      </c>
      <c r="J317" s="4">
        <v>1096.1400000000001</v>
      </c>
    </row>
    <row r="318" spans="1:10">
      <c r="A318" t="s">
        <v>864</v>
      </c>
      <c r="B318" s="3">
        <v>45435</v>
      </c>
      <c r="C318" t="s">
        <v>808</v>
      </c>
      <c r="D318" t="s">
        <v>420</v>
      </c>
      <c r="E318" t="s">
        <v>168</v>
      </c>
      <c r="F318">
        <v>3</v>
      </c>
      <c r="G318" t="s">
        <v>33</v>
      </c>
      <c r="H318" s="14">
        <v>0.02</v>
      </c>
      <c r="I318" s="23">
        <v>977.55</v>
      </c>
      <c r="J318" s="4">
        <v>2932.59</v>
      </c>
    </row>
    <row r="319" spans="1:10">
      <c r="A319" t="s">
        <v>865</v>
      </c>
      <c r="B319" s="3">
        <v>45823</v>
      </c>
      <c r="C319" t="s">
        <v>48</v>
      </c>
      <c r="D319" t="s">
        <v>275</v>
      </c>
      <c r="E319" t="s">
        <v>160</v>
      </c>
      <c r="F319">
        <v>1</v>
      </c>
      <c r="G319" t="s">
        <v>50</v>
      </c>
      <c r="H319" s="14">
        <v>0.28000000000000003</v>
      </c>
      <c r="I319" s="23">
        <v>459.42</v>
      </c>
      <c r="J319" s="4">
        <v>459.14</v>
      </c>
    </row>
    <row r="320" spans="1:10">
      <c r="A320" t="s">
        <v>866</v>
      </c>
      <c r="B320" s="3">
        <v>45663</v>
      </c>
      <c r="C320" t="s">
        <v>867</v>
      </c>
      <c r="D320" t="s">
        <v>868</v>
      </c>
      <c r="E320" t="s">
        <v>72</v>
      </c>
      <c r="F320">
        <v>2</v>
      </c>
      <c r="G320" t="s">
        <v>23</v>
      </c>
      <c r="H320" s="14">
        <v>0.19</v>
      </c>
      <c r="I320" s="23">
        <v>123.19</v>
      </c>
      <c r="J320" s="4">
        <v>246</v>
      </c>
    </row>
    <row r="321" spans="1:10">
      <c r="A321" t="s">
        <v>870</v>
      </c>
      <c r="B321" s="3">
        <v>45879</v>
      </c>
      <c r="C321" t="s">
        <v>871</v>
      </c>
      <c r="D321" t="s">
        <v>564</v>
      </c>
      <c r="E321" t="s">
        <v>135</v>
      </c>
      <c r="F321">
        <v>1</v>
      </c>
      <c r="G321" t="s">
        <v>33</v>
      </c>
      <c r="H321" s="14">
        <v>0.02</v>
      </c>
      <c r="I321" s="23">
        <v>222.95</v>
      </c>
      <c r="J321" s="4">
        <v>222.93</v>
      </c>
    </row>
    <row r="322" spans="1:10">
      <c r="A322" t="s">
        <v>872</v>
      </c>
      <c r="B322" s="3">
        <v>45840</v>
      </c>
      <c r="C322" t="s">
        <v>873</v>
      </c>
      <c r="D322" t="s">
        <v>579</v>
      </c>
      <c r="E322" t="s">
        <v>72</v>
      </c>
      <c r="F322">
        <v>3</v>
      </c>
      <c r="G322" t="s">
        <v>23</v>
      </c>
      <c r="H322" s="14">
        <v>0.14000000000000001</v>
      </c>
      <c r="I322" s="23">
        <v>601.92999999999995</v>
      </c>
      <c r="J322" s="4">
        <v>1805.37</v>
      </c>
    </row>
    <row r="323" spans="1:10">
      <c r="A323" t="s">
        <v>874</v>
      </c>
      <c r="B323" s="3">
        <v>45380</v>
      </c>
      <c r="C323" t="s">
        <v>875</v>
      </c>
      <c r="D323" t="s">
        <v>167</v>
      </c>
      <c r="E323" t="s">
        <v>198</v>
      </c>
      <c r="F323">
        <v>1</v>
      </c>
      <c r="G323" t="s">
        <v>23</v>
      </c>
      <c r="H323" s="14">
        <v>0.03</v>
      </c>
      <c r="I323" s="23">
        <v>564.1</v>
      </c>
      <c r="J323" s="4">
        <v>564.07000000000005</v>
      </c>
    </row>
    <row r="324" spans="1:10">
      <c r="A324" t="s">
        <v>876</v>
      </c>
      <c r="B324" s="3">
        <v>45672</v>
      </c>
      <c r="C324" t="s">
        <v>294</v>
      </c>
      <c r="D324" t="s">
        <v>429</v>
      </c>
      <c r="E324" t="s">
        <v>58</v>
      </c>
      <c r="F324">
        <v>1</v>
      </c>
      <c r="G324" t="s">
        <v>23</v>
      </c>
      <c r="H324" s="14">
        <v>0.18</v>
      </c>
      <c r="I324" s="23">
        <v>516.62</v>
      </c>
      <c r="J324" s="4">
        <v>516.44000000000005</v>
      </c>
    </row>
    <row r="325" spans="1:10">
      <c r="A325" t="s">
        <v>877</v>
      </c>
      <c r="B325" s="3">
        <v>45497</v>
      </c>
      <c r="C325" t="s">
        <v>878</v>
      </c>
      <c r="D325" t="s">
        <v>625</v>
      </c>
      <c r="E325" t="s">
        <v>208</v>
      </c>
      <c r="F325">
        <v>1</v>
      </c>
      <c r="G325" t="s">
        <v>33</v>
      </c>
      <c r="H325" s="14">
        <v>0.11</v>
      </c>
      <c r="I325" s="23">
        <v>934.75</v>
      </c>
      <c r="J325" s="4">
        <v>934.64</v>
      </c>
    </row>
    <row r="326" spans="1:10">
      <c r="A326" t="s">
        <v>879</v>
      </c>
      <c r="B326" s="3">
        <v>45407</v>
      </c>
      <c r="C326" t="s">
        <v>880</v>
      </c>
      <c r="D326" t="s">
        <v>187</v>
      </c>
      <c r="E326" t="s">
        <v>66</v>
      </c>
      <c r="F326">
        <v>4</v>
      </c>
      <c r="G326" t="s">
        <v>33</v>
      </c>
      <c r="H326" s="14">
        <v>0.05</v>
      </c>
      <c r="I326" s="23">
        <v>548.44000000000005</v>
      </c>
      <c r="J326" s="4">
        <v>2193.56</v>
      </c>
    </row>
    <row r="327" spans="1:10">
      <c r="A327" t="s">
        <v>881</v>
      </c>
      <c r="B327" s="3">
        <v>45764</v>
      </c>
      <c r="C327" t="s">
        <v>758</v>
      </c>
      <c r="D327" t="s">
        <v>786</v>
      </c>
      <c r="E327" t="s">
        <v>22</v>
      </c>
      <c r="F327">
        <v>3</v>
      </c>
      <c r="G327" t="s">
        <v>23</v>
      </c>
      <c r="H327" s="14">
        <v>0.06</v>
      </c>
      <c r="I327" s="23">
        <v>361.11</v>
      </c>
      <c r="J327" s="4">
        <v>1083.1500000000001</v>
      </c>
    </row>
    <row r="328" spans="1:10">
      <c r="A328" t="s">
        <v>882</v>
      </c>
      <c r="B328" s="3">
        <v>45924</v>
      </c>
      <c r="C328" t="s">
        <v>84</v>
      </c>
      <c r="D328" t="s">
        <v>197</v>
      </c>
      <c r="E328" t="s">
        <v>105</v>
      </c>
      <c r="F328">
        <v>2</v>
      </c>
      <c r="G328" t="s">
        <v>33</v>
      </c>
      <c r="H328" s="14">
        <v>0.1</v>
      </c>
      <c r="I328" s="23">
        <v>610.37</v>
      </c>
      <c r="J328" s="4">
        <v>1220.54</v>
      </c>
    </row>
    <row r="329" spans="1:10">
      <c r="A329" t="s">
        <v>883</v>
      </c>
      <c r="B329" s="3">
        <v>45240</v>
      </c>
      <c r="C329" t="s">
        <v>639</v>
      </c>
      <c r="D329" t="s">
        <v>501</v>
      </c>
      <c r="E329" t="s">
        <v>117</v>
      </c>
      <c r="F329">
        <v>1</v>
      </c>
      <c r="G329" t="s">
        <v>23</v>
      </c>
      <c r="H329" s="14">
        <v>0.3</v>
      </c>
      <c r="I329" s="23">
        <v>272.2</v>
      </c>
      <c r="J329" s="4">
        <v>271.89999999999998</v>
      </c>
    </row>
    <row r="330" spans="1:10">
      <c r="A330" t="s">
        <v>884</v>
      </c>
      <c r="B330" s="3">
        <v>45349</v>
      </c>
      <c r="C330" t="s">
        <v>878</v>
      </c>
      <c r="D330" t="s">
        <v>192</v>
      </c>
      <c r="E330" t="s">
        <v>179</v>
      </c>
      <c r="F330">
        <v>3</v>
      </c>
      <c r="G330" t="s">
        <v>50</v>
      </c>
      <c r="H330" s="14">
        <v>0.16</v>
      </c>
      <c r="I330" s="23">
        <v>573.1</v>
      </c>
      <c r="J330" s="4">
        <v>1718.82</v>
      </c>
    </row>
    <row r="331" spans="1:10">
      <c r="A331" t="s">
        <v>885</v>
      </c>
      <c r="B331" s="3">
        <v>45756</v>
      </c>
      <c r="C331" t="s">
        <v>886</v>
      </c>
      <c r="D331" t="s">
        <v>887</v>
      </c>
      <c r="E331" t="s">
        <v>90</v>
      </c>
      <c r="F331">
        <v>4</v>
      </c>
      <c r="G331" t="s">
        <v>23</v>
      </c>
      <c r="H331" s="14">
        <v>0.28000000000000003</v>
      </c>
      <c r="I331" s="23">
        <v>24.72</v>
      </c>
      <c r="J331" s="4">
        <v>97.76</v>
      </c>
    </row>
    <row r="332" spans="1:10">
      <c r="A332" t="s">
        <v>889</v>
      </c>
      <c r="B332" s="3">
        <v>45478</v>
      </c>
      <c r="C332" t="s">
        <v>890</v>
      </c>
      <c r="D332" t="s">
        <v>810</v>
      </c>
      <c r="E332" t="s">
        <v>127</v>
      </c>
      <c r="F332">
        <v>3</v>
      </c>
      <c r="G332" t="s">
        <v>50</v>
      </c>
      <c r="H332" s="14">
        <v>7.0000000000000007E-2</v>
      </c>
      <c r="I332" s="23">
        <v>268.89</v>
      </c>
      <c r="J332" s="4">
        <v>806.46</v>
      </c>
    </row>
    <row r="333" spans="1:10">
      <c r="A333" t="s">
        <v>891</v>
      </c>
      <c r="B333" s="3">
        <v>45890</v>
      </c>
      <c r="C333" t="s">
        <v>461</v>
      </c>
      <c r="D333" t="s">
        <v>741</v>
      </c>
      <c r="E333" t="s">
        <v>127</v>
      </c>
      <c r="F333">
        <v>1</v>
      </c>
      <c r="G333" t="s">
        <v>50</v>
      </c>
      <c r="H333" s="14">
        <v>0.17</v>
      </c>
      <c r="I333" s="23">
        <v>78.5</v>
      </c>
      <c r="J333" s="4">
        <v>78.33</v>
      </c>
    </row>
    <row r="334" spans="1:10">
      <c r="A334" t="s">
        <v>892</v>
      </c>
      <c r="B334" s="3">
        <v>45815</v>
      </c>
      <c r="C334" t="s">
        <v>893</v>
      </c>
      <c r="D334" t="s">
        <v>126</v>
      </c>
      <c r="E334" t="s">
        <v>72</v>
      </c>
      <c r="F334">
        <v>3</v>
      </c>
      <c r="G334" t="s">
        <v>23</v>
      </c>
      <c r="H334" s="14">
        <v>0.02</v>
      </c>
      <c r="I334" s="23">
        <v>399.42</v>
      </c>
      <c r="J334" s="4">
        <v>1198.2</v>
      </c>
    </row>
    <row r="335" spans="1:10">
      <c r="A335" t="s">
        <v>894</v>
      </c>
      <c r="B335" s="3">
        <v>45891</v>
      </c>
      <c r="C335" t="s">
        <v>895</v>
      </c>
      <c r="D335" t="s">
        <v>311</v>
      </c>
      <c r="E335" t="s">
        <v>135</v>
      </c>
      <c r="F335">
        <v>3</v>
      </c>
      <c r="G335" t="s">
        <v>33</v>
      </c>
      <c r="H335" s="14">
        <v>0.01</v>
      </c>
      <c r="I335" s="23">
        <v>455.82</v>
      </c>
      <c r="J335" s="4">
        <v>1367.43</v>
      </c>
    </row>
    <row r="336" spans="1:10">
      <c r="A336" t="s">
        <v>896</v>
      </c>
      <c r="B336" s="3">
        <v>45609</v>
      </c>
      <c r="C336" t="s">
        <v>519</v>
      </c>
      <c r="D336" t="s">
        <v>409</v>
      </c>
      <c r="E336" t="s">
        <v>58</v>
      </c>
      <c r="F336">
        <v>2</v>
      </c>
      <c r="G336" t="s">
        <v>33</v>
      </c>
      <c r="H336" s="14">
        <v>0.15</v>
      </c>
      <c r="I336" s="23">
        <v>613.23</v>
      </c>
      <c r="J336" s="4">
        <v>1226.1600000000001</v>
      </c>
    </row>
    <row r="337" spans="1:10">
      <c r="A337" t="s">
        <v>897</v>
      </c>
      <c r="B337" s="3">
        <v>45309</v>
      </c>
      <c r="C337" t="s">
        <v>898</v>
      </c>
      <c r="D337" t="s">
        <v>868</v>
      </c>
      <c r="E337" t="s">
        <v>98</v>
      </c>
      <c r="F337">
        <v>4</v>
      </c>
      <c r="G337" t="s">
        <v>33</v>
      </c>
      <c r="H337" s="14">
        <v>0.28000000000000003</v>
      </c>
      <c r="I337" s="23">
        <v>971.9</v>
      </c>
      <c r="J337" s="4">
        <v>3886.48</v>
      </c>
    </row>
    <row r="338" spans="1:10">
      <c r="A338" t="s">
        <v>899</v>
      </c>
      <c r="B338" s="3">
        <v>45519</v>
      </c>
      <c r="C338" t="s">
        <v>900</v>
      </c>
      <c r="D338" t="s">
        <v>567</v>
      </c>
      <c r="E338" t="s">
        <v>66</v>
      </c>
      <c r="F338">
        <v>3</v>
      </c>
      <c r="G338" t="s">
        <v>33</v>
      </c>
      <c r="H338" s="14">
        <v>0.06</v>
      </c>
      <c r="I338" s="23">
        <v>884.92</v>
      </c>
      <c r="J338" s="4">
        <v>2654.58</v>
      </c>
    </row>
    <row r="339" spans="1:10">
      <c r="A339" t="s">
        <v>901</v>
      </c>
      <c r="B339" s="3">
        <v>45921</v>
      </c>
      <c r="C339" t="s">
        <v>456</v>
      </c>
      <c r="D339" t="s">
        <v>484</v>
      </c>
      <c r="E339" t="s">
        <v>127</v>
      </c>
      <c r="F339">
        <v>1</v>
      </c>
      <c r="G339" t="s">
        <v>23</v>
      </c>
      <c r="H339" s="14">
        <v>0.23</v>
      </c>
      <c r="I339" s="23">
        <v>125</v>
      </c>
      <c r="J339" s="4">
        <v>124.77</v>
      </c>
    </row>
    <row r="340" spans="1:10">
      <c r="A340" t="s">
        <v>902</v>
      </c>
      <c r="B340" s="3">
        <v>45465</v>
      </c>
      <c r="C340" t="s">
        <v>606</v>
      </c>
      <c r="D340" t="s">
        <v>234</v>
      </c>
      <c r="E340" t="s">
        <v>122</v>
      </c>
      <c r="F340">
        <v>2</v>
      </c>
      <c r="G340" t="s">
        <v>33</v>
      </c>
      <c r="H340" s="14">
        <v>0.08</v>
      </c>
      <c r="I340" s="23">
        <v>188.25</v>
      </c>
      <c r="J340" s="4">
        <v>376.34</v>
      </c>
    </row>
    <row r="341" spans="1:10">
      <c r="A341" t="s">
        <v>903</v>
      </c>
      <c r="B341" s="3">
        <v>45303</v>
      </c>
      <c r="C341" t="s">
        <v>904</v>
      </c>
      <c r="D341" t="s">
        <v>381</v>
      </c>
      <c r="E341" t="s">
        <v>179</v>
      </c>
      <c r="F341">
        <v>4</v>
      </c>
      <c r="G341" t="s">
        <v>33</v>
      </c>
      <c r="H341" s="14">
        <v>0.25</v>
      </c>
      <c r="I341" s="23">
        <v>344.12</v>
      </c>
      <c r="J341" s="4">
        <v>1375.48</v>
      </c>
    </row>
    <row r="342" spans="1:10">
      <c r="A342" t="s">
        <v>905</v>
      </c>
      <c r="B342" s="3">
        <v>45218</v>
      </c>
      <c r="C342" t="s">
        <v>857</v>
      </c>
      <c r="D342" t="s">
        <v>377</v>
      </c>
      <c r="E342" t="s">
        <v>135</v>
      </c>
      <c r="F342">
        <v>3</v>
      </c>
      <c r="G342" t="s">
        <v>50</v>
      </c>
      <c r="H342" s="14">
        <v>0.09</v>
      </c>
      <c r="I342" s="23">
        <v>997.95</v>
      </c>
      <c r="J342" s="4">
        <v>2993.58</v>
      </c>
    </row>
    <row r="343" spans="1:10">
      <c r="A343" t="s">
        <v>906</v>
      </c>
      <c r="B343" s="3">
        <v>45727</v>
      </c>
      <c r="C343" t="s">
        <v>907</v>
      </c>
      <c r="D343" t="s">
        <v>555</v>
      </c>
      <c r="E343" t="s">
        <v>122</v>
      </c>
      <c r="F343">
        <v>3</v>
      </c>
      <c r="G343" t="s">
        <v>33</v>
      </c>
      <c r="H343" s="14">
        <v>7.0000000000000007E-2</v>
      </c>
      <c r="I343" s="23">
        <v>121.64</v>
      </c>
      <c r="J343" s="4">
        <v>364.71</v>
      </c>
    </row>
    <row r="344" spans="1:10">
      <c r="A344" t="s">
        <v>908</v>
      </c>
      <c r="B344" s="3">
        <v>45557</v>
      </c>
      <c r="C344" t="s">
        <v>358</v>
      </c>
      <c r="D344" t="s">
        <v>741</v>
      </c>
      <c r="E344" t="s">
        <v>168</v>
      </c>
      <c r="F344">
        <v>2</v>
      </c>
      <c r="G344" t="s">
        <v>33</v>
      </c>
      <c r="H344" s="14">
        <v>0.13</v>
      </c>
      <c r="I344" s="23">
        <v>692.72</v>
      </c>
      <c r="J344" s="4">
        <v>1385.18</v>
      </c>
    </row>
    <row r="345" spans="1:10">
      <c r="A345" t="s">
        <v>909</v>
      </c>
      <c r="B345" s="3">
        <v>45623</v>
      </c>
      <c r="C345" t="s">
        <v>910</v>
      </c>
      <c r="D345" t="s">
        <v>97</v>
      </c>
      <c r="E345" t="s">
        <v>135</v>
      </c>
      <c r="F345">
        <v>3</v>
      </c>
      <c r="G345" t="s">
        <v>33</v>
      </c>
      <c r="H345" s="14">
        <v>0.03</v>
      </c>
      <c r="I345" s="23">
        <v>794.59</v>
      </c>
      <c r="J345" s="4">
        <v>2383.6799999999998</v>
      </c>
    </row>
    <row r="346" spans="1:10">
      <c r="A346" t="s">
        <v>911</v>
      </c>
      <c r="B346" s="3">
        <v>45224</v>
      </c>
      <c r="C346" t="s">
        <v>912</v>
      </c>
      <c r="D346" t="s">
        <v>246</v>
      </c>
      <c r="E346" t="s">
        <v>127</v>
      </c>
      <c r="F346">
        <v>1</v>
      </c>
      <c r="G346" t="s">
        <v>33</v>
      </c>
      <c r="H346" s="14">
        <v>0.1</v>
      </c>
      <c r="I346" s="23">
        <v>907.95</v>
      </c>
      <c r="J346" s="4">
        <v>907.85</v>
      </c>
    </row>
    <row r="347" spans="1:10">
      <c r="A347" t="s">
        <v>913</v>
      </c>
      <c r="B347" s="3">
        <v>45940</v>
      </c>
      <c r="C347" t="s">
        <v>413</v>
      </c>
      <c r="D347" t="s">
        <v>409</v>
      </c>
      <c r="E347" t="s">
        <v>90</v>
      </c>
      <c r="F347">
        <v>2</v>
      </c>
      <c r="G347" t="s">
        <v>23</v>
      </c>
      <c r="H347" s="14">
        <v>0.18</v>
      </c>
      <c r="I347" s="23">
        <v>660.81</v>
      </c>
      <c r="J347" s="4">
        <v>1321.26</v>
      </c>
    </row>
    <row r="348" spans="1:10">
      <c r="A348" t="s">
        <v>914</v>
      </c>
      <c r="B348" s="3">
        <v>45915</v>
      </c>
      <c r="C348" t="s">
        <v>915</v>
      </c>
      <c r="D348" t="s">
        <v>501</v>
      </c>
      <c r="E348" t="s">
        <v>43</v>
      </c>
      <c r="F348">
        <v>3</v>
      </c>
      <c r="G348" t="s">
        <v>50</v>
      </c>
      <c r="H348" s="14">
        <v>0.22</v>
      </c>
      <c r="I348" s="23">
        <v>564.94000000000005</v>
      </c>
      <c r="J348" s="4">
        <v>1694.16</v>
      </c>
    </row>
    <row r="349" spans="1:10">
      <c r="A349" t="s">
        <v>916</v>
      </c>
      <c r="B349" s="3">
        <v>45541</v>
      </c>
      <c r="C349" t="s">
        <v>384</v>
      </c>
      <c r="D349" t="s">
        <v>65</v>
      </c>
      <c r="E349" t="s">
        <v>122</v>
      </c>
      <c r="F349">
        <v>2</v>
      </c>
      <c r="G349" t="s">
        <v>50</v>
      </c>
      <c r="H349" s="14">
        <v>0.22</v>
      </c>
      <c r="I349" s="23">
        <v>280.37</v>
      </c>
      <c r="J349" s="4">
        <v>560.29999999999995</v>
      </c>
    </row>
    <row r="350" spans="1:10">
      <c r="A350" t="s">
        <v>917</v>
      </c>
      <c r="B350" s="3">
        <v>45489</v>
      </c>
      <c r="C350" t="s">
        <v>330</v>
      </c>
      <c r="D350" t="s">
        <v>409</v>
      </c>
      <c r="E350" t="s">
        <v>22</v>
      </c>
      <c r="F350">
        <v>2</v>
      </c>
      <c r="G350" t="s">
        <v>23</v>
      </c>
      <c r="H350" s="14">
        <v>0.13</v>
      </c>
      <c r="I350" s="23">
        <v>85.23</v>
      </c>
      <c r="J350" s="4">
        <v>170.2</v>
      </c>
    </row>
    <row r="351" spans="1:10">
      <c r="A351" t="s">
        <v>918</v>
      </c>
      <c r="B351" s="3">
        <v>45748</v>
      </c>
      <c r="C351" t="s">
        <v>794</v>
      </c>
      <c r="D351" t="s">
        <v>139</v>
      </c>
      <c r="E351" t="s">
        <v>149</v>
      </c>
      <c r="F351">
        <v>2</v>
      </c>
      <c r="G351" t="s">
        <v>23</v>
      </c>
      <c r="H351" s="14">
        <v>0.26</v>
      </c>
      <c r="I351" s="23">
        <v>563.29999999999995</v>
      </c>
      <c r="J351" s="4">
        <v>1126.08</v>
      </c>
    </row>
    <row r="352" spans="1:10">
      <c r="A352" t="s">
        <v>919</v>
      </c>
      <c r="B352" s="3">
        <v>45309</v>
      </c>
      <c r="C352" t="s">
        <v>620</v>
      </c>
      <c r="D352" t="s">
        <v>429</v>
      </c>
      <c r="E352" t="s">
        <v>160</v>
      </c>
      <c r="F352">
        <v>2</v>
      </c>
      <c r="G352" t="s">
        <v>33</v>
      </c>
      <c r="H352" s="14">
        <v>0.04</v>
      </c>
      <c r="I352" s="23">
        <v>827.81</v>
      </c>
      <c r="J352" s="4">
        <v>1655.54</v>
      </c>
    </row>
    <row r="353" spans="1:10">
      <c r="A353" t="s">
        <v>920</v>
      </c>
      <c r="B353" s="3">
        <v>45621</v>
      </c>
      <c r="C353" t="s">
        <v>447</v>
      </c>
      <c r="D353" t="s">
        <v>173</v>
      </c>
      <c r="E353" t="s">
        <v>160</v>
      </c>
      <c r="F353">
        <v>3</v>
      </c>
      <c r="G353" t="s">
        <v>33</v>
      </c>
      <c r="H353" s="14">
        <v>0.12</v>
      </c>
      <c r="I353" s="23">
        <v>877.71</v>
      </c>
      <c r="J353" s="4">
        <v>2632.77</v>
      </c>
    </row>
    <row r="354" spans="1:10">
      <c r="A354" t="s">
        <v>921</v>
      </c>
      <c r="B354" s="3">
        <v>45603</v>
      </c>
      <c r="C354" t="s">
        <v>461</v>
      </c>
      <c r="D354" t="s">
        <v>509</v>
      </c>
      <c r="E354" t="s">
        <v>127</v>
      </c>
      <c r="F354">
        <v>4</v>
      </c>
      <c r="G354" t="s">
        <v>50</v>
      </c>
      <c r="H354" s="14">
        <v>0.26</v>
      </c>
      <c r="I354" s="23">
        <v>488.56</v>
      </c>
      <c r="J354" s="4">
        <v>1953.2</v>
      </c>
    </row>
    <row r="355" spans="1:10">
      <c r="A355" t="s">
        <v>922</v>
      </c>
      <c r="B355" s="3">
        <v>45501</v>
      </c>
      <c r="C355" t="s">
        <v>923</v>
      </c>
      <c r="D355" t="s">
        <v>425</v>
      </c>
      <c r="E355" t="s">
        <v>208</v>
      </c>
      <c r="F355">
        <v>4</v>
      </c>
      <c r="G355" t="s">
        <v>33</v>
      </c>
      <c r="H355" s="14">
        <v>0.13</v>
      </c>
      <c r="I355" s="23">
        <v>175.91</v>
      </c>
      <c r="J355" s="4">
        <v>703.12</v>
      </c>
    </row>
    <row r="356" spans="1:10">
      <c r="A356" t="s">
        <v>924</v>
      </c>
      <c r="B356" s="3">
        <v>45398</v>
      </c>
      <c r="C356" t="s">
        <v>763</v>
      </c>
      <c r="D356" t="s">
        <v>514</v>
      </c>
      <c r="E356" t="s">
        <v>43</v>
      </c>
      <c r="F356">
        <v>4</v>
      </c>
      <c r="G356" t="s">
        <v>50</v>
      </c>
      <c r="H356" s="14">
        <v>0.25</v>
      </c>
      <c r="I356" s="23">
        <v>289.66000000000003</v>
      </c>
      <c r="J356" s="4">
        <v>1157.6400000000001</v>
      </c>
    </row>
    <row r="357" spans="1:10">
      <c r="A357" t="s">
        <v>925</v>
      </c>
      <c r="B357" s="3">
        <v>45304</v>
      </c>
      <c r="C357" t="s">
        <v>926</v>
      </c>
      <c r="D357" t="s">
        <v>65</v>
      </c>
      <c r="E357" t="s">
        <v>122</v>
      </c>
      <c r="F357">
        <v>2</v>
      </c>
      <c r="G357" t="s">
        <v>23</v>
      </c>
      <c r="H357" s="14">
        <v>0.17</v>
      </c>
      <c r="I357" s="23">
        <v>899.27</v>
      </c>
      <c r="J357" s="4">
        <v>1798.2</v>
      </c>
    </row>
    <row r="358" spans="1:10">
      <c r="A358" t="s">
        <v>927</v>
      </c>
      <c r="B358" s="3">
        <v>45299</v>
      </c>
      <c r="C358" t="s">
        <v>96</v>
      </c>
      <c r="D358" t="s">
        <v>928</v>
      </c>
      <c r="E358" t="s">
        <v>105</v>
      </c>
      <c r="F358">
        <v>1</v>
      </c>
      <c r="G358" t="s">
        <v>50</v>
      </c>
      <c r="H358" s="14">
        <v>0.11</v>
      </c>
      <c r="I358" s="23">
        <v>691.38</v>
      </c>
      <c r="J358" s="4">
        <v>691.27</v>
      </c>
    </row>
    <row r="359" spans="1:10">
      <c r="A359" t="s">
        <v>930</v>
      </c>
      <c r="B359" s="3">
        <v>45564</v>
      </c>
      <c r="C359" t="s">
        <v>931</v>
      </c>
      <c r="D359" t="s">
        <v>139</v>
      </c>
      <c r="E359" t="s">
        <v>90</v>
      </c>
      <c r="F359">
        <v>3</v>
      </c>
      <c r="G359" t="s">
        <v>23</v>
      </c>
      <c r="H359" s="14">
        <v>0.13</v>
      </c>
      <c r="I359" s="23">
        <v>158.72</v>
      </c>
      <c r="J359" s="4">
        <v>475.77</v>
      </c>
    </row>
    <row r="360" spans="1:10">
      <c r="A360" t="s">
        <v>933</v>
      </c>
      <c r="B360" s="3">
        <v>45413</v>
      </c>
      <c r="C360" t="s">
        <v>934</v>
      </c>
      <c r="D360" t="s">
        <v>148</v>
      </c>
      <c r="E360" t="s">
        <v>117</v>
      </c>
      <c r="F360">
        <v>4</v>
      </c>
      <c r="G360" t="s">
        <v>50</v>
      </c>
      <c r="H360" s="14">
        <v>0.06</v>
      </c>
      <c r="I360" s="23">
        <v>537.15</v>
      </c>
      <c r="J360" s="4">
        <v>2148.36</v>
      </c>
    </row>
    <row r="361" spans="1:10">
      <c r="A361" t="s">
        <v>935</v>
      </c>
      <c r="B361" s="3">
        <v>45480</v>
      </c>
      <c r="C361" t="s">
        <v>825</v>
      </c>
      <c r="D361" t="s">
        <v>745</v>
      </c>
      <c r="E361" t="s">
        <v>127</v>
      </c>
      <c r="F361">
        <v>3</v>
      </c>
      <c r="G361" t="s">
        <v>50</v>
      </c>
      <c r="H361" s="14">
        <v>0.05</v>
      </c>
      <c r="I361" s="23">
        <v>771.7</v>
      </c>
      <c r="J361" s="4">
        <v>2314.9499999999998</v>
      </c>
    </row>
    <row r="362" spans="1:10">
      <c r="A362" t="s">
        <v>936</v>
      </c>
      <c r="B362" s="3">
        <v>45610</v>
      </c>
      <c r="C362" t="s">
        <v>589</v>
      </c>
      <c r="D362" t="s">
        <v>110</v>
      </c>
      <c r="E362" t="s">
        <v>105</v>
      </c>
      <c r="F362">
        <v>4</v>
      </c>
      <c r="G362" t="s">
        <v>33</v>
      </c>
      <c r="H362" s="14">
        <v>0.14000000000000001</v>
      </c>
      <c r="I362" s="23">
        <v>677.25</v>
      </c>
      <c r="J362" s="4">
        <v>2708.44</v>
      </c>
    </row>
    <row r="363" spans="1:10">
      <c r="A363" t="s">
        <v>937</v>
      </c>
      <c r="B363" s="3">
        <v>45763</v>
      </c>
      <c r="C363" t="s">
        <v>938</v>
      </c>
      <c r="D363" t="s">
        <v>187</v>
      </c>
      <c r="E363" t="s">
        <v>272</v>
      </c>
      <c r="F363">
        <v>1</v>
      </c>
      <c r="G363" t="s">
        <v>50</v>
      </c>
      <c r="H363" s="14">
        <v>0.26</v>
      </c>
      <c r="I363" s="23">
        <v>645.48</v>
      </c>
      <c r="J363" s="4">
        <v>645.22</v>
      </c>
    </row>
    <row r="364" spans="1:10">
      <c r="A364" t="s">
        <v>939</v>
      </c>
      <c r="B364" s="3">
        <v>45856</v>
      </c>
      <c r="C364" t="s">
        <v>940</v>
      </c>
      <c r="D364" t="s">
        <v>575</v>
      </c>
      <c r="E364" t="s">
        <v>198</v>
      </c>
      <c r="F364">
        <v>2</v>
      </c>
      <c r="G364" t="s">
        <v>50</v>
      </c>
      <c r="H364" s="14">
        <v>0.3</v>
      </c>
      <c r="I364" s="23">
        <v>934</v>
      </c>
      <c r="J364" s="4">
        <v>1867.4</v>
      </c>
    </row>
    <row r="365" spans="1:10">
      <c r="A365" t="s">
        <v>941</v>
      </c>
      <c r="B365" s="3">
        <v>45712</v>
      </c>
      <c r="C365" t="s">
        <v>639</v>
      </c>
      <c r="D365" t="s">
        <v>381</v>
      </c>
      <c r="E365" t="s">
        <v>198</v>
      </c>
      <c r="F365">
        <v>1</v>
      </c>
      <c r="G365" t="s">
        <v>23</v>
      </c>
      <c r="H365" s="14">
        <v>0.2</v>
      </c>
      <c r="I365" s="23">
        <v>669.53</v>
      </c>
      <c r="J365" s="4">
        <v>669.33</v>
      </c>
    </row>
    <row r="366" spans="1:10">
      <c r="A366" t="s">
        <v>942</v>
      </c>
      <c r="B366" s="3">
        <v>45723</v>
      </c>
      <c r="C366" t="s">
        <v>725</v>
      </c>
      <c r="D366" t="s">
        <v>487</v>
      </c>
      <c r="E366" t="s">
        <v>160</v>
      </c>
      <c r="F366">
        <v>1</v>
      </c>
      <c r="G366" t="s">
        <v>50</v>
      </c>
      <c r="H366" s="14">
        <v>0.28000000000000003</v>
      </c>
      <c r="I366" s="23">
        <v>213.69</v>
      </c>
      <c r="J366" s="4">
        <v>213.41</v>
      </c>
    </row>
    <row r="367" spans="1:10">
      <c r="A367" t="s">
        <v>943</v>
      </c>
      <c r="B367" s="3">
        <v>45706</v>
      </c>
      <c r="C367" t="s">
        <v>944</v>
      </c>
      <c r="D367" t="s">
        <v>279</v>
      </c>
      <c r="E367" t="s">
        <v>135</v>
      </c>
      <c r="F367">
        <v>2</v>
      </c>
      <c r="G367" t="s">
        <v>33</v>
      </c>
      <c r="H367" s="14">
        <v>0.2</v>
      </c>
      <c r="I367" s="23">
        <v>99.1</v>
      </c>
      <c r="J367" s="4">
        <v>197.8</v>
      </c>
    </row>
    <row r="368" spans="1:10">
      <c r="A368" t="s">
        <v>945</v>
      </c>
      <c r="B368" s="3">
        <v>45469</v>
      </c>
      <c r="C368" t="s">
        <v>946</v>
      </c>
      <c r="D368" t="s">
        <v>786</v>
      </c>
      <c r="E368" t="s">
        <v>117</v>
      </c>
      <c r="F368">
        <v>1</v>
      </c>
      <c r="G368" t="s">
        <v>50</v>
      </c>
      <c r="H368" s="14">
        <v>0.03</v>
      </c>
      <c r="I368" s="23">
        <v>628.98</v>
      </c>
      <c r="J368" s="4">
        <v>628.95000000000005</v>
      </c>
    </row>
    <row r="369" spans="1:10">
      <c r="A369" t="s">
        <v>947</v>
      </c>
      <c r="B369" s="3">
        <v>45711</v>
      </c>
      <c r="C369" t="s">
        <v>895</v>
      </c>
      <c r="D369" t="s">
        <v>814</v>
      </c>
      <c r="E369" t="s">
        <v>72</v>
      </c>
      <c r="F369">
        <v>3</v>
      </c>
      <c r="G369" t="s">
        <v>23</v>
      </c>
      <c r="H369" s="14">
        <v>0.26</v>
      </c>
      <c r="I369" s="23">
        <v>944.64</v>
      </c>
      <c r="J369" s="4">
        <v>2833.14</v>
      </c>
    </row>
    <row r="370" spans="1:10">
      <c r="A370" t="s">
        <v>948</v>
      </c>
      <c r="B370" s="3">
        <v>45823</v>
      </c>
      <c r="C370" t="s">
        <v>756</v>
      </c>
      <c r="D370" t="s">
        <v>317</v>
      </c>
      <c r="E370" t="s">
        <v>208</v>
      </c>
      <c r="F370">
        <v>2</v>
      </c>
      <c r="G370" t="s">
        <v>50</v>
      </c>
      <c r="H370" s="14">
        <v>0.06</v>
      </c>
      <c r="I370" s="23">
        <v>121.7</v>
      </c>
      <c r="J370" s="4">
        <v>243.28</v>
      </c>
    </row>
    <row r="371" spans="1:10">
      <c r="A371" t="s">
        <v>949</v>
      </c>
      <c r="B371" s="3">
        <v>45217</v>
      </c>
      <c r="C371" t="s">
        <v>654</v>
      </c>
      <c r="D371" t="s">
        <v>134</v>
      </c>
      <c r="E371" t="s">
        <v>22</v>
      </c>
      <c r="F371">
        <v>4</v>
      </c>
      <c r="G371" t="s">
        <v>33</v>
      </c>
      <c r="H371" s="14">
        <v>7.0000000000000007E-2</v>
      </c>
      <c r="I371" s="23">
        <v>269.49</v>
      </c>
      <c r="J371" s="4">
        <v>1077.68</v>
      </c>
    </row>
    <row r="372" spans="1:10">
      <c r="A372" t="s">
        <v>950</v>
      </c>
      <c r="B372" s="3">
        <v>45733</v>
      </c>
      <c r="C372" t="s">
        <v>694</v>
      </c>
      <c r="D372" t="s">
        <v>443</v>
      </c>
      <c r="E372" t="s">
        <v>160</v>
      </c>
      <c r="F372">
        <v>1</v>
      </c>
      <c r="G372" t="s">
        <v>23</v>
      </c>
      <c r="H372" s="14">
        <v>0.14000000000000001</v>
      </c>
      <c r="I372" s="23">
        <v>678.2</v>
      </c>
      <c r="J372" s="4">
        <v>678.06</v>
      </c>
    </row>
    <row r="373" spans="1:10">
      <c r="A373" t="s">
        <v>951</v>
      </c>
      <c r="B373" s="3">
        <v>45520</v>
      </c>
      <c r="C373" t="s">
        <v>474</v>
      </c>
      <c r="D373" t="s">
        <v>453</v>
      </c>
      <c r="E373" t="s">
        <v>149</v>
      </c>
      <c r="F373">
        <v>1</v>
      </c>
      <c r="G373" t="s">
        <v>50</v>
      </c>
      <c r="H373" s="14">
        <v>0.21</v>
      </c>
      <c r="I373" s="23">
        <v>752.45</v>
      </c>
      <c r="J373" s="4">
        <v>752.24</v>
      </c>
    </row>
    <row r="374" spans="1:10">
      <c r="A374" t="s">
        <v>952</v>
      </c>
      <c r="B374" s="3">
        <v>45373</v>
      </c>
      <c r="C374" t="s">
        <v>343</v>
      </c>
      <c r="D374" t="s">
        <v>242</v>
      </c>
      <c r="E374" t="s">
        <v>149</v>
      </c>
      <c r="F374">
        <v>2</v>
      </c>
      <c r="G374" t="s">
        <v>23</v>
      </c>
      <c r="H374" s="14">
        <v>0.21</v>
      </c>
      <c r="I374" s="23">
        <v>209.66</v>
      </c>
      <c r="J374" s="4">
        <v>418.9</v>
      </c>
    </row>
    <row r="375" spans="1:10">
      <c r="A375" t="s">
        <v>953</v>
      </c>
      <c r="B375" s="3">
        <v>45688</v>
      </c>
      <c r="C375" t="s">
        <v>954</v>
      </c>
      <c r="D375" t="s">
        <v>21</v>
      </c>
      <c r="E375" t="s">
        <v>135</v>
      </c>
      <c r="F375">
        <v>2</v>
      </c>
      <c r="G375" t="s">
        <v>50</v>
      </c>
      <c r="H375" s="14">
        <v>0.1</v>
      </c>
      <c r="I375" s="23">
        <v>739.95</v>
      </c>
      <c r="J375" s="4">
        <v>1479.7</v>
      </c>
    </row>
    <row r="376" spans="1:10">
      <c r="A376" t="s">
        <v>955</v>
      </c>
      <c r="B376" s="3">
        <v>45276</v>
      </c>
      <c r="C376" t="s">
        <v>956</v>
      </c>
      <c r="D376" t="s">
        <v>344</v>
      </c>
      <c r="E376" t="s">
        <v>122</v>
      </c>
      <c r="F376">
        <v>1</v>
      </c>
      <c r="G376" t="s">
        <v>50</v>
      </c>
      <c r="H376" s="14">
        <v>0.08</v>
      </c>
      <c r="I376" s="23">
        <v>496.19</v>
      </c>
      <c r="J376" s="4">
        <v>496.11</v>
      </c>
    </row>
    <row r="377" spans="1:10">
      <c r="A377" t="s">
        <v>957</v>
      </c>
      <c r="B377" s="3">
        <v>45756</v>
      </c>
      <c r="C377" t="s">
        <v>754</v>
      </c>
      <c r="D377" t="s">
        <v>810</v>
      </c>
      <c r="E377" t="s">
        <v>208</v>
      </c>
      <c r="F377">
        <v>1</v>
      </c>
      <c r="G377" t="s">
        <v>33</v>
      </c>
      <c r="H377" s="14">
        <v>0.01</v>
      </c>
      <c r="I377" s="23">
        <v>306.36</v>
      </c>
      <c r="J377" s="4">
        <v>306.35000000000002</v>
      </c>
    </row>
    <row r="378" spans="1:10">
      <c r="A378" t="s">
        <v>958</v>
      </c>
      <c r="B378" s="3">
        <v>45309</v>
      </c>
      <c r="C378" t="s">
        <v>959</v>
      </c>
      <c r="D378" t="s">
        <v>575</v>
      </c>
      <c r="E378" t="s">
        <v>72</v>
      </c>
      <c r="F378">
        <v>4</v>
      </c>
      <c r="G378" t="s">
        <v>33</v>
      </c>
      <c r="H378" s="14">
        <v>0.05</v>
      </c>
      <c r="I378" s="23">
        <v>693.16</v>
      </c>
      <c r="J378" s="4">
        <v>2772.44</v>
      </c>
    </row>
    <row r="379" spans="1:10">
      <c r="A379" t="s">
        <v>960</v>
      </c>
      <c r="B379" s="3">
        <v>45744</v>
      </c>
      <c r="C379" t="s">
        <v>961</v>
      </c>
      <c r="D379" t="s">
        <v>359</v>
      </c>
      <c r="E379" t="s">
        <v>168</v>
      </c>
      <c r="F379">
        <v>1</v>
      </c>
      <c r="G379" t="s">
        <v>33</v>
      </c>
      <c r="H379" s="14">
        <v>0.22</v>
      </c>
      <c r="I379" s="23">
        <v>995.52</v>
      </c>
      <c r="J379" s="4">
        <v>995.3</v>
      </c>
    </row>
    <row r="380" spans="1:10">
      <c r="A380" t="s">
        <v>962</v>
      </c>
      <c r="B380" s="3">
        <v>45535</v>
      </c>
      <c r="C380" t="s">
        <v>963</v>
      </c>
      <c r="D380" t="s">
        <v>645</v>
      </c>
      <c r="E380" t="s">
        <v>160</v>
      </c>
      <c r="F380">
        <v>4</v>
      </c>
      <c r="G380" t="s">
        <v>50</v>
      </c>
      <c r="H380" s="14">
        <v>0.28999999999999998</v>
      </c>
      <c r="I380" s="23">
        <v>241.32</v>
      </c>
      <c r="J380" s="4">
        <v>964.12</v>
      </c>
    </row>
    <row r="381" spans="1:10">
      <c r="A381" t="s">
        <v>964</v>
      </c>
      <c r="B381" s="3">
        <v>45240</v>
      </c>
      <c r="C381" t="s">
        <v>147</v>
      </c>
      <c r="D381" t="s">
        <v>267</v>
      </c>
      <c r="E381" t="s">
        <v>105</v>
      </c>
      <c r="F381">
        <v>3</v>
      </c>
      <c r="G381" t="s">
        <v>50</v>
      </c>
      <c r="H381" s="14">
        <v>0.06</v>
      </c>
      <c r="I381" s="23">
        <v>636.03</v>
      </c>
      <c r="J381" s="4">
        <v>1907.91</v>
      </c>
    </row>
    <row r="382" spans="1:10">
      <c r="A382" t="s">
        <v>965</v>
      </c>
      <c r="B382" s="3">
        <v>45275</v>
      </c>
      <c r="C382" t="s">
        <v>701</v>
      </c>
      <c r="D382" t="s">
        <v>634</v>
      </c>
      <c r="E382" t="s">
        <v>135</v>
      </c>
      <c r="F382">
        <v>4</v>
      </c>
      <c r="G382" t="s">
        <v>23</v>
      </c>
      <c r="H382" s="14">
        <v>0.15</v>
      </c>
      <c r="I382" s="23">
        <v>603.30999999999995</v>
      </c>
      <c r="J382" s="4">
        <v>2412.64</v>
      </c>
    </row>
    <row r="383" spans="1:10">
      <c r="A383" t="s">
        <v>966</v>
      </c>
      <c r="B383" s="3">
        <v>45427</v>
      </c>
      <c r="C383" t="s">
        <v>692</v>
      </c>
      <c r="D383" t="s">
        <v>287</v>
      </c>
      <c r="E383" t="s">
        <v>168</v>
      </c>
      <c r="F383">
        <v>3</v>
      </c>
      <c r="G383" t="s">
        <v>50</v>
      </c>
      <c r="H383" s="14">
        <v>0.27</v>
      </c>
      <c r="I383" s="23">
        <v>437.96</v>
      </c>
      <c r="J383" s="4">
        <v>1313.07</v>
      </c>
    </row>
    <row r="384" spans="1:10">
      <c r="A384" t="s">
        <v>967</v>
      </c>
      <c r="B384" s="3">
        <v>45322</v>
      </c>
      <c r="C384" t="s">
        <v>968</v>
      </c>
      <c r="D384" t="s">
        <v>116</v>
      </c>
      <c r="E384" t="s">
        <v>72</v>
      </c>
      <c r="F384">
        <v>2</v>
      </c>
      <c r="G384" t="s">
        <v>50</v>
      </c>
      <c r="H384" s="14">
        <v>0.08</v>
      </c>
      <c r="I384" s="23">
        <v>56.91</v>
      </c>
      <c r="J384" s="4">
        <v>113.66</v>
      </c>
    </row>
    <row r="385" spans="1:10">
      <c r="A385" t="s">
        <v>969</v>
      </c>
      <c r="B385" s="3">
        <v>45266</v>
      </c>
      <c r="C385" t="s">
        <v>639</v>
      </c>
      <c r="D385" t="s">
        <v>49</v>
      </c>
      <c r="E385" t="s">
        <v>179</v>
      </c>
      <c r="F385">
        <v>1</v>
      </c>
      <c r="G385" t="s">
        <v>23</v>
      </c>
      <c r="H385" s="14">
        <v>0.1</v>
      </c>
      <c r="I385" s="23">
        <v>141.79</v>
      </c>
      <c r="J385" s="4">
        <v>141.69</v>
      </c>
    </row>
    <row r="386" spans="1:10">
      <c r="A386" t="s">
        <v>970</v>
      </c>
      <c r="B386" s="3">
        <v>45302</v>
      </c>
      <c r="C386" t="s">
        <v>328</v>
      </c>
      <c r="D386" t="s">
        <v>810</v>
      </c>
      <c r="E386" t="s">
        <v>122</v>
      </c>
      <c r="F386">
        <v>4</v>
      </c>
      <c r="G386" t="s">
        <v>50</v>
      </c>
      <c r="H386" s="14">
        <v>0.16</v>
      </c>
      <c r="I386" s="23">
        <v>355.14</v>
      </c>
      <c r="J386" s="4">
        <v>1419.92</v>
      </c>
    </row>
    <row r="387" spans="1:10">
      <c r="A387" t="s">
        <v>971</v>
      </c>
      <c r="B387" s="3">
        <v>45907</v>
      </c>
      <c r="C387" t="s">
        <v>833</v>
      </c>
      <c r="D387" t="s">
        <v>340</v>
      </c>
      <c r="E387" t="s">
        <v>179</v>
      </c>
      <c r="F387">
        <v>4</v>
      </c>
      <c r="G387" t="s">
        <v>50</v>
      </c>
      <c r="H387" s="14">
        <v>0.15</v>
      </c>
      <c r="I387" s="23">
        <v>960.38</v>
      </c>
      <c r="J387" s="4">
        <v>3840.92</v>
      </c>
    </row>
    <row r="388" spans="1:10">
      <c r="A388" t="s">
        <v>972</v>
      </c>
      <c r="B388" s="3">
        <v>45433</v>
      </c>
      <c r="C388" t="s">
        <v>278</v>
      </c>
      <c r="D388" t="s">
        <v>167</v>
      </c>
      <c r="E388" t="s">
        <v>117</v>
      </c>
      <c r="F388">
        <v>3</v>
      </c>
      <c r="G388" t="s">
        <v>33</v>
      </c>
      <c r="H388" s="14">
        <v>0.06</v>
      </c>
      <c r="I388" s="23">
        <v>847.21</v>
      </c>
      <c r="J388" s="4">
        <v>2541.4499999999998</v>
      </c>
    </row>
    <row r="389" spans="1:10">
      <c r="A389" t="s">
        <v>973</v>
      </c>
      <c r="B389" s="3">
        <v>45892</v>
      </c>
      <c r="C389" t="s">
        <v>611</v>
      </c>
      <c r="D389" t="s">
        <v>429</v>
      </c>
      <c r="E389" t="s">
        <v>168</v>
      </c>
      <c r="F389">
        <v>4</v>
      </c>
      <c r="G389" t="s">
        <v>50</v>
      </c>
      <c r="H389" s="14">
        <v>0.08</v>
      </c>
      <c r="I389" s="23">
        <v>773.81</v>
      </c>
      <c r="J389" s="4">
        <v>3094.92</v>
      </c>
    </row>
    <row r="390" spans="1:10">
      <c r="A390" t="s">
        <v>974</v>
      </c>
      <c r="B390" s="3">
        <v>45780</v>
      </c>
      <c r="C390" t="s">
        <v>975</v>
      </c>
      <c r="D390" t="s">
        <v>625</v>
      </c>
      <c r="E390" t="s">
        <v>117</v>
      </c>
      <c r="F390">
        <v>1</v>
      </c>
      <c r="G390" t="s">
        <v>33</v>
      </c>
      <c r="H390" s="14">
        <v>0.1</v>
      </c>
      <c r="I390" s="23">
        <v>664.71</v>
      </c>
      <c r="J390" s="4">
        <v>664.61</v>
      </c>
    </row>
    <row r="391" spans="1:10">
      <c r="A391" t="s">
        <v>976</v>
      </c>
      <c r="B391" s="3">
        <v>45233</v>
      </c>
      <c r="C391" t="s">
        <v>977</v>
      </c>
      <c r="D391" t="s">
        <v>786</v>
      </c>
      <c r="E391" t="s">
        <v>66</v>
      </c>
      <c r="F391">
        <v>4</v>
      </c>
      <c r="G391" t="s">
        <v>33</v>
      </c>
      <c r="H391" s="14">
        <v>7.0000000000000007E-2</v>
      </c>
      <c r="I391" s="23">
        <v>482.06</v>
      </c>
      <c r="J391" s="4">
        <v>1927.96</v>
      </c>
    </row>
    <row r="392" spans="1:10">
      <c r="A392" t="s">
        <v>978</v>
      </c>
      <c r="B392" s="3">
        <v>45742</v>
      </c>
      <c r="C392" t="s">
        <v>979</v>
      </c>
      <c r="D392" t="s">
        <v>509</v>
      </c>
      <c r="E392" t="s">
        <v>22</v>
      </c>
      <c r="F392">
        <v>4</v>
      </c>
      <c r="G392" t="s">
        <v>33</v>
      </c>
      <c r="H392" s="14">
        <v>0.19</v>
      </c>
      <c r="I392" s="23">
        <v>995.55</v>
      </c>
      <c r="J392" s="4">
        <v>3981.44</v>
      </c>
    </row>
    <row r="393" spans="1:10">
      <c r="A393" t="s">
        <v>980</v>
      </c>
      <c r="B393" s="3">
        <v>45478</v>
      </c>
      <c r="C393" t="s">
        <v>776</v>
      </c>
      <c r="D393" t="s">
        <v>317</v>
      </c>
      <c r="E393" t="s">
        <v>149</v>
      </c>
      <c r="F393">
        <v>2</v>
      </c>
      <c r="G393" t="s">
        <v>33</v>
      </c>
      <c r="H393" s="14">
        <v>0.27</v>
      </c>
      <c r="I393" s="23">
        <v>153.84</v>
      </c>
      <c r="J393" s="4">
        <v>307.14</v>
      </c>
    </row>
    <row r="394" spans="1:10">
      <c r="A394" t="s">
        <v>981</v>
      </c>
      <c r="B394" s="3">
        <v>45789</v>
      </c>
      <c r="C394" t="s">
        <v>685</v>
      </c>
      <c r="D394" t="s">
        <v>267</v>
      </c>
      <c r="E394" t="s">
        <v>179</v>
      </c>
      <c r="F394">
        <v>3</v>
      </c>
      <c r="G394" t="s">
        <v>50</v>
      </c>
      <c r="H394" s="14">
        <v>0.23</v>
      </c>
      <c r="I394" s="23">
        <v>362.11</v>
      </c>
      <c r="J394" s="4">
        <v>1085.6400000000001</v>
      </c>
    </row>
    <row r="395" spans="1:10">
      <c r="A395" t="s">
        <v>982</v>
      </c>
      <c r="B395" s="3">
        <v>45561</v>
      </c>
      <c r="C395" t="s">
        <v>664</v>
      </c>
      <c r="D395" t="s">
        <v>159</v>
      </c>
      <c r="E395" t="s">
        <v>43</v>
      </c>
      <c r="F395">
        <v>3</v>
      </c>
      <c r="G395" t="s">
        <v>23</v>
      </c>
      <c r="H395" s="14">
        <v>0.11</v>
      </c>
      <c r="I395" s="23">
        <v>112.26</v>
      </c>
      <c r="J395" s="4">
        <v>336.45</v>
      </c>
    </row>
    <row r="396" spans="1:10">
      <c r="A396" t="s">
        <v>983</v>
      </c>
      <c r="B396" s="3">
        <v>45378</v>
      </c>
      <c r="C396" t="s">
        <v>262</v>
      </c>
      <c r="D396" t="s">
        <v>242</v>
      </c>
      <c r="E396" t="s">
        <v>135</v>
      </c>
      <c r="F396">
        <v>2</v>
      </c>
      <c r="G396" t="s">
        <v>50</v>
      </c>
      <c r="H396" s="14">
        <v>0.06</v>
      </c>
      <c r="I396" s="23">
        <v>962.81</v>
      </c>
      <c r="J396" s="4">
        <v>1925.5</v>
      </c>
    </row>
    <row r="397" spans="1:10">
      <c r="A397" t="s">
        <v>984</v>
      </c>
      <c r="B397" s="3">
        <v>45308</v>
      </c>
      <c r="C397" t="s">
        <v>186</v>
      </c>
      <c r="D397" t="s">
        <v>279</v>
      </c>
      <c r="E397" t="s">
        <v>90</v>
      </c>
      <c r="F397">
        <v>4</v>
      </c>
      <c r="G397" t="s">
        <v>23</v>
      </c>
      <c r="H397" s="14">
        <v>0.12</v>
      </c>
      <c r="I397" s="23">
        <v>276.23</v>
      </c>
      <c r="J397" s="4">
        <v>1104.44</v>
      </c>
    </row>
    <row r="398" spans="1:10">
      <c r="A398" t="s">
        <v>985</v>
      </c>
      <c r="B398" s="3">
        <v>45407</v>
      </c>
      <c r="C398" t="s">
        <v>986</v>
      </c>
      <c r="D398" t="s">
        <v>928</v>
      </c>
      <c r="E398" t="s">
        <v>98</v>
      </c>
      <c r="F398">
        <v>3</v>
      </c>
      <c r="G398" t="s">
        <v>33</v>
      </c>
      <c r="H398" s="14">
        <v>0.1</v>
      </c>
      <c r="I398" s="23">
        <v>991.37</v>
      </c>
      <c r="J398" s="4">
        <v>2973.81</v>
      </c>
    </row>
    <row r="399" spans="1:10">
      <c r="A399" t="s">
        <v>987</v>
      </c>
      <c r="B399" s="3">
        <v>45929</v>
      </c>
      <c r="C399" t="s">
        <v>338</v>
      </c>
      <c r="D399" t="s">
        <v>279</v>
      </c>
      <c r="E399" t="s">
        <v>149</v>
      </c>
      <c r="F399">
        <v>3</v>
      </c>
      <c r="G399" t="s">
        <v>23</v>
      </c>
      <c r="H399" s="14">
        <v>0.05</v>
      </c>
      <c r="I399" s="23">
        <v>977.47</v>
      </c>
      <c r="J399" s="4">
        <v>2932.26</v>
      </c>
    </row>
    <row r="400" spans="1:10">
      <c r="A400" t="s">
        <v>988</v>
      </c>
      <c r="B400" s="3">
        <v>45844</v>
      </c>
      <c r="C400" t="s">
        <v>989</v>
      </c>
      <c r="D400" t="s">
        <v>242</v>
      </c>
      <c r="E400" t="s">
        <v>208</v>
      </c>
      <c r="F400">
        <v>2</v>
      </c>
      <c r="G400" t="s">
        <v>33</v>
      </c>
      <c r="H400" s="14">
        <v>0.2</v>
      </c>
      <c r="I400" s="23">
        <v>308.7</v>
      </c>
      <c r="J400" s="4">
        <v>617</v>
      </c>
    </row>
    <row r="401" spans="1:10">
      <c r="A401" t="s">
        <v>990</v>
      </c>
      <c r="B401" s="3">
        <v>45579</v>
      </c>
      <c r="C401" t="s">
        <v>343</v>
      </c>
      <c r="D401" t="s">
        <v>887</v>
      </c>
      <c r="E401" t="s">
        <v>117</v>
      </c>
      <c r="F401">
        <v>2</v>
      </c>
      <c r="G401" t="s">
        <v>33</v>
      </c>
      <c r="H401" s="14">
        <v>0.1</v>
      </c>
      <c r="I401" s="23">
        <v>733.87</v>
      </c>
      <c r="J401" s="4">
        <v>1467.54</v>
      </c>
    </row>
    <row r="402" spans="1:10">
      <c r="A402" t="s">
        <v>991</v>
      </c>
      <c r="B402" s="3">
        <v>45227</v>
      </c>
      <c r="C402" t="s">
        <v>294</v>
      </c>
      <c r="D402" t="s">
        <v>314</v>
      </c>
      <c r="E402" t="s">
        <v>117</v>
      </c>
      <c r="F402">
        <v>2</v>
      </c>
      <c r="G402" t="s">
        <v>33</v>
      </c>
      <c r="H402" s="14">
        <v>0.22</v>
      </c>
      <c r="I402" s="23">
        <v>22.47</v>
      </c>
      <c r="J402" s="4">
        <v>44.5</v>
      </c>
    </row>
    <row r="403" spans="1:10">
      <c r="A403" t="s">
        <v>992</v>
      </c>
      <c r="B403" s="3">
        <v>45380</v>
      </c>
      <c r="C403" t="s">
        <v>121</v>
      </c>
      <c r="D403" t="s">
        <v>509</v>
      </c>
      <c r="E403" t="s">
        <v>149</v>
      </c>
      <c r="F403">
        <v>4</v>
      </c>
      <c r="G403" t="s">
        <v>23</v>
      </c>
      <c r="H403" s="14">
        <v>0.13</v>
      </c>
      <c r="I403" s="23">
        <v>651.36</v>
      </c>
      <c r="J403" s="4">
        <v>2604.92</v>
      </c>
    </row>
    <row r="404" spans="1:10">
      <c r="A404" t="s">
        <v>993</v>
      </c>
      <c r="B404" s="3">
        <v>45817</v>
      </c>
      <c r="C404" t="s">
        <v>994</v>
      </c>
      <c r="D404" t="s">
        <v>480</v>
      </c>
      <c r="E404" t="s">
        <v>168</v>
      </c>
      <c r="F404">
        <v>1</v>
      </c>
      <c r="G404" t="s">
        <v>50</v>
      </c>
      <c r="H404" s="14">
        <v>0.04</v>
      </c>
      <c r="I404" s="23">
        <v>753.39</v>
      </c>
      <c r="J404" s="4">
        <v>753.35</v>
      </c>
    </row>
    <row r="405" spans="1:10">
      <c r="A405" t="s">
        <v>995</v>
      </c>
      <c r="B405" s="3">
        <v>45576</v>
      </c>
      <c r="C405" t="s">
        <v>513</v>
      </c>
      <c r="D405" t="s">
        <v>368</v>
      </c>
      <c r="E405" t="s">
        <v>208</v>
      </c>
      <c r="F405">
        <v>4</v>
      </c>
      <c r="G405" t="s">
        <v>50</v>
      </c>
      <c r="H405" s="14">
        <v>0.12</v>
      </c>
      <c r="I405" s="23">
        <v>849.17</v>
      </c>
      <c r="J405" s="4">
        <v>3396.2</v>
      </c>
    </row>
    <row r="406" spans="1:10">
      <c r="A406" t="s">
        <v>996</v>
      </c>
      <c r="B406" s="3">
        <v>45495</v>
      </c>
      <c r="C406" t="s">
        <v>997</v>
      </c>
      <c r="D406" t="s">
        <v>291</v>
      </c>
      <c r="E406" t="s">
        <v>90</v>
      </c>
      <c r="F406">
        <v>4</v>
      </c>
      <c r="G406" t="s">
        <v>50</v>
      </c>
      <c r="H406" s="14">
        <v>0.25</v>
      </c>
      <c r="I406" s="23">
        <v>585.45000000000005</v>
      </c>
      <c r="J406" s="4">
        <v>2340.8000000000002</v>
      </c>
    </row>
    <row r="407" spans="1:10">
      <c r="A407" t="s">
        <v>998</v>
      </c>
      <c r="B407" s="3">
        <v>45628</v>
      </c>
      <c r="C407" t="s">
        <v>166</v>
      </c>
      <c r="D407" t="s">
        <v>213</v>
      </c>
      <c r="E407" t="s">
        <v>117</v>
      </c>
      <c r="F407">
        <v>1</v>
      </c>
      <c r="G407" t="s">
        <v>50</v>
      </c>
      <c r="H407" s="14">
        <v>0.25</v>
      </c>
      <c r="I407" s="23">
        <v>745.15</v>
      </c>
      <c r="J407" s="4">
        <v>744.9</v>
      </c>
    </row>
    <row r="408" spans="1:10">
      <c r="A408" t="s">
        <v>999</v>
      </c>
      <c r="B408" s="3">
        <v>45244</v>
      </c>
      <c r="C408" t="s">
        <v>1000</v>
      </c>
      <c r="D408" t="s">
        <v>85</v>
      </c>
      <c r="E408" t="s">
        <v>198</v>
      </c>
      <c r="F408">
        <v>1</v>
      </c>
      <c r="G408" t="s">
        <v>50</v>
      </c>
      <c r="H408" s="14">
        <v>0.04</v>
      </c>
      <c r="I408" s="23">
        <v>848.69</v>
      </c>
      <c r="J408" s="4">
        <v>848.65</v>
      </c>
    </row>
    <row r="409" spans="1:10">
      <c r="A409" t="s">
        <v>1001</v>
      </c>
      <c r="B409" s="3">
        <v>45336</v>
      </c>
      <c r="C409" t="s">
        <v>1002</v>
      </c>
      <c r="D409" t="s">
        <v>79</v>
      </c>
      <c r="E409" t="s">
        <v>98</v>
      </c>
      <c r="F409">
        <v>2</v>
      </c>
      <c r="G409" t="s">
        <v>33</v>
      </c>
      <c r="H409" s="14">
        <v>0.1</v>
      </c>
      <c r="I409" s="23">
        <v>247.67</v>
      </c>
      <c r="J409" s="4">
        <v>495.14</v>
      </c>
    </row>
    <row r="410" spans="1:10">
      <c r="A410" t="s">
        <v>1003</v>
      </c>
      <c r="B410" s="3">
        <v>45465</v>
      </c>
      <c r="C410" t="s">
        <v>1004</v>
      </c>
      <c r="D410" t="s">
        <v>31</v>
      </c>
      <c r="E410" t="s">
        <v>22</v>
      </c>
      <c r="F410">
        <v>3</v>
      </c>
      <c r="G410" t="s">
        <v>33</v>
      </c>
      <c r="H410" s="14">
        <v>0.02</v>
      </c>
      <c r="I410" s="23">
        <v>220.51</v>
      </c>
      <c r="J410" s="4">
        <v>661.47</v>
      </c>
    </row>
    <row r="411" spans="1:10">
      <c r="A411" t="s">
        <v>1005</v>
      </c>
      <c r="B411" s="3">
        <v>45837</v>
      </c>
      <c r="C411" t="s">
        <v>388</v>
      </c>
      <c r="D411" t="s">
        <v>65</v>
      </c>
      <c r="E411" t="s">
        <v>117</v>
      </c>
      <c r="F411">
        <v>4</v>
      </c>
      <c r="G411" t="s">
        <v>23</v>
      </c>
      <c r="H411" s="14">
        <v>0.08</v>
      </c>
      <c r="I411" s="23">
        <v>370.63</v>
      </c>
      <c r="J411" s="4">
        <v>1482.2</v>
      </c>
    </row>
    <row r="412" spans="1:10">
      <c r="A412" t="s">
        <v>1006</v>
      </c>
      <c r="B412" s="3">
        <v>45706</v>
      </c>
      <c r="C412" t="s">
        <v>1007</v>
      </c>
      <c r="D412" t="s">
        <v>255</v>
      </c>
      <c r="E412" t="s">
        <v>135</v>
      </c>
      <c r="F412">
        <v>4</v>
      </c>
      <c r="G412" t="s">
        <v>23</v>
      </c>
      <c r="H412" s="14">
        <v>0.11</v>
      </c>
      <c r="I412" s="23">
        <v>349.84</v>
      </c>
      <c r="J412" s="4">
        <v>1398.92</v>
      </c>
    </row>
    <row r="413" spans="1:10">
      <c r="A413" t="s">
        <v>1008</v>
      </c>
      <c r="B413" s="3">
        <v>45823</v>
      </c>
      <c r="C413" t="s">
        <v>1009</v>
      </c>
      <c r="D413" t="s">
        <v>104</v>
      </c>
      <c r="E413" t="s">
        <v>208</v>
      </c>
      <c r="F413">
        <v>1</v>
      </c>
      <c r="G413" t="s">
        <v>50</v>
      </c>
      <c r="H413" s="14">
        <v>0.1</v>
      </c>
      <c r="I413" s="23">
        <v>770.87</v>
      </c>
      <c r="J413" s="4">
        <v>770.77</v>
      </c>
    </row>
    <row r="414" spans="1:10">
      <c r="A414" t="s">
        <v>1010</v>
      </c>
      <c r="B414" s="3">
        <v>45518</v>
      </c>
      <c r="C414" t="s">
        <v>853</v>
      </c>
      <c r="D414" t="s">
        <v>85</v>
      </c>
      <c r="E414" t="s">
        <v>32</v>
      </c>
      <c r="F414">
        <v>3</v>
      </c>
      <c r="G414" t="s">
        <v>33</v>
      </c>
      <c r="H414" s="14">
        <v>0.06</v>
      </c>
      <c r="I414" s="23">
        <v>507.33</v>
      </c>
      <c r="J414" s="4">
        <v>1521.81</v>
      </c>
    </row>
    <row r="415" spans="1:10">
      <c r="A415" t="s">
        <v>1011</v>
      </c>
      <c r="B415" s="3">
        <v>45863</v>
      </c>
      <c r="C415" t="s">
        <v>670</v>
      </c>
      <c r="D415" t="s">
        <v>532</v>
      </c>
      <c r="E415" t="s">
        <v>127</v>
      </c>
      <c r="F415">
        <v>1</v>
      </c>
      <c r="G415" t="s">
        <v>23</v>
      </c>
      <c r="H415" s="14">
        <v>0.06</v>
      </c>
      <c r="I415" s="23">
        <v>87.78</v>
      </c>
      <c r="J415" s="4">
        <v>87.72</v>
      </c>
    </row>
    <row r="416" spans="1:10">
      <c r="A416" t="s">
        <v>1012</v>
      </c>
      <c r="B416" s="3">
        <v>45666</v>
      </c>
      <c r="C416" t="s">
        <v>1013</v>
      </c>
      <c r="D416" t="s">
        <v>317</v>
      </c>
      <c r="E416" t="s">
        <v>72</v>
      </c>
      <c r="F416">
        <v>2</v>
      </c>
      <c r="G416" t="s">
        <v>23</v>
      </c>
      <c r="H416" s="14">
        <v>0.22</v>
      </c>
      <c r="I416" s="23">
        <v>772.24</v>
      </c>
      <c r="J416" s="4">
        <v>1544.04</v>
      </c>
    </row>
    <row r="417" spans="1:10">
      <c r="A417" t="s">
        <v>1014</v>
      </c>
      <c r="B417" s="3">
        <v>45813</v>
      </c>
      <c r="C417" t="s">
        <v>857</v>
      </c>
      <c r="D417" t="s">
        <v>79</v>
      </c>
      <c r="E417" t="s">
        <v>98</v>
      </c>
      <c r="F417">
        <v>1</v>
      </c>
      <c r="G417" t="s">
        <v>50</v>
      </c>
      <c r="H417" s="14">
        <v>0.1</v>
      </c>
      <c r="I417" s="23">
        <v>108.27</v>
      </c>
      <c r="J417" s="4">
        <v>108.17</v>
      </c>
    </row>
    <row r="418" spans="1:10">
      <c r="A418" t="s">
        <v>1015</v>
      </c>
      <c r="B418" s="3">
        <v>45633</v>
      </c>
      <c r="C418" t="s">
        <v>977</v>
      </c>
      <c r="D418" t="s">
        <v>340</v>
      </c>
      <c r="E418" t="s">
        <v>32</v>
      </c>
      <c r="F418">
        <v>2</v>
      </c>
      <c r="G418" t="s">
        <v>33</v>
      </c>
      <c r="H418" s="14">
        <v>0.21</v>
      </c>
      <c r="I418" s="23">
        <v>839.24</v>
      </c>
      <c r="J418" s="4">
        <v>1678.06</v>
      </c>
    </row>
    <row r="419" spans="1:10">
      <c r="A419" t="s">
        <v>1016</v>
      </c>
      <c r="B419" s="3">
        <v>45331</v>
      </c>
      <c r="C419" t="s">
        <v>1017</v>
      </c>
      <c r="D419" t="s">
        <v>714</v>
      </c>
      <c r="E419" t="s">
        <v>168</v>
      </c>
      <c r="F419">
        <v>2</v>
      </c>
      <c r="G419" t="s">
        <v>33</v>
      </c>
      <c r="H419" s="14">
        <v>0.11</v>
      </c>
      <c r="I419" s="23">
        <v>466.27</v>
      </c>
      <c r="J419" s="4">
        <v>932.32</v>
      </c>
    </row>
    <row r="420" spans="1:10">
      <c r="A420" t="s">
        <v>1018</v>
      </c>
      <c r="B420" s="3">
        <v>45942</v>
      </c>
      <c r="C420" t="s">
        <v>212</v>
      </c>
      <c r="D420" t="s">
        <v>661</v>
      </c>
      <c r="E420" t="s">
        <v>98</v>
      </c>
      <c r="F420">
        <v>3</v>
      </c>
      <c r="G420" t="s">
        <v>23</v>
      </c>
      <c r="H420" s="14">
        <v>0.02</v>
      </c>
      <c r="I420" s="23">
        <v>969.83</v>
      </c>
      <c r="J420" s="4">
        <v>2909.43</v>
      </c>
    </row>
    <row r="421" spans="1:10">
      <c r="A421" t="s">
        <v>1019</v>
      </c>
      <c r="B421" s="3">
        <v>45824</v>
      </c>
      <c r="C421" t="s">
        <v>825</v>
      </c>
      <c r="D421" t="s">
        <v>372</v>
      </c>
      <c r="E421" t="s">
        <v>135</v>
      </c>
      <c r="F421">
        <v>2</v>
      </c>
      <c r="G421" t="s">
        <v>33</v>
      </c>
      <c r="H421" s="14">
        <v>0.17</v>
      </c>
      <c r="I421" s="23">
        <v>782.11</v>
      </c>
      <c r="J421" s="4">
        <v>1563.88</v>
      </c>
    </row>
    <row r="422" spans="1:10">
      <c r="A422" t="s">
        <v>1020</v>
      </c>
      <c r="B422" s="3">
        <v>45921</v>
      </c>
      <c r="C422" t="s">
        <v>851</v>
      </c>
      <c r="D422" t="s">
        <v>295</v>
      </c>
      <c r="E422" t="s">
        <v>272</v>
      </c>
      <c r="F422">
        <v>2</v>
      </c>
      <c r="G422" t="s">
        <v>33</v>
      </c>
      <c r="H422" s="14">
        <v>0.01</v>
      </c>
      <c r="I422" s="23">
        <v>74.63</v>
      </c>
      <c r="J422" s="4">
        <v>149.24</v>
      </c>
    </row>
    <row r="423" spans="1:10">
      <c r="A423" t="s">
        <v>1021</v>
      </c>
      <c r="B423" s="3">
        <v>45909</v>
      </c>
      <c r="C423" t="s">
        <v>442</v>
      </c>
      <c r="D423" t="s">
        <v>462</v>
      </c>
      <c r="E423" t="s">
        <v>179</v>
      </c>
      <c r="F423">
        <v>3</v>
      </c>
      <c r="G423" t="s">
        <v>33</v>
      </c>
      <c r="H423" s="14">
        <v>0.25</v>
      </c>
      <c r="I423" s="23">
        <v>522.78</v>
      </c>
      <c r="J423" s="4">
        <v>1567.59</v>
      </c>
    </row>
    <row r="424" spans="1:10">
      <c r="A424" t="s">
        <v>1022</v>
      </c>
      <c r="B424" s="3">
        <v>45853</v>
      </c>
      <c r="C424" t="s">
        <v>439</v>
      </c>
      <c r="D424" t="s">
        <v>197</v>
      </c>
      <c r="E424" t="s">
        <v>122</v>
      </c>
      <c r="F424">
        <v>1</v>
      </c>
      <c r="G424" t="s">
        <v>33</v>
      </c>
      <c r="H424" s="14">
        <v>0.15</v>
      </c>
      <c r="I424" s="23">
        <v>206.45</v>
      </c>
      <c r="J424" s="4">
        <v>206.3</v>
      </c>
    </row>
    <row r="425" spans="1:10">
      <c r="A425" t="s">
        <v>1023</v>
      </c>
      <c r="B425" s="3">
        <v>45580</v>
      </c>
      <c r="C425" t="s">
        <v>1024</v>
      </c>
      <c r="D425" t="s">
        <v>167</v>
      </c>
      <c r="E425" t="s">
        <v>58</v>
      </c>
      <c r="F425">
        <v>1</v>
      </c>
      <c r="G425" t="s">
        <v>33</v>
      </c>
      <c r="H425" s="14">
        <v>0.3</v>
      </c>
      <c r="I425" s="23">
        <v>815.53</v>
      </c>
      <c r="J425" s="4">
        <v>815.23</v>
      </c>
    </row>
    <row r="426" spans="1:10">
      <c r="A426" t="s">
        <v>1025</v>
      </c>
      <c r="B426" s="3">
        <v>45220</v>
      </c>
      <c r="C426" t="s">
        <v>343</v>
      </c>
      <c r="D426" t="s">
        <v>221</v>
      </c>
      <c r="E426" t="s">
        <v>149</v>
      </c>
      <c r="F426">
        <v>1</v>
      </c>
      <c r="G426" t="s">
        <v>50</v>
      </c>
      <c r="H426" s="14">
        <v>0.28000000000000003</v>
      </c>
      <c r="I426" s="23">
        <v>823.61</v>
      </c>
      <c r="J426" s="4">
        <v>823.33</v>
      </c>
    </row>
    <row r="427" spans="1:10">
      <c r="A427" t="s">
        <v>1026</v>
      </c>
      <c r="B427" s="3">
        <v>45807</v>
      </c>
      <c r="C427" t="s">
        <v>615</v>
      </c>
      <c r="D427" t="s">
        <v>514</v>
      </c>
      <c r="E427" t="s">
        <v>127</v>
      </c>
      <c r="F427">
        <v>2</v>
      </c>
      <c r="G427" t="s">
        <v>23</v>
      </c>
      <c r="H427" s="14">
        <v>0</v>
      </c>
      <c r="I427" s="23">
        <v>209.96</v>
      </c>
      <c r="J427" s="4">
        <v>419.92</v>
      </c>
    </row>
    <row r="428" spans="1:10">
      <c r="A428" t="s">
        <v>1027</v>
      </c>
      <c r="B428" s="3">
        <v>45462</v>
      </c>
      <c r="C428" t="s">
        <v>595</v>
      </c>
      <c r="D428" t="s">
        <v>768</v>
      </c>
      <c r="E428" t="s">
        <v>117</v>
      </c>
      <c r="F428">
        <v>4</v>
      </c>
      <c r="G428" t="s">
        <v>50</v>
      </c>
      <c r="H428" s="14">
        <v>0.05</v>
      </c>
      <c r="I428" s="23">
        <v>897.93</v>
      </c>
      <c r="J428" s="4">
        <v>3591.52</v>
      </c>
    </row>
    <row r="429" spans="1:10">
      <c r="A429" t="s">
        <v>1028</v>
      </c>
      <c r="B429" s="3">
        <v>45646</v>
      </c>
      <c r="C429" t="s">
        <v>1029</v>
      </c>
      <c r="D429" t="s">
        <v>625</v>
      </c>
      <c r="E429" t="s">
        <v>90</v>
      </c>
      <c r="F429">
        <v>4</v>
      </c>
      <c r="G429" t="s">
        <v>50</v>
      </c>
      <c r="H429" s="14">
        <v>0.16</v>
      </c>
      <c r="I429" s="23">
        <v>925.95</v>
      </c>
      <c r="J429" s="4">
        <v>3703.16</v>
      </c>
    </row>
    <row r="430" spans="1:10">
      <c r="A430" t="s">
        <v>1030</v>
      </c>
      <c r="B430" s="3">
        <v>45520</v>
      </c>
      <c r="C430" t="s">
        <v>259</v>
      </c>
      <c r="D430" t="s">
        <v>501</v>
      </c>
      <c r="E430" t="s">
        <v>179</v>
      </c>
      <c r="F430">
        <v>2</v>
      </c>
      <c r="G430" t="s">
        <v>50</v>
      </c>
      <c r="H430" s="14">
        <v>0.03</v>
      </c>
      <c r="I430" s="23">
        <v>573.09</v>
      </c>
      <c r="J430" s="4">
        <v>1146.1199999999999</v>
      </c>
    </row>
    <row r="431" spans="1:10">
      <c r="A431" t="s">
        <v>1031</v>
      </c>
      <c r="B431" s="3">
        <v>45731</v>
      </c>
      <c r="C431" t="s">
        <v>392</v>
      </c>
      <c r="D431" t="s">
        <v>645</v>
      </c>
      <c r="E431" t="s">
        <v>72</v>
      </c>
      <c r="F431">
        <v>4</v>
      </c>
      <c r="G431" t="s">
        <v>23</v>
      </c>
      <c r="H431" s="14">
        <v>0.02</v>
      </c>
      <c r="I431" s="23">
        <v>149.83000000000001</v>
      </c>
      <c r="J431" s="4">
        <v>599.24</v>
      </c>
    </row>
    <row r="432" spans="1:10">
      <c r="A432" t="s">
        <v>1032</v>
      </c>
      <c r="B432" s="3">
        <v>45445</v>
      </c>
      <c r="C432" t="s">
        <v>1033</v>
      </c>
      <c r="D432" t="s">
        <v>501</v>
      </c>
      <c r="E432" t="s">
        <v>98</v>
      </c>
      <c r="F432">
        <v>3</v>
      </c>
      <c r="G432" t="s">
        <v>50</v>
      </c>
      <c r="H432" s="14">
        <v>0.03</v>
      </c>
      <c r="I432" s="23">
        <v>287.70999999999998</v>
      </c>
      <c r="J432" s="4">
        <v>863.04</v>
      </c>
    </row>
    <row r="433" spans="1:10">
      <c r="A433" t="s">
        <v>1034</v>
      </c>
      <c r="B433" s="3">
        <v>45860</v>
      </c>
      <c r="C433" t="s">
        <v>145</v>
      </c>
      <c r="D433" t="s">
        <v>178</v>
      </c>
      <c r="E433" t="s">
        <v>179</v>
      </c>
      <c r="F433">
        <v>2</v>
      </c>
      <c r="G433" t="s">
        <v>50</v>
      </c>
      <c r="H433" s="14">
        <v>0.06</v>
      </c>
      <c r="I433" s="23">
        <v>849.8</v>
      </c>
      <c r="J433" s="4">
        <v>1699.48</v>
      </c>
    </row>
    <row r="434" spans="1:10">
      <c r="A434" t="s">
        <v>1035</v>
      </c>
      <c r="B434" s="3">
        <v>45725</v>
      </c>
      <c r="C434" t="s">
        <v>70</v>
      </c>
      <c r="D434" t="s">
        <v>745</v>
      </c>
      <c r="E434" t="s">
        <v>22</v>
      </c>
      <c r="F434">
        <v>3</v>
      </c>
      <c r="G434" t="s">
        <v>33</v>
      </c>
      <c r="H434" s="14">
        <v>0.28000000000000003</v>
      </c>
      <c r="I434" s="23">
        <v>482.58</v>
      </c>
      <c r="J434" s="4">
        <v>1446.9</v>
      </c>
    </row>
    <row r="435" spans="1:10">
      <c r="A435" t="s">
        <v>1036</v>
      </c>
      <c r="B435" s="3">
        <v>45699</v>
      </c>
      <c r="C435" t="s">
        <v>1037</v>
      </c>
      <c r="D435" t="s">
        <v>57</v>
      </c>
      <c r="E435" t="s">
        <v>198</v>
      </c>
      <c r="F435">
        <v>2</v>
      </c>
      <c r="G435" t="s">
        <v>23</v>
      </c>
      <c r="H435" s="14">
        <v>0</v>
      </c>
      <c r="I435" s="23">
        <v>64.7</v>
      </c>
      <c r="J435" s="4">
        <v>129.4</v>
      </c>
    </row>
    <row r="436" spans="1:10">
      <c r="A436" t="s">
        <v>1038</v>
      </c>
      <c r="B436" s="3">
        <v>45266</v>
      </c>
      <c r="C436" t="s">
        <v>196</v>
      </c>
      <c r="D436" t="s">
        <v>183</v>
      </c>
      <c r="E436" t="s">
        <v>58</v>
      </c>
      <c r="F436">
        <v>3</v>
      </c>
      <c r="G436" t="s">
        <v>23</v>
      </c>
      <c r="H436" s="14">
        <v>0.26</v>
      </c>
      <c r="I436" s="23">
        <v>589.83000000000004</v>
      </c>
      <c r="J436" s="4">
        <v>1768.71</v>
      </c>
    </row>
    <row r="437" spans="1:10">
      <c r="A437" t="s">
        <v>1039</v>
      </c>
      <c r="B437" s="3">
        <v>45889</v>
      </c>
      <c r="C437" t="s">
        <v>1040</v>
      </c>
      <c r="D437" t="s">
        <v>414</v>
      </c>
      <c r="E437" t="s">
        <v>127</v>
      </c>
      <c r="F437">
        <v>4</v>
      </c>
      <c r="G437" t="s">
        <v>50</v>
      </c>
      <c r="H437" s="14">
        <v>0.16</v>
      </c>
      <c r="I437" s="23">
        <v>758.49</v>
      </c>
      <c r="J437" s="4">
        <v>3033.32</v>
      </c>
    </row>
    <row r="438" spans="1:10">
      <c r="A438" t="s">
        <v>1041</v>
      </c>
      <c r="B438" s="3">
        <v>45555</v>
      </c>
      <c r="C438" t="s">
        <v>1042</v>
      </c>
      <c r="D438" t="s">
        <v>786</v>
      </c>
      <c r="E438" t="s">
        <v>208</v>
      </c>
      <c r="F438">
        <v>4</v>
      </c>
      <c r="G438" t="s">
        <v>50</v>
      </c>
      <c r="H438" s="14">
        <v>0.09</v>
      </c>
      <c r="I438" s="23">
        <v>747.56</v>
      </c>
      <c r="J438" s="4">
        <v>2989.88</v>
      </c>
    </row>
    <row r="439" spans="1:10">
      <c r="A439" t="s">
        <v>1043</v>
      </c>
      <c r="B439" s="3">
        <v>45813</v>
      </c>
      <c r="C439" t="s">
        <v>367</v>
      </c>
      <c r="D439" t="s">
        <v>295</v>
      </c>
      <c r="E439" t="s">
        <v>32</v>
      </c>
      <c r="F439">
        <v>3</v>
      </c>
      <c r="G439" t="s">
        <v>33</v>
      </c>
      <c r="H439" s="14">
        <v>0.12</v>
      </c>
      <c r="I439" s="23">
        <v>551.22</v>
      </c>
      <c r="J439" s="4">
        <v>1653.3</v>
      </c>
    </row>
    <row r="440" spans="1:10">
      <c r="A440" t="s">
        <v>1044</v>
      </c>
      <c r="B440" s="3">
        <v>45811</v>
      </c>
      <c r="C440" t="s">
        <v>1045</v>
      </c>
      <c r="D440" t="s">
        <v>167</v>
      </c>
      <c r="E440" t="s">
        <v>98</v>
      </c>
      <c r="F440">
        <v>2</v>
      </c>
      <c r="G440" t="s">
        <v>33</v>
      </c>
      <c r="H440" s="14">
        <v>0.17</v>
      </c>
      <c r="I440" s="23">
        <v>527.05999999999995</v>
      </c>
      <c r="J440" s="4">
        <v>1053.78</v>
      </c>
    </row>
    <row r="441" spans="1:10">
      <c r="A441" t="s">
        <v>1046</v>
      </c>
      <c r="B441" s="3">
        <v>45670</v>
      </c>
      <c r="C441" t="s">
        <v>1047</v>
      </c>
      <c r="D441" t="s">
        <v>661</v>
      </c>
      <c r="E441" t="s">
        <v>58</v>
      </c>
      <c r="F441">
        <v>4</v>
      </c>
      <c r="G441" t="s">
        <v>23</v>
      </c>
      <c r="H441" s="14">
        <v>0.27</v>
      </c>
      <c r="I441" s="23">
        <v>875.41</v>
      </c>
      <c r="J441" s="4">
        <v>3500.56</v>
      </c>
    </row>
    <row r="442" spans="1:10">
      <c r="A442" t="s">
        <v>1048</v>
      </c>
      <c r="B442" s="3">
        <v>45736</v>
      </c>
      <c r="C442" t="s">
        <v>355</v>
      </c>
      <c r="D442" t="s">
        <v>462</v>
      </c>
      <c r="E442" t="s">
        <v>90</v>
      </c>
      <c r="F442">
        <v>2</v>
      </c>
      <c r="G442" t="s">
        <v>23</v>
      </c>
      <c r="H442" s="14">
        <v>0.03</v>
      </c>
      <c r="I442" s="23">
        <v>226.43</v>
      </c>
      <c r="J442" s="4">
        <v>452.8</v>
      </c>
    </row>
    <row r="443" spans="1:10">
      <c r="A443" t="s">
        <v>1049</v>
      </c>
      <c r="B443" s="3">
        <v>45480</v>
      </c>
      <c r="C443" t="s">
        <v>351</v>
      </c>
      <c r="D443" t="s">
        <v>221</v>
      </c>
      <c r="E443" t="s">
        <v>58</v>
      </c>
      <c r="F443">
        <v>2</v>
      </c>
      <c r="G443" t="s">
        <v>23</v>
      </c>
      <c r="H443" s="14">
        <v>0.1</v>
      </c>
      <c r="I443" s="23">
        <v>285.39</v>
      </c>
      <c r="J443" s="4">
        <v>570.58000000000004</v>
      </c>
    </row>
    <row r="444" spans="1:10">
      <c r="A444" t="s">
        <v>1050</v>
      </c>
      <c r="B444" s="3">
        <v>45929</v>
      </c>
      <c r="C444" t="s">
        <v>639</v>
      </c>
      <c r="D444" t="s">
        <v>555</v>
      </c>
      <c r="E444" t="s">
        <v>122</v>
      </c>
      <c r="F444">
        <v>2</v>
      </c>
      <c r="G444" t="s">
        <v>23</v>
      </c>
      <c r="H444" s="14">
        <v>0.05</v>
      </c>
      <c r="I444" s="23">
        <v>298.01</v>
      </c>
      <c r="J444" s="4">
        <v>595.91999999999996</v>
      </c>
    </row>
    <row r="445" spans="1:10">
      <c r="A445" t="s">
        <v>1051</v>
      </c>
      <c r="B445" s="3">
        <v>45626</v>
      </c>
      <c r="C445" t="s">
        <v>1045</v>
      </c>
      <c r="D445" t="s">
        <v>295</v>
      </c>
      <c r="E445" t="s">
        <v>72</v>
      </c>
      <c r="F445">
        <v>4</v>
      </c>
      <c r="G445" t="s">
        <v>50</v>
      </c>
      <c r="H445" s="14">
        <v>0.26</v>
      </c>
      <c r="I445" s="23">
        <v>753.49</v>
      </c>
      <c r="J445" s="4">
        <v>3012.92</v>
      </c>
    </row>
    <row r="446" spans="1:10">
      <c r="A446" t="s">
        <v>1052</v>
      </c>
      <c r="B446" s="3">
        <v>45460</v>
      </c>
      <c r="C446" t="s">
        <v>1053</v>
      </c>
      <c r="D446" t="s">
        <v>267</v>
      </c>
      <c r="E446" t="s">
        <v>208</v>
      </c>
      <c r="F446">
        <v>2</v>
      </c>
      <c r="G446" t="s">
        <v>33</v>
      </c>
      <c r="H446" s="14">
        <v>0.17</v>
      </c>
      <c r="I446" s="23">
        <v>130.38999999999999</v>
      </c>
      <c r="J446" s="4">
        <v>260.44</v>
      </c>
    </row>
    <row r="447" spans="1:10">
      <c r="A447" t="s">
        <v>1054</v>
      </c>
      <c r="B447" s="3">
        <v>45709</v>
      </c>
      <c r="C447" t="s">
        <v>1055</v>
      </c>
      <c r="D447" t="s">
        <v>443</v>
      </c>
      <c r="E447" t="s">
        <v>127</v>
      </c>
      <c r="F447">
        <v>4</v>
      </c>
      <c r="G447" t="s">
        <v>33</v>
      </c>
      <c r="H447" s="14">
        <v>0.01</v>
      </c>
      <c r="I447" s="23">
        <v>164.02</v>
      </c>
      <c r="J447" s="4">
        <v>656.04</v>
      </c>
    </row>
    <row r="448" spans="1:10">
      <c r="A448" t="s">
        <v>1056</v>
      </c>
      <c r="B448" s="3">
        <v>45551</v>
      </c>
      <c r="C448" t="s">
        <v>504</v>
      </c>
      <c r="D448" t="s">
        <v>255</v>
      </c>
      <c r="E448" t="s">
        <v>72</v>
      </c>
      <c r="F448">
        <v>2</v>
      </c>
      <c r="G448" t="s">
        <v>33</v>
      </c>
      <c r="H448" s="14">
        <v>0.18</v>
      </c>
      <c r="I448" s="23">
        <v>527.51</v>
      </c>
      <c r="J448" s="4">
        <v>1054.6600000000001</v>
      </c>
    </row>
    <row r="449" spans="1:10">
      <c r="A449" t="s">
        <v>1057</v>
      </c>
      <c r="B449" s="3">
        <v>45939</v>
      </c>
      <c r="C449" t="s">
        <v>367</v>
      </c>
      <c r="D449" t="s">
        <v>509</v>
      </c>
      <c r="E449" t="s">
        <v>149</v>
      </c>
      <c r="F449">
        <v>3</v>
      </c>
      <c r="G449" t="s">
        <v>23</v>
      </c>
      <c r="H449" s="14">
        <v>0.26</v>
      </c>
      <c r="I449" s="23">
        <v>628.17999999999995</v>
      </c>
      <c r="J449" s="4">
        <v>1883.76</v>
      </c>
    </row>
    <row r="450" spans="1:10">
      <c r="A450" t="s">
        <v>1058</v>
      </c>
      <c r="B450" s="3">
        <v>45553</v>
      </c>
      <c r="C450" t="s">
        <v>326</v>
      </c>
      <c r="D450" t="s">
        <v>71</v>
      </c>
      <c r="E450" t="s">
        <v>22</v>
      </c>
      <c r="F450">
        <v>1</v>
      </c>
      <c r="G450" t="s">
        <v>23</v>
      </c>
      <c r="H450" s="14">
        <v>0.06</v>
      </c>
      <c r="I450" s="23">
        <v>862.31</v>
      </c>
      <c r="J450" s="4">
        <v>862.25</v>
      </c>
    </row>
    <row r="451" spans="1:10">
      <c r="A451" t="s">
        <v>1059</v>
      </c>
      <c r="B451" s="3">
        <v>45806</v>
      </c>
      <c r="C451" t="s">
        <v>1060</v>
      </c>
      <c r="D451" t="s">
        <v>359</v>
      </c>
      <c r="E451" t="s">
        <v>98</v>
      </c>
      <c r="F451">
        <v>2</v>
      </c>
      <c r="G451" t="s">
        <v>50</v>
      </c>
      <c r="H451" s="14">
        <v>0.03</v>
      </c>
      <c r="I451" s="23">
        <v>541.39</v>
      </c>
      <c r="J451" s="4">
        <v>1082.72</v>
      </c>
    </row>
    <row r="452" spans="1:10">
      <c r="A452" t="s">
        <v>1061</v>
      </c>
      <c r="B452" s="3">
        <v>45811</v>
      </c>
      <c r="C452" t="s">
        <v>1062</v>
      </c>
      <c r="D452" t="s">
        <v>49</v>
      </c>
      <c r="E452" t="s">
        <v>117</v>
      </c>
      <c r="F452">
        <v>3</v>
      </c>
      <c r="G452" t="s">
        <v>50</v>
      </c>
      <c r="H452" s="14">
        <v>0.06</v>
      </c>
      <c r="I452" s="23">
        <v>761.8</v>
      </c>
      <c r="J452" s="4">
        <v>2285.2199999999998</v>
      </c>
    </row>
    <row r="453" spans="1:10">
      <c r="A453" t="s">
        <v>1063</v>
      </c>
      <c r="B453" s="3">
        <v>45508</v>
      </c>
      <c r="C453" t="s">
        <v>1064</v>
      </c>
      <c r="D453" t="s">
        <v>42</v>
      </c>
      <c r="E453" t="s">
        <v>198</v>
      </c>
      <c r="F453">
        <v>4</v>
      </c>
      <c r="G453" t="s">
        <v>33</v>
      </c>
      <c r="H453" s="14">
        <v>0.11</v>
      </c>
      <c r="I453" s="23">
        <v>829.36</v>
      </c>
      <c r="J453" s="4">
        <v>3317</v>
      </c>
    </row>
    <row r="454" spans="1:10">
      <c r="A454" t="s">
        <v>1065</v>
      </c>
      <c r="B454" s="3">
        <v>45460</v>
      </c>
      <c r="C454" t="s">
        <v>305</v>
      </c>
      <c r="D454" t="s">
        <v>250</v>
      </c>
      <c r="E454" t="s">
        <v>117</v>
      </c>
      <c r="F454">
        <v>2</v>
      </c>
      <c r="G454" t="s">
        <v>33</v>
      </c>
      <c r="H454" s="14">
        <v>0.09</v>
      </c>
      <c r="I454" s="23">
        <v>425.06</v>
      </c>
      <c r="J454" s="4">
        <v>849.94</v>
      </c>
    </row>
    <row r="455" spans="1:10">
      <c r="A455" t="s">
        <v>1066</v>
      </c>
      <c r="B455" s="3">
        <v>45311</v>
      </c>
      <c r="C455" t="s">
        <v>1067</v>
      </c>
      <c r="D455" t="s">
        <v>564</v>
      </c>
      <c r="E455" t="s">
        <v>90</v>
      </c>
      <c r="F455">
        <v>2</v>
      </c>
      <c r="G455" t="s">
        <v>23</v>
      </c>
      <c r="H455" s="14">
        <v>0.1</v>
      </c>
      <c r="I455" s="23">
        <v>911.14</v>
      </c>
      <c r="J455" s="4">
        <v>1822.08</v>
      </c>
    </row>
    <row r="456" spans="1:10">
      <c r="A456" t="s">
        <v>1068</v>
      </c>
      <c r="B456" s="3">
        <v>45906</v>
      </c>
      <c r="C456" t="s">
        <v>259</v>
      </c>
      <c r="D456" t="s">
        <v>741</v>
      </c>
      <c r="E456" t="s">
        <v>43</v>
      </c>
      <c r="F456">
        <v>3</v>
      </c>
      <c r="G456" t="s">
        <v>23</v>
      </c>
      <c r="H456" s="14">
        <v>0.28999999999999998</v>
      </c>
      <c r="I456" s="23">
        <v>811.96</v>
      </c>
      <c r="J456" s="4">
        <v>2435.0100000000002</v>
      </c>
    </row>
    <row r="457" spans="1:10">
      <c r="A457" t="s">
        <v>1069</v>
      </c>
      <c r="B457" s="3">
        <v>45380</v>
      </c>
      <c r="C457" t="s">
        <v>349</v>
      </c>
      <c r="D457" t="s">
        <v>311</v>
      </c>
      <c r="E457" t="s">
        <v>168</v>
      </c>
      <c r="F457">
        <v>2</v>
      </c>
      <c r="G457" t="s">
        <v>50</v>
      </c>
      <c r="H457" s="14">
        <v>0.12</v>
      </c>
      <c r="I457" s="23">
        <v>780.05</v>
      </c>
      <c r="J457" s="4">
        <v>1559.86</v>
      </c>
    </row>
    <row r="458" spans="1:10">
      <c r="A458" t="s">
        <v>1070</v>
      </c>
      <c r="B458" s="3">
        <v>45527</v>
      </c>
      <c r="C458" t="s">
        <v>1071</v>
      </c>
      <c r="D458" t="s">
        <v>579</v>
      </c>
      <c r="E458" t="s">
        <v>127</v>
      </c>
      <c r="F458">
        <v>4</v>
      </c>
      <c r="G458" t="s">
        <v>50</v>
      </c>
      <c r="H458" s="14">
        <v>0.19</v>
      </c>
      <c r="I458" s="23">
        <v>315.95</v>
      </c>
      <c r="J458" s="4">
        <v>1263.04</v>
      </c>
    </row>
    <row r="459" spans="1:10">
      <c r="A459" t="s">
        <v>1072</v>
      </c>
      <c r="B459" s="3">
        <v>45796</v>
      </c>
      <c r="C459" t="s">
        <v>1073</v>
      </c>
      <c r="D459" t="s">
        <v>282</v>
      </c>
      <c r="E459" t="s">
        <v>127</v>
      </c>
      <c r="F459">
        <v>2</v>
      </c>
      <c r="G459" t="s">
        <v>23</v>
      </c>
      <c r="H459" s="14">
        <v>0.27</v>
      </c>
      <c r="I459" s="23">
        <v>810.17</v>
      </c>
      <c r="J459" s="4">
        <v>1619.8</v>
      </c>
    </row>
    <row r="460" spans="1:10">
      <c r="A460" t="s">
        <v>1074</v>
      </c>
      <c r="B460" s="3">
        <v>45389</v>
      </c>
      <c r="C460" t="s">
        <v>1075</v>
      </c>
      <c r="D460" t="s">
        <v>814</v>
      </c>
      <c r="E460" t="s">
        <v>72</v>
      </c>
      <c r="F460">
        <v>3</v>
      </c>
      <c r="G460" t="s">
        <v>33</v>
      </c>
      <c r="H460" s="14">
        <v>0.02</v>
      </c>
      <c r="I460" s="23">
        <v>505.01</v>
      </c>
      <c r="J460" s="4">
        <v>1514.97</v>
      </c>
    </row>
    <row r="461" spans="1:10">
      <c r="A461" t="s">
        <v>1076</v>
      </c>
      <c r="B461" s="3">
        <v>45315</v>
      </c>
      <c r="C461" t="s">
        <v>30</v>
      </c>
      <c r="D461" t="s">
        <v>155</v>
      </c>
      <c r="E461" t="s">
        <v>32</v>
      </c>
      <c r="F461">
        <v>2</v>
      </c>
      <c r="G461" t="s">
        <v>23</v>
      </c>
      <c r="H461" s="14">
        <v>0.18</v>
      </c>
      <c r="I461" s="23">
        <v>736.75</v>
      </c>
      <c r="J461" s="4">
        <v>1473.14</v>
      </c>
    </row>
    <row r="462" spans="1:10">
      <c r="A462" t="s">
        <v>1077</v>
      </c>
      <c r="B462" s="3">
        <v>45311</v>
      </c>
      <c r="C462" t="s">
        <v>910</v>
      </c>
      <c r="D462" t="s">
        <v>192</v>
      </c>
      <c r="E462" t="s">
        <v>127</v>
      </c>
      <c r="F462">
        <v>4</v>
      </c>
      <c r="G462" t="s">
        <v>33</v>
      </c>
      <c r="H462" s="14">
        <v>0.2</v>
      </c>
      <c r="I462" s="23">
        <v>700.31</v>
      </c>
      <c r="J462" s="4">
        <v>2800.44</v>
      </c>
    </row>
    <row r="463" spans="1:10">
      <c r="A463" t="s">
        <v>1078</v>
      </c>
      <c r="B463" s="3">
        <v>45270</v>
      </c>
      <c r="C463" t="s">
        <v>1079</v>
      </c>
      <c r="D463" t="s">
        <v>372</v>
      </c>
      <c r="E463" t="s">
        <v>272</v>
      </c>
      <c r="F463">
        <v>4</v>
      </c>
      <c r="G463" t="s">
        <v>23</v>
      </c>
      <c r="H463" s="14">
        <v>0.24</v>
      </c>
      <c r="I463" s="23">
        <v>202.46</v>
      </c>
      <c r="J463" s="4">
        <v>808.88</v>
      </c>
    </row>
    <row r="464" spans="1:10">
      <c r="A464" t="s">
        <v>1080</v>
      </c>
      <c r="B464" s="3">
        <v>45279</v>
      </c>
      <c r="C464" t="s">
        <v>1081</v>
      </c>
      <c r="D464" t="s">
        <v>514</v>
      </c>
      <c r="E464" t="s">
        <v>105</v>
      </c>
      <c r="F464">
        <v>2</v>
      </c>
      <c r="G464" t="s">
        <v>33</v>
      </c>
      <c r="H464" s="14">
        <v>0.25</v>
      </c>
      <c r="I464" s="23">
        <v>291.83999999999997</v>
      </c>
      <c r="J464" s="4">
        <v>583.17999999999995</v>
      </c>
    </row>
    <row r="465" spans="1:10">
      <c r="A465" t="s">
        <v>1082</v>
      </c>
      <c r="B465" s="3">
        <v>45252</v>
      </c>
      <c r="C465" t="s">
        <v>1083</v>
      </c>
      <c r="D465" t="s">
        <v>21</v>
      </c>
      <c r="E465" t="s">
        <v>58</v>
      </c>
      <c r="F465">
        <v>2</v>
      </c>
      <c r="G465" t="s">
        <v>23</v>
      </c>
      <c r="H465" s="14">
        <v>0.17</v>
      </c>
      <c r="I465" s="23">
        <v>261.48</v>
      </c>
      <c r="J465" s="4">
        <v>522.62</v>
      </c>
    </row>
    <row r="466" spans="1:10">
      <c r="A466" t="s">
        <v>1084</v>
      </c>
      <c r="B466" s="3">
        <v>45938</v>
      </c>
      <c r="C466" t="s">
        <v>1085</v>
      </c>
      <c r="D466" t="s">
        <v>126</v>
      </c>
      <c r="E466" t="s">
        <v>98</v>
      </c>
      <c r="F466">
        <v>1</v>
      </c>
      <c r="G466" t="s">
        <v>33</v>
      </c>
      <c r="H466" s="14">
        <v>0.28000000000000003</v>
      </c>
      <c r="I466" s="23">
        <v>850.83</v>
      </c>
      <c r="J466" s="4">
        <v>850.55</v>
      </c>
    </row>
    <row r="467" spans="1:10">
      <c r="A467" t="s">
        <v>1086</v>
      </c>
      <c r="B467" s="3">
        <v>45711</v>
      </c>
      <c r="C467" t="s">
        <v>558</v>
      </c>
      <c r="D467" t="s">
        <v>381</v>
      </c>
      <c r="E467" t="s">
        <v>127</v>
      </c>
      <c r="F467">
        <v>1</v>
      </c>
      <c r="G467" t="s">
        <v>23</v>
      </c>
      <c r="H467" s="14">
        <v>0.05</v>
      </c>
      <c r="I467" s="23">
        <v>83.83</v>
      </c>
      <c r="J467" s="4">
        <v>83.78</v>
      </c>
    </row>
    <row r="468" spans="1:10">
      <c r="A468" t="s">
        <v>1087</v>
      </c>
      <c r="B468" s="3">
        <v>45713</v>
      </c>
      <c r="C468" t="s">
        <v>1013</v>
      </c>
      <c r="D468" t="s">
        <v>110</v>
      </c>
      <c r="E468" t="s">
        <v>117</v>
      </c>
      <c r="F468">
        <v>3</v>
      </c>
      <c r="G468" t="s">
        <v>50</v>
      </c>
      <c r="H468" s="14">
        <v>0.28000000000000003</v>
      </c>
      <c r="I468" s="23">
        <v>649.95000000000005</v>
      </c>
      <c r="J468" s="4">
        <v>1949.01</v>
      </c>
    </row>
    <row r="469" spans="1:10">
      <c r="A469" t="s">
        <v>1088</v>
      </c>
      <c r="B469" s="3">
        <v>45565</v>
      </c>
      <c r="C469" t="s">
        <v>1089</v>
      </c>
      <c r="D469" t="s">
        <v>575</v>
      </c>
      <c r="E469" t="s">
        <v>179</v>
      </c>
      <c r="F469">
        <v>4</v>
      </c>
      <c r="G469" t="s">
        <v>33</v>
      </c>
      <c r="H469" s="14">
        <v>0.18</v>
      </c>
      <c r="I469" s="23">
        <v>934.96</v>
      </c>
      <c r="J469" s="4">
        <v>3739.12</v>
      </c>
    </row>
    <row r="470" spans="1:10">
      <c r="A470" t="s">
        <v>1090</v>
      </c>
      <c r="B470" s="3">
        <v>45279</v>
      </c>
      <c r="C470" t="s">
        <v>989</v>
      </c>
      <c r="D470" t="s">
        <v>377</v>
      </c>
      <c r="E470" t="s">
        <v>98</v>
      </c>
      <c r="F470">
        <v>1</v>
      </c>
      <c r="G470" t="s">
        <v>50</v>
      </c>
      <c r="H470" s="14">
        <v>0.13</v>
      </c>
      <c r="I470" s="23">
        <v>880.89</v>
      </c>
      <c r="J470" s="4">
        <v>880.76</v>
      </c>
    </row>
    <row r="471" spans="1:10">
      <c r="A471" t="s">
        <v>1091</v>
      </c>
      <c r="B471" s="3">
        <v>45614</v>
      </c>
      <c r="C471" t="s">
        <v>1062</v>
      </c>
      <c r="D471" t="s">
        <v>187</v>
      </c>
      <c r="E471" t="s">
        <v>43</v>
      </c>
      <c r="F471">
        <v>4</v>
      </c>
      <c r="G471" t="s">
        <v>33</v>
      </c>
      <c r="H471" s="14">
        <v>0.1</v>
      </c>
      <c r="I471" s="23">
        <v>610.6</v>
      </c>
      <c r="J471" s="4">
        <v>2442</v>
      </c>
    </row>
    <row r="472" spans="1:10">
      <c r="A472" t="s">
        <v>1092</v>
      </c>
      <c r="B472" s="3">
        <v>45912</v>
      </c>
      <c r="C472" t="s">
        <v>692</v>
      </c>
      <c r="D472" t="s">
        <v>567</v>
      </c>
      <c r="E472" t="s">
        <v>160</v>
      </c>
      <c r="F472">
        <v>1</v>
      </c>
      <c r="G472" t="s">
        <v>23</v>
      </c>
      <c r="H472" s="14">
        <v>0.2</v>
      </c>
      <c r="I472" s="23">
        <v>514.19000000000005</v>
      </c>
      <c r="J472" s="4">
        <v>513.99</v>
      </c>
    </row>
    <row r="473" spans="1:10">
      <c r="A473" t="s">
        <v>1093</v>
      </c>
      <c r="B473" s="3">
        <v>45688</v>
      </c>
      <c r="C473" t="s">
        <v>531</v>
      </c>
      <c r="D473" t="s">
        <v>786</v>
      </c>
      <c r="E473" t="s">
        <v>149</v>
      </c>
      <c r="F473">
        <v>1</v>
      </c>
      <c r="G473" t="s">
        <v>33</v>
      </c>
      <c r="H473" s="14">
        <v>0.22</v>
      </c>
      <c r="I473" s="23">
        <v>546.20000000000005</v>
      </c>
      <c r="J473" s="4">
        <v>545.98</v>
      </c>
    </row>
    <row r="474" spans="1:10">
      <c r="A474" t="s">
        <v>1094</v>
      </c>
      <c r="B474" s="3">
        <v>45591</v>
      </c>
      <c r="C474" t="s">
        <v>1095</v>
      </c>
      <c r="D474" t="s">
        <v>786</v>
      </c>
      <c r="E474" t="s">
        <v>90</v>
      </c>
      <c r="F474">
        <v>3</v>
      </c>
      <c r="G474" t="s">
        <v>23</v>
      </c>
      <c r="H474" s="14">
        <v>0.02</v>
      </c>
      <c r="I474" s="23">
        <v>416.01</v>
      </c>
      <c r="J474" s="4">
        <v>1247.97</v>
      </c>
    </row>
    <row r="475" spans="1:10">
      <c r="A475" t="s">
        <v>1096</v>
      </c>
      <c r="B475" s="3">
        <v>45864</v>
      </c>
      <c r="C475" t="s">
        <v>1097</v>
      </c>
      <c r="D475" t="s">
        <v>31</v>
      </c>
      <c r="E475" t="s">
        <v>168</v>
      </c>
      <c r="F475">
        <v>1</v>
      </c>
      <c r="G475" t="s">
        <v>50</v>
      </c>
      <c r="H475" s="14">
        <v>0.21</v>
      </c>
      <c r="I475" s="23">
        <v>30.94</v>
      </c>
      <c r="J475" s="4">
        <v>30.73</v>
      </c>
    </row>
    <row r="476" spans="1:10">
      <c r="A476" t="s">
        <v>1098</v>
      </c>
      <c r="B476" s="3">
        <v>45875</v>
      </c>
      <c r="C476" t="s">
        <v>191</v>
      </c>
      <c r="D476" t="s">
        <v>714</v>
      </c>
      <c r="E476" t="s">
        <v>117</v>
      </c>
      <c r="F476">
        <v>3</v>
      </c>
      <c r="G476" t="s">
        <v>50</v>
      </c>
      <c r="H476" s="14">
        <v>0.21</v>
      </c>
      <c r="I476" s="23">
        <v>666.39</v>
      </c>
      <c r="J476" s="4">
        <v>1998.54</v>
      </c>
    </row>
    <row r="477" spans="1:10">
      <c r="A477" t="s">
        <v>1099</v>
      </c>
      <c r="B477" s="3">
        <v>45797</v>
      </c>
      <c r="C477" t="s">
        <v>1100</v>
      </c>
      <c r="D477" t="s">
        <v>630</v>
      </c>
      <c r="E477" t="s">
        <v>168</v>
      </c>
      <c r="F477">
        <v>2</v>
      </c>
      <c r="G477" t="s">
        <v>33</v>
      </c>
      <c r="H477" s="14">
        <v>0.19</v>
      </c>
      <c r="I477" s="23">
        <v>145.26</v>
      </c>
      <c r="J477" s="4">
        <v>290.14</v>
      </c>
    </row>
    <row r="478" spans="1:10">
      <c r="A478" t="s">
        <v>1101</v>
      </c>
      <c r="B478" s="3">
        <v>45364</v>
      </c>
      <c r="C478" t="s">
        <v>782</v>
      </c>
      <c r="D478" t="s">
        <v>372</v>
      </c>
      <c r="E478" t="s">
        <v>58</v>
      </c>
      <c r="F478">
        <v>4</v>
      </c>
      <c r="G478" t="s">
        <v>50</v>
      </c>
      <c r="H478" s="14">
        <v>0.24</v>
      </c>
      <c r="I478" s="23">
        <v>940.77</v>
      </c>
      <c r="J478" s="4">
        <v>3762.12</v>
      </c>
    </row>
    <row r="479" spans="1:10">
      <c r="A479" t="s">
        <v>1102</v>
      </c>
      <c r="B479" s="3">
        <v>45700</v>
      </c>
      <c r="C479" t="s">
        <v>956</v>
      </c>
      <c r="D479" t="s">
        <v>381</v>
      </c>
      <c r="E479" t="s">
        <v>32</v>
      </c>
      <c r="F479">
        <v>1</v>
      </c>
      <c r="G479" t="s">
        <v>23</v>
      </c>
      <c r="H479" s="14">
        <v>0.09</v>
      </c>
      <c r="I479" s="23">
        <v>708.88</v>
      </c>
      <c r="J479" s="4">
        <v>708.79</v>
      </c>
    </row>
    <row r="480" spans="1:10">
      <c r="A480" t="s">
        <v>1103</v>
      </c>
      <c r="B480" s="3">
        <v>45924</v>
      </c>
      <c r="C480" t="s">
        <v>560</v>
      </c>
      <c r="D480" t="s">
        <v>271</v>
      </c>
      <c r="E480" t="s">
        <v>198</v>
      </c>
      <c r="F480">
        <v>1</v>
      </c>
      <c r="G480" t="s">
        <v>33</v>
      </c>
      <c r="H480" s="14">
        <v>0.24</v>
      </c>
      <c r="I480" s="23">
        <v>790.73</v>
      </c>
      <c r="J480" s="4">
        <v>790.49</v>
      </c>
    </row>
    <row r="481" spans="1:10">
      <c r="A481" t="s">
        <v>1104</v>
      </c>
      <c r="B481" s="3">
        <v>45574</v>
      </c>
      <c r="C481" t="s">
        <v>748</v>
      </c>
      <c r="D481" t="s">
        <v>65</v>
      </c>
      <c r="E481" t="s">
        <v>127</v>
      </c>
      <c r="F481">
        <v>3</v>
      </c>
      <c r="G481" t="s">
        <v>33</v>
      </c>
      <c r="H481" s="14">
        <v>0.09</v>
      </c>
      <c r="I481" s="23">
        <v>635.13</v>
      </c>
      <c r="J481" s="4">
        <v>1905.12</v>
      </c>
    </row>
    <row r="482" spans="1:10">
      <c r="A482" t="s">
        <v>1105</v>
      </c>
      <c r="B482" s="3">
        <v>45233</v>
      </c>
      <c r="C482" t="s">
        <v>687</v>
      </c>
      <c r="D482" t="s">
        <v>317</v>
      </c>
      <c r="E482" t="s">
        <v>98</v>
      </c>
      <c r="F482">
        <v>1</v>
      </c>
      <c r="G482" t="s">
        <v>50</v>
      </c>
      <c r="H482" s="14">
        <v>0.15</v>
      </c>
      <c r="I482" s="23">
        <v>744.88</v>
      </c>
      <c r="J482" s="4">
        <v>744.73</v>
      </c>
    </row>
    <row r="483" spans="1:10">
      <c r="A483" t="s">
        <v>1106</v>
      </c>
      <c r="B483" s="3">
        <v>45745</v>
      </c>
      <c r="C483" t="s">
        <v>392</v>
      </c>
      <c r="D483" t="s">
        <v>567</v>
      </c>
      <c r="E483" t="s">
        <v>105</v>
      </c>
      <c r="F483">
        <v>3</v>
      </c>
      <c r="G483" t="s">
        <v>23</v>
      </c>
      <c r="H483" s="14">
        <v>0.25</v>
      </c>
      <c r="I483" s="23">
        <v>205.34</v>
      </c>
      <c r="J483" s="4">
        <v>615.27</v>
      </c>
    </row>
    <row r="484" spans="1:10">
      <c r="A484" t="s">
        <v>1107</v>
      </c>
      <c r="B484" s="3">
        <v>45851</v>
      </c>
      <c r="C484" t="s">
        <v>466</v>
      </c>
      <c r="D484" t="s">
        <v>255</v>
      </c>
      <c r="E484" t="s">
        <v>43</v>
      </c>
      <c r="F484">
        <v>2</v>
      </c>
      <c r="G484" t="s">
        <v>23</v>
      </c>
      <c r="H484" s="14">
        <v>0.15</v>
      </c>
      <c r="I484" s="23">
        <v>756.8</v>
      </c>
      <c r="J484" s="4">
        <v>1513.3</v>
      </c>
    </row>
    <row r="485" spans="1:10">
      <c r="A485" t="s">
        <v>1108</v>
      </c>
      <c r="B485" s="3">
        <v>45308</v>
      </c>
      <c r="C485" t="s">
        <v>754</v>
      </c>
      <c r="D485" t="s">
        <v>279</v>
      </c>
      <c r="E485" t="s">
        <v>168</v>
      </c>
      <c r="F485">
        <v>1</v>
      </c>
      <c r="G485" t="s">
        <v>23</v>
      </c>
      <c r="H485" s="14">
        <v>0.2</v>
      </c>
      <c r="I485" s="23">
        <v>771.73</v>
      </c>
      <c r="J485" s="4">
        <v>771.53</v>
      </c>
    </row>
    <row r="486" spans="1:10">
      <c r="A486" t="s">
        <v>1109</v>
      </c>
      <c r="B486" s="3">
        <v>45639</v>
      </c>
      <c r="C486" t="s">
        <v>853</v>
      </c>
      <c r="D486" t="s">
        <v>532</v>
      </c>
      <c r="E486" t="s">
        <v>32</v>
      </c>
      <c r="F486">
        <v>1</v>
      </c>
      <c r="G486" t="s">
        <v>33</v>
      </c>
      <c r="H486" s="14">
        <v>0.03</v>
      </c>
      <c r="I486" s="23">
        <v>440.19</v>
      </c>
      <c r="J486" s="4">
        <v>440.16</v>
      </c>
    </row>
    <row r="487" spans="1:10">
      <c r="A487" t="s">
        <v>1110</v>
      </c>
      <c r="B487" s="3">
        <v>45919</v>
      </c>
      <c r="C487" t="s">
        <v>857</v>
      </c>
      <c r="D487" t="s">
        <v>634</v>
      </c>
      <c r="E487" t="s">
        <v>198</v>
      </c>
      <c r="F487">
        <v>2</v>
      </c>
      <c r="G487" t="s">
        <v>23</v>
      </c>
      <c r="H487" s="14">
        <v>0.17</v>
      </c>
      <c r="I487" s="23">
        <v>409</v>
      </c>
      <c r="J487" s="4">
        <v>817.66</v>
      </c>
    </row>
    <row r="488" spans="1:10">
      <c r="A488" t="s">
        <v>1111</v>
      </c>
      <c r="B488" s="3">
        <v>45333</v>
      </c>
      <c r="C488" t="s">
        <v>497</v>
      </c>
      <c r="D488" t="s">
        <v>340</v>
      </c>
      <c r="E488" t="s">
        <v>135</v>
      </c>
      <c r="F488">
        <v>3</v>
      </c>
      <c r="G488" t="s">
        <v>50</v>
      </c>
      <c r="H488" s="14">
        <v>0.04</v>
      </c>
      <c r="I488" s="23">
        <v>134.58000000000001</v>
      </c>
      <c r="J488" s="4">
        <v>403.62</v>
      </c>
    </row>
    <row r="489" spans="1:10">
      <c r="A489" t="s">
        <v>1112</v>
      </c>
      <c r="B489" s="3">
        <v>45811</v>
      </c>
      <c r="C489" t="s">
        <v>121</v>
      </c>
      <c r="D489" t="s">
        <v>104</v>
      </c>
      <c r="E489" t="s">
        <v>66</v>
      </c>
      <c r="F489">
        <v>4</v>
      </c>
      <c r="G489" t="s">
        <v>23</v>
      </c>
      <c r="H489" s="14">
        <v>0.02</v>
      </c>
      <c r="I489" s="23">
        <v>284.44</v>
      </c>
      <c r="J489" s="4">
        <v>1137.68</v>
      </c>
    </row>
    <row r="490" spans="1:10">
      <c r="A490" t="s">
        <v>1113</v>
      </c>
      <c r="B490" s="3">
        <v>45726</v>
      </c>
      <c r="C490" t="s">
        <v>558</v>
      </c>
      <c r="D490" t="s">
        <v>575</v>
      </c>
      <c r="E490" t="s">
        <v>149</v>
      </c>
      <c r="F490">
        <v>4</v>
      </c>
      <c r="G490" t="s">
        <v>23</v>
      </c>
      <c r="H490" s="14">
        <v>0.16</v>
      </c>
      <c r="I490" s="23">
        <v>922.69</v>
      </c>
      <c r="J490" s="4">
        <v>3690.12</v>
      </c>
    </row>
    <row r="491" spans="1:10">
      <c r="A491" t="s">
        <v>1114</v>
      </c>
      <c r="B491" s="3">
        <v>45644</v>
      </c>
      <c r="C491" t="s">
        <v>712</v>
      </c>
      <c r="D491" t="s">
        <v>126</v>
      </c>
      <c r="E491" t="s">
        <v>179</v>
      </c>
      <c r="F491">
        <v>2</v>
      </c>
      <c r="G491" t="s">
        <v>23</v>
      </c>
      <c r="H491" s="14">
        <v>0.28000000000000003</v>
      </c>
      <c r="I491" s="23">
        <v>992.55</v>
      </c>
      <c r="J491" s="4">
        <v>1984.54</v>
      </c>
    </row>
    <row r="492" spans="1:10">
      <c r="A492" t="s">
        <v>1115</v>
      </c>
      <c r="B492" s="3">
        <v>45371</v>
      </c>
      <c r="C492" t="s">
        <v>1116</v>
      </c>
      <c r="D492" t="s">
        <v>287</v>
      </c>
      <c r="E492" t="s">
        <v>160</v>
      </c>
      <c r="F492">
        <v>1</v>
      </c>
      <c r="G492" t="s">
        <v>23</v>
      </c>
      <c r="H492" s="14">
        <v>0.03</v>
      </c>
      <c r="I492" s="23">
        <v>170.43</v>
      </c>
      <c r="J492" s="4">
        <v>170.4</v>
      </c>
    </row>
    <row r="493" spans="1:10">
      <c r="A493" t="s">
        <v>1117</v>
      </c>
      <c r="B493" s="3">
        <v>45462</v>
      </c>
      <c r="C493" t="s">
        <v>1118</v>
      </c>
      <c r="D493" t="s">
        <v>155</v>
      </c>
      <c r="E493" t="s">
        <v>198</v>
      </c>
      <c r="F493">
        <v>3</v>
      </c>
      <c r="G493" t="s">
        <v>23</v>
      </c>
      <c r="H493" s="14">
        <v>0.03</v>
      </c>
      <c r="I493" s="23">
        <v>480.51</v>
      </c>
      <c r="J493" s="4">
        <v>1441.44</v>
      </c>
    </row>
    <row r="494" spans="1:10">
      <c r="A494" t="s">
        <v>1119</v>
      </c>
      <c r="B494" s="3">
        <v>45632</v>
      </c>
      <c r="C494" t="s">
        <v>1120</v>
      </c>
      <c r="D494" t="s">
        <v>42</v>
      </c>
      <c r="E494" t="s">
        <v>66</v>
      </c>
      <c r="F494">
        <v>2</v>
      </c>
      <c r="G494" t="s">
        <v>50</v>
      </c>
      <c r="H494" s="14">
        <v>0.28999999999999998</v>
      </c>
      <c r="I494" s="23">
        <v>955.66</v>
      </c>
      <c r="J494" s="4">
        <v>1910.74</v>
      </c>
    </row>
    <row r="495" spans="1:10">
      <c r="A495" t="s">
        <v>1121</v>
      </c>
      <c r="B495" s="3">
        <v>45863</v>
      </c>
      <c r="C495" t="s">
        <v>851</v>
      </c>
      <c r="D495" t="s">
        <v>155</v>
      </c>
      <c r="E495" t="s">
        <v>90</v>
      </c>
      <c r="F495">
        <v>2</v>
      </c>
      <c r="G495" t="s">
        <v>33</v>
      </c>
      <c r="H495" s="14">
        <v>0.27</v>
      </c>
      <c r="I495" s="23">
        <v>488.02</v>
      </c>
      <c r="J495" s="4">
        <v>975.5</v>
      </c>
    </row>
    <row r="496" spans="1:10">
      <c r="A496" t="s">
        <v>1122</v>
      </c>
      <c r="B496" s="3">
        <v>45501</v>
      </c>
      <c r="C496" t="s">
        <v>750</v>
      </c>
      <c r="D496" t="s">
        <v>928</v>
      </c>
      <c r="E496" t="s">
        <v>90</v>
      </c>
      <c r="F496">
        <v>1</v>
      </c>
      <c r="G496" t="s">
        <v>50</v>
      </c>
      <c r="H496" s="14">
        <v>0.13</v>
      </c>
      <c r="I496" s="23">
        <v>917.17</v>
      </c>
      <c r="J496" s="4">
        <v>917.04</v>
      </c>
    </row>
    <row r="497" spans="1:10">
      <c r="A497" t="s">
        <v>1123</v>
      </c>
      <c r="B497" s="3">
        <v>45568</v>
      </c>
      <c r="C497" t="s">
        <v>290</v>
      </c>
      <c r="D497" t="s">
        <v>484</v>
      </c>
      <c r="E497" t="s">
        <v>58</v>
      </c>
      <c r="F497">
        <v>2</v>
      </c>
      <c r="G497" t="s">
        <v>33</v>
      </c>
      <c r="H497" s="14">
        <v>0.3</v>
      </c>
      <c r="I497" s="23">
        <v>406.46</v>
      </c>
      <c r="J497" s="4">
        <v>812.32</v>
      </c>
    </row>
    <row r="498" spans="1:10">
      <c r="A498" t="s">
        <v>1124</v>
      </c>
      <c r="B498" s="3">
        <v>45238</v>
      </c>
      <c r="C498" t="s">
        <v>1125</v>
      </c>
      <c r="D498" t="s">
        <v>1126</v>
      </c>
      <c r="E498" t="s">
        <v>90</v>
      </c>
      <c r="F498">
        <v>2</v>
      </c>
      <c r="G498" t="s">
        <v>50</v>
      </c>
      <c r="H498" s="14">
        <v>0.11</v>
      </c>
      <c r="I498" s="23">
        <v>264.39</v>
      </c>
      <c r="J498" s="4">
        <v>528.55999999999995</v>
      </c>
    </row>
    <row r="499" spans="1:10">
      <c r="A499" t="s">
        <v>1128</v>
      </c>
      <c r="B499" s="3">
        <v>45754</v>
      </c>
      <c r="C499" t="s">
        <v>836</v>
      </c>
      <c r="D499" t="s">
        <v>741</v>
      </c>
      <c r="E499" t="s">
        <v>117</v>
      </c>
      <c r="F499">
        <v>1</v>
      </c>
      <c r="G499" t="s">
        <v>33</v>
      </c>
      <c r="H499" s="14">
        <v>0.22</v>
      </c>
      <c r="I499" s="23">
        <v>414.97</v>
      </c>
      <c r="J499" s="4">
        <v>414.75</v>
      </c>
    </row>
    <row r="500" spans="1:10">
      <c r="A500" t="s">
        <v>1129</v>
      </c>
      <c r="B500" s="3">
        <v>45280</v>
      </c>
      <c r="C500" t="s">
        <v>1130</v>
      </c>
      <c r="D500" t="s">
        <v>425</v>
      </c>
      <c r="E500" t="s">
        <v>208</v>
      </c>
      <c r="F500">
        <v>2</v>
      </c>
      <c r="G500" t="s">
        <v>50</v>
      </c>
      <c r="H500" s="14">
        <v>0.2</v>
      </c>
      <c r="I500" s="23">
        <v>583.51</v>
      </c>
      <c r="J500" s="4">
        <v>1166.6199999999999</v>
      </c>
    </row>
    <row r="501" spans="1:10">
      <c r="A501" t="s">
        <v>1131</v>
      </c>
      <c r="B501" s="3">
        <v>45911</v>
      </c>
      <c r="C501" t="s">
        <v>1132</v>
      </c>
      <c r="D501" t="s">
        <v>311</v>
      </c>
      <c r="E501" t="s">
        <v>32</v>
      </c>
      <c r="F501">
        <v>1</v>
      </c>
      <c r="G501" t="s">
        <v>33</v>
      </c>
      <c r="H501" s="14">
        <v>0.15</v>
      </c>
      <c r="I501" s="23">
        <v>659.27</v>
      </c>
      <c r="J501" s="4">
        <v>659.12</v>
      </c>
    </row>
    <row r="502" spans="1:10">
      <c r="A502" t="s">
        <v>1133</v>
      </c>
      <c r="B502" s="3">
        <v>45627</v>
      </c>
      <c r="C502" t="s">
        <v>1134</v>
      </c>
      <c r="D502" t="s">
        <v>868</v>
      </c>
      <c r="E502" t="s">
        <v>72</v>
      </c>
      <c r="F502">
        <v>4</v>
      </c>
      <c r="G502" t="s">
        <v>50</v>
      </c>
      <c r="H502" s="14">
        <v>0.2</v>
      </c>
      <c r="I502" s="23">
        <v>106.66</v>
      </c>
      <c r="J502" s="4">
        <v>425.84</v>
      </c>
    </row>
    <row r="503" spans="1:10">
      <c r="A503" t="s">
        <v>1135</v>
      </c>
      <c r="B503" s="3">
        <v>45617</v>
      </c>
      <c r="C503" t="s">
        <v>1083</v>
      </c>
      <c r="D503" t="s">
        <v>234</v>
      </c>
      <c r="E503" t="s">
        <v>58</v>
      </c>
      <c r="F503">
        <v>4</v>
      </c>
      <c r="G503" t="s">
        <v>33</v>
      </c>
      <c r="H503" s="14">
        <v>0.15</v>
      </c>
      <c r="I503" s="23">
        <v>168.55</v>
      </c>
      <c r="J503" s="4">
        <v>673.6</v>
      </c>
    </row>
    <row r="504" spans="1:10">
      <c r="A504" t="s">
        <v>1136</v>
      </c>
      <c r="B504" s="3">
        <v>45899</v>
      </c>
      <c r="C504" t="s">
        <v>1053</v>
      </c>
      <c r="D504" t="s">
        <v>275</v>
      </c>
      <c r="E504" t="s">
        <v>198</v>
      </c>
      <c r="F504">
        <v>1</v>
      </c>
      <c r="G504" t="s">
        <v>50</v>
      </c>
      <c r="H504" s="14">
        <v>0.06</v>
      </c>
      <c r="I504" s="23">
        <v>230.53</v>
      </c>
      <c r="J504" s="4">
        <v>230.47</v>
      </c>
    </row>
    <row r="505" spans="1:10">
      <c r="A505" t="s">
        <v>1137</v>
      </c>
      <c r="B505" s="3">
        <v>45889</v>
      </c>
      <c r="C505" t="s">
        <v>355</v>
      </c>
      <c r="D505" t="s">
        <v>420</v>
      </c>
      <c r="E505" t="s">
        <v>105</v>
      </c>
      <c r="F505">
        <v>2</v>
      </c>
      <c r="G505" t="s">
        <v>50</v>
      </c>
      <c r="H505" s="14">
        <v>0.13</v>
      </c>
      <c r="I505" s="23">
        <v>355.41</v>
      </c>
      <c r="J505" s="4">
        <v>710.56</v>
      </c>
    </row>
    <row r="506" spans="1:10">
      <c r="A506" t="s">
        <v>1138</v>
      </c>
      <c r="B506" s="3">
        <v>45943</v>
      </c>
      <c r="C506" t="s">
        <v>1139</v>
      </c>
      <c r="D506" t="s">
        <v>302</v>
      </c>
      <c r="E506" t="s">
        <v>198</v>
      </c>
      <c r="F506">
        <v>3</v>
      </c>
      <c r="G506" t="s">
        <v>23</v>
      </c>
      <c r="H506" s="14">
        <v>0.22</v>
      </c>
      <c r="I506" s="23">
        <v>843.44</v>
      </c>
      <c r="J506" s="4">
        <v>2529.66</v>
      </c>
    </row>
    <row r="507" spans="1:10">
      <c r="A507" t="s">
        <v>1140</v>
      </c>
      <c r="B507" s="3">
        <v>45306</v>
      </c>
      <c r="C507" t="s">
        <v>1083</v>
      </c>
      <c r="D507" t="s">
        <v>1126</v>
      </c>
      <c r="E507" t="s">
        <v>105</v>
      </c>
      <c r="F507">
        <v>1</v>
      </c>
      <c r="G507" t="s">
        <v>23</v>
      </c>
      <c r="H507" s="14">
        <v>0.27</v>
      </c>
      <c r="I507" s="23">
        <v>301.60000000000002</v>
      </c>
      <c r="J507" s="4">
        <v>301.33</v>
      </c>
    </row>
    <row r="508" spans="1:10">
      <c r="A508" t="s">
        <v>1141</v>
      </c>
      <c r="B508" s="3">
        <v>45772</v>
      </c>
      <c r="C508" t="s">
        <v>846</v>
      </c>
      <c r="D508" t="s">
        <v>287</v>
      </c>
      <c r="E508" t="s">
        <v>198</v>
      </c>
      <c r="F508">
        <v>3</v>
      </c>
      <c r="G508" t="s">
        <v>50</v>
      </c>
      <c r="H508" s="14">
        <v>0.16</v>
      </c>
      <c r="I508" s="23">
        <v>21.59</v>
      </c>
      <c r="J508" s="4">
        <v>64.290000000000006</v>
      </c>
    </row>
    <row r="509" spans="1:10">
      <c r="A509" t="s">
        <v>1142</v>
      </c>
      <c r="B509" s="3">
        <v>45346</v>
      </c>
      <c r="C509" t="s">
        <v>1143</v>
      </c>
      <c r="D509" t="s">
        <v>197</v>
      </c>
      <c r="E509" t="s">
        <v>198</v>
      </c>
      <c r="F509">
        <v>4</v>
      </c>
      <c r="G509" t="s">
        <v>23</v>
      </c>
      <c r="H509" s="14">
        <v>0.09</v>
      </c>
      <c r="I509" s="23">
        <v>284.24</v>
      </c>
      <c r="J509" s="4">
        <v>1136.5999999999999</v>
      </c>
    </row>
    <row r="510" spans="1:10">
      <c r="A510" t="s">
        <v>1144</v>
      </c>
      <c r="B510" s="3">
        <v>45656</v>
      </c>
      <c r="C510" t="s">
        <v>172</v>
      </c>
      <c r="D510" t="s">
        <v>183</v>
      </c>
      <c r="E510" t="s">
        <v>127</v>
      </c>
      <c r="F510">
        <v>1</v>
      </c>
      <c r="G510" t="s">
        <v>33</v>
      </c>
      <c r="H510" s="14">
        <v>0.27</v>
      </c>
      <c r="I510" s="23">
        <v>191.6</v>
      </c>
      <c r="J510" s="4">
        <v>191.33</v>
      </c>
    </row>
    <row r="511" spans="1:10">
      <c r="A511" t="s">
        <v>1145</v>
      </c>
      <c r="B511" s="3">
        <v>45762</v>
      </c>
      <c r="C511" t="s">
        <v>1146</v>
      </c>
      <c r="D511" t="s">
        <v>267</v>
      </c>
      <c r="E511" t="s">
        <v>208</v>
      </c>
      <c r="F511">
        <v>2</v>
      </c>
      <c r="G511" t="s">
        <v>23</v>
      </c>
      <c r="H511" s="14">
        <v>0.22</v>
      </c>
      <c r="I511" s="23">
        <v>616.97</v>
      </c>
      <c r="J511" s="4">
        <v>1233.5</v>
      </c>
    </row>
    <row r="512" spans="1:10">
      <c r="A512" t="s">
        <v>1147</v>
      </c>
      <c r="B512" s="3">
        <v>45580</v>
      </c>
      <c r="C512" t="s">
        <v>338</v>
      </c>
      <c r="D512" t="s">
        <v>567</v>
      </c>
      <c r="E512" t="s">
        <v>168</v>
      </c>
      <c r="F512">
        <v>3</v>
      </c>
      <c r="G512" t="s">
        <v>50</v>
      </c>
      <c r="H512" s="14">
        <v>0.26</v>
      </c>
      <c r="I512" s="23">
        <v>125.68</v>
      </c>
      <c r="J512" s="4">
        <v>376.26</v>
      </c>
    </row>
    <row r="513" spans="1:10">
      <c r="A513" t="s">
        <v>1148</v>
      </c>
      <c r="B513" s="3">
        <v>45676</v>
      </c>
      <c r="C513" t="s">
        <v>1149</v>
      </c>
      <c r="D513" t="s">
        <v>159</v>
      </c>
      <c r="E513" t="s">
        <v>72</v>
      </c>
      <c r="F513">
        <v>3</v>
      </c>
      <c r="G513" t="s">
        <v>23</v>
      </c>
      <c r="H513" s="14">
        <v>0.24</v>
      </c>
      <c r="I513" s="23">
        <v>307.48</v>
      </c>
      <c r="J513" s="4">
        <v>921.72</v>
      </c>
    </row>
    <row r="514" spans="1:10">
      <c r="A514" t="s">
        <v>1150</v>
      </c>
      <c r="B514" s="3">
        <v>45495</v>
      </c>
      <c r="C514" t="s">
        <v>404</v>
      </c>
      <c r="D514" t="s">
        <v>868</v>
      </c>
      <c r="E514" t="s">
        <v>135</v>
      </c>
      <c r="F514">
        <v>1</v>
      </c>
      <c r="G514" t="s">
        <v>23</v>
      </c>
      <c r="H514" s="14">
        <v>0.11</v>
      </c>
      <c r="I514" s="23">
        <v>505.23</v>
      </c>
      <c r="J514" s="4">
        <v>505.12</v>
      </c>
    </row>
    <row r="515" spans="1:10">
      <c r="A515" t="s">
        <v>1151</v>
      </c>
      <c r="B515" s="3">
        <v>45735</v>
      </c>
      <c r="C515" t="s">
        <v>1152</v>
      </c>
      <c r="D515" t="s">
        <v>344</v>
      </c>
      <c r="E515" t="s">
        <v>117</v>
      </c>
      <c r="F515">
        <v>1</v>
      </c>
      <c r="G515" t="s">
        <v>50</v>
      </c>
      <c r="H515" s="14">
        <v>0.19</v>
      </c>
      <c r="I515" s="23">
        <v>853.12</v>
      </c>
      <c r="J515" s="4">
        <v>852.93</v>
      </c>
    </row>
    <row r="516" spans="1:10">
      <c r="A516" t="s">
        <v>1153</v>
      </c>
      <c r="B516" s="3">
        <v>45312</v>
      </c>
      <c r="C516" t="s">
        <v>1079</v>
      </c>
      <c r="D516" t="s">
        <v>768</v>
      </c>
      <c r="E516" t="s">
        <v>66</v>
      </c>
      <c r="F516">
        <v>4</v>
      </c>
      <c r="G516" t="s">
        <v>33</v>
      </c>
      <c r="H516" s="14">
        <v>0.19</v>
      </c>
      <c r="I516" s="23">
        <v>191.65</v>
      </c>
      <c r="J516" s="4">
        <v>765.84</v>
      </c>
    </row>
    <row r="517" spans="1:10">
      <c r="A517" t="s">
        <v>1154</v>
      </c>
      <c r="B517" s="3">
        <v>45286</v>
      </c>
      <c r="C517" t="s">
        <v>1155</v>
      </c>
      <c r="D517" t="s">
        <v>302</v>
      </c>
      <c r="E517" t="s">
        <v>22</v>
      </c>
      <c r="F517">
        <v>1</v>
      </c>
      <c r="G517" t="s">
        <v>23</v>
      </c>
      <c r="H517" s="14">
        <v>0.22</v>
      </c>
      <c r="I517" s="23">
        <v>169.69</v>
      </c>
      <c r="J517" s="4">
        <v>169.47</v>
      </c>
    </row>
    <row r="518" spans="1:10">
      <c r="A518" t="s">
        <v>1156</v>
      </c>
      <c r="B518" s="3">
        <v>45372</v>
      </c>
      <c r="C518" t="s">
        <v>595</v>
      </c>
      <c r="D518" t="s">
        <v>661</v>
      </c>
      <c r="E518" t="s">
        <v>98</v>
      </c>
      <c r="F518">
        <v>1</v>
      </c>
      <c r="G518" t="s">
        <v>23</v>
      </c>
      <c r="H518" s="14">
        <v>0.08</v>
      </c>
      <c r="I518" s="23">
        <v>145.43</v>
      </c>
      <c r="J518" s="4">
        <v>145.35</v>
      </c>
    </row>
    <row r="519" spans="1:10">
      <c r="A519" t="s">
        <v>1157</v>
      </c>
      <c r="B519" s="3">
        <v>45633</v>
      </c>
      <c r="C519" t="s">
        <v>259</v>
      </c>
      <c r="D519" t="s">
        <v>317</v>
      </c>
      <c r="E519" t="s">
        <v>208</v>
      </c>
      <c r="F519">
        <v>4</v>
      </c>
      <c r="G519" t="s">
        <v>23</v>
      </c>
      <c r="H519" s="14">
        <v>0.17</v>
      </c>
      <c r="I519" s="23">
        <v>828.35</v>
      </c>
      <c r="J519" s="4">
        <v>3312.72</v>
      </c>
    </row>
    <row r="520" spans="1:10">
      <c r="A520" t="s">
        <v>1158</v>
      </c>
      <c r="B520" s="3">
        <v>45598</v>
      </c>
      <c r="C520" t="s">
        <v>1159</v>
      </c>
      <c r="D520" t="s">
        <v>1126</v>
      </c>
      <c r="E520" t="s">
        <v>66</v>
      </c>
      <c r="F520">
        <v>3</v>
      </c>
      <c r="G520" t="s">
        <v>33</v>
      </c>
      <c r="H520" s="14">
        <v>0.01</v>
      </c>
      <c r="I520" s="23">
        <v>268.76</v>
      </c>
      <c r="J520" s="4">
        <v>806.25</v>
      </c>
    </row>
    <row r="521" spans="1:10">
      <c r="A521" t="s">
        <v>1160</v>
      </c>
      <c r="B521" s="3">
        <v>45495</v>
      </c>
      <c r="C521" t="s">
        <v>1161</v>
      </c>
      <c r="D521" t="s">
        <v>110</v>
      </c>
      <c r="E521" t="s">
        <v>90</v>
      </c>
      <c r="F521">
        <v>4</v>
      </c>
      <c r="G521" t="s">
        <v>50</v>
      </c>
      <c r="H521" s="14">
        <v>0.22</v>
      </c>
      <c r="I521" s="23">
        <v>370.09</v>
      </c>
      <c r="J521" s="4">
        <v>1479.48</v>
      </c>
    </row>
    <row r="522" spans="1:10">
      <c r="A522" t="s">
        <v>1162</v>
      </c>
      <c r="B522" s="3">
        <v>45229</v>
      </c>
      <c r="C522" t="s">
        <v>367</v>
      </c>
      <c r="D522" t="s">
        <v>267</v>
      </c>
      <c r="E522" t="s">
        <v>179</v>
      </c>
      <c r="F522">
        <v>3</v>
      </c>
      <c r="G522" t="s">
        <v>33</v>
      </c>
      <c r="H522" s="14">
        <v>0.11</v>
      </c>
      <c r="I522" s="23">
        <v>679.22</v>
      </c>
      <c r="J522" s="4">
        <v>2037.33</v>
      </c>
    </row>
    <row r="523" spans="1:10">
      <c r="A523" t="s">
        <v>1163</v>
      </c>
      <c r="B523" s="3">
        <v>45433</v>
      </c>
      <c r="C523" t="s">
        <v>591</v>
      </c>
      <c r="D523" t="s">
        <v>575</v>
      </c>
      <c r="E523" t="s">
        <v>90</v>
      </c>
      <c r="F523">
        <v>3</v>
      </c>
      <c r="G523" t="s">
        <v>50</v>
      </c>
      <c r="H523" s="14">
        <v>0.1</v>
      </c>
      <c r="I523" s="23">
        <v>780.69</v>
      </c>
      <c r="J523" s="4">
        <v>2341.77</v>
      </c>
    </row>
    <row r="524" spans="1:10">
      <c r="A524" t="s">
        <v>1164</v>
      </c>
      <c r="B524" s="3">
        <v>45766</v>
      </c>
      <c r="C524" t="s">
        <v>1165</v>
      </c>
      <c r="D524" t="s">
        <v>449</v>
      </c>
      <c r="E524" t="s">
        <v>198</v>
      </c>
      <c r="F524">
        <v>2</v>
      </c>
      <c r="G524" t="s">
        <v>33</v>
      </c>
      <c r="H524" s="14">
        <v>0.18</v>
      </c>
      <c r="I524" s="23">
        <v>42.97</v>
      </c>
      <c r="J524" s="4">
        <v>85.58</v>
      </c>
    </row>
    <row r="525" spans="1:10">
      <c r="A525" t="s">
        <v>1166</v>
      </c>
      <c r="B525" s="3">
        <v>45639</v>
      </c>
      <c r="C525" t="s">
        <v>1167</v>
      </c>
      <c r="D525" t="s">
        <v>542</v>
      </c>
      <c r="E525" t="s">
        <v>90</v>
      </c>
      <c r="F525">
        <v>4</v>
      </c>
      <c r="G525" t="s">
        <v>33</v>
      </c>
      <c r="H525" s="14">
        <v>7.0000000000000007E-2</v>
      </c>
      <c r="I525" s="23">
        <v>854.37</v>
      </c>
      <c r="J525" s="4">
        <v>3417.2</v>
      </c>
    </row>
    <row r="526" spans="1:10">
      <c r="A526" t="s">
        <v>1168</v>
      </c>
      <c r="B526" s="3">
        <v>45774</v>
      </c>
      <c r="C526" t="s">
        <v>1169</v>
      </c>
      <c r="D526" t="s">
        <v>97</v>
      </c>
      <c r="E526" t="s">
        <v>117</v>
      </c>
      <c r="F526">
        <v>2</v>
      </c>
      <c r="G526" t="s">
        <v>50</v>
      </c>
      <c r="H526" s="14">
        <v>0.06</v>
      </c>
      <c r="I526" s="23">
        <v>409.52</v>
      </c>
      <c r="J526" s="4">
        <v>818.92</v>
      </c>
    </row>
    <row r="527" spans="1:10">
      <c r="A527" t="s">
        <v>1170</v>
      </c>
      <c r="B527" s="3">
        <v>45569</v>
      </c>
      <c r="C527" t="s">
        <v>504</v>
      </c>
      <c r="D527" t="s">
        <v>31</v>
      </c>
      <c r="E527" t="s">
        <v>168</v>
      </c>
      <c r="F527">
        <v>2</v>
      </c>
      <c r="G527" t="s">
        <v>23</v>
      </c>
      <c r="H527" s="14">
        <v>0.21</v>
      </c>
      <c r="I527" s="23">
        <v>407.46</v>
      </c>
      <c r="J527" s="4">
        <v>814.5</v>
      </c>
    </row>
    <row r="528" spans="1:10">
      <c r="A528" t="s">
        <v>1171</v>
      </c>
      <c r="B528" s="3">
        <v>45856</v>
      </c>
      <c r="C528" t="s">
        <v>1172</v>
      </c>
      <c r="D528" t="s">
        <v>634</v>
      </c>
      <c r="E528" t="s">
        <v>43</v>
      </c>
      <c r="F528">
        <v>1</v>
      </c>
      <c r="G528" t="s">
        <v>33</v>
      </c>
      <c r="H528" s="14">
        <v>0.28000000000000003</v>
      </c>
      <c r="I528" s="23">
        <v>728.84</v>
      </c>
      <c r="J528" s="4">
        <v>728.56</v>
      </c>
    </row>
    <row r="529" spans="1:10">
      <c r="A529" t="s">
        <v>1173</v>
      </c>
      <c r="B529" s="3">
        <v>45362</v>
      </c>
      <c r="C529" t="s">
        <v>217</v>
      </c>
      <c r="D529" t="s">
        <v>267</v>
      </c>
      <c r="E529" t="s">
        <v>179</v>
      </c>
      <c r="F529">
        <v>4</v>
      </c>
      <c r="G529" t="s">
        <v>33</v>
      </c>
      <c r="H529" s="14">
        <v>0.08</v>
      </c>
      <c r="I529" s="23">
        <v>467.24</v>
      </c>
      <c r="J529" s="4">
        <v>1868.64</v>
      </c>
    </row>
    <row r="530" spans="1:10">
      <c r="A530" t="s">
        <v>1174</v>
      </c>
      <c r="B530" s="3">
        <v>45457</v>
      </c>
      <c r="C530" t="s">
        <v>1175</v>
      </c>
      <c r="D530" t="s">
        <v>234</v>
      </c>
      <c r="E530" t="s">
        <v>272</v>
      </c>
      <c r="F530">
        <v>1</v>
      </c>
      <c r="G530" t="s">
        <v>33</v>
      </c>
      <c r="H530" s="14">
        <v>0.13</v>
      </c>
      <c r="I530" s="23">
        <v>57.94</v>
      </c>
      <c r="J530" s="4">
        <v>57.81</v>
      </c>
    </row>
    <row r="531" spans="1:10">
      <c r="A531" t="s">
        <v>1176</v>
      </c>
      <c r="B531" s="3">
        <v>45338</v>
      </c>
      <c r="C531" t="s">
        <v>220</v>
      </c>
      <c r="D531" t="s">
        <v>42</v>
      </c>
      <c r="E531" t="s">
        <v>32</v>
      </c>
      <c r="F531">
        <v>1</v>
      </c>
      <c r="G531" t="s">
        <v>23</v>
      </c>
      <c r="H531" s="14">
        <v>0.22</v>
      </c>
      <c r="I531" s="23">
        <v>540.1</v>
      </c>
      <c r="J531" s="4">
        <v>539.88</v>
      </c>
    </row>
    <row r="532" spans="1:10">
      <c r="A532" t="s">
        <v>1177</v>
      </c>
      <c r="B532" s="3">
        <v>45552</v>
      </c>
      <c r="C532" t="s">
        <v>944</v>
      </c>
      <c r="D532" t="s">
        <v>484</v>
      </c>
      <c r="E532" t="s">
        <v>135</v>
      </c>
      <c r="F532">
        <v>4</v>
      </c>
      <c r="G532" t="s">
        <v>50</v>
      </c>
      <c r="H532" s="14">
        <v>0.15</v>
      </c>
      <c r="I532" s="23">
        <v>816.28</v>
      </c>
      <c r="J532" s="4">
        <v>3264.52</v>
      </c>
    </row>
    <row r="533" spans="1:10">
      <c r="A533" t="s">
        <v>1178</v>
      </c>
      <c r="B533" s="3">
        <v>45895</v>
      </c>
      <c r="C533" t="s">
        <v>523</v>
      </c>
      <c r="D533" t="s">
        <v>449</v>
      </c>
      <c r="E533" t="s">
        <v>43</v>
      </c>
      <c r="F533">
        <v>4</v>
      </c>
      <c r="G533" t="s">
        <v>23</v>
      </c>
      <c r="H533" s="14">
        <v>0.11</v>
      </c>
      <c r="I533" s="23">
        <v>727.49</v>
      </c>
      <c r="J533" s="4">
        <v>2909.52</v>
      </c>
    </row>
    <row r="534" spans="1:10">
      <c r="A534" t="s">
        <v>1179</v>
      </c>
      <c r="B534" s="3">
        <v>45447</v>
      </c>
      <c r="C534" t="s">
        <v>527</v>
      </c>
      <c r="D534" t="s">
        <v>400</v>
      </c>
      <c r="E534" t="s">
        <v>149</v>
      </c>
      <c r="F534">
        <v>4</v>
      </c>
      <c r="G534" t="s">
        <v>23</v>
      </c>
      <c r="H534" s="14">
        <v>0.21</v>
      </c>
      <c r="I534" s="23">
        <v>817.92</v>
      </c>
      <c r="J534" s="4">
        <v>3270.84</v>
      </c>
    </row>
    <row r="535" spans="1:10">
      <c r="A535" t="s">
        <v>1180</v>
      </c>
      <c r="B535" s="3">
        <v>45578</v>
      </c>
      <c r="C535" t="s">
        <v>419</v>
      </c>
      <c r="D535" t="s">
        <v>340</v>
      </c>
      <c r="E535" t="s">
        <v>66</v>
      </c>
      <c r="F535">
        <v>2</v>
      </c>
      <c r="G535" t="s">
        <v>50</v>
      </c>
      <c r="H535" s="14">
        <v>7.0000000000000007E-2</v>
      </c>
      <c r="I535" s="23">
        <v>358.45</v>
      </c>
      <c r="J535" s="4">
        <v>716.76</v>
      </c>
    </row>
    <row r="536" spans="1:10">
      <c r="A536" t="s">
        <v>1181</v>
      </c>
      <c r="B536" s="3">
        <v>45697</v>
      </c>
      <c r="C536" t="s">
        <v>513</v>
      </c>
      <c r="D536" t="s">
        <v>514</v>
      </c>
      <c r="E536" t="s">
        <v>127</v>
      </c>
      <c r="F536">
        <v>1</v>
      </c>
      <c r="G536" t="s">
        <v>50</v>
      </c>
      <c r="H536" s="14">
        <v>0.3</v>
      </c>
      <c r="I536" s="23">
        <v>972.06</v>
      </c>
      <c r="J536" s="4">
        <v>971.76</v>
      </c>
    </row>
    <row r="537" spans="1:10">
      <c r="A537" t="s">
        <v>1182</v>
      </c>
      <c r="B537" s="3">
        <v>45281</v>
      </c>
      <c r="C537" t="s">
        <v>1183</v>
      </c>
      <c r="D537" t="s">
        <v>226</v>
      </c>
      <c r="E537" t="s">
        <v>90</v>
      </c>
      <c r="F537">
        <v>1</v>
      </c>
      <c r="G537" t="s">
        <v>33</v>
      </c>
      <c r="H537" s="14">
        <v>0.06</v>
      </c>
      <c r="I537" s="23">
        <v>791.36</v>
      </c>
      <c r="J537" s="4">
        <v>791.3</v>
      </c>
    </row>
    <row r="538" spans="1:10">
      <c r="A538" t="s">
        <v>1184</v>
      </c>
      <c r="B538" s="3">
        <v>45855</v>
      </c>
      <c r="C538" t="s">
        <v>554</v>
      </c>
      <c r="D538" t="s">
        <v>779</v>
      </c>
      <c r="E538" t="s">
        <v>58</v>
      </c>
      <c r="F538">
        <v>4</v>
      </c>
      <c r="G538" t="s">
        <v>50</v>
      </c>
      <c r="H538" s="14">
        <v>0.26</v>
      </c>
      <c r="I538" s="23">
        <v>839.65</v>
      </c>
      <c r="J538" s="4">
        <v>3357.56</v>
      </c>
    </row>
    <row r="539" spans="1:10">
      <c r="A539" t="s">
        <v>1185</v>
      </c>
      <c r="B539" s="3">
        <v>45793</v>
      </c>
      <c r="C539" t="s">
        <v>322</v>
      </c>
      <c r="D539" t="s">
        <v>155</v>
      </c>
      <c r="E539" t="s">
        <v>198</v>
      </c>
      <c r="F539">
        <v>2</v>
      </c>
      <c r="G539" t="s">
        <v>50</v>
      </c>
      <c r="H539" s="14">
        <v>0.11</v>
      </c>
      <c r="I539" s="23">
        <v>245.52</v>
      </c>
      <c r="J539" s="4">
        <v>490.82</v>
      </c>
    </row>
    <row r="540" spans="1:10">
      <c r="A540" t="s">
        <v>1186</v>
      </c>
      <c r="B540" s="3">
        <v>45881</v>
      </c>
      <c r="C540" t="s">
        <v>1187</v>
      </c>
      <c r="D540" t="s">
        <v>542</v>
      </c>
      <c r="E540" t="s">
        <v>43</v>
      </c>
      <c r="F540">
        <v>3</v>
      </c>
      <c r="G540" t="s">
        <v>33</v>
      </c>
      <c r="H540" s="14">
        <v>0.06</v>
      </c>
      <c r="I540" s="23">
        <v>787.91</v>
      </c>
      <c r="J540" s="4">
        <v>2363.5500000000002</v>
      </c>
    </row>
    <row r="541" spans="1:10">
      <c r="A541" t="s">
        <v>1188</v>
      </c>
      <c r="B541" s="3">
        <v>45890</v>
      </c>
      <c r="C541" t="s">
        <v>1042</v>
      </c>
      <c r="D541" t="s">
        <v>213</v>
      </c>
      <c r="E541" t="s">
        <v>72</v>
      </c>
      <c r="F541">
        <v>2</v>
      </c>
      <c r="G541" t="s">
        <v>23</v>
      </c>
      <c r="H541" s="14">
        <v>0.22</v>
      </c>
      <c r="I541" s="23">
        <v>709.17</v>
      </c>
      <c r="J541" s="4">
        <v>1417.9</v>
      </c>
    </row>
    <row r="542" spans="1:10">
      <c r="A542" t="s">
        <v>1189</v>
      </c>
      <c r="B542" s="3">
        <v>45251</v>
      </c>
      <c r="C542" t="s">
        <v>1190</v>
      </c>
      <c r="D542" t="s">
        <v>372</v>
      </c>
      <c r="E542" t="s">
        <v>66</v>
      </c>
      <c r="F542">
        <v>2</v>
      </c>
      <c r="G542" t="s">
        <v>23</v>
      </c>
      <c r="H542" s="14">
        <v>0.13</v>
      </c>
      <c r="I542" s="23">
        <v>533.91999999999996</v>
      </c>
      <c r="J542" s="4">
        <v>1067.58</v>
      </c>
    </row>
    <row r="543" spans="1:10">
      <c r="A543" t="s">
        <v>1191</v>
      </c>
      <c r="B543" s="3">
        <v>45695</v>
      </c>
      <c r="C543" t="s">
        <v>233</v>
      </c>
      <c r="D543" t="s">
        <v>449</v>
      </c>
      <c r="E543" t="s">
        <v>90</v>
      </c>
      <c r="F543">
        <v>1</v>
      </c>
      <c r="G543" t="s">
        <v>50</v>
      </c>
      <c r="H543" s="14">
        <v>0.28000000000000003</v>
      </c>
      <c r="I543" s="23">
        <v>878.84</v>
      </c>
      <c r="J543" s="4">
        <v>878.56</v>
      </c>
    </row>
    <row r="544" spans="1:10">
      <c r="A544" t="s">
        <v>1192</v>
      </c>
      <c r="B544" s="3">
        <v>45287</v>
      </c>
      <c r="C544" t="s">
        <v>1193</v>
      </c>
      <c r="D544" t="s">
        <v>275</v>
      </c>
      <c r="E544" t="s">
        <v>117</v>
      </c>
      <c r="F544">
        <v>1</v>
      </c>
      <c r="G544" t="s">
        <v>23</v>
      </c>
      <c r="H544" s="14">
        <v>0.14000000000000001</v>
      </c>
      <c r="I544" s="23">
        <v>442.36</v>
      </c>
      <c r="J544" s="4">
        <v>442.22</v>
      </c>
    </row>
    <row r="545" spans="1:10">
      <c r="A545" t="s">
        <v>1194</v>
      </c>
      <c r="B545" s="3">
        <v>45711</v>
      </c>
      <c r="C545" t="s">
        <v>767</v>
      </c>
      <c r="D545" t="s">
        <v>487</v>
      </c>
      <c r="E545" t="s">
        <v>179</v>
      </c>
      <c r="F545">
        <v>1</v>
      </c>
      <c r="G545" t="s">
        <v>50</v>
      </c>
      <c r="H545" s="14">
        <v>0.11</v>
      </c>
      <c r="I545" s="23">
        <v>763.34</v>
      </c>
      <c r="J545" s="4">
        <v>763.23</v>
      </c>
    </row>
    <row r="546" spans="1:10">
      <c r="A546" t="s">
        <v>1195</v>
      </c>
      <c r="B546" s="3">
        <v>45842</v>
      </c>
      <c r="C546" t="s">
        <v>1100</v>
      </c>
      <c r="D546" t="s">
        <v>57</v>
      </c>
      <c r="E546" t="s">
        <v>160</v>
      </c>
      <c r="F546">
        <v>3</v>
      </c>
      <c r="G546" t="s">
        <v>50</v>
      </c>
      <c r="H546" s="14">
        <v>0.15</v>
      </c>
      <c r="I546" s="23">
        <v>178.22</v>
      </c>
      <c r="J546" s="4">
        <v>534.21</v>
      </c>
    </row>
    <row r="547" spans="1:10">
      <c r="A547" t="s">
        <v>1196</v>
      </c>
      <c r="B547" s="3">
        <v>45255</v>
      </c>
      <c r="C547" t="s">
        <v>765</v>
      </c>
      <c r="D547" t="s">
        <v>246</v>
      </c>
      <c r="E547" t="s">
        <v>105</v>
      </c>
      <c r="F547">
        <v>4</v>
      </c>
      <c r="G547" t="s">
        <v>33</v>
      </c>
      <c r="H547" s="14">
        <v>0.08</v>
      </c>
      <c r="I547" s="23">
        <v>90.32</v>
      </c>
      <c r="J547" s="4">
        <v>360.96</v>
      </c>
    </row>
    <row r="548" spans="1:10">
      <c r="A548" t="s">
        <v>1197</v>
      </c>
      <c r="B548" s="3">
        <v>45695</v>
      </c>
      <c r="C548" t="s">
        <v>371</v>
      </c>
      <c r="D548" t="s">
        <v>234</v>
      </c>
      <c r="E548" t="s">
        <v>179</v>
      </c>
      <c r="F548">
        <v>3</v>
      </c>
      <c r="G548" t="s">
        <v>23</v>
      </c>
      <c r="H548" s="14">
        <v>0</v>
      </c>
      <c r="I548" s="23">
        <v>370.93</v>
      </c>
      <c r="J548" s="4">
        <v>1112.79</v>
      </c>
    </row>
    <row r="549" spans="1:10">
      <c r="A549" t="s">
        <v>1198</v>
      </c>
      <c r="B549" s="3">
        <v>45281</v>
      </c>
      <c r="C549" t="s">
        <v>1199</v>
      </c>
      <c r="D549" t="s">
        <v>250</v>
      </c>
      <c r="E549" t="s">
        <v>122</v>
      </c>
      <c r="F549">
        <v>1</v>
      </c>
      <c r="G549" t="s">
        <v>33</v>
      </c>
      <c r="H549" s="14">
        <v>0.14000000000000001</v>
      </c>
      <c r="I549" s="23">
        <v>352.43</v>
      </c>
      <c r="J549" s="4">
        <v>352.29</v>
      </c>
    </row>
    <row r="550" spans="1:10">
      <c r="A550" t="s">
        <v>1200</v>
      </c>
      <c r="B550" s="3">
        <v>45295</v>
      </c>
      <c r="C550" t="s">
        <v>1201</v>
      </c>
      <c r="D550" t="s">
        <v>173</v>
      </c>
      <c r="E550" t="s">
        <v>122</v>
      </c>
      <c r="F550">
        <v>2</v>
      </c>
      <c r="G550" t="s">
        <v>23</v>
      </c>
      <c r="H550" s="14">
        <v>0.2</v>
      </c>
      <c r="I550" s="23">
        <v>562.97</v>
      </c>
      <c r="J550" s="4">
        <v>1125.54</v>
      </c>
    </row>
    <row r="551" spans="1:10">
      <c r="A551" t="s">
        <v>1202</v>
      </c>
      <c r="B551" s="3">
        <v>45260</v>
      </c>
      <c r="C551" t="s">
        <v>1203</v>
      </c>
      <c r="D551" t="s">
        <v>564</v>
      </c>
      <c r="E551" t="s">
        <v>66</v>
      </c>
      <c r="F551">
        <v>1</v>
      </c>
      <c r="G551" t="s">
        <v>33</v>
      </c>
      <c r="H551" s="14">
        <v>0.12</v>
      </c>
      <c r="I551" s="23">
        <v>522.85</v>
      </c>
      <c r="J551" s="4">
        <v>522.73</v>
      </c>
    </row>
    <row r="552" spans="1:10">
      <c r="A552" t="s">
        <v>1204</v>
      </c>
      <c r="B552" s="3">
        <v>45851</v>
      </c>
      <c r="C552" t="s">
        <v>519</v>
      </c>
      <c r="D552" t="s">
        <v>279</v>
      </c>
      <c r="E552" t="s">
        <v>117</v>
      </c>
      <c r="F552">
        <v>4</v>
      </c>
      <c r="G552" t="s">
        <v>23</v>
      </c>
      <c r="H552" s="14">
        <v>0.15</v>
      </c>
      <c r="I552" s="23">
        <v>714.89</v>
      </c>
      <c r="J552" s="4">
        <v>2858.96</v>
      </c>
    </row>
    <row r="553" spans="1:10">
      <c r="A553" t="s">
        <v>1205</v>
      </c>
      <c r="B553" s="3">
        <v>45222</v>
      </c>
      <c r="C553" t="s">
        <v>84</v>
      </c>
      <c r="D553" t="s">
        <v>159</v>
      </c>
      <c r="E553" t="s">
        <v>198</v>
      </c>
      <c r="F553">
        <v>3</v>
      </c>
      <c r="G553" t="s">
        <v>33</v>
      </c>
      <c r="H553" s="14">
        <v>0.26</v>
      </c>
      <c r="I553" s="23">
        <v>137.77000000000001</v>
      </c>
      <c r="J553" s="4">
        <v>412.53</v>
      </c>
    </row>
    <row r="554" spans="1:10">
      <c r="A554" t="s">
        <v>1206</v>
      </c>
      <c r="B554" s="3">
        <v>45940</v>
      </c>
      <c r="C554" t="s">
        <v>910</v>
      </c>
      <c r="D554" t="s">
        <v>603</v>
      </c>
      <c r="E554" t="s">
        <v>272</v>
      </c>
      <c r="F554">
        <v>3</v>
      </c>
      <c r="G554" t="s">
        <v>33</v>
      </c>
      <c r="H554" s="14">
        <v>0.22</v>
      </c>
      <c r="I554" s="23">
        <v>862.18</v>
      </c>
      <c r="J554" s="4">
        <v>2585.88</v>
      </c>
    </row>
    <row r="555" spans="1:10">
      <c r="A555" t="s">
        <v>1207</v>
      </c>
      <c r="B555" s="3">
        <v>45822</v>
      </c>
      <c r="C555" t="s">
        <v>1208</v>
      </c>
      <c r="D555" t="s">
        <v>340</v>
      </c>
      <c r="E555" t="s">
        <v>98</v>
      </c>
      <c r="F555">
        <v>2</v>
      </c>
      <c r="G555" t="s">
        <v>33</v>
      </c>
      <c r="H555" s="14">
        <v>0.24</v>
      </c>
      <c r="I555" s="23">
        <v>833.64</v>
      </c>
      <c r="J555" s="4">
        <v>1666.8</v>
      </c>
    </row>
    <row r="556" spans="1:10">
      <c r="A556" t="s">
        <v>1209</v>
      </c>
      <c r="B556" s="3">
        <v>45752</v>
      </c>
      <c r="C556" t="s">
        <v>1210</v>
      </c>
      <c r="D556" t="s">
        <v>314</v>
      </c>
      <c r="E556" t="s">
        <v>122</v>
      </c>
      <c r="F556">
        <v>3</v>
      </c>
      <c r="G556" t="s">
        <v>50</v>
      </c>
      <c r="H556" s="14">
        <v>0.05</v>
      </c>
      <c r="I556" s="23">
        <v>543.22</v>
      </c>
      <c r="J556" s="4">
        <v>1629.51</v>
      </c>
    </row>
    <row r="557" spans="1:10">
      <c r="A557" t="s">
        <v>1211</v>
      </c>
      <c r="B557" s="3">
        <v>45677</v>
      </c>
      <c r="C557" t="s">
        <v>1212</v>
      </c>
      <c r="D557" t="s">
        <v>110</v>
      </c>
      <c r="E557" t="s">
        <v>198</v>
      </c>
      <c r="F557">
        <v>3</v>
      </c>
      <c r="G557" t="s">
        <v>50</v>
      </c>
      <c r="H557" s="14">
        <v>0.12</v>
      </c>
      <c r="I557" s="23">
        <v>691.02</v>
      </c>
      <c r="J557" s="4">
        <v>2072.6999999999998</v>
      </c>
    </row>
    <row r="558" spans="1:10">
      <c r="A558" t="s">
        <v>1213</v>
      </c>
      <c r="B558" s="3">
        <v>45253</v>
      </c>
      <c r="C558" t="s">
        <v>456</v>
      </c>
      <c r="D558" t="s">
        <v>400</v>
      </c>
      <c r="E558" t="s">
        <v>32</v>
      </c>
      <c r="F558">
        <v>4</v>
      </c>
      <c r="G558" t="s">
        <v>23</v>
      </c>
      <c r="H558" s="14">
        <v>0.18</v>
      </c>
      <c r="I558" s="23">
        <v>338.73</v>
      </c>
      <c r="J558" s="4">
        <v>1354.2</v>
      </c>
    </row>
    <row r="559" spans="1:10">
      <c r="A559" t="s">
        <v>1214</v>
      </c>
      <c r="B559" s="3">
        <v>45389</v>
      </c>
      <c r="C559" t="s">
        <v>1215</v>
      </c>
      <c r="D559" t="s">
        <v>814</v>
      </c>
      <c r="E559" t="s">
        <v>117</v>
      </c>
      <c r="F559">
        <v>3</v>
      </c>
      <c r="G559" t="s">
        <v>23</v>
      </c>
      <c r="H559" s="14">
        <v>0.05</v>
      </c>
      <c r="I559" s="23">
        <v>366.08</v>
      </c>
      <c r="J559" s="4">
        <v>1098.0899999999999</v>
      </c>
    </row>
    <row r="560" spans="1:10">
      <c r="A560" t="s">
        <v>1216</v>
      </c>
      <c r="B560" s="3">
        <v>45840</v>
      </c>
      <c r="C560" t="s">
        <v>470</v>
      </c>
      <c r="D560" t="s">
        <v>197</v>
      </c>
      <c r="E560" t="s">
        <v>149</v>
      </c>
      <c r="F560">
        <v>4</v>
      </c>
      <c r="G560" t="s">
        <v>50</v>
      </c>
      <c r="H560" s="14">
        <v>0.28000000000000003</v>
      </c>
      <c r="I560" s="23">
        <v>539.48</v>
      </c>
      <c r="J560" s="4">
        <v>2156.8000000000002</v>
      </c>
    </row>
    <row r="561" spans="1:10">
      <c r="A561" t="s">
        <v>1217</v>
      </c>
      <c r="B561" s="3">
        <v>45256</v>
      </c>
      <c r="C561" t="s">
        <v>1218</v>
      </c>
      <c r="D561" t="s">
        <v>372</v>
      </c>
      <c r="E561" t="s">
        <v>117</v>
      </c>
      <c r="F561">
        <v>1</v>
      </c>
      <c r="G561" t="s">
        <v>50</v>
      </c>
      <c r="H561" s="14">
        <v>0.03</v>
      </c>
      <c r="I561" s="23">
        <v>499.59</v>
      </c>
      <c r="J561" s="4">
        <v>499.56</v>
      </c>
    </row>
    <row r="562" spans="1:10">
      <c r="A562" t="s">
        <v>1219</v>
      </c>
      <c r="B562" s="3">
        <v>45326</v>
      </c>
      <c r="C562" t="s">
        <v>1220</v>
      </c>
      <c r="D562" t="s">
        <v>271</v>
      </c>
      <c r="E562" t="s">
        <v>43</v>
      </c>
      <c r="F562">
        <v>3</v>
      </c>
      <c r="G562" t="s">
        <v>23</v>
      </c>
      <c r="H562" s="14">
        <v>0.2</v>
      </c>
      <c r="I562" s="23">
        <v>330.04</v>
      </c>
      <c r="J562" s="4">
        <v>989.52</v>
      </c>
    </row>
    <row r="563" spans="1:10">
      <c r="A563" t="s">
        <v>1221</v>
      </c>
      <c r="B563" s="3">
        <v>45459</v>
      </c>
      <c r="C563" t="s">
        <v>432</v>
      </c>
      <c r="D563" t="s">
        <v>555</v>
      </c>
      <c r="E563" t="s">
        <v>32</v>
      </c>
      <c r="F563">
        <v>2</v>
      </c>
      <c r="G563" t="s">
        <v>33</v>
      </c>
      <c r="H563" s="14">
        <v>0.06</v>
      </c>
      <c r="I563" s="23">
        <v>813.01</v>
      </c>
      <c r="J563" s="4">
        <v>1625.9</v>
      </c>
    </row>
    <row r="564" spans="1:10">
      <c r="A564" t="s">
        <v>1222</v>
      </c>
      <c r="B564" s="3">
        <v>45715</v>
      </c>
      <c r="C564" t="s">
        <v>1223</v>
      </c>
      <c r="D564" t="s">
        <v>389</v>
      </c>
      <c r="E564" t="s">
        <v>198</v>
      </c>
      <c r="F564">
        <v>4</v>
      </c>
      <c r="G564" t="s">
        <v>33</v>
      </c>
      <c r="H564" s="14">
        <v>0.03</v>
      </c>
      <c r="I564" s="23">
        <v>204.8</v>
      </c>
      <c r="J564" s="4">
        <v>819.08</v>
      </c>
    </row>
    <row r="565" spans="1:10">
      <c r="A565" t="s">
        <v>1224</v>
      </c>
      <c r="B565" s="3">
        <v>45223</v>
      </c>
      <c r="C565" t="s">
        <v>1132</v>
      </c>
      <c r="D565" t="s">
        <v>414</v>
      </c>
      <c r="E565" t="s">
        <v>22</v>
      </c>
      <c r="F565">
        <v>3</v>
      </c>
      <c r="G565" t="s">
        <v>23</v>
      </c>
      <c r="H565" s="14">
        <v>0.01</v>
      </c>
      <c r="I565" s="23">
        <v>728.32</v>
      </c>
      <c r="J565" s="4">
        <v>2184.9299999999998</v>
      </c>
    </row>
    <row r="566" spans="1:10">
      <c r="A566" t="s">
        <v>1225</v>
      </c>
      <c r="B566" s="3">
        <v>45507</v>
      </c>
      <c r="C566" t="s">
        <v>1226</v>
      </c>
      <c r="D566" t="s">
        <v>57</v>
      </c>
      <c r="E566" t="s">
        <v>66</v>
      </c>
      <c r="F566">
        <v>3</v>
      </c>
      <c r="G566" t="s">
        <v>23</v>
      </c>
      <c r="H566" s="14">
        <v>0</v>
      </c>
      <c r="I566" s="23">
        <v>836.4</v>
      </c>
      <c r="J566" s="4">
        <v>2509.1999999999998</v>
      </c>
    </row>
    <row r="567" spans="1:10">
      <c r="A567" t="s">
        <v>1227</v>
      </c>
      <c r="B567" s="3">
        <v>45843</v>
      </c>
      <c r="C567" t="s">
        <v>1228</v>
      </c>
      <c r="D567" t="s">
        <v>453</v>
      </c>
      <c r="E567" t="s">
        <v>208</v>
      </c>
      <c r="F567">
        <v>1</v>
      </c>
      <c r="G567" t="s">
        <v>50</v>
      </c>
      <c r="H567" s="14">
        <v>0.02</v>
      </c>
      <c r="I567" s="23">
        <v>780.16</v>
      </c>
      <c r="J567" s="4">
        <v>780.14</v>
      </c>
    </row>
    <row r="568" spans="1:10">
      <c r="A568" t="s">
        <v>1229</v>
      </c>
      <c r="B568" s="3">
        <v>45804</v>
      </c>
      <c r="C568" t="s">
        <v>264</v>
      </c>
      <c r="D568" t="s">
        <v>381</v>
      </c>
      <c r="E568" t="s">
        <v>149</v>
      </c>
      <c r="F568">
        <v>4</v>
      </c>
      <c r="G568" t="s">
        <v>33</v>
      </c>
      <c r="H568" s="14">
        <v>0.06</v>
      </c>
      <c r="I568" s="23">
        <v>354.12</v>
      </c>
      <c r="J568" s="4">
        <v>1416.24</v>
      </c>
    </row>
    <row r="569" spans="1:10">
      <c r="A569" t="s">
        <v>1230</v>
      </c>
      <c r="B569" s="3">
        <v>45602</v>
      </c>
      <c r="C569" t="s">
        <v>1226</v>
      </c>
      <c r="D569" t="s">
        <v>625</v>
      </c>
      <c r="E569" t="s">
        <v>198</v>
      </c>
      <c r="F569">
        <v>4</v>
      </c>
      <c r="G569" t="s">
        <v>33</v>
      </c>
      <c r="H569" s="14">
        <v>0.11</v>
      </c>
      <c r="I569" s="23">
        <v>282.48</v>
      </c>
      <c r="J569" s="4">
        <v>1129.48</v>
      </c>
    </row>
    <row r="570" spans="1:10">
      <c r="A570" t="s">
        <v>1231</v>
      </c>
      <c r="B570" s="3">
        <v>45446</v>
      </c>
      <c r="C570" t="s">
        <v>1232</v>
      </c>
      <c r="D570" t="s">
        <v>291</v>
      </c>
      <c r="E570" t="s">
        <v>179</v>
      </c>
      <c r="F570">
        <v>2</v>
      </c>
      <c r="G570" t="s">
        <v>33</v>
      </c>
      <c r="H570" s="14">
        <v>0.02</v>
      </c>
      <c r="I570" s="23">
        <v>740.68</v>
      </c>
      <c r="J570" s="4">
        <v>1481.32</v>
      </c>
    </row>
    <row r="571" spans="1:10">
      <c r="A571" t="s">
        <v>1233</v>
      </c>
      <c r="B571" s="3">
        <v>45384</v>
      </c>
      <c r="C571" t="s">
        <v>470</v>
      </c>
      <c r="D571" t="s">
        <v>71</v>
      </c>
      <c r="E571" t="s">
        <v>127</v>
      </c>
      <c r="F571">
        <v>3</v>
      </c>
      <c r="G571" t="s">
        <v>50</v>
      </c>
      <c r="H571" s="14">
        <v>0.28999999999999998</v>
      </c>
      <c r="I571" s="23">
        <v>600.58000000000004</v>
      </c>
      <c r="J571" s="4">
        <v>1800.87</v>
      </c>
    </row>
    <row r="572" spans="1:10">
      <c r="A572" t="s">
        <v>1234</v>
      </c>
      <c r="B572" s="3">
        <v>45348</v>
      </c>
      <c r="C572" t="s">
        <v>1235</v>
      </c>
      <c r="D572" t="s">
        <v>134</v>
      </c>
      <c r="E572" t="s">
        <v>22</v>
      </c>
      <c r="F572">
        <v>3</v>
      </c>
      <c r="G572" t="s">
        <v>23</v>
      </c>
      <c r="H572" s="14">
        <v>0.22</v>
      </c>
      <c r="I572" s="23">
        <v>345.58</v>
      </c>
      <c r="J572" s="4">
        <v>1036.08</v>
      </c>
    </row>
    <row r="573" spans="1:10">
      <c r="A573" t="s">
        <v>1236</v>
      </c>
      <c r="B573" s="3">
        <v>45688</v>
      </c>
      <c r="C573" t="s">
        <v>1237</v>
      </c>
      <c r="D573" t="s">
        <v>928</v>
      </c>
      <c r="E573" t="s">
        <v>272</v>
      </c>
      <c r="F573">
        <v>1</v>
      </c>
      <c r="G573" t="s">
        <v>33</v>
      </c>
      <c r="H573" s="14">
        <v>0.01</v>
      </c>
      <c r="I573" s="23">
        <v>974.52</v>
      </c>
      <c r="J573" s="4">
        <v>974.51</v>
      </c>
    </row>
    <row r="574" spans="1:10">
      <c r="A574" t="s">
        <v>1238</v>
      </c>
      <c r="B574" s="3">
        <v>45249</v>
      </c>
      <c r="C574" t="s">
        <v>1239</v>
      </c>
      <c r="D574" t="s">
        <v>377</v>
      </c>
      <c r="E574" t="s">
        <v>105</v>
      </c>
      <c r="F574">
        <v>3</v>
      </c>
      <c r="G574" t="s">
        <v>23</v>
      </c>
      <c r="H574" s="14">
        <v>7.0000000000000007E-2</v>
      </c>
      <c r="I574" s="23">
        <v>282.33</v>
      </c>
      <c r="J574" s="4">
        <v>846.78</v>
      </c>
    </row>
    <row r="575" spans="1:10">
      <c r="A575" t="s">
        <v>1240</v>
      </c>
      <c r="B575" s="3">
        <v>45726</v>
      </c>
      <c r="C575" t="s">
        <v>633</v>
      </c>
      <c r="D575" t="s">
        <v>49</v>
      </c>
      <c r="E575" t="s">
        <v>135</v>
      </c>
      <c r="F575">
        <v>4</v>
      </c>
      <c r="G575" t="s">
        <v>33</v>
      </c>
      <c r="H575" s="14">
        <v>0.09</v>
      </c>
      <c r="I575" s="23">
        <v>158.46</v>
      </c>
      <c r="J575" s="4">
        <v>633.48</v>
      </c>
    </row>
    <row r="576" spans="1:10">
      <c r="A576" t="s">
        <v>1241</v>
      </c>
      <c r="B576" s="3">
        <v>45283</v>
      </c>
      <c r="C576" t="s">
        <v>497</v>
      </c>
      <c r="D576" t="s">
        <v>564</v>
      </c>
      <c r="E576" t="s">
        <v>66</v>
      </c>
      <c r="F576">
        <v>2</v>
      </c>
      <c r="G576" t="s">
        <v>50</v>
      </c>
      <c r="H576" s="14">
        <v>0.11</v>
      </c>
      <c r="I576" s="23">
        <v>778.56</v>
      </c>
      <c r="J576" s="4">
        <v>1556.9</v>
      </c>
    </row>
    <row r="577" spans="1:10">
      <c r="A577" t="s">
        <v>1242</v>
      </c>
      <c r="B577" s="3">
        <v>45353</v>
      </c>
      <c r="C577" t="s">
        <v>109</v>
      </c>
      <c r="D577" t="s">
        <v>409</v>
      </c>
      <c r="E577" t="s">
        <v>135</v>
      </c>
      <c r="F577">
        <v>4</v>
      </c>
      <c r="G577" t="s">
        <v>50</v>
      </c>
      <c r="H577" s="14">
        <v>0.18</v>
      </c>
      <c r="I577" s="23">
        <v>280.16000000000003</v>
      </c>
      <c r="J577" s="4">
        <v>1119.92</v>
      </c>
    </row>
    <row r="578" spans="1:10">
      <c r="A578" t="s">
        <v>1243</v>
      </c>
      <c r="B578" s="3">
        <v>45592</v>
      </c>
      <c r="C578" t="s">
        <v>413</v>
      </c>
      <c r="D578" t="s">
        <v>368</v>
      </c>
      <c r="E578" t="s">
        <v>149</v>
      </c>
      <c r="F578">
        <v>2</v>
      </c>
      <c r="G578" t="s">
        <v>33</v>
      </c>
      <c r="H578" s="14">
        <v>0.28999999999999998</v>
      </c>
      <c r="I578" s="23">
        <v>649.54999999999995</v>
      </c>
      <c r="J578" s="4">
        <v>1298.52</v>
      </c>
    </row>
    <row r="579" spans="1:10">
      <c r="A579" t="s">
        <v>1244</v>
      </c>
      <c r="B579" s="3">
        <v>45360</v>
      </c>
      <c r="C579" t="s">
        <v>355</v>
      </c>
      <c r="D579" t="s">
        <v>110</v>
      </c>
      <c r="E579" t="s">
        <v>198</v>
      </c>
      <c r="F579">
        <v>2</v>
      </c>
      <c r="G579" t="s">
        <v>33</v>
      </c>
      <c r="H579" s="14">
        <v>0.27</v>
      </c>
      <c r="I579" s="23">
        <v>994.32</v>
      </c>
      <c r="J579" s="4">
        <v>1988.1</v>
      </c>
    </row>
    <row r="580" spans="1:10">
      <c r="A580" t="s">
        <v>1245</v>
      </c>
      <c r="B580" s="3">
        <v>45649</v>
      </c>
      <c r="C580" t="s">
        <v>1118</v>
      </c>
      <c r="D580" t="s">
        <v>630</v>
      </c>
      <c r="E580" t="s">
        <v>208</v>
      </c>
      <c r="F580">
        <v>1</v>
      </c>
      <c r="G580" t="s">
        <v>33</v>
      </c>
      <c r="H580" s="14">
        <v>0.21</v>
      </c>
      <c r="I580" s="23">
        <v>64.94</v>
      </c>
      <c r="J580" s="4">
        <v>64.73</v>
      </c>
    </row>
    <row r="581" spans="1:10">
      <c r="A581" t="s">
        <v>1246</v>
      </c>
      <c r="B581" s="3">
        <v>45709</v>
      </c>
      <c r="C581" t="s">
        <v>760</v>
      </c>
      <c r="D581" t="s">
        <v>104</v>
      </c>
      <c r="E581" t="s">
        <v>66</v>
      </c>
      <c r="F581">
        <v>2</v>
      </c>
      <c r="G581" t="s">
        <v>50</v>
      </c>
      <c r="H581" s="14">
        <v>0</v>
      </c>
      <c r="I581" s="23">
        <v>507.66</v>
      </c>
      <c r="J581" s="4">
        <v>1015.32</v>
      </c>
    </row>
    <row r="582" spans="1:10">
      <c r="A582" t="s">
        <v>1247</v>
      </c>
      <c r="B582" s="3">
        <v>45273</v>
      </c>
      <c r="C582" t="s">
        <v>1248</v>
      </c>
      <c r="D582" t="s">
        <v>630</v>
      </c>
      <c r="E582" t="s">
        <v>72</v>
      </c>
      <c r="F582">
        <v>4</v>
      </c>
      <c r="G582" t="s">
        <v>33</v>
      </c>
      <c r="H582" s="14">
        <v>0.03</v>
      </c>
      <c r="I582" s="23">
        <v>968.27</v>
      </c>
      <c r="J582" s="4">
        <v>3872.96</v>
      </c>
    </row>
    <row r="583" spans="1:10">
      <c r="A583" t="s">
        <v>1249</v>
      </c>
      <c r="B583" s="3">
        <v>45250</v>
      </c>
      <c r="C583" t="s">
        <v>827</v>
      </c>
      <c r="D583" t="s">
        <v>110</v>
      </c>
      <c r="E583" t="s">
        <v>58</v>
      </c>
      <c r="F583">
        <v>4</v>
      </c>
      <c r="G583" t="s">
        <v>33</v>
      </c>
      <c r="H583" s="14">
        <v>0.2</v>
      </c>
      <c r="I583" s="23">
        <v>510.33</v>
      </c>
      <c r="J583" s="4">
        <v>2040.52</v>
      </c>
    </row>
    <row r="584" spans="1:10">
      <c r="A584" t="s">
        <v>1250</v>
      </c>
      <c r="B584" s="3">
        <v>45539</v>
      </c>
      <c r="C584" t="s">
        <v>1132</v>
      </c>
      <c r="D584" t="s">
        <v>275</v>
      </c>
      <c r="E584" t="s">
        <v>135</v>
      </c>
      <c r="F584">
        <v>2</v>
      </c>
      <c r="G584" t="s">
        <v>50</v>
      </c>
      <c r="H584" s="14">
        <v>0.18</v>
      </c>
      <c r="I584" s="23">
        <v>156.72999999999999</v>
      </c>
      <c r="J584" s="4">
        <v>313.10000000000002</v>
      </c>
    </row>
    <row r="585" spans="1:10">
      <c r="A585" t="s">
        <v>1251</v>
      </c>
      <c r="B585" s="3">
        <v>45810</v>
      </c>
      <c r="C585" t="s">
        <v>285</v>
      </c>
      <c r="D585" t="s">
        <v>85</v>
      </c>
      <c r="E585" t="s">
        <v>168</v>
      </c>
      <c r="F585">
        <v>3</v>
      </c>
      <c r="G585" t="s">
        <v>23</v>
      </c>
      <c r="H585" s="14">
        <v>0.24</v>
      </c>
      <c r="I585" s="23">
        <v>53.83</v>
      </c>
      <c r="J585" s="4">
        <v>160.77000000000001</v>
      </c>
    </row>
    <row r="586" spans="1:10">
      <c r="A586" t="s">
        <v>1252</v>
      </c>
      <c r="B586" s="3">
        <v>45350</v>
      </c>
      <c r="C586" t="s">
        <v>602</v>
      </c>
      <c r="D586" t="s">
        <v>267</v>
      </c>
      <c r="E586" t="s">
        <v>72</v>
      </c>
      <c r="F586">
        <v>1</v>
      </c>
      <c r="G586" t="s">
        <v>50</v>
      </c>
      <c r="H586" s="14">
        <v>0.1</v>
      </c>
      <c r="I586" s="23">
        <v>34.71</v>
      </c>
      <c r="J586" s="4">
        <v>34.61</v>
      </c>
    </row>
    <row r="587" spans="1:10">
      <c r="A587" t="s">
        <v>1253</v>
      </c>
      <c r="B587" s="3">
        <v>45633</v>
      </c>
      <c r="C587" t="s">
        <v>1073</v>
      </c>
      <c r="D587" t="s">
        <v>192</v>
      </c>
      <c r="E587" t="s">
        <v>105</v>
      </c>
      <c r="F587">
        <v>2</v>
      </c>
      <c r="G587" t="s">
        <v>33</v>
      </c>
      <c r="H587" s="14">
        <v>0.11</v>
      </c>
      <c r="I587" s="23">
        <v>829.15</v>
      </c>
      <c r="J587" s="4">
        <v>1658.08</v>
      </c>
    </row>
    <row r="588" spans="1:10">
      <c r="A588" t="s">
        <v>1254</v>
      </c>
      <c r="B588" s="3">
        <v>45798</v>
      </c>
      <c r="C588" t="s">
        <v>476</v>
      </c>
      <c r="D588" t="s">
        <v>187</v>
      </c>
      <c r="E588" t="s">
        <v>22</v>
      </c>
      <c r="F588">
        <v>2</v>
      </c>
      <c r="G588" t="s">
        <v>50</v>
      </c>
      <c r="H588" s="14">
        <v>0.1</v>
      </c>
      <c r="I588" s="23">
        <v>481.86</v>
      </c>
      <c r="J588" s="4">
        <v>963.52</v>
      </c>
    </row>
    <row r="589" spans="1:10">
      <c r="A589" t="s">
        <v>1255</v>
      </c>
      <c r="B589" s="3">
        <v>45354</v>
      </c>
      <c r="C589" t="s">
        <v>1256</v>
      </c>
      <c r="D589" t="s">
        <v>282</v>
      </c>
      <c r="E589" t="s">
        <v>66</v>
      </c>
      <c r="F589">
        <v>4</v>
      </c>
      <c r="G589" t="s">
        <v>50</v>
      </c>
      <c r="H589" s="14">
        <v>0.19</v>
      </c>
      <c r="I589" s="23">
        <v>915.17</v>
      </c>
      <c r="J589" s="4">
        <v>3659.92</v>
      </c>
    </row>
    <row r="590" spans="1:10">
      <c r="A590" t="s">
        <v>1257</v>
      </c>
      <c r="B590" s="3">
        <v>45357</v>
      </c>
      <c r="C590" t="s">
        <v>447</v>
      </c>
      <c r="D590" t="s">
        <v>368</v>
      </c>
      <c r="E590" t="s">
        <v>160</v>
      </c>
      <c r="F590">
        <v>1</v>
      </c>
      <c r="G590" t="s">
        <v>33</v>
      </c>
      <c r="H590" s="14">
        <v>0.03</v>
      </c>
      <c r="I590" s="23">
        <v>250.95</v>
      </c>
      <c r="J590" s="4">
        <v>250.92</v>
      </c>
    </row>
    <row r="591" spans="1:10">
      <c r="A591" t="s">
        <v>1258</v>
      </c>
      <c r="B591" s="3">
        <v>45257</v>
      </c>
      <c r="C591" t="s">
        <v>419</v>
      </c>
      <c r="D591" t="s">
        <v>1259</v>
      </c>
      <c r="E591" t="s">
        <v>58</v>
      </c>
      <c r="F591">
        <v>3</v>
      </c>
      <c r="G591" t="s">
        <v>23</v>
      </c>
      <c r="H591" s="14">
        <v>0.1</v>
      </c>
      <c r="I591" s="23">
        <v>882.84</v>
      </c>
      <c r="J591" s="4">
        <v>2648.22</v>
      </c>
    </row>
    <row r="592" spans="1:10">
      <c r="A592" t="s">
        <v>1261</v>
      </c>
      <c r="B592" s="3">
        <v>45702</v>
      </c>
      <c r="C592" t="s">
        <v>641</v>
      </c>
      <c r="D592" t="s">
        <v>314</v>
      </c>
      <c r="E592" t="s">
        <v>160</v>
      </c>
      <c r="F592">
        <v>4</v>
      </c>
      <c r="G592" t="s">
        <v>50</v>
      </c>
      <c r="H592" s="14">
        <v>0.04</v>
      </c>
      <c r="I592" s="23">
        <v>573.37</v>
      </c>
      <c r="J592" s="4">
        <v>2293.3200000000002</v>
      </c>
    </row>
    <row r="593" spans="1:10">
      <c r="A593" t="s">
        <v>1262</v>
      </c>
      <c r="B593" s="3">
        <v>45318</v>
      </c>
      <c r="C593" t="s">
        <v>335</v>
      </c>
      <c r="D593" t="s">
        <v>579</v>
      </c>
      <c r="E593" t="s">
        <v>208</v>
      </c>
      <c r="F593">
        <v>3</v>
      </c>
      <c r="G593" t="s">
        <v>23</v>
      </c>
      <c r="H593" s="14">
        <v>0.04</v>
      </c>
      <c r="I593" s="23">
        <v>622.72</v>
      </c>
      <c r="J593" s="4">
        <v>1868.04</v>
      </c>
    </row>
    <row r="594" spans="1:10">
      <c r="A594" t="s">
        <v>1263</v>
      </c>
      <c r="B594" s="3">
        <v>45943</v>
      </c>
      <c r="C594" t="s">
        <v>1187</v>
      </c>
      <c r="D594" t="s">
        <v>603</v>
      </c>
      <c r="E594" t="s">
        <v>32</v>
      </c>
      <c r="F594">
        <v>3</v>
      </c>
      <c r="G594" t="s">
        <v>23</v>
      </c>
      <c r="H594" s="14">
        <v>0.24</v>
      </c>
      <c r="I594" s="23">
        <v>259.74</v>
      </c>
      <c r="J594" s="4">
        <v>778.5</v>
      </c>
    </row>
    <row r="595" spans="1:10">
      <c r="A595" t="s">
        <v>1264</v>
      </c>
      <c r="B595" s="3">
        <v>45769</v>
      </c>
      <c r="C595" t="s">
        <v>384</v>
      </c>
      <c r="D595" t="s">
        <v>567</v>
      </c>
      <c r="E595" t="s">
        <v>149</v>
      </c>
      <c r="F595">
        <v>4</v>
      </c>
      <c r="G595" t="s">
        <v>50</v>
      </c>
      <c r="H595" s="14">
        <v>0.14000000000000001</v>
      </c>
      <c r="I595" s="23">
        <v>951.09</v>
      </c>
      <c r="J595" s="4">
        <v>3803.8</v>
      </c>
    </row>
    <row r="596" spans="1:10">
      <c r="A596" t="s">
        <v>1265</v>
      </c>
      <c r="B596" s="3">
        <v>45765</v>
      </c>
      <c r="C596" t="s">
        <v>682</v>
      </c>
      <c r="D596" t="s">
        <v>85</v>
      </c>
      <c r="E596" t="s">
        <v>198</v>
      </c>
      <c r="F596">
        <v>1</v>
      </c>
      <c r="G596" t="s">
        <v>50</v>
      </c>
      <c r="H596" s="14">
        <v>0.23</v>
      </c>
      <c r="I596" s="23">
        <v>71.709999999999994</v>
      </c>
      <c r="J596" s="4">
        <v>71.48</v>
      </c>
    </row>
    <row r="597" spans="1:10">
      <c r="A597" t="s">
        <v>1266</v>
      </c>
      <c r="B597" s="3">
        <v>45891</v>
      </c>
      <c r="C597" t="s">
        <v>1267</v>
      </c>
      <c r="D597" t="s">
        <v>291</v>
      </c>
      <c r="E597" t="s">
        <v>66</v>
      </c>
      <c r="F597">
        <v>4</v>
      </c>
      <c r="G597" t="s">
        <v>50</v>
      </c>
      <c r="H597" s="14">
        <v>0.05</v>
      </c>
      <c r="I597" s="23">
        <v>894.93</v>
      </c>
      <c r="J597" s="4">
        <v>3579.52</v>
      </c>
    </row>
    <row r="598" spans="1:10">
      <c r="A598" t="s">
        <v>1268</v>
      </c>
      <c r="B598" s="3">
        <v>45842</v>
      </c>
      <c r="C598" t="s">
        <v>1269</v>
      </c>
      <c r="D598" t="s">
        <v>267</v>
      </c>
      <c r="E598" t="s">
        <v>43</v>
      </c>
      <c r="F598">
        <v>4</v>
      </c>
      <c r="G598" t="s">
        <v>50</v>
      </c>
      <c r="H598" s="14">
        <v>0.13</v>
      </c>
      <c r="I598" s="23">
        <v>870.18</v>
      </c>
      <c r="J598" s="4">
        <v>3480.2</v>
      </c>
    </row>
    <row r="599" spans="1:10">
      <c r="A599" t="s">
        <v>1270</v>
      </c>
      <c r="B599" s="3">
        <v>45382</v>
      </c>
      <c r="C599" t="s">
        <v>1212</v>
      </c>
      <c r="D599" t="s">
        <v>779</v>
      </c>
      <c r="E599" t="s">
        <v>198</v>
      </c>
      <c r="F599">
        <v>2</v>
      </c>
      <c r="G599" t="s">
        <v>33</v>
      </c>
      <c r="H599" s="14">
        <v>0.06</v>
      </c>
      <c r="I599" s="23">
        <v>552.72</v>
      </c>
      <c r="J599" s="4">
        <v>1105.32</v>
      </c>
    </row>
    <row r="600" spans="1:10">
      <c r="A600" t="s">
        <v>1271</v>
      </c>
      <c r="B600" s="3">
        <v>45236</v>
      </c>
      <c r="C600" t="s">
        <v>689</v>
      </c>
      <c r="D600" t="s">
        <v>104</v>
      </c>
      <c r="E600" t="s">
        <v>43</v>
      </c>
      <c r="F600">
        <v>3</v>
      </c>
      <c r="G600" t="s">
        <v>50</v>
      </c>
      <c r="H600" s="14">
        <v>0.01</v>
      </c>
      <c r="I600" s="23">
        <v>700.43</v>
      </c>
      <c r="J600" s="4">
        <v>2101.2600000000002</v>
      </c>
    </row>
    <row r="601" spans="1:10">
      <c r="A601" t="s">
        <v>1272</v>
      </c>
      <c r="B601" s="3">
        <v>45806</v>
      </c>
      <c r="C601" t="s">
        <v>1273</v>
      </c>
      <c r="D601" t="s">
        <v>810</v>
      </c>
      <c r="E601" t="s">
        <v>198</v>
      </c>
      <c r="F601">
        <v>2</v>
      </c>
      <c r="G601" t="s">
        <v>33</v>
      </c>
      <c r="H601" s="14">
        <v>0.18</v>
      </c>
      <c r="I601" s="23">
        <v>823.03</v>
      </c>
      <c r="J601" s="4">
        <v>1645.7</v>
      </c>
    </row>
    <row r="602" spans="1:10">
      <c r="A602" t="s">
        <v>1274</v>
      </c>
      <c r="B602" s="3">
        <v>45401</v>
      </c>
      <c r="C602" t="s">
        <v>322</v>
      </c>
      <c r="D602" t="s">
        <v>603</v>
      </c>
      <c r="E602" t="s">
        <v>179</v>
      </c>
      <c r="F602">
        <v>1</v>
      </c>
      <c r="G602" t="s">
        <v>23</v>
      </c>
      <c r="H602" s="14">
        <v>0.21</v>
      </c>
      <c r="I602" s="23">
        <v>117.37</v>
      </c>
      <c r="J602" s="4">
        <v>117.16</v>
      </c>
    </row>
    <row r="603" spans="1:10">
      <c r="A603" t="s">
        <v>1275</v>
      </c>
      <c r="B603" s="3">
        <v>45716</v>
      </c>
      <c r="C603" t="s">
        <v>923</v>
      </c>
      <c r="D603" t="s">
        <v>71</v>
      </c>
      <c r="E603" t="s">
        <v>105</v>
      </c>
      <c r="F603">
        <v>4</v>
      </c>
      <c r="G603" t="s">
        <v>23</v>
      </c>
      <c r="H603" s="14">
        <v>0.28999999999999998</v>
      </c>
      <c r="I603" s="23">
        <v>165.37</v>
      </c>
      <c r="J603" s="4">
        <v>660.32</v>
      </c>
    </row>
    <row r="604" spans="1:10">
      <c r="A604" t="s">
        <v>1276</v>
      </c>
      <c r="B604" s="3">
        <v>45718</v>
      </c>
      <c r="C604" t="s">
        <v>371</v>
      </c>
      <c r="D604" t="s">
        <v>887</v>
      </c>
      <c r="E604" t="s">
        <v>168</v>
      </c>
      <c r="F604">
        <v>3</v>
      </c>
      <c r="G604" t="s">
        <v>23</v>
      </c>
      <c r="H604" s="14">
        <v>0.05</v>
      </c>
      <c r="I604" s="23">
        <v>483.06</v>
      </c>
      <c r="J604" s="4">
        <v>1449.03</v>
      </c>
    </row>
    <row r="605" spans="1:10">
      <c r="A605" t="s">
        <v>1277</v>
      </c>
      <c r="B605" s="3">
        <v>45379</v>
      </c>
      <c r="C605" t="s">
        <v>600</v>
      </c>
      <c r="D605" t="s">
        <v>630</v>
      </c>
      <c r="E605" t="s">
        <v>66</v>
      </c>
      <c r="F605">
        <v>4</v>
      </c>
      <c r="G605" t="s">
        <v>33</v>
      </c>
      <c r="H605" s="14">
        <v>0.24</v>
      </c>
      <c r="I605" s="23">
        <v>262.05</v>
      </c>
      <c r="J605" s="4">
        <v>1047.24</v>
      </c>
    </row>
    <row r="606" spans="1:10">
      <c r="A606" t="s">
        <v>1278</v>
      </c>
      <c r="B606" s="3">
        <v>45635</v>
      </c>
      <c r="C606" t="s">
        <v>734</v>
      </c>
      <c r="D606" t="s">
        <v>480</v>
      </c>
      <c r="E606" t="s">
        <v>98</v>
      </c>
      <c r="F606">
        <v>3</v>
      </c>
      <c r="G606" t="s">
        <v>50</v>
      </c>
      <c r="H606" s="14">
        <v>0.11</v>
      </c>
      <c r="I606" s="23">
        <v>970.89</v>
      </c>
      <c r="J606" s="4">
        <v>2912.34</v>
      </c>
    </row>
    <row r="607" spans="1:10">
      <c r="A607" t="s">
        <v>1279</v>
      </c>
      <c r="B607" s="3">
        <v>45222</v>
      </c>
      <c r="C607" t="s">
        <v>725</v>
      </c>
      <c r="D607" t="s">
        <v>155</v>
      </c>
      <c r="E607" t="s">
        <v>90</v>
      </c>
      <c r="F607">
        <v>1</v>
      </c>
      <c r="G607" t="s">
        <v>33</v>
      </c>
      <c r="H607" s="14">
        <v>0.1</v>
      </c>
      <c r="I607" s="23">
        <v>61.11</v>
      </c>
      <c r="J607" s="4">
        <v>61.01</v>
      </c>
    </row>
    <row r="608" spans="1:10">
      <c r="A608" t="s">
        <v>1280</v>
      </c>
      <c r="B608" s="3">
        <v>45555</v>
      </c>
      <c r="C608" t="s">
        <v>434</v>
      </c>
      <c r="D608" t="s">
        <v>139</v>
      </c>
      <c r="E608" t="s">
        <v>43</v>
      </c>
      <c r="F608">
        <v>3</v>
      </c>
      <c r="G608" t="s">
        <v>33</v>
      </c>
      <c r="H608" s="14">
        <v>0.19</v>
      </c>
      <c r="I608" s="23">
        <v>827.88</v>
      </c>
      <c r="J608" s="4">
        <v>2483.0700000000002</v>
      </c>
    </row>
    <row r="609" spans="1:10">
      <c r="A609" t="s">
        <v>1281</v>
      </c>
      <c r="B609" s="3">
        <v>45583</v>
      </c>
      <c r="C609" t="s">
        <v>1282</v>
      </c>
      <c r="D609" t="s">
        <v>514</v>
      </c>
      <c r="E609" t="s">
        <v>149</v>
      </c>
      <c r="F609">
        <v>3</v>
      </c>
      <c r="G609" t="s">
        <v>50</v>
      </c>
      <c r="H609" s="14">
        <v>0.18</v>
      </c>
      <c r="I609" s="23">
        <v>926.85</v>
      </c>
      <c r="J609" s="4">
        <v>2780.01</v>
      </c>
    </row>
    <row r="610" spans="1:10">
      <c r="A610" t="s">
        <v>1283</v>
      </c>
      <c r="B610" s="3">
        <v>45662</v>
      </c>
      <c r="C610" t="s">
        <v>1284</v>
      </c>
      <c r="D610" t="s">
        <v>234</v>
      </c>
      <c r="E610" t="s">
        <v>98</v>
      </c>
      <c r="F610">
        <v>1</v>
      </c>
      <c r="G610" t="s">
        <v>33</v>
      </c>
      <c r="H610" s="14">
        <v>0.28999999999999998</v>
      </c>
      <c r="I610" s="23">
        <v>874.59</v>
      </c>
      <c r="J610" s="4">
        <v>874.3</v>
      </c>
    </row>
    <row r="611" spans="1:10">
      <c r="A611" t="s">
        <v>1285</v>
      </c>
      <c r="B611" s="3">
        <v>45921</v>
      </c>
      <c r="C611" t="s">
        <v>264</v>
      </c>
      <c r="D611" t="s">
        <v>65</v>
      </c>
      <c r="E611" t="s">
        <v>105</v>
      </c>
      <c r="F611">
        <v>4</v>
      </c>
      <c r="G611" t="s">
        <v>33</v>
      </c>
      <c r="H611" s="14">
        <v>0.24</v>
      </c>
      <c r="I611" s="23">
        <v>479.11</v>
      </c>
      <c r="J611" s="4">
        <v>1915.48</v>
      </c>
    </row>
    <row r="612" spans="1:10">
      <c r="A612" t="s">
        <v>1286</v>
      </c>
      <c r="B612" s="3">
        <v>45490</v>
      </c>
      <c r="C612" t="s">
        <v>186</v>
      </c>
      <c r="D612" t="s">
        <v>579</v>
      </c>
      <c r="E612" t="s">
        <v>32</v>
      </c>
      <c r="F612">
        <v>3</v>
      </c>
      <c r="G612" t="s">
        <v>23</v>
      </c>
      <c r="H612" s="14">
        <v>0.28999999999999998</v>
      </c>
      <c r="I612" s="23">
        <v>182.91</v>
      </c>
      <c r="J612" s="4">
        <v>547.86</v>
      </c>
    </row>
    <row r="613" spans="1:10">
      <c r="A613" t="s">
        <v>1287</v>
      </c>
      <c r="B613" s="3">
        <v>45652</v>
      </c>
      <c r="C613" t="s">
        <v>629</v>
      </c>
      <c r="D613" t="s">
        <v>116</v>
      </c>
      <c r="E613" t="s">
        <v>58</v>
      </c>
      <c r="F613">
        <v>4</v>
      </c>
      <c r="G613" t="s">
        <v>23</v>
      </c>
      <c r="H613" s="14">
        <v>0.05</v>
      </c>
      <c r="I613" s="23">
        <v>745.51</v>
      </c>
      <c r="J613" s="4">
        <v>2981.84</v>
      </c>
    </row>
    <row r="614" spans="1:10">
      <c r="A614" t="s">
        <v>1288</v>
      </c>
      <c r="B614" s="3">
        <v>45598</v>
      </c>
      <c r="C614" t="s">
        <v>849</v>
      </c>
      <c r="D614" t="s">
        <v>110</v>
      </c>
      <c r="E614" t="s">
        <v>122</v>
      </c>
      <c r="F614">
        <v>3</v>
      </c>
      <c r="G614" t="s">
        <v>23</v>
      </c>
      <c r="H614" s="14">
        <v>0.04</v>
      </c>
      <c r="I614" s="23">
        <v>920.61</v>
      </c>
      <c r="J614" s="4">
        <v>2761.71</v>
      </c>
    </row>
    <row r="615" spans="1:10">
      <c r="A615" t="s">
        <v>1289</v>
      </c>
      <c r="B615" s="3">
        <v>45772</v>
      </c>
      <c r="C615" t="s">
        <v>1290</v>
      </c>
      <c r="D615" t="s">
        <v>213</v>
      </c>
      <c r="E615" t="s">
        <v>168</v>
      </c>
      <c r="F615">
        <v>4</v>
      </c>
      <c r="G615" t="s">
        <v>23</v>
      </c>
      <c r="H615" s="14">
        <v>0.15</v>
      </c>
      <c r="I615" s="23">
        <v>659.03</v>
      </c>
      <c r="J615" s="4">
        <v>2635.52</v>
      </c>
    </row>
    <row r="616" spans="1:10">
      <c r="A616" t="s">
        <v>1291</v>
      </c>
      <c r="B616" s="3">
        <v>45338</v>
      </c>
      <c r="C616" t="s">
        <v>1292</v>
      </c>
      <c r="D616" t="s">
        <v>810</v>
      </c>
      <c r="E616" t="s">
        <v>198</v>
      </c>
      <c r="F616">
        <v>1</v>
      </c>
      <c r="G616" t="s">
        <v>33</v>
      </c>
      <c r="H616" s="14">
        <v>0.12</v>
      </c>
      <c r="I616" s="23">
        <v>312.91000000000003</v>
      </c>
      <c r="J616" s="4">
        <v>312.79000000000002</v>
      </c>
    </row>
    <row r="617" spans="1:10">
      <c r="A617" t="s">
        <v>1293</v>
      </c>
      <c r="B617" s="3">
        <v>45524</v>
      </c>
      <c r="C617" t="s">
        <v>1172</v>
      </c>
      <c r="D617" t="s">
        <v>173</v>
      </c>
      <c r="E617" t="s">
        <v>160</v>
      </c>
      <c r="F617">
        <v>4</v>
      </c>
      <c r="G617" t="s">
        <v>33</v>
      </c>
      <c r="H617" s="14">
        <v>0.11</v>
      </c>
      <c r="I617" s="23">
        <v>705.64</v>
      </c>
      <c r="J617" s="4">
        <v>2822.12</v>
      </c>
    </row>
    <row r="618" spans="1:10">
      <c r="A618" t="s">
        <v>1294</v>
      </c>
      <c r="B618" s="3">
        <v>45497</v>
      </c>
      <c r="C618" t="s">
        <v>154</v>
      </c>
      <c r="D618" t="s">
        <v>810</v>
      </c>
      <c r="E618" t="s">
        <v>168</v>
      </c>
      <c r="F618">
        <v>4</v>
      </c>
      <c r="G618" t="s">
        <v>50</v>
      </c>
      <c r="H618" s="14">
        <v>0.13</v>
      </c>
      <c r="I618" s="23">
        <v>386.41</v>
      </c>
      <c r="J618" s="4">
        <v>1545.12</v>
      </c>
    </row>
    <row r="619" spans="1:10">
      <c r="A619" t="s">
        <v>1295</v>
      </c>
      <c r="B619" s="3">
        <v>45534</v>
      </c>
      <c r="C619" t="s">
        <v>434</v>
      </c>
      <c r="D619" t="s">
        <v>242</v>
      </c>
      <c r="E619" t="s">
        <v>272</v>
      </c>
      <c r="F619">
        <v>3</v>
      </c>
      <c r="G619" t="s">
        <v>50</v>
      </c>
      <c r="H619" s="14">
        <v>0.08</v>
      </c>
      <c r="I619" s="23">
        <v>265.89</v>
      </c>
      <c r="J619" s="4">
        <v>797.43</v>
      </c>
    </row>
    <row r="620" spans="1:10">
      <c r="A620" t="s">
        <v>1296</v>
      </c>
      <c r="B620" s="3">
        <v>45925</v>
      </c>
      <c r="C620" t="s">
        <v>692</v>
      </c>
      <c r="D620" t="s">
        <v>271</v>
      </c>
      <c r="E620" t="s">
        <v>117</v>
      </c>
      <c r="F620">
        <v>1</v>
      </c>
      <c r="G620" t="s">
        <v>23</v>
      </c>
      <c r="H620" s="14">
        <v>0.28999999999999998</v>
      </c>
      <c r="I620" s="23">
        <v>703.16</v>
      </c>
      <c r="J620" s="4">
        <v>702.87</v>
      </c>
    </row>
    <row r="621" spans="1:10">
      <c r="A621" t="s">
        <v>1297</v>
      </c>
      <c r="B621" s="3">
        <v>45765</v>
      </c>
      <c r="C621" t="s">
        <v>756</v>
      </c>
      <c r="D621" t="s">
        <v>21</v>
      </c>
      <c r="E621" t="s">
        <v>149</v>
      </c>
      <c r="F621">
        <v>2</v>
      </c>
      <c r="G621" t="s">
        <v>50</v>
      </c>
      <c r="H621" s="14">
        <v>0.28999999999999998</v>
      </c>
      <c r="I621" s="23">
        <v>394.5</v>
      </c>
      <c r="J621" s="4">
        <v>788.42</v>
      </c>
    </row>
    <row r="622" spans="1:10">
      <c r="A622" t="s">
        <v>1298</v>
      </c>
      <c r="B622" s="3">
        <v>45882</v>
      </c>
      <c r="C622" t="s">
        <v>1299</v>
      </c>
      <c r="D622" t="s">
        <v>21</v>
      </c>
      <c r="E622" t="s">
        <v>66</v>
      </c>
      <c r="F622">
        <v>3</v>
      </c>
      <c r="G622" t="s">
        <v>23</v>
      </c>
      <c r="H622" s="14">
        <v>0.05</v>
      </c>
      <c r="I622" s="23">
        <v>411.25</v>
      </c>
      <c r="J622" s="4">
        <v>1233.5999999999999</v>
      </c>
    </row>
    <row r="623" spans="1:10">
      <c r="A623" t="s">
        <v>1300</v>
      </c>
      <c r="B623" s="3">
        <v>45923</v>
      </c>
      <c r="C623" t="s">
        <v>1301</v>
      </c>
      <c r="D623" t="s">
        <v>505</v>
      </c>
      <c r="E623" t="s">
        <v>198</v>
      </c>
      <c r="F623">
        <v>4</v>
      </c>
      <c r="G623" t="s">
        <v>23</v>
      </c>
      <c r="H623" s="14">
        <v>0.01</v>
      </c>
      <c r="I623" s="23">
        <v>395.45</v>
      </c>
      <c r="J623" s="4">
        <v>1581.76</v>
      </c>
    </row>
    <row r="624" spans="1:10">
      <c r="A624" t="s">
        <v>1302</v>
      </c>
      <c r="B624" s="3">
        <v>45421</v>
      </c>
      <c r="C624" t="s">
        <v>1303</v>
      </c>
      <c r="D624" t="s">
        <v>453</v>
      </c>
      <c r="E624" t="s">
        <v>58</v>
      </c>
      <c r="F624">
        <v>2</v>
      </c>
      <c r="G624" t="s">
        <v>23</v>
      </c>
      <c r="H624" s="14">
        <v>0.23</v>
      </c>
      <c r="I624" s="23">
        <v>678.98</v>
      </c>
      <c r="J624" s="4">
        <v>1357.5</v>
      </c>
    </row>
    <row r="625" spans="1:10">
      <c r="A625" t="s">
        <v>1304</v>
      </c>
      <c r="B625" s="3">
        <v>45608</v>
      </c>
      <c r="C625" t="s">
        <v>245</v>
      </c>
      <c r="D625" t="s">
        <v>139</v>
      </c>
      <c r="E625" t="s">
        <v>98</v>
      </c>
      <c r="F625">
        <v>4</v>
      </c>
      <c r="G625" t="s">
        <v>50</v>
      </c>
      <c r="H625" s="14">
        <v>0.26</v>
      </c>
      <c r="I625" s="23">
        <v>757.71</v>
      </c>
      <c r="J625" s="4">
        <v>3029.8</v>
      </c>
    </row>
    <row r="626" spans="1:10">
      <c r="A626" t="s">
        <v>1305</v>
      </c>
      <c r="B626" s="3">
        <v>45644</v>
      </c>
      <c r="C626" t="s">
        <v>1306</v>
      </c>
      <c r="D626" t="s">
        <v>242</v>
      </c>
      <c r="E626" t="s">
        <v>72</v>
      </c>
      <c r="F626">
        <v>1</v>
      </c>
      <c r="G626" t="s">
        <v>50</v>
      </c>
      <c r="H626" s="14">
        <v>0.05</v>
      </c>
      <c r="I626" s="23">
        <v>647.86</v>
      </c>
      <c r="J626" s="4">
        <v>647.80999999999995</v>
      </c>
    </row>
    <row r="627" spans="1:10">
      <c r="A627" t="s">
        <v>1307</v>
      </c>
      <c r="B627" s="3">
        <v>45517</v>
      </c>
      <c r="C627" t="s">
        <v>652</v>
      </c>
      <c r="D627" t="s">
        <v>173</v>
      </c>
      <c r="E627" t="s">
        <v>179</v>
      </c>
      <c r="F627">
        <v>2</v>
      </c>
      <c r="G627" t="s">
        <v>33</v>
      </c>
      <c r="H627" s="14">
        <v>0.1</v>
      </c>
      <c r="I627" s="23">
        <v>179.64</v>
      </c>
      <c r="J627" s="4">
        <v>359.08</v>
      </c>
    </row>
    <row r="628" spans="1:10">
      <c r="A628" t="s">
        <v>1308</v>
      </c>
      <c r="B628" s="3">
        <v>45545</v>
      </c>
      <c r="C628" t="s">
        <v>158</v>
      </c>
      <c r="D628" t="s">
        <v>661</v>
      </c>
      <c r="E628" t="s">
        <v>72</v>
      </c>
      <c r="F628">
        <v>3</v>
      </c>
      <c r="G628" t="s">
        <v>33</v>
      </c>
      <c r="H628" s="14">
        <v>0.17</v>
      </c>
      <c r="I628" s="23">
        <v>392.65</v>
      </c>
      <c r="J628" s="4">
        <v>1177.44</v>
      </c>
    </row>
    <row r="629" spans="1:10">
      <c r="A629" t="s">
        <v>1309</v>
      </c>
      <c r="B629" s="3">
        <v>45547</v>
      </c>
      <c r="C629" t="s">
        <v>365</v>
      </c>
      <c r="D629" t="s">
        <v>372</v>
      </c>
      <c r="E629" t="s">
        <v>117</v>
      </c>
      <c r="F629">
        <v>4</v>
      </c>
      <c r="G629" t="s">
        <v>50</v>
      </c>
      <c r="H629" s="14">
        <v>0.09</v>
      </c>
      <c r="I629" s="23">
        <v>969.55</v>
      </c>
      <c r="J629" s="4">
        <v>3877.84</v>
      </c>
    </row>
    <row r="630" spans="1:10">
      <c r="A630" t="s">
        <v>1310</v>
      </c>
      <c r="B630" s="3">
        <v>45433</v>
      </c>
      <c r="C630" t="s">
        <v>617</v>
      </c>
      <c r="D630" t="s">
        <v>31</v>
      </c>
      <c r="E630" t="s">
        <v>208</v>
      </c>
      <c r="F630">
        <v>3</v>
      </c>
      <c r="G630" t="s">
        <v>23</v>
      </c>
      <c r="H630" s="14">
        <v>0.01</v>
      </c>
      <c r="I630" s="23">
        <v>322.94</v>
      </c>
      <c r="J630" s="4">
        <v>968.79</v>
      </c>
    </row>
    <row r="631" spans="1:10">
      <c r="A631" t="s">
        <v>1311</v>
      </c>
      <c r="B631" s="3">
        <v>45792</v>
      </c>
      <c r="C631" t="s">
        <v>1159</v>
      </c>
      <c r="D631" t="s">
        <v>359</v>
      </c>
      <c r="E631" t="s">
        <v>90</v>
      </c>
      <c r="F631">
        <v>1</v>
      </c>
      <c r="G631" t="s">
        <v>33</v>
      </c>
      <c r="H631" s="14">
        <v>0.26</v>
      </c>
      <c r="I631" s="23">
        <v>92.83</v>
      </c>
      <c r="J631" s="4">
        <v>92.57</v>
      </c>
    </row>
    <row r="632" spans="1:10">
      <c r="A632" t="s">
        <v>1312</v>
      </c>
      <c r="B632" s="3">
        <v>45804</v>
      </c>
      <c r="C632" t="s">
        <v>278</v>
      </c>
      <c r="D632" t="s">
        <v>484</v>
      </c>
      <c r="E632" t="s">
        <v>22</v>
      </c>
      <c r="F632">
        <v>4</v>
      </c>
      <c r="G632" t="s">
        <v>50</v>
      </c>
      <c r="H632" s="14">
        <v>0.16</v>
      </c>
      <c r="I632" s="23">
        <v>432.29</v>
      </c>
      <c r="J632" s="4">
        <v>1728.52</v>
      </c>
    </row>
    <row r="633" spans="1:10">
      <c r="A633" t="s">
        <v>1313</v>
      </c>
      <c r="B633" s="3">
        <v>45311</v>
      </c>
      <c r="C633" t="s">
        <v>300</v>
      </c>
      <c r="D633" t="s">
        <v>104</v>
      </c>
      <c r="E633" t="s">
        <v>149</v>
      </c>
      <c r="F633">
        <v>2</v>
      </c>
      <c r="G633" t="s">
        <v>50</v>
      </c>
      <c r="H633" s="14">
        <v>0.14000000000000001</v>
      </c>
      <c r="I633" s="23">
        <v>925.78</v>
      </c>
      <c r="J633" s="4">
        <v>1851.28</v>
      </c>
    </row>
    <row r="634" spans="1:10">
      <c r="A634" t="s">
        <v>1314</v>
      </c>
      <c r="B634" s="3">
        <v>45605</v>
      </c>
      <c r="C634" t="s">
        <v>1062</v>
      </c>
      <c r="D634" t="s">
        <v>425</v>
      </c>
      <c r="E634" t="s">
        <v>272</v>
      </c>
      <c r="F634">
        <v>2</v>
      </c>
      <c r="G634" t="s">
        <v>33</v>
      </c>
      <c r="H634" s="14">
        <v>0.21</v>
      </c>
      <c r="I634" s="23">
        <v>151.47</v>
      </c>
      <c r="J634" s="4">
        <v>302.52</v>
      </c>
    </row>
    <row r="635" spans="1:10">
      <c r="A635" t="s">
        <v>1315</v>
      </c>
      <c r="B635" s="3">
        <v>45338</v>
      </c>
      <c r="C635" t="s">
        <v>748</v>
      </c>
      <c r="D635" t="s">
        <v>359</v>
      </c>
      <c r="E635" t="s">
        <v>168</v>
      </c>
      <c r="F635">
        <v>1</v>
      </c>
      <c r="G635" t="s">
        <v>33</v>
      </c>
      <c r="H635" s="14">
        <v>0.28000000000000003</v>
      </c>
      <c r="I635" s="23">
        <v>343.05</v>
      </c>
      <c r="J635" s="4">
        <v>342.77</v>
      </c>
    </row>
    <row r="636" spans="1:10">
      <c r="A636" t="s">
        <v>1316</v>
      </c>
      <c r="B636" s="3">
        <v>45642</v>
      </c>
      <c r="C636" t="s">
        <v>611</v>
      </c>
      <c r="D636" t="s">
        <v>377</v>
      </c>
      <c r="E636" t="s">
        <v>72</v>
      </c>
      <c r="F636">
        <v>1</v>
      </c>
      <c r="G636" t="s">
        <v>33</v>
      </c>
      <c r="H636" s="14">
        <v>0.11</v>
      </c>
      <c r="I636" s="23">
        <v>373.06</v>
      </c>
      <c r="J636" s="4">
        <v>372.95</v>
      </c>
    </row>
    <row r="637" spans="1:10">
      <c r="A637" t="s">
        <v>1317</v>
      </c>
      <c r="B637" s="3">
        <v>45693</v>
      </c>
      <c r="C637" t="s">
        <v>1318</v>
      </c>
      <c r="D637" t="s">
        <v>928</v>
      </c>
      <c r="E637" t="s">
        <v>122</v>
      </c>
      <c r="F637">
        <v>1</v>
      </c>
      <c r="G637" t="s">
        <v>50</v>
      </c>
      <c r="H637" s="14">
        <v>7.0000000000000007E-2</v>
      </c>
      <c r="I637" s="23">
        <v>124.98</v>
      </c>
      <c r="J637" s="4">
        <v>124.91</v>
      </c>
    </row>
    <row r="638" spans="1:10">
      <c r="A638" t="s">
        <v>1319</v>
      </c>
      <c r="B638" s="3">
        <v>45763</v>
      </c>
      <c r="C638" t="s">
        <v>629</v>
      </c>
      <c r="D638" t="s">
        <v>575</v>
      </c>
      <c r="E638" t="s">
        <v>135</v>
      </c>
      <c r="F638">
        <v>4</v>
      </c>
      <c r="G638" t="s">
        <v>33</v>
      </c>
      <c r="H638" s="14">
        <v>0.26</v>
      </c>
      <c r="I638" s="23">
        <v>221.49</v>
      </c>
      <c r="J638" s="4">
        <v>884.92</v>
      </c>
    </row>
    <row r="639" spans="1:10">
      <c r="A639" t="s">
        <v>1320</v>
      </c>
      <c r="B639" s="3">
        <v>45572</v>
      </c>
      <c r="C639" t="s">
        <v>658</v>
      </c>
      <c r="D639" t="s">
        <v>250</v>
      </c>
      <c r="E639" t="s">
        <v>122</v>
      </c>
      <c r="F639">
        <v>1</v>
      </c>
      <c r="G639" t="s">
        <v>33</v>
      </c>
      <c r="H639" s="14">
        <v>0.01</v>
      </c>
      <c r="I639" s="23">
        <v>563.32000000000005</v>
      </c>
      <c r="J639" s="4">
        <v>563.30999999999995</v>
      </c>
    </row>
    <row r="640" spans="1:10">
      <c r="A640" t="s">
        <v>1321</v>
      </c>
      <c r="B640" s="3">
        <v>45338</v>
      </c>
      <c r="C640" t="s">
        <v>1322</v>
      </c>
      <c r="D640" t="s">
        <v>555</v>
      </c>
      <c r="E640" t="s">
        <v>90</v>
      </c>
      <c r="F640">
        <v>1</v>
      </c>
      <c r="G640" t="s">
        <v>23</v>
      </c>
      <c r="H640" s="14">
        <v>0.27</v>
      </c>
      <c r="I640" s="23">
        <v>362.93</v>
      </c>
      <c r="J640" s="4">
        <v>362.66</v>
      </c>
    </row>
    <row r="641" spans="1:10">
      <c r="A641" t="s">
        <v>1323</v>
      </c>
      <c r="B641" s="3">
        <v>45373</v>
      </c>
      <c r="C641" t="s">
        <v>1324</v>
      </c>
      <c r="D641" t="s">
        <v>555</v>
      </c>
      <c r="E641" t="s">
        <v>122</v>
      </c>
      <c r="F641">
        <v>4</v>
      </c>
      <c r="G641" t="s">
        <v>50</v>
      </c>
      <c r="H641" s="14">
        <v>0.18</v>
      </c>
      <c r="I641" s="23">
        <v>369.22</v>
      </c>
      <c r="J641" s="4">
        <v>1476.16</v>
      </c>
    </row>
    <row r="642" spans="1:10">
      <c r="A642" t="s">
        <v>1325</v>
      </c>
      <c r="B642" s="3">
        <v>45590</v>
      </c>
      <c r="C642" t="s">
        <v>1326</v>
      </c>
      <c r="D642" t="s">
        <v>1259</v>
      </c>
      <c r="E642" t="s">
        <v>98</v>
      </c>
      <c r="F642">
        <v>3</v>
      </c>
      <c r="G642" t="s">
        <v>33</v>
      </c>
      <c r="H642" s="14">
        <v>0.06</v>
      </c>
      <c r="I642" s="23">
        <v>950.83</v>
      </c>
      <c r="J642" s="4">
        <v>2852.31</v>
      </c>
    </row>
    <row r="643" spans="1:10">
      <c r="A643" t="s">
        <v>1327</v>
      </c>
      <c r="B643" s="3">
        <v>45365</v>
      </c>
      <c r="C643" t="s">
        <v>394</v>
      </c>
      <c r="D643" t="s">
        <v>786</v>
      </c>
      <c r="E643" t="s">
        <v>149</v>
      </c>
      <c r="F643">
        <v>3</v>
      </c>
      <c r="G643" t="s">
        <v>23</v>
      </c>
      <c r="H643" s="14">
        <v>0.01</v>
      </c>
      <c r="I643" s="23">
        <v>338.79</v>
      </c>
      <c r="J643" s="4">
        <v>1016.34</v>
      </c>
    </row>
    <row r="644" spans="1:10">
      <c r="A644" t="s">
        <v>1328</v>
      </c>
      <c r="B644" s="3">
        <v>45711</v>
      </c>
      <c r="C644" t="s">
        <v>1130</v>
      </c>
      <c r="D644" t="s">
        <v>453</v>
      </c>
      <c r="E644" t="s">
        <v>105</v>
      </c>
      <c r="F644">
        <v>3</v>
      </c>
      <c r="G644" t="s">
        <v>50</v>
      </c>
      <c r="H644" s="14">
        <v>7.0000000000000007E-2</v>
      </c>
      <c r="I644" s="23">
        <v>853.32</v>
      </c>
      <c r="J644" s="4">
        <v>2559.75</v>
      </c>
    </row>
    <row r="645" spans="1:10">
      <c r="A645" t="s">
        <v>1329</v>
      </c>
      <c r="B645" s="3">
        <v>45586</v>
      </c>
      <c r="C645" t="s">
        <v>1228</v>
      </c>
      <c r="D645" t="s">
        <v>49</v>
      </c>
      <c r="E645" t="s">
        <v>179</v>
      </c>
      <c r="F645">
        <v>3</v>
      </c>
      <c r="G645" t="s">
        <v>50</v>
      </c>
      <c r="H645" s="14">
        <v>0.2</v>
      </c>
      <c r="I645" s="23">
        <v>89.78</v>
      </c>
      <c r="J645" s="4">
        <v>268.74</v>
      </c>
    </row>
    <row r="646" spans="1:10">
      <c r="A646" t="s">
        <v>1330</v>
      </c>
      <c r="B646" s="3">
        <v>45334</v>
      </c>
      <c r="C646" t="s">
        <v>836</v>
      </c>
      <c r="D646" t="s">
        <v>564</v>
      </c>
      <c r="E646" t="s">
        <v>105</v>
      </c>
      <c r="F646">
        <v>1</v>
      </c>
      <c r="G646" t="s">
        <v>33</v>
      </c>
      <c r="H646" s="14">
        <v>0.04</v>
      </c>
      <c r="I646" s="23">
        <v>172.04</v>
      </c>
      <c r="J646" s="4">
        <v>172</v>
      </c>
    </row>
    <row r="647" spans="1:10">
      <c r="A647" t="s">
        <v>1331</v>
      </c>
      <c r="B647" s="3">
        <v>45333</v>
      </c>
      <c r="C647" t="s">
        <v>30</v>
      </c>
      <c r="D647" t="s">
        <v>420</v>
      </c>
      <c r="E647" t="s">
        <v>105</v>
      </c>
      <c r="F647">
        <v>1</v>
      </c>
      <c r="G647" t="s">
        <v>23</v>
      </c>
      <c r="H647" s="14">
        <v>0.05</v>
      </c>
      <c r="I647" s="23">
        <v>389.2</v>
      </c>
      <c r="J647" s="4">
        <v>389.15</v>
      </c>
    </row>
    <row r="648" spans="1:10">
      <c r="A648" t="s">
        <v>1332</v>
      </c>
      <c r="B648" s="3">
        <v>45778</v>
      </c>
      <c r="C648" t="s">
        <v>1235</v>
      </c>
      <c r="D648" t="s">
        <v>192</v>
      </c>
      <c r="E648" t="s">
        <v>149</v>
      </c>
      <c r="F648">
        <v>3</v>
      </c>
      <c r="G648" t="s">
        <v>33</v>
      </c>
      <c r="H648" s="14">
        <v>0.12</v>
      </c>
      <c r="I648" s="23">
        <v>865.96</v>
      </c>
      <c r="J648" s="4">
        <v>2597.52</v>
      </c>
    </row>
    <row r="649" spans="1:10">
      <c r="A649" t="s">
        <v>1333</v>
      </c>
      <c r="B649" s="3">
        <v>45592</v>
      </c>
      <c r="C649" t="s">
        <v>720</v>
      </c>
      <c r="D649" t="s">
        <v>314</v>
      </c>
      <c r="E649" t="s">
        <v>105</v>
      </c>
      <c r="F649">
        <v>3</v>
      </c>
      <c r="G649" t="s">
        <v>50</v>
      </c>
      <c r="H649" s="14">
        <v>0.2</v>
      </c>
      <c r="I649" s="23">
        <v>79.95</v>
      </c>
      <c r="J649" s="4">
        <v>239.25</v>
      </c>
    </row>
    <row r="650" spans="1:10">
      <c r="A650" t="s">
        <v>1334</v>
      </c>
      <c r="B650" s="3">
        <v>45259</v>
      </c>
      <c r="C650" t="s">
        <v>182</v>
      </c>
      <c r="D650" t="s">
        <v>246</v>
      </c>
      <c r="E650" t="s">
        <v>66</v>
      </c>
      <c r="F650">
        <v>1</v>
      </c>
      <c r="G650" t="s">
        <v>50</v>
      </c>
      <c r="H650" s="14">
        <v>0.25</v>
      </c>
      <c r="I650" s="23">
        <v>566.5</v>
      </c>
      <c r="J650" s="4">
        <v>566.25</v>
      </c>
    </row>
    <row r="651" spans="1:10">
      <c r="A651" t="s">
        <v>1335</v>
      </c>
      <c r="B651" s="3">
        <v>45801</v>
      </c>
      <c r="C651" t="s">
        <v>1336</v>
      </c>
      <c r="D651" t="s">
        <v>279</v>
      </c>
      <c r="E651" t="s">
        <v>90</v>
      </c>
      <c r="F651">
        <v>2</v>
      </c>
      <c r="G651" t="s">
        <v>50</v>
      </c>
      <c r="H651" s="14">
        <v>0.13</v>
      </c>
      <c r="I651" s="23">
        <v>347.95</v>
      </c>
      <c r="J651" s="4">
        <v>695.64</v>
      </c>
    </row>
    <row r="652" spans="1:10">
      <c r="A652" t="s">
        <v>1337</v>
      </c>
      <c r="B652" s="3">
        <v>45347</v>
      </c>
      <c r="C652" t="s">
        <v>771</v>
      </c>
      <c r="D652" t="s">
        <v>714</v>
      </c>
      <c r="E652" t="s">
        <v>22</v>
      </c>
      <c r="F652">
        <v>2</v>
      </c>
      <c r="G652" t="s">
        <v>33</v>
      </c>
      <c r="H652" s="14">
        <v>0.15</v>
      </c>
      <c r="I652" s="23">
        <v>250.83</v>
      </c>
      <c r="J652" s="4">
        <v>501.36</v>
      </c>
    </row>
    <row r="653" spans="1:10">
      <c r="A653" t="s">
        <v>1338</v>
      </c>
      <c r="B653" s="3">
        <v>45721</v>
      </c>
      <c r="C653" t="s">
        <v>1228</v>
      </c>
      <c r="D653" t="s">
        <v>368</v>
      </c>
      <c r="E653" t="s">
        <v>105</v>
      </c>
      <c r="F653">
        <v>1</v>
      </c>
      <c r="G653" t="s">
        <v>33</v>
      </c>
      <c r="H653" s="14">
        <v>0.2</v>
      </c>
      <c r="I653" s="23">
        <v>888.05</v>
      </c>
      <c r="J653" s="4">
        <v>887.85</v>
      </c>
    </row>
    <row r="654" spans="1:10">
      <c r="A654" t="s">
        <v>1339</v>
      </c>
      <c r="B654" s="3">
        <v>45531</v>
      </c>
      <c r="C654" t="s">
        <v>1013</v>
      </c>
      <c r="D654" t="s">
        <v>104</v>
      </c>
      <c r="E654" t="s">
        <v>160</v>
      </c>
      <c r="F654">
        <v>2</v>
      </c>
      <c r="G654" t="s">
        <v>33</v>
      </c>
      <c r="H654" s="14">
        <v>0.11</v>
      </c>
      <c r="I654" s="23">
        <v>673.02</v>
      </c>
      <c r="J654" s="4">
        <v>1345.82</v>
      </c>
    </row>
    <row r="655" spans="1:10">
      <c r="A655" t="s">
        <v>1340</v>
      </c>
      <c r="B655" s="3">
        <v>45332</v>
      </c>
      <c r="C655" t="s">
        <v>1341</v>
      </c>
      <c r="D655" t="s">
        <v>779</v>
      </c>
      <c r="E655" t="s">
        <v>22</v>
      </c>
      <c r="F655">
        <v>2</v>
      </c>
      <c r="G655" t="s">
        <v>50</v>
      </c>
      <c r="H655" s="14">
        <v>0.26</v>
      </c>
      <c r="I655" s="23">
        <v>492.62</v>
      </c>
      <c r="J655" s="4">
        <v>984.72</v>
      </c>
    </row>
    <row r="656" spans="1:10">
      <c r="A656" t="s">
        <v>1342</v>
      </c>
      <c r="B656" s="3">
        <v>45344</v>
      </c>
      <c r="C656" t="s">
        <v>1343</v>
      </c>
      <c r="D656" t="s">
        <v>462</v>
      </c>
      <c r="E656" t="s">
        <v>22</v>
      </c>
      <c r="F656">
        <v>4</v>
      </c>
      <c r="G656" t="s">
        <v>23</v>
      </c>
      <c r="H656" s="14">
        <v>0.01</v>
      </c>
      <c r="I656" s="23">
        <v>986.93</v>
      </c>
      <c r="J656" s="4">
        <v>3947.68</v>
      </c>
    </row>
    <row r="657" spans="1:10">
      <c r="A657" t="s">
        <v>1344</v>
      </c>
      <c r="B657" s="3">
        <v>45388</v>
      </c>
      <c r="C657" t="s">
        <v>853</v>
      </c>
      <c r="D657" t="s">
        <v>443</v>
      </c>
      <c r="E657" t="s">
        <v>208</v>
      </c>
      <c r="F657">
        <v>4</v>
      </c>
      <c r="G657" t="s">
        <v>33</v>
      </c>
      <c r="H657" s="14">
        <v>0.06</v>
      </c>
      <c r="I657" s="23">
        <v>411.68</v>
      </c>
      <c r="J657" s="4">
        <v>1646.48</v>
      </c>
    </row>
    <row r="658" spans="1:10">
      <c r="A658" t="s">
        <v>1345</v>
      </c>
      <c r="B658" s="3">
        <v>45397</v>
      </c>
      <c r="C658" t="s">
        <v>785</v>
      </c>
      <c r="D658" t="s">
        <v>126</v>
      </c>
      <c r="E658" t="s">
        <v>32</v>
      </c>
      <c r="F658">
        <v>2</v>
      </c>
      <c r="G658" t="s">
        <v>50</v>
      </c>
      <c r="H658" s="14">
        <v>0.05</v>
      </c>
      <c r="I658" s="23">
        <v>637.55999999999995</v>
      </c>
      <c r="J658" s="4">
        <v>1275.02</v>
      </c>
    </row>
    <row r="659" spans="1:10">
      <c r="A659" t="s">
        <v>1346</v>
      </c>
      <c r="B659" s="3">
        <v>45633</v>
      </c>
      <c r="C659" t="s">
        <v>912</v>
      </c>
      <c r="D659" t="s">
        <v>197</v>
      </c>
      <c r="E659" t="s">
        <v>22</v>
      </c>
      <c r="F659">
        <v>3</v>
      </c>
      <c r="G659" t="s">
        <v>23</v>
      </c>
      <c r="H659" s="14">
        <v>0.27</v>
      </c>
      <c r="I659" s="23">
        <v>706.87</v>
      </c>
      <c r="J659" s="4">
        <v>2119.8000000000002</v>
      </c>
    </row>
    <row r="660" spans="1:10">
      <c r="A660" t="s">
        <v>1347</v>
      </c>
      <c r="B660" s="3">
        <v>45629</v>
      </c>
      <c r="C660" t="s">
        <v>1348</v>
      </c>
      <c r="D660" t="s">
        <v>65</v>
      </c>
      <c r="E660" t="s">
        <v>179</v>
      </c>
      <c r="F660">
        <v>2</v>
      </c>
      <c r="G660" t="s">
        <v>50</v>
      </c>
      <c r="H660" s="14">
        <v>0</v>
      </c>
      <c r="I660" s="23">
        <v>884.48</v>
      </c>
      <c r="J660" s="4">
        <v>1768.96</v>
      </c>
    </row>
    <row r="661" spans="1:10">
      <c r="A661" t="s">
        <v>1349</v>
      </c>
      <c r="B661" s="3">
        <v>45291</v>
      </c>
      <c r="C661" t="s">
        <v>857</v>
      </c>
      <c r="D661" t="s">
        <v>603</v>
      </c>
      <c r="E661" t="s">
        <v>72</v>
      </c>
      <c r="F661">
        <v>3</v>
      </c>
      <c r="G661" t="s">
        <v>33</v>
      </c>
      <c r="H661" s="14">
        <v>0.19</v>
      </c>
      <c r="I661" s="23">
        <v>718.23</v>
      </c>
      <c r="J661" s="4">
        <v>2154.12</v>
      </c>
    </row>
    <row r="662" spans="1:10">
      <c r="A662" t="s">
        <v>1350</v>
      </c>
      <c r="B662" s="3">
        <v>45914</v>
      </c>
      <c r="C662" t="s">
        <v>1351</v>
      </c>
      <c r="D662" t="s">
        <v>453</v>
      </c>
      <c r="E662" t="s">
        <v>160</v>
      </c>
      <c r="F662">
        <v>3</v>
      </c>
      <c r="G662" t="s">
        <v>33</v>
      </c>
      <c r="H662" s="14">
        <v>0.27</v>
      </c>
      <c r="I662" s="23">
        <v>107.44</v>
      </c>
      <c r="J662" s="4">
        <v>321.51</v>
      </c>
    </row>
    <row r="663" spans="1:10">
      <c r="A663" t="s">
        <v>1352</v>
      </c>
      <c r="B663" s="3">
        <v>45673</v>
      </c>
      <c r="C663" t="s">
        <v>41</v>
      </c>
      <c r="D663" t="s">
        <v>381</v>
      </c>
      <c r="E663" t="s">
        <v>22</v>
      </c>
      <c r="F663">
        <v>4</v>
      </c>
      <c r="G663" t="s">
        <v>50</v>
      </c>
      <c r="H663" s="14">
        <v>0.14000000000000001</v>
      </c>
      <c r="I663" s="23">
        <v>608.97</v>
      </c>
      <c r="J663" s="4">
        <v>2435.3200000000002</v>
      </c>
    </row>
    <row r="664" spans="1:10">
      <c r="A664" t="s">
        <v>1353</v>
      </c>
      <c r="B664" s="3">
        <v>45689</v>
      </c>
      <c r="C664" t="s">
        <v>1354</v>
      </c>
      <c r="D664" t="s">
        <v>698</v>
      </c>
      <c r="E664" t="s">
        <v>179</v>
      </c>
      <c r="F664">
        <v>3</v>
      </c>
      <c r="G664" t="s">
        <v>23</v>
      </c>
      <c r="H664" s="14">
        <v>0.09</v>
      </c>
      <c r="I664" s="23">
        <v>260.45999999999998</v>
      </c>
      <c r="J664" s="4">
        <v>781.11</v>
      </c>
    </row>
    <row r="665" spans="1:10">
      <c r="A665" t="s">
        <v>1355</v>
      </c>
      <c r="B665" s="3">
        <v>45646</v>
      </c>
      <c r="C665" t="s">
        <v>1201</v>
      </c>
      <c r="D665" t="s">
        <v>443</v>
      </c>
      <c r="E665" t="s">
        <v>179</v>
      </c>
      <c r="F665">
        <v>1</v>
      </c>
      <c r="G665" t="s">
        <v>23</v>
      </c>
      <c r="H665" s="14">
        <v>0.01</v>
      </c>
      <c r="I665" s="23">
        <v>747.03</v>
      </c>
      <c r="J665" s="4">
        <v>747.02</v>
      </c>
    </row>
    <row r="666" spans="1:10">
      <c r="A666" t="s">
        <v>1356</v>
      </c>
      <c r="B666" s="3">
        <v>45475</v>
      </c>
      <c r="C666" t="s">
        <v>305</v>
      </c>
      <c r="D666" t="s">
        <v>226</v>
      </c>
      <c r="E666" t="s">
        <v>43</v>
      </c>
      <c r="F666">
        <v>4</v>
      </c>
      <c r="G666" t="s">
        <v>33</v>
      </c>
      <c r="H666" s="14">
        <v>0.23</v>
      </c>
      <c r="I666" s="23">
        <v>700.88</v>
      </c>
      <c r="J666" s="4">
        <v>2802.6</v>
      </c>
    </row>
    <row r="667" spans="1:10">
      <c r="A667" t="s">
        <v>1357</v>
      </c>
      <c r="B667" s="3">
        <v>45781</v>
      </c>
      <c r="C667" t="s">
        <v>1358</v>
      </c>
      <c r="D667" t="s">
        <v>1126</v>
      </c>
      <c r="E667" t="s">
        <v>98</v>
      </c>
      <c r="F667">
        <v>4</v>
      </c>
      <c r="G667" t="s">
        <v>33</v>
      </c>
      <c r="H667" s="14">
        <v>0.16</v>
      </c>
      <c r="I667" s="23">
        <v>20.09</v>
      </c>
      <c r="J667" s="4">
        <v>79.72</v>
      </c>
    </row>
    <row r="668" spans="1:10">
      <c r="A668" t="s">
        <v>1359</v>
      </c>
      <c r="B668" s="3">
        <v>45654</v>
      </c>
      <c r="C668" t="s">
        <v>1215</v>
      </c>
      <c r="D668" t="s">
        <v>786</v>
      </c>
      <c r="E668" t="s">
        <v>272</v>
      </c>
      <c r="F668">
        <v>3</v>
      </c>
      <c r="G668" t="s">
        <v>33</v>
      </c>
      <c r="H668" s="14">
        <v>0.24</v>
      </c>
      <c r="I668" s="23">
        <v>917.64</v>
      </c>
      <c r="J668" s="4">
        <v>2752.2</v>
      </c>
    </row>
    <row r="669" spans="1:10">
      <c r="A669" t="s">
        <v>1360</v>
      </c>
      <c r="B669" s="3">
        <v>45594</v>
      </c>
      <c r="C669" t="s">
        <v>1361</v>
      </c>
      <c r="D669" t="s">
        <v>279</v>
      </c>
      <c r="E669" t="s">
        <v>90</v>
      </c>
      <c r="F669">
        <v>1</v>
      </c>
      <c r="G669" t="s">
        <v>33</v>
      </c>
      <c r="H669" s="14">
        <v>0.18</v>
      </c>
      <c r="I669" s="23">
        <v>242.08</v>
      </c>
      <c r="J669" s="4">
        <v>241.9</v>
      </c>
    </row>
    <row r="670" spans="1:10">
      <c r="A670" t="s">
        <v>1362</v>
      </c>
      <c r="B670" s="3">
        <v>45581</v>
      </c>
      <c r="C670" t="s">
        <v>1208</v>
      </c>
      <c r="D670" t="s">
        <v>625</v>
      </c>
      <c r="E670" t="s">
        <v>66</v>
      </c>
      <c r="F670">
        <v>1</v>
      </c>
      <c r="G670" t="s">
        <v>23</v>
      </c>
      <c r="H670" s="14">
        <v>0.27</v>
      </c>
      <c r="I670" s="23">
        <v>536.67999999999995</v>
      </c>
      <c r="J670" s="4">
        <v>536.41</v>
      </c>
    </row>
    <row r="671" spans="1:10">
      <c r="A671" t="s">
        <v>1363</v>
      </c>
      <c r="B671" s="3">
        <v>45748</v>
      </c>
      <c r="C671" t="s">
        <v>145</v>
      </c>
      <c r="D671" t="s">
        <v>255</v>
      </c>
      <c r="E671" t="s">
        <v>72</v>
      </c>
      <c r="F671">
        <v>2</v>
      </c>
      <c r="G671" t="s">
        <v>33</v>
      </c>
      <c r="H671" s="14">
        <v>0.26</v>
      </c>
      <c r="I671" s="23">
        <v>145.18</v>
      </c>
      <c r="J671" s="4">
        <v>289.83999999999997</v>
      </c>
    </row>
    <row r="672" spans="1:10">
      <c r="A672" t="s">
        <v>1364</v>
      </c>
      <c r="B672" s="3">
        <v>45369</v>
      </c>
      <c r="C672" t="s">
        <v>358</v>
      </c>
      <c r="D672" t="s">
        <v>178</v>
      </c>
      <c r="E672" t="s">
        <v>72</v>
      </c>
      <c r="F672">
        <v>2</v>
      </c>
      <c r="G672" t="s">
        <v>50</v>
      </c>
      <c r="H672" s="14">
        <v>0.13</v>
      </c>
      <c r="I672" s="23">
        <v>132.77000000000001</v>
      </c>
      <c r="J672" s="4">
        <v>265.27999999999997</v>
      </c>
    </row>
    <row r="673" spans="1:10">
      <c r="A673" t="s">
        <v>1365</v>
      </c>
      <c r="B673" s="3">
        <v>45701</v>
      </c>
      <c r="C673" t="s">
        <v>758</v>
      </c>
      <c r="D673" t="s">
        <v>745</v>
      </c>
      <c r="E673" t="s">
        <v>127</v>
      </c>
      <c r="F673">
        <v>4</v>
      </c>
      <c r="G673" t="s">
        <v>23</v>
      </c>
      <c r="H673" s="14">
        <v>0.14000000000000001</v>
      </c>
      <c r="I673" s="23">
        <v>682.11</v>
      </c>
      <c r="J673" s="4">
        <v>2727.88</v>
      </c>
    </row>
    <row r="674" spans="1:10">
      <c r="A674" t="s">
        <v>1366</v>
      </c>
      <c r="B674" s="3">
        <v>45510</v>
      </c>
      <c r="C674" t="s">
        <v>1367</v>
      </c>
      <c r="D674" t="s">
        <v>295</v>
      </c>
      <c r="E674" t="s">
        <v>32</v>
      </c>
      <c r="F674">
        <v>4</v>
      </c>
      <c r="G674" t="s">
        <v>50</v>
      </c>
      <c r="H674" s="14">
        <v>0.14000000000000001</v>
      </c>
      <c r="I674" s="23">
        <v>502.95</v>
      </c>
      <c r="J674" s="4">
        <v>2011.24</v>
      </c>
    </row>
    <row r="675" spans="1:10">
      <c r="A675" t="s">
        <v>1368</v>
      </c>
      <c r="B675" s="3">
        <v>45538</v>
      </c>
      <c r="C675" t="s">
        <v>880</v>
      </c>
      <c r="D675" t="s">
        <v>786</v>
      </c>
      <c r="E675" t="s">
        <v>117</v>
      </c>
      <c r="F675">
        <v>2</v>
      </c>
      <c r="G675" t="s">
        <v>23</v>
      </c>
      <c r="H675" s="14">
        <v>7.0000000000000007E-2</v>
      </c>
      <c r="I675" s="23">
        <v>472.08</v>
      </c>
      <c r="J675" s="4">
        <v>944.02</v>
      </c>
    </row>
    <row r="676" spans="1:10">
      <c r="A676" t="s">
        <v>1369</v>
      </c>
      <c r="B676" s="3">
        <v>45665</v>
      </c>
      <c r="C676" t="s">
        <v>521</v>
      </c>
      <c r="D676" t="s">
        <v>509</v>
      </c>
      <c r="E676" t="s">
        <v>32</v>
      </c>
      <c r="F676">
        <v>2</v>
      </c>
      <c r="G676" t="s">
        <v>50</v>
      </c>
      <c r="H676" s="14">
        <v>0.02</v>
      </c>
      <c r="I676" s="23">
        <v>218.11</v>
      </c>
      <c r="J676" s="4">
        <v>436.18</v>
      </c>
    </row>
    <row r="677" spans="1:10">
      <c r="A677" t="s">
        <v>1370</v>
      </c>
      <c r="B677" s="3">
        <v>45859</v>
      </c>
      <c r="C677" t="s">
        <v>1208</v>
      </c>
      <c r="D677" t="s">
        <v>389</v>
      </c>
      <c r="E677" t="s">
        <v>179</v>
      </c>
      <c r="F677">
        <v>4</v>
      </c>
      <c r="G677" t="s">
        <v>33</v>
      </c>
      <c r="H677" s="14">
        <v>0.06</v>
      </c>
      <c r="I677" s="23">
        <v>845.58</v>
      </c>
      <c r="J677" s="4">
        <v>3382.08</v>
      </c>
    </row>
    <row r="678" spans="1:10">
      <c r="A678" t="s">
        <v>1371</v>
      </c>
      <c r="B678" s="3">
        <v>45255</v>
      </c>
      <c r="C678" t="s">
        <v>606</v>
      </c>
      <c r="D678" t="s">
        <v>429</v>
      </c>
      <c r="E678" t="s">
        <v>198</v>
      </c>
      <c r="F678">
        <v>2</v>
      </c>
      <c r="G678" t="s">
        <v>23</v>
      </c>
      <c r="H678" s="14">
        <v>0.14000000000000001</v>
      </c>
      <c r="I678" s="23">
        <v>111.28</v>
      </c>
      <c r="J678" s="4">
        <v>222.28</v>
      </c>
    </row>
    <row r="679" spans="1:10">
      <c r="A679" t="s">
        <v>1372</v>
      </c>
      <c r="B679" s="3">
        <v>45842</v>
      </c>
      <c r="C679" t="s">
        <v>1373</v>
      </c>
      <c r="D679" t="s">
        <v>57</v>
      </c>
      <c r="E679" t="s">
        <v>98</v>
      </c>
      <c r="F679">
        <v>2</v>
      </c>
      <c r="G679" t="s">
        <v>23</v>
      </c>
      <c r="H679" s="14">
        <v>0.19</v>
      </c>
      <c r="I679" s="23">
        <v>37.21</v>
      </c>
      <c r="J679" s="4">
        <v>74.040000000000006</v>
      </c>
    </row>
    <row r="680" spans="1:10">
      <c r="A680" t="s">
        <v>1374</v>
      </c>
      <c r="B680" s="3">
        <v>45220</v>
      </c>
      <c r="C680" t="s">
        <v>825</v>
      </c>
      <c r="D680" t="s">
        <v>661</v>
      </c>
      <c r="E680" t="s">
        <v>149</v>
      </c>
      <c r="F680">
        <v>1</v>
      </c>
      <c r="G680" t="s">
        <v>23</v>
      </c>
      <c r="H680" s="14">
        <v>0.04</v>
      </c>
      <c r="I680" s="23">
        <v>331.73</v>
      </c>
      <c r="J680" s="4">
        <v>331.69</v>
      </c>
    </row>
    <row r="681" spans="1:10">
      <c r="A681" t="s">
        <v>1375</v>
      </c>
      <c r="B681" s="3">
        <v>45273</v>
      </c>
      <c r="C681" t="s">
        <v>731</v>
      </c>
      <c r="D681" t="s">
        <v>79</v>
      </c>
      <c r="E681" t="s">
        <v>208</v>
      </c>
      <c r="F681">
        <v>3</v>
      </c>
      <c r="G681" t="s">
        <v>33</v>
      </c>
      <c r="H681" s="14">
        <v>0.09</v>
      </c>
      <c r="I681" s="23">
        <v>306.70999999999998</v>
      </c>
      <c r="J681" s="4">
        <v>919.86</v>
      </c>
    </row>
    <row r="682" spans="1:10">
      <c r="A682" t="s">
        <v>1376</v>
      </c>
      <c r="B682" s="3">
        <v>45456</v>
      </c>
      <c r="C682" t="s">
        <v>1210</v>
      </c>
      <c r="D682" t="s">
        <v>425</v>
      </c>
      <c r="E682" t="s">
        <v>179</v>
      </c>
      <c r="F682">
        <v>4</v>
      </c>
      <c r="G682" t="s">
        <v>33</v>
      </c>
      <c r="H682" s="14">
        <v>0.28000000000000003</v>
      </c>
      <c r="I682" s="23">
        <v>484.92</v>
      </c>
      <c r="J682" s="4">
        <v>1938.56</v>
      </c>
    </row>
    <row r="683" spans="1:10">
      <c r="A683" t="s">
        <v>1377</v>
      </c>
      <c r="B683" s="3">
        <v>45292</v>
      </c>
      <c r="C683" t="s">
        <v>1009</v>
      </c>
      <c r="D683" t="s">
        <v>409</v>
      </c>
      <c r="E683" t="s">
        <v>58</v>
      </c>
      <c r="F683">
        <v>2</v>
      </c>
      <c r="G683" t="s">
        <v>23</v>
      </c>
      <c r="H683" s="14">
        <v>7.0000000000000007E-2</v>
      </c>
      <c r="I683" s="23">
        <v>42.04</v>
      </c>
      <c r="J683" s="4">
        <v>83.94</v>
      </c>
    </row>
    <row r="684" spans="1:10">
      <c r="A684" t="s">
        <v>1378</v>
      </c>
      <c r="B684" s="3">
        <v>45278</v>
      </c>
      <c r="C684" t="s">
        <v>1379</v>
      </c>
      <c r="D684" t="s">
        <v>564</v>
      </c>
      <c r="E684" t="s">
        <v>179</v>
      </c>
      <c r="F684">
        <v>3</v>
      </c>
      <c r="G684" t="s">
        <v>33</v>
      </c>
      <c r="H684" s="14">
        <v>0.22</v>
      </c>
      <c r="I684" s="23">
        <v>599.48</v>
      </c>
      <c r="J684" s="4">
        <v>1797.78</v>
      </c>
    </row>
    <row r="685" spans="1:10">
      <c r="A685" t="s">
        <v>1380</v>
      </c>
      <c r="B685" s="3">
        <v>45232</v>
      </c>
      <c r="C685" t="s">
        <v>1381</v>
      </c>
      <c r="D685" t="s">
        <v>377</v>
      </c>
      <c r="E685" t="s">
        <v>105</v>
      </c>
      <c r="F685">
        <v>3</v>
      </c>
      <c r="G685" t="s">
        <v>50</v>
      </c>
      <c r="H685" s="14">
        <v>0.01</v>
      </c>
      <c r="I685" s="23">
        <v>401.42</v>
      </c>
      <c r="J685" s="4">
        <v>1204.23</v>
      </c>
    </row>
    <row r="686" spans="1:10">
      <c r="A686" t="s">
        <v>1382</v>
      </c>
      <c r="B686" s="3">
        <v>45907</v>
      </c>
      <c r="C686" t="s">
        <v>1383</v>
      </c>
      <c r="D686" t="s">
        <v>381</v>
      </c>
      <c r="E686" t="s">
        <v>43</v>
      </c>
      <c r="F686">
        <v>4</v>
      </c>
      <c r="G686" t="s">
        <v>23</v>
      </c>
      <c r="H686" s="14">
        <v>0.06</v>
      </c>
      <c r="I686" s="23">
        <v>442.54</v>
      </c>
      <c r="J686" s="4">
        <v>1769.92</v>
      </c>
    </row>
    <row r="687" spans="1:10">
      <c r="A687" t="s">
        <v>1384</v>
      </c>
      <c r="B687" s="3">
        <v>45270</v>
      </c>
      <c r="C687" t="s">
        <v>1385</v>
      </c>
      <c r="D687" t="s">
        <v>110</v>
      </c>
      <c r="E687" t="s">
        <v>149</v>
      </c>
      <c r="F687">
        <v>4</v>
      </c>
      <c r="G687" t="s">
        <v>33</v>
      </c>
      <c r="H687" s="14">
        <v>0.06</v>
      </c>
      <c r="I687" s="23">
        <v>451.41</v>
      </c>
      <c r="J687" s="4">
        <v>1805.4</v>
      </c>
    </row>
    <row r="688" spans="1:10">
      <c r="A688" t="s">
        <v>1386</v>
      </c>
      <c r="B688" s="3">
        <v>45942</v>
      </c>
      <c r="C688" t="s">
        <v>1081</v>
      </c>
      <c r="D688" t="s">
        <v>372</v>
      </c>
      <c r="E688" t="s">
        <v>127</v>
      </c>
      <c r="F688">
        <v>4</v>
      </c>
      <c r="G688" t="s">
        <v>23</v>
      </c>
      <c r="H688" s="14">
        <v>0.25</v>
      </c>
      <c r="I688" s="23">
        <v>547.21</v>
      </c>
      <c r="J688" s="4">
        <v>2187.84</v>
      </c>
    </row>
    <row r="689" spans="1:10">
      <c r="A689" t="s">
        <v>1387</v>
      </c>
      <c r="B689" s="3">
        <v>45750</v>
      </c>
      <c r="C689" t="s">
        <v>262</v>
      </c>
      <c r="D689" t="s">
        <v>514</v>
      </c>
      <c r="E689" t="s">
        <v>72</v>
      </c>
      <c r="F689">
        <v>1</v>
      </c>
      <c r="G689" t="s">
        <v>33</v>
      </c>
      <c r="H689" s="14">
        <v>0.2</v>
      </c>
      <c r="I689" s="23">
        <v>979.28</v>
      </c>
      <c r="J689" s="4">
        <v>979.08</v>
      </c>
    </row>
    <row r="690" spans="1:10">
      <c r="A690" t="s">
        <v>1388</v>
      </c>
      <c r="B690" s="3">
        <v>45300</v>
      </c>
      <c r="C690" t="s">
        <v>88</v>
      </c>
      <c r="D690" t="s">
        <v>71</v>
      </c>
      <c r="E690" t="s">
        <v>66</v>
      </c>
      <c r="F690">
        <v>4</v>
      </c>
      <c r="G690" t="s">
        <v>23</v>
      </c>
      <c r="H690" s="14">
        <v>0.04</v>
      </c>
      <c r="I690" s="23">
        <v>263.58999999999997</v>
      </c>
      <c r="J690" s="4">
        <v>1054.2</v>
      </c>
    </row>
    <row r="691" spans="1:10">
      <c r="A691" t="s">
        <v>1389</v>
      </c>
      <c r="B691" s="3">
        <v>45876</v>
      </c>
      <c r="C691" t="s">
        <v>436</v>
      </c>
      <c r="D691" t="s">
        <v>420</v>
      </c>
      <c r="E691" t="s">
        <v>58</v>
      </c>
      <c r="F691">
        <v>1</v>
      </c>
      <c r="G691" t="s">
        <v>50</v>
      </c>
      <c r="H691" s="14">
        <v>0.11</v>
      </c>
      <c r="I691" s="23">
        <v>692.75</v>
      </c>
      <c r="J691" s="4">
        <v>692.64</v>
      </c>
    </row>
    <row r="692" spans="1:10">
      <c r="A692" t="s">
        <v>1390</v>
      </c>
      <c r="B692" s="3">
        <v>45301</v>
      </c>
      <c r="C692" t="s">
        <v>1083</v>
      </c>
      <c r="D692" t="s">
        <v>625</v>
      </c>
      <c r="E692" t="s">
        <v>22</v>
      </c>
      <c r="F692">
        <v>3</v>
      </c>
      <c r="G692" t="s">
        <v>23</v>
      </c>
      <c r="H692" s="14">
        <v>0.01</v>
      </c>
      <c r="I692" s="23">
        <v>142.83000000000001</v>
      </c>
      <c r="J692" s="4">
        <v>428.46</v>
      </c>
    </row>
    <row r="693" spans="1:10">
      <c r="A693" t="s">
        <v>1391</v>
      </c>
      <c r="B693" s="3">
        <v>45857</v>
      </c>
      <c r="C693" t="s">
        <v>1392</v>
      </c>
      <c r="D693" t="s">
        <v>443</v>
      </c>
      <c r="E693" t="s">
        <v>198</v>
      </c>
      <c r="F693">
        <v>2</v>
      </c>
      <c r="G693" t="s">
        <v>33</v>
      </c>
      <c r="H693" s="14">
        <v>0.17</v>
      </c>
      <c r="I693" s="23">
        <v>419.25</v>
      </c>
      <c r="J693" s="4">
        <v>838.16</v>
      </c>
    </row>
    <row r="694" spans="1:10">
      <c r="A694" t="s">
        <v>1393</v>
      </c>
      <c r="B694" s="3">
        <v>45650</v>
      </c>
      <c r="C694" t="s">
        <v>750</v>
      </c>
      <c r="D694" t="s">
        <v>246</v>
      </c>
      <c r="E694" t="s">
        <v>135</v>
      </c>
      <c r="F694">
        <v>2</v>
      </c>
      <c r="G694" t="s">
        <v>50</v>
      </c>
      <c r="H694" s="14">
        <v>0.27</v>
      </c>
      <c r="I694" s="23">
        <v>800.84</v>
      </c>
      <c r="J694" s="4">
        <v>1601.14</v>
      </c>
    </row>
    <row r="695" spans="1:10">
      <c r="A695" t="s">
        <v>1394</v>
      </c>
      <c r="B695" s="3">
        <v>45520</v>
      </c>
      <c r="C695" t="s">
        <v>1033</v>
      </c>
      <c r="D695" t="s">
        <v>505</v>
      </c>
      <c r="E695" t="s">
        <v>198</v>
      </c>
      <c r="F695">
        <v>1</v>
      </c>
      <c r="G695" t="s">
        <v>33</v>
      </c>
      <c r="H695" s="14">
        <v>0.11</v>
      </c>
      <c r="I695" s="23">
        <v>301.24</v>
      </c>
      <c r="J695" s="4">
        <v>301.13</v>
      </c>
    </row>
    <row r="696" spans="1:10">
      <c r="A696" t="s">
        <v>1395</v>
      </c>
      <c r="B696" s="3">
        <v>45497</v>
      </c>
      <c r="C696" t="s">
        <v>1040</v>
      </c>
      <c r="D696" t="s">
        <v>462</v>
      </c>
      <c r="E696" t="s">
        <v>58</v>
      </c>
      <c r="F696">
        <v>2</v>
      </c>
      <c r="G696" t="s">
        <v>33</v>
      </c>
      <c r="H696" s="14">
        <v>0.09</v>
      </c>
      <c r="I696" s="23">
        <v>701.49</v>
      </c>
      <c r="J696" s="4">
        <v>1402.8</v>
      </c>
    </row>
    <row r="697" spans="1:10">
      <c r="A697" t="s">
        <v>1396</v>
      </c>
      <c r="B697" s="3">
        <v>45615</v>
      </c>
      <c r="C697" t="s">
        <v>1397</v>
      </c>
      <c r="D697" t="s">
        <v>246</v>
      </c>
      <c r="E697" t="s">
        <v>168</v>
      </c>
      <c r="F697">
        <v>4</v>
      </c>
      <c r="G697" t="s">
        <v>33</v>
      </c>
      <c r="H697" s="14">
        <v>0.02</v>
      </c>
      <c r="I697" s="23">
        <v>413.48</v>
      </c>
      <c r="J697" s="4">
        <v>1653.84</v>
      </c>
    </row>
    <row r="698" spans="1:10">
      <c r="A698" t="s">
        <v>1398</v>
      </c>
      <c r="B698" s="3">
        <v>45365</v>
      </c>
      <c r="C698" t="s">
        <v>1095</v>
      </c>
      <c r="D698" t="s">
        <v>484</v>
      </c>
      <c r="E698" t="s">
        <v>105</v>
      </c>
      <c r="F698">
        <v>4</v>
      </c>
      <c r="G698" t="s">
        <v>23</v>
      </c>
      <c r="H698" s="14">
        <v>0.15</v>
      </c>
      <c r="I698" s="23">
        <v>167.83</v>
      </c>
      <c r="J698" s="4">
        <v>670.72</v>
      </c>
    </row>
    <row r="699" spans="1:10">
      <c r="A699" t="s">
        <v>1399</v>
      </c>
      <c r="B699" s="3">
        <v>45832</v>
      </c>
      <c r="C699" t="s">
        <v>1400</v>
      </c>
      <c r="D699" t="s">
        <v>65</v>
      </c>
      <c r="E699" t="s">
        <v>160</v>
      </c>
      <c r="F699">
        <v>2</v>
      </c>
      <c r="G699" t="s">
        <v>23</v>
      </c>
      <c r="H699" s="14">
        <v>0.22</v>
      </c>
      <c r="I699" s="23">
        <v>669.12</v>
      </c>
      <c r="J699" s="4">
        <v>1337.8</v>
      </c>
    </row>
    <row r="700" spans="1:10">
      <c r="A700" t="s">
        <v>1401</v>
      </c>
      <c r="B700" s="3">
        <v>45530</v>
      </c>
      <c r="C700" t="s">
        <v>1004</v>
      </c>
      <c r="D700" t="s">
        <v>786</v>
      </c>
      <c r="E700" t="s">
        <v>66</v>
      </c>
      <c r="F700">
        <v>3</v>
      </c>
      <c r="G700" t="s">
        <v>33</v>
      </c>
      <c r="H700" s="14">
        <v>0.18</v>
      </c>
      <c r="I700" s="23">
        <v>346.77</v>
      </c>
      <c r="J700" s="4">
        <v>1039.77</v>
      </c>
    </row>
    <row r="701" spans="1:10">
      <c r="A701" t="s">
        <v>1402</v>
      </c>
      <c r="B701" s="3">
        <v>45939</v>
      </c>
      <c r="C701" t="s">
        <v>1306</v>
      </c>
      <c r="D701" t="s">
        <v>250</v>
      </c>
      <c r="E701" t="s">
        <v>135</v>
      </c>
      <c r="F701">
        <v>3</v>
      </c>
      <c r="G701" t="s">
        <v>50</v>
      </c>
      <c r="H701" s="14">
        <v>0.2</v>
      </c>
      <c r="I701" s="23">
        <v>648.33000000000004</v>
      </c>
      <c r="J701" s="4">
        <v>1944.39</v>
      </c>
    </row>
    <row r="702" spans="1:10">
      <c r="A702" t="s">
        <v>1403</v>
      </c>
      <c r="B702" s="3">
        <v>45401</v>
      </c>
      <c r="C702" t="s">
        <v>1404</v>
      </c>
      <c r="D702" t="s">
        <v>887</v>
      </c>
      <c r="E702" t="s">
        <v>198</v>
      </c>
      <c r="F702">
        <v>4</v>
      </c>
      <c r="G702" t="s">
        <v>33</v>
      </c>
      <c r="H702" s="14">
        <v>0.06</v>
      </c>
      <c r="I702" s="23">
        <v>254.94</v>
      </c>
      <c r="J702" s="4">
        <v>1019.52</v>
      </c>
    </row>
    <row r="703" spans="1:10">
      <c r="A703" t="s">
        <v>1405</v>
      </c>
      <c r="B703" s="3">
        <v>45420</v>
      </c>
      <c r="C703" t="s">
        <v>439</v>
      </c>
      <c r="D703" t="s">
        <v>630</v>
      </c>
      <c r="E703" t="s">
        <v>72</v>
      </c>
      <c r="F703">
        <v>1</v>
      </c>
      <c r="G703" t="s">
        <v>23</v>
      </c>
      <c r="H703" s="14">
        <v>0.28000000000000003</v>
      </c>
      <c r="I703" s="23">
        <v>445.5</v>
      </c>
      <c r="J703" s="4">
        <v>445.22</v>
      </c>
    </row>
    <row r="704" spans="1:10">
      <c r="A704" t="s">
        <v>1406</v>
      </c>
      <c r="B704" s="3">
        <v>45459</v>
      </c>
      <c r="C704" t="s">
        <v>358</v>
      </c>
      <c r="D704" t="s">
        <v>453</v>
      </c>
      <c r="E704" t="s">
        <v>72</v>
      </c>
      <c r="F704">
        <v>1</v>
      </c>
      <c r="G704" t="s">
        <v>23</v>
      </c>
      <c r="H704" s="14">
        <v>0.1</v>
      </c>
      <c r="I704" s="23">
        <v>900.94</v>
      </c>
      <c r="J704" s="4">
        <v>900.84</v>
      </c>
    </row>
    <row r="705" spans="1:10">
      <c r="A705" t="s">
        <v>1407</v>
      </c>
      <c r="B705" s="3">
        <v>45429</v>
      </c>
      <c r="C705" t="s">
        <v>1408</v>
      </c>
      <c r="D705" t="s">
        <v>65</v>
      </c>
      <c r="E705" t="s">
        <v>117</v>
      </c>
      <c r="F705">
        <v>3</v>
      </c>
      <c r="G705" t="s">
        <v>33</v>
      </c>
      <c r="H705" s="14">
        <v>0.04</v>
      </c>
      <c r="I705" s="23">
        <v>262.69</v>
      </c>
      <c r="J705" s="4">
        <v>787.95</v>
      </c>
    </row>
    <row r="706" spans="1:10">
      <c r="A706" t="s">
        <v>1409</v>
      </c>
      <c r="B706" s="3">
        <v>45386</v>
      </c>
      <c r="C706" t="s">
        <v>1410</v>
      </c>
      <c r="D706" t="s">
        <v>741</v>
      </c>
      <c r="E706" t="s">
        <v>198</v>
      </c>
      <c r="F706">
        <v>3</v>
      </c>
      <c r="G706" t="s">
        <v>33</v>
      </c>
      <c r="H706" s="14">
        <v>0.22</v>
      </c>
      <c r="I706" s="23">
        <v>212.72</v>
      </c>
      <c r="J706" s="4">
        <v>637.5</v>
      </c>
    </row>
    <row r="707" spans="1:10">
      <c r="A707" t="s">
        <v>1411</v>
      </c>
      <c r="B707" s="3">
        <v>45803</v>
      </c>
      <c r="C707" t="s">
        <v>1412</v>
      </c>
      <c r="D707" t="s">
        <v>97</v>
      </c>
      <c r="E707" t="s">
        <v>160</v>
      </c>
      <c r="F707">
        <v>4</v>
      </c>
      <c r="G707" t="s">
        <v>33</v>
      </c>
      <c r="H707" s="14">
        <v>0.22</v>
      </c>
      <c r="I707" s="23">
        <v>757.9</v>
      </c>
      <c r="J707" s="4">
        <v>3030.72</v>
      </c>
    </row>
    <row r="708" spans="1:10">
      <c r="A708" t="s">
        <v>1413</v>
      </c>
      <c r="B708" s="3">
        <v>45346</v>
      </c>
      <c r="C708" t="s">
        <v>827</v>
      </c>
      <c r="D708" t="s">
        <v>429</v>
      </c>
      <c r="E708" t="s">
        <v>32</v>
      </c>
      <c r="F708">
        <v>1</v>
      </c>
      <c r="G708" t="s">
        <v>33</v>
      </c>
      <c r="H708" s="14">
        <v>0.08</v>
      </c>
      <c r="I708" s="23">
        <v>846.04</v>
      </c>
      <c r="J708" s="4">
        <v>845.96</v>
      </c>
    </row>
    <row r="709" spans="1:10">
      <c r="A709" t="s">
        <v>1414</v>
      </c>
      <c r="B709" s="3">
        <v>45267</v>
      </c>
      <c r="C709" t="s">
        <v>1045</v>
      </c>
      <c r="D709" t="s">
        <v>340</v>
      </c>
      <c r="E709" t="s">
        <v>66</v>
      </c>
      <c r="F709">
        <v>3</v>
      </c>
      <c r="G709" t="s">
        <v>50</v>
      </c>
      <c r="H709" s="14">
        <v>0.17</v>
      </c>
      <c r="I709" s="23">
        <v>179.7</v>
      </c>
      <c r="J709" s="4">
        <v>538.59</v>
      </c>
    </row>
    <row r="710" spans="1:10">
      <c r="A710" t="s">
        <v>1415</v>
      </c>
      <c r="B710" s="3">
        <v>45572</v>
      </c>
      <c r="C710" t="s">
        <v>1416</v>
      </c>
      <c r="D710" t="s">
        <v>311</v>
      </c>
      <c r="E710" t="s">
        <v>72</v>
      </c>
      <c r="F710">
        <v>4</v>
      </c>
      <c r="G710" t="s">
        <v>33</v>
      </c>
      <c r="H710" s="14">
        <v>0</v>
      </c>
      <c r="I710" s="23">
        <v>681.08</v>
      </c>
      <c r="J710" s="4">
        <v>2724.32</v>
      </c>
    </row>
    <row r="711" spans="1:10">
      <c r="A711" t="s">
        <v>1417</v>
      </c>
      <c r="B711" s="3">
        <v>45252</v>
      </c>
      <c r="C711" t="s">
        <v>376</v>
      </c>
      <c r="D711" t="s">
        <v>634</v>
      </c>
      <c r="E711" t="s">
        <v>66</v>
      </c>
      <c r="F711">
        <v>4</v>
      </c>
      <c r="G711" t="s">
        <v>33</v>
      </c>
      <c r="H711" s="14">
        <v>0.14000000000000001</v>
      </c>
      <c r="I711" s="23">
        <v>723.44</v>
      </c>
      <c r="J711" s="4">
        <v>2893.2</v>
      </c>
    </row>
    <row r="712" spans="1:10">
      <c r="A712" t="s">
        <v>1418</v>
      </c>
      <c r="B712" s="3">
        <v>45939</v>
      </c>
      <c r="C712" t="s">
        <v>320</v>
      </c>
      <c r="D712" t="s">
        <v>311</v>
      </c>
      <c r="E712" t="s">
        <v>98</v>
      </c>
      <c r="F712">
        <v>4</v>
      </c>
      <c r="G712" t="s">
        <v>50</v>
      </c>
      <c r="H712" s="14">
        <v>0.12</v>
      </c>
      <c r="I712" s="23">
        <v>471.89</v>
      </c>
      <c r="J712" s="4">
        <v>1887.08</v>
      </c>
    </row>
    <row r="713" spans="1:10">
      <c r="A713" t="s">
        <v>1419</v>
      </c>
      <c r="B713" s="3">
        <v>45559</v>
      </c>
      <c r="C713" t="s">
        <v>1089</v>
      </c>
      <c r="D713" t="s">
        <v>368</v>
      </c>
      <c r="E713" t="s">
        <v>32</v>
      </c>
      <c r="F713">
        <v>1</v>
      </c>
      <c r="G713" t="s">
        <v>50</v>
      </c>
      <c r="H713" s="14">
        <v>0.14000000000000001</v>
      </c>
      <c r="I713" s="23">
        <v>613.17999999999995</v>
      </c>
      <c r="J713" s="4">
        <v>613.04</v>
      </c>
    </row>
    <row r="714" spans="1:10">
      <c r="A714" t="s">
        <v>1420</v>
      </c>
      <c r="B714" s="3">
        <v>45229</v>
      </c>
      <c r="C714" t="s">
        <v>1361</v>
      </c>
      <c r="D714" t="s">
        <v>159</v>
      </c>
      <c r="E714" t="s">
        <v>72</v>
      </c>
      <c r="F714">
        <v>1</v>
      </c>
      <c r="G714" t="s">
        <v>33</v>
      </c>
      <c r="H714" s="14">
        <v>0.24</v>
      </c>
      <c r="I714" s="23">
        <v>651.30999999999995</v>
      </c>
      <c r="J714" s="4">
        <v>651.07000000000005</v>
      </c>
    </row>
    <row r="715" spans="1:10">
      <c r="A715" t="s">
        <v>1421</v>
      </c>
      <c r="B715" s="3">
        <v>45333</v>
      </c>
      <c r="C715" t="s">
        <v>1422</v>
      </c>
      <c r="D715" t="s">
        <v>414</v>
      </c>
      <c r="E715" t="s">
        <v>179</v>
      </c>
      <c r="F715">
        <v>2</v>
      </c>
      <c r="G715" t="s">
        <v>50</v>
      </c>
      <c r="H715" s="14">
        <v>0.1</v>
      </c>
      <c r="I715" s="23">
        <v>635.14</v>
      </c>
      <c r="J715" s="4">
        <v>1270.08</v>
      </c>
    </row>
    <row r="716" spans="1:10">
      <c r="A716" t="s">
        <v>1423</v>
      </c>
      <c r="B716" s="3">
        <v>45752</v>
      </c>
      <c r="C716" t="s">
        <v>1424</v>
      </c>
      <c r="D716" t="s">
        <v>187</v>
      </c>
      <c r="E716" t="s">
        <v>98</v>
      </c>
      <c r="F716">
        <v>4</v>
      </c>
      <c r="G716" t="s">
        <v>23</v>
      </c>
      <c r="H716" s="14">
        <v>0.14000000000000001</v>
      </c>
      <c r="I716" s="23">
        <v>912.61</v>
      </c>
      <c r="J716" s="4">
        <v>3649.88</v>
      </c>
    </row>
    <row r="717" spans="1:10">
      <c r="A717" t="s">
        <v>1425</v>
      </c>
      <c r="B717" s="3">
        <v>45795</v>
      </c>
      <c r="C717" t="s">
        <v>1426</v>
      </c>
      <c r="D717" t="s">
        <v>302</v>
      </c>
      <c r="E717" t="s">
        <v>66</v>
      </c>
      <c r="F717">
        <v>3</v>
      </c>
      <c r="G717" t="s">
        <v>23</v>
      </c>
      <c r="H717" s="14">
        <v>0.09</v>
      </c>
      <c r="I717" s="23">
        <v>79.77</v>
      </c>
      <c r="J717" s="4">
        <v>239.04</v>
      </c>
    </row>
    <row r="718" spans="1:10">
      <c r="A718" t="s">
        <v>1427</v>
      </c>
      <c r="B718" s="3">
        <v>45755</v>
      </c>
      <c r="C718" t="s">
        <v>490</v>
      </c>
      <c r="D718" t="s">
        <v>242</v>
      </c>
      <c r="E718" t="s">
        <v>122</v>
      </c>
      <c r="F718">
        <v>4</v>
      </c>
      <c r="G718" t="s">
        <v>23</v>
      </c>
      <c r="H718" s="14">
        <v>0.25</v>
      </c>
      <c r="I718" s="23">
        <v>603.52</v>
      </c>
      <c r="J718" s="4">
        <v>2413.08</v>
      </c>
    </row>
    <row r="719" spans="1:10">
      <c r="A719" t="s">
        <v>1428</v>
      </c>
      <c r="B719" s="3">
        <v>45625</v>
      </c>
      <c r="C719" t="s">
        <v>944</v>
      </c>
      <c r="D719" t="s">
        <v>192</v>
      </c>
      <c r="E719" t="s">
        <v>208</v>
      </c>
      <c r="F719">
        <v>4</v>
      </c>
      <c r="G719" t="s">
        <v>50</v>
      </c>
      <c r="H719" s="14">
        <v>0.23</v>
      </c>
      <c r="I719" s="23">
        <v>453.12</v>
      </c>
      <c r="J719" s="4">
        <v>1811.56</v>
      </c>
    </row>
    <row r="720" spans="1:10">
      <c r="A720" t="s">
        <v>1429</v>
      </c>
      <c r="B720" s="3">
        <v>45656</v>
      </c>
      <c r="C720" t="s">
        <v>1430</v>
      </c>
      <c r="D720" t="s">
        <v>89</v>
      </c>
      <c r="E720" t="s">
        <v>127</v>
      </c>
      <c r="F720">
        <v>2</v>
      </c>
      <c r="G720" t="s">
        <v>23</v>
      </c>
      <c r="H720" s="14">
        <v>0.15</v>
      </c>
      <c r="I720" s="23">
        <v>974.35</v>
      </c>
      <c r="J720" s="4">
        <v>1948.4</v>
      </c>
    </row>
    <row r="721" spans="1:10">
      <c r="A721" t="s">
        <v>1431</v>
      </c>
      <c r="B721" s="3">
        <v>45824</v>
      </c>
      <c r="C721" t="s">
        <v>166</v>
      </c>
      <c r="D721" t="s">
        <v>1126</v>
      </c>
      <c r="E721" t="s">
        <v>32</v>
      </c>
      <c r="F721">
        <v>4</v>
      </c>
      <c r="G721" t="s">
        <v>50</v>
      </c>
      <c r="H721" s="14">
        <v>0.23</v>
      </c>
      <c r="I721" s="23">
        <v>52.35</v>
      </c>
      <c r="J721" s="4">
        <v>208.48</v>
      </c>
    </row>
    <row r="722" spans="1:10">
      <c r="A722" t="s">
        <v>1432</v>
      </c>
      <c r="B722" s="3">
        <v>45824</v>
      </c>
      <c r="C722" t="s">
        <v>946</v>
      </c>
      <c r="D722" t="s">
        <v>134</v>
      </c>
      <c r="E722" t="s">
        <v>32</v>
      </c>
      <c r="F722">
        <v>3</v>
      </c>
      <c r="G722" t="s">
        <v>23</v>
      </c>
      <c r="H722" s="14">
        <v>0.23</v>
      </c>
      <c r="I722" s="23">
        <v>681.58</v>
      </c>
      <c r="J722" s="4">
        <v>2044.05</v>
      </c>
    </row>
    <row r="723" spans="1:10">
      <c r="A723" t="s">
        <v>1433</v>
      </c>
      <c r="B723" s="3">
        <v>45384</v>
      </c>
      <c r="C723" t="s">
        <v>1373</v>
      </c>
      <c r="D723" t="s">
        <v>359</v>
      </c>
      <c r="E723" t="s">
        <v>122</v>
      </c>
      <c r="F723">
        <v>3</v>
      </c>
      <c r="G723" t="s">
        <v>23</v>
      </c>
      <c r="H723" s="14">
        <v>0.03</v>
      </c>
      <c r="I723" s="23">
        <v>71.23</v>
      </c>
      <c r="J723" s="4">
        <v>213.6</v>
      </c>
    </row>
    <row r="724" spans="1:10">
      <c r="A724" t="s">
        <v>1434</v>
      </c>
      <c r="B724" s="3">
        <v>45379</v>
      </c>
      <c r="C724" t="s">
        <v>926</v>
      </c>
      <c r="D724" t="s">
        <v>65</v>
      </c>
      <c r="E724" t="s">
        <v>98</v>
      </c>
      <c r="F724">
        <v>1</v>
      </c>
      <c r="G724" t="s">
        <v>50</v>
      </c>
      <c r="H724" s="14">
        <v>0.21</v>
      </c>
      <c r="I724" s="23">
        <v>31.36</v>
      </c>
      <c r="J724" s="4">
        <v>31.15</v>
      </c>
    </row>
    <row r="725" spans="1:10">
      <c r="A725" t="s">
        <v>1435</v>
      </c>
      <c r="B725" s="3">
        <v>45674</v>
      </c>
      <c r="C725" t="s">
        <v>1436</v>
      </c>
      <c r="D725" t="s">
        <v>745</v>
      </c>
      <c r="E725" t="s">
        <v>149</v>
      </c>
      <c r="F725">
        <v>2</v>
      </c>
      <c r="G725" t="s">
        <v>23</v>
      </c>
      <c r="H725" s="14">
        <v>0.14000000000000001</v>
      </c>
      <c r="I725" s="23">
        <v>555.54999999999995</v>
      </c>
      <c r="J725" s="4">
        <v>1110.82</v>
      </c>
    </row>
    <row r="726" spans="1:10">
      <c r="A726" t="s">
        <v>1437</v>
      </c>
      <c r="B726" s="3">
        <v>45760</v>
      </c>
      <c r="C726" t="s">
        <v>890</v>
      </c>
      <c r="D726" t="s">
        <v>532</v>
      </c>
      <c r="E726" t="s">
        <v>117</v>
      </c>
      <c r="F726">
        <v>4</v>
      </c>
      <c r="G726" t="s">
        <v>23</v>
      </c>
      <c r="H726" s="14">
        <v>0.06</v>
      </c>
      <c r="I726" s="23">
        <v>805.99</v>
      </c>
      <c r="J726" s="4">
        <v>3223.72</v>
      </c>
    </row>
    <row r="727" spans="1:10">
      <c r="A727" t="s">
        <v>1438</v>
      </c>
      <c r="B727" s="3">
        <v>45474</v>
      </c>
      <c r="C727" t="s">
        <v>1187</v>
      </c>
      <c r="D727" t="s">
        <v>368</v>
      </c>
      <c r="E727" t="s">
        <v>105</v>
      </c>
      <c r="F727">
        <v>1</v>
      </c>
      <c r="G727" t="s">
        <v>23</v>
      </c>
      <c r="H727" s="14">
        <v>0.28000000000000003</v>
      </c>
      <c r="I727" s="23">
        <v>506.55</v>
      </c>
      <c r="J727" s="4">
        <v>506.27</v>
      </c>
    </row>
    <row r="728" spans="1:10">
      <c r="A728" t="s">
        <v>1439</v>
      </c>
      <c r="B728" s="3">
        <v>45640</v>
      </c>
      <c r="C728" t="s">
        <v>1440</v>
      </c>
      <c r="D728" t="s">
        <v>745</v>
      </c>
      <c r="E728" t="s">
        <v>272</v>
      </c>
      <c r="F728">
        <v>3</v>
      </c>
      <c r="G728" t="s">
        <v>23</v>
      </c>
      <c r="H728" s="14">
        <v>0.02</v>
      </c>
      <c r="I728" s="23">
        <v>28.69</v>
      </c>
      <c r="J728" s="4">
        <v>86.01</v>
      </c>
    </row>
    <row r="729" spans="1:10">
      <c r="A729" t="s">
        <v>1441</v>
      </c>
      <c r="B729" s="3">
        <v>45253</v>
      </c>
      <c r="C729" t="s">
        <v>1442</v>
      </c>
      <c r="D729" t="s">
        <v>49</v>
      </c>
      <c r="E729" t="s">
        <v>72</v>
      </c>
      <c r="F729">
        <v>1</v>
      </c>
      <c r="G729" t="s">
        <v>50</v>
      </c>
      <c r="H729" s="14">
        <v>0.23</v>
      </c>
      <c r="I729" s="23">
        <v>106.07</v>
      </c>
      <c r="J729" s="4">
        <v>105.84</v>
      </c>
    </row>
    <row r="730" spans="1:10">
      <c r="A730" t="s">
        <v>1443</v>
      </c>
      <c r="B730" s="3">
        <v>45225</v>
      </c>
      <c r="C730" t="s">
        <v>813</v>
      </c>
      <c r="D730" t="s">
        <v>372</v>
      </c>
      <c r="E730" t="s">
        <v>90</v>
      </c>
      <c r="F730">
        <v>4</v>
      </c>
      <c r="G730" t="s">
        <v>33</v>
      </c>
      <c r="H730" s="14">
        <v>0.06</v>
      </c>
      <c r="I730" s="23">
        <v>289.77</v>
      </c>
      <c r="J730" s="4">
        <v>1158.8399999999999</v>
      </c>
    </row>
    <row r="731" spans="1:10">
      <c r="A731" t="s">
        <v>1444</v>
      </c>
      <c r="B731" s="3">
        <v>45263</v>
      </c>
      <c r="C731" t="s">
        <v>1120</v>
      </c>
      <c r="D731" t="s">
        <v>359</v>
      </c>
      <c r="E731" t="s">
        <v>160</v>
      </c>
      <c r="F731">
        <v>2</v>
      </c>
      <c r="G731" t="s">
        <v>50</v>
      </c>
      <c r="H731" s="14">
        <v>0.01</v>
      </c>
      <c r="I731" s="23">
        <v>354.26</v>
      </c>
      <c r="J731" s="4">
        <v>708.5</v>
      </c>
    </row>
    <row r="732" spans="1:10">
      <c r="A732" t="s">
        <v>1445</v>
      </c>
      <c r="B732" s="3">
        <v>45554</v>
      </c>
      <c r="C732" t="s">
        <v>1446</v>
      </c>
      <c r="D732" t="s">
        <v>741</v>
      </c>
      <c r="E732" t="s">
        <v>98</v>
      </c>
      <c r="F732">
        <v>1</v>
      </c>
      <c r="G732" t="s">
        <v>33</v>
      </c>
      <c r="H732" s="14">
        <v>0.25</v>
      </c>
      <c r="I732" s="23">
        <v>522.72</v>
      </c>
      <c r="J732" s="4">
        <v>522.47</v>
      </c>
    </row>
    <row r="733" spans="1:10">
      <c r="A733" t="s">
        <v>1447</v>
      </c>
      <c r="B733" s="3">
        <v>45569</v>
      </c>
      <c r="C733" t="s">
        <v>1208</v>
      </c>
      <c r="D733" t="s">
        <v>183</v>
      </c>
      <c r="E733" t="s">
        <v>127</v>
      </c>
      <c r="F733">
        <v>3</v>
      </c>
      <c r="G733" t="s">
        <v>50</v>
      </c>
      <c r="H733" s="14">
        <v>0.03</v>
      </c>
      <c r="I733" s="23">
        <v>966.02</v>
      </c>
      <c r="J733" s="4">
        <v>2897.97</v>
      </c>
    </row>
    <row r="734" spans="1:10">
      <c r="A734" t="s">
        <v>1448</v>
      </c>
      <c r="B734" s="3">
        <v>45217</v>
      </c>
      <c r="C734" t="s">
        <v>830</v>
      </c>
      <c r="D734" t="s">
        <v>409</v>
      </c>
      <c r="E734" t="s">
        <v>32</v>
      </c>
      <c r="F734">
        <v>1</v>
      </c>
      <c r="G734" t="s">
        <v>33</v>
      </c>
      <c r="H734" s="14">
        <v>0.04</v>
      </c>
      <c r="I734" s="23">
        <v>498.61</v>
      </c>
      <c r="J734" s="4">
        <v>498.57</v>
      </c>
    </row>
    <row r="735" spans="1:10">
      <c r="A735" t="s">
        <v>1449</v>
      </c>
      <c r="B735" s="3">
        <v>45783</v>
      </c>
      <c r="C735" t="s">
        <v>1450</v>
      </c>
      <c r="D735" t="s">
        <v>449</v>
      </c>
      <c r="E735" t="s">
        <v>179</v>
      </c>
      <c r="F735">
        <v>4</v>
      </c>
      <c r="G735" t="s">
        <v>33</v>
      </c>
      <c r="H735" s="14">
        <v>0.05</v>
      </c>
      <c r="I735" s="23">
        <v>758.27</v>
      </c>
      <c r="J735" s="4">
        <v>3032.88</v>
      </c>
    </row>
    <row r="736" spans="1:10">
      <c r="A736" t="s">
        <v>1451</v>
      </c>
      <c r="B736" s="3">
        <v>45371</v>
      </c>
      <c r="C736" t="s">
        <v>840</v>
      </c>
      <c r="D736" t="s">
        <v>414</v>
      </c>
      <c r="E736" t="s">
        <v>198</v>
      </c>
      <c r="F736">
        <v>2</v>
      </c>
      <c r="G736" t="s">
        <v>33</v>
      </c>
      <c r="H736" s="14">
        <v>0.23</v>
      </c>
      <c r="I736" s="23">
        <v>371.03</v>
      </c>
      <c r="J736" s="4">
        <v>741.6</v>
      </c>
    </row>
    <row r="737" spans="1:10">
      <c r="A737" t="s">
        <v>1452</v>
      </c>
      <c r="B737" s="3">
        <v>45453</v>
      </c>
      <c r="C737" t="s">
        <v>1453</v>
      </c>
      <c r="D737" t="s">
        <v>372</v>
      </c>
      <c r="E737" t="s">
        <v>32</v>
      </c>
      <c r="F737">
        <v>1</v>
      </c>
      <c r="G737" t="s">
        <v>50</v>
      </c>
      <c r="H737" s="14">
        <v>0.05</v>
      </c>
      <c r="I737" s="23">
        <v>230.32</v>
      </c>
      <c r="J737" s="4">
        <v>230.27</v>
      </c>
    </row>
    <row r="738" spans="1:10">
      <c r="A738" t="s">
        <v>1454</v>
      </c>
      <c r="B738" s="3">
        <v>45526</v>
      </c>
      <c r="C738" t="s">
        <v>1455</v>
      </c>
      <c r="D738" t="s">
        <v>698</v>
      </c>
      <c r="E738" t="s">
        <v>179</v>
      </c>
      <c r="F738">
        <v>2</v>
      </c>
      <c r="G738" t="s">
        <v>50</v>
      </c>
      <c r="H738" s="14">
        <v>0.28000000000000003</v>
      </c>
      <c r="I738" s="23">
        <v>985.43</v>
      </c>
      <c r="J738" s="4">
        <v>1970.3</v>
      </c>
    </row>
    <row r="739" spans="1:10">
      <c r="A739" t="s">
        <v>1456</v>
      </c>
      <c r="B739" s="3">
        <v>45756</v>
      </c>
      <c r="C739" t="s">
        <v>1064</v>
      </c>
      <c r="D739" t="s">
        <v>810</v>
      </c>
      <c r="E739" t="s">
        <v>72</v>
      </c>
      <c r="F739">
        <v>2</v>
      </c>
      <c r="G739" t="s">
        <v>33</v>
      </c>
      <c r="H739" s="14">
        <v>0.3</v>
      </c>
      <c r="I739" s="23">
        <v>492.5</v>
      </c>
      <c r="J739" s="4">
        <v>984.4</v>
      </c>
    </row>
    <row r="740" spans="1:10">
      <c r="A740" t="s">
        <v>1457</v>
      </c>
      <c r="B740" s="3">
        <v>45657</v>
      </c>
      <c r="C740" t="s">
        <v>731</v>
      </c>
      <c r="D740" t="s">
        <v>381</v>
      </c>
      <c r="E740" t="s">
        <v>272</v>
      </c>
      <c r="F740">
        <v>2</v>
      </c>
      <c r="G740" t="s">
        <v>33</v>
      </c>
      <c r="H740" s="14">
        <v>0.28000000000000003</v>
      </c>
      <c r="I740" s="23">
        <v>213.69</v>
      </c>
      <c r="J740" s="4">
        <v>426.82</v>
      </c>
    </row>
    <row r="741" spans="1:10">
      <c r="A741" t="s">
        <v>1458</v>
      </c>
      <c r="B741" s="3">
        <v>45716</v>
      </c>
      <c r="C741" t="s">
        <v>96</v>
      </c>
      <c r="D741" t="s">
        <v>291</v>
      </c>
      <c r="E741" t="s">
        <v>43</v>
      </c>
      <c r="F741">
        <v>4</v>
      </c>
      <c r="G741" t="s">
        <v>33</v>
      </c>
      <c r="H741" s="14">
        <v>0.08</v>
      </c>
      <c r="I741" s="23">
        <v>618.83000000000004</v>
      </c>
      <c r="J741" s="4">
        <v>2475</v>
      </c>
    </row>
    <row r="742" spans="1:10">
      <c r="A742" t="s">
        <v>1459</v>
      </c>
      <c r="B742" s="3">
        <v>45313</v>
      </c>
      <c r="C742" t="s">
        <v>546</v>
      </c>
      <c r="D742" t="s">
        <v>57</v>
      </c>
      <c r="E742" t="s">
        <v>272</v>
      </c>
      <c r="F742">
        <v>2</v>
      </c>
      <c r="G742" t="s">
        <v>33</v>
      </c>
      <c r="H742" s="14">
        <v>0.16</v>
      </c>
      <c r="I742" s="23">
        <v>81.16</v>
      </c>
      <c r="J742" s="4">
        <v>162</v>
      </c>
    </row>
    <row r="743" spans="1:10">
      <c r="A743" t="s">
        <v>1460</v>
      </c>
      <c r="B743" s="3">
        <v>45372</v>
      </c>
      <c r="C743" t="s">
        <v>436</v>
      </c>
      <c r="D743" t="s">
        <v>400</v>
      </c>
      <c r="E743" t="s">
        <v>127</v>
      </c>
      <c r="F743">
        <v>1</v>
      </c>
      <c r="G743" t="s">
        <v>23</v>
      </c>
      <c r="H743" s="14">
        <v>0.09</v>
      </c>
      <c r="I743" s="23">
        <v>431.69</v>
      </c>
      <c r="J743" s="4">
        <v>431.6</v>
      </c>
    </row>
    <row r="744" spans="1:10">
      <c r="A744" t="s">
        <v>1461</v>
      </c>
      <c r="B744" s="3">
        <v>45648</v>
      </c>
      <c r="C744" t="s">
        <v>558</v>
      </c>
      <c r="D744" t="s">
        <v>928</v>
      </c>
      <c r="E744" t="s">
        <v>58</v>
      </c>
      <c r="F744">
        <v>3</v>
      </c>
      <c r="G744" t="s">
        <v>33</v>
      </c>
      <c r="H744" s="14">
        <v>0.28999999999999998</v>
      </c>
      <c r="I744" s="23">
        <v>438.65</v>
      </c>
      <c r="J744" s="4">
        <v>1315.08</v>
      </c>
    </row>
    <row r="745" spans="1:10">
      <c r="A745" t="s">
        <v>1462</v>
      </c>
      <c r="B745" s="3">
        <v>45384</v>
      </c>
      <c r="C745" t="s">
        <v>1463</v>
      </c>
      <c r="D745" t="s">
        <v>221</v>
      </c>
      <c r="E745" t="s">
        <v>22</v>
      </c>
      <c r="F745">
        <v>3</v>
      </c>
      <c r="G745" t="s">
        <v>23</v>
      </c>
      <c r="H745" s="14">
        <v>0.26</v>
      </c>
      <c r="I745" s="23">
        <v>339.41</v>
      </c>
      <c r="J745" s="4">
        <v>1017.45</v>
      </c>
    </row>
    <row r="746" spans="1:10">
      <c r="A746" t="s">
        <v>1464</v>
      </c>
      <c r="B746" s="3">
        <v>45687</v>
      </c>
      <c r="C746" t="s">
        <v>264</v>
      </c>
      <c r="D746" t="s">
        <v>221</v>
      </c>
      <c r="E746" t="s">
        <v>127</v>
      </c>
      <c r="F746">
        <v>4</v>
      </c>
      <c r="G746" t="s">
        <v>50</v>
      </c>
      <c r="H746" s="14">
        <v>0.21</v>
      </c>
      <c r="I746" s="23">
        <v>848.47</v>
      </c>
      <c r="J746" s="4">
        <v>3393.04</v>
      </c>
    </row>
    <row r="747" spans="1:10">
      <c r="A747" t="s">
        <v>1465</v>
      </c>
      <c r="B747" s="3">
        <v>45747</v>
      </c>
      <c r="C747" t="s">
        <v>1383</v>
      </c>
      <c r="D747" t="s">
        <v>178</v>
      </c>
      <c r="E747" t="s">
        <v>43</v>
      </c>
      <c r="F747">
        <v>1</v>
      </c>
      <c r="G747" t="s">
        <v>33</v>
      </c>
      <c r="H747" s="14">
        <v>0.08</v>
      </c>
      <c r="I747" s="23">
        <v>664.87</v>
      </c>
      <c r="J747" s="4">
        <v>664.79</v>
      </c>
    </row>
    <row r="748" spans="1:10">
      <c r="A748" t="s">
        <v>1466</v>
      </c>
      <c r="B748" s="3">
        <v>45687</v>
      </c>
      <c r="C748" t="s">
        <v>694</v>
      </c>
      <c r="D748" t="s">
        <v>97</v>
      </c>
      <c r="E748" t="s">
        <v>66</v>
      </c>
      <c r="F748">
        <v>1</v>
      </c>
      <c r="G748" t="s">
        <v>33</v>
      </c>
      <c r="H748" s="14">
        <v>0.23</v>
      </c>
      <c r="I748" s="23">
        <v>412.11</v>
      </c>
      <c r="J748" s="4">
        <v>411.88</v>
      </c>
    </row>
    <row r="749" spans="1:10">
      <c r="A749" t="s">
        <v>1467</v>
      </c>
      <c r="B749" s="3">
        <v>45916</v>
      </c>
      <c r="C749" t="s">
        <v>1468</v>
      </c>
      <c r="D749" t="s">
        <v>242</v>
      </c>
      <c r="E749" t="s">
        <v>105</v>
      </c>
      <c r="F749">
        <v>1</v>
      </c>
      <c r="G749" t="s">
        <v>50</v>
      </c>
      <c r="H749" s="14">
        <v>0.05</v>
      </c>
      <c r="I749" s="23">
        <v>126.09</v>
      </c>
      <c r="J749" s="4">
        <v>126.04</v>
      </c>
    </row>
    <row r="750" spans="1:10">
      <c r="A750" t="s">
        <v>1469</v>
      </c>
      <c r="B750" s="3">
        <v>45917</v>
      </c>
      <c r="C750" t="s">
        <v>840</v>
      </c>
      <c r="D750" t="s">
        <v>178</v>
      </c>
      <c r="E750" t="s">
        <v>168</v>
      </c>
      <c r="F750">
        <v>4</v>
      </c>
      <c r="G750" t="s">
        <v>50</v>
      </c>
      <c r="H750" s="14">
        <v>0.19</v>
      </c>
      <c r="I750" s="23">
        <v>602.39</v>
      </c>
      <c r="J750" s="4">
        <v>2408.8000000000002</v>
      </c>
    </row>
    <row r="751" spans="1:10">
      <c r="A751" t="s">
        <v>1470</v>
      </c>
      <c r="B751" s="3">
        <v>45941</v>
      </c>
      <c r="C751" t="s">
        <v>419</v>
      </c>
      <c r="D751" t="s">
        <v>542</v>
      </c>
      <c r="E751" t="s">
        <v>22</v>
      </c>
      <c r="F751">
        <v>3</v>
      </c>
      <c r="G751" t="s">
        <v>50</v>
      </c>
      <c r="H751" s="14">
        <v>0.02</v>
      </c>
      <c r="I751" s="23">
        <v>447.69</v>
      </c>
      <c r="J751" s="4">
        <v>1343.01</v>
      </c>
    </row>
    <row r="752" spans="1:10">
      <c r="A752" t="s">
        <v>1471</v>
      </c>
      <c r="B752" s="3">
        <v>45778</v>
      </c>
      <c r="C752" t="s">
        <v>763</v>
      </c>
      <c r="D752" t="s">
        <v>116</v>
      </c>
      <c r="E752" t="s">
        <v>22</v>
      </c>
      <c r="F752">
        <v>3</v>
      </c>
      <c r="G752" t="s">
        <v>50</v>
      </c>
      <c r="H752" s="14">
        <v>0.04</v>
      </c>
      <c r="I752" s="23">
        <v>35.159999999999997</v>
      </c>
      <c r="J752" s="4">
        <v>105.36</v>
      </c>
    </row>
    <row r="753" spans="1:10">
      <c r="A753" t="s">
        <v>1472</v>
      </c>
      <c r="B753" s="3">
        <v>45740</v>
      </c>
      <c r="C753" t="s">
        <v>1450</v>
      </c>
      <c r="D753" t="s">
        <v>155</v>
      </c>
      <c r="E753" t="s">
        <v>272</v>
      </c>
      <c r="F753">
        <v>2</v>
      </c>
      <c r="G753" t="s">
        <v>50</v>
      </c>
      <c r="H753" s="14">
        <v>0.18</v>
      </c>
      <c r="I753" s="23">
        <v>838.59</v>
      </c>
      <c r="J753" s="4">
        <v>1676.82</v>
      </c>
    </row>
    <row r="754" spans="1:10">
      <c r="A754" t="s">
        <v>1473</v>
      </c>
      <c r="B754" s="3">
        <v>45598</v>
      </c>
      <c r="C754" t="s">
        <v>979</v>
      </c>
      <c r="D754" t="s">
        <v>57</v>
      </c>
      <c r="E754" t="s">
        <v>179</v>
      </c>
      <c r="F754">
        <v>4</v>
      </c>
      <c r="G754" t="s">
        <v>33</v>
      </c>
      <c r="H754" s="14">
        <v>0.26</v>
      </c>
      <c r="I754" s="23">
        <v>867.94</v>
      </c>
      <c r="J754" s="4">
        <v>3470.72</v>
      </c>
    </row>
    <row r="755" spans="1:10">
      <c r="A755" t="s">
        <v>1474</v>
      </c>
      <c r="B755" s="3">
        <v>45591</v>
      </c>
      <c r="C755" t="s">
        <v>1408</v>
      </c>
      <c r="D755" t="s">
        <v>104</v>
      </c>
      <c r="E755" t="s">
        <v>32</v>
      </c>
      <c r="F755">
        <v>1</v>
      </c>
      <c r="G755" t="s">
        <v>23</v>
      </c>
      <c r="H755" s="14">
        <v>0.25</v>
      </c>
      <c r="I755" s="23">
        <v>623.88</v>
      </c>
      <c r="J755" s="4">
        <v>623.63</v>
      </c>
    </row>
    <row r="756" spans="1:10">
      <c r="A756" t="s">
        <v>1475</v>
      </c>
      <c r="B756" s="3">
        <v>45546</v>
      </c>
      <c r="C756" t="s">
        <v>1373</v>
      </c>
      <c r="D756" t="s">
        <v>449</v>
      </c>
      <c r="E756" t="s">
        <v>98</v>
      </c>
      <c r="F756">
        <v>2</v>
      </c>
      <c r="G756" t="s">
        <v>33</v>
      </c>
      <c r="H756" s="14">
        <v>0.12</v>
      </c>
      <c r="I756" s="23">
        <v>567.95000000000005</v>
      </c>
      <c r="J756" s="4">
        <v>1135.6600000000001</v>
      </c>
    </row>
    <row r="757" spans="1:10">
      <c r="A757" t="s">
        <v>1476</v>
      </c>
      <c r="B757" s="3">
        <v>45483</v>
      </c>
      <c r="C757" t="s">
        <v>648</v>
      </c>
      <c r="D757" t="s">
        <v>311</v>
      </c>
      <c r="E757" t="s">
        <v>160</v>
      </c>
      <c r="F757">
        <v>2</v>
      </c>
      <c r="G757" t="s">
        <v>23</v>
      </c>
      <c r="H757" s="14">
        <v>0.19</v>
      </c>
      <c r="I757" s="23">
        <v>671.69</v>
      </c>
      <c r="J757" s="4">
        <v>1343</v>
      </c>
    </row>
    <row r="758" spans="1:10">
      <c r="A758" t="s">
        <v>1477</v>
      </c>
      <c r="B758" s="3">
        <v>45786</v>
      </c>
      <c r="C758" t="s">
        <v>989</v>
      </c>
      <c r="D758" t="s">
        <v>887</v>
      </c>
      <c r="E758" t="s">
        <v>66</v>
      </c>
      <c r="F758">
        <v>2</v>
      </c>
      <c r="G758" t="s">
        <v>33</v>
      </c>
      <c r="H758" s="14">
        <v>0.21</v>
      </c>
      <c r="I758" s="23">
        <v>257.95999999999998</v>
      </c>
      <c r="J758" s="4">
        <v>515.5</v>
      </c>
    </row>
    <row r="759" spans="1:10">
      <c r="A759" t="s">
        <v>1478</v>
      </c>
      <c r="B759" s="3">
        <v>45475</v>
      </c>
      <c r="C759" t="s">
        <v>1193</v>
      </c>
      <c r="D759" t="s">
        <v>187</v>
      </c>
      <c r="E759" t="s">
        <v>135</v>
      </c>
      <c r="F759">
        <v>4</v>
      </c>
      <c r="G759" t="s">
        <v>33</v>
      </c>
      <c r="H759" s="14">
        <v>0.27</v>
      </c>
      <c r="I759" s="23">
        <v>281.48</v>
      </c>
      <c r="J759" s="4">
        <v>1124.8399999999999</v>
      </c>
    </row>
    <row r="760" spans="1:10">
      <c r="A760" t="s">
        <v>1479</v>
      </c>
      <c r="B760" s="3">
        <v>45470</v>
      </c>
      <c r="C760" t="s">
        <v>801</v>
      </c>
      <c r="D760" t="s">
        <v>291</v>
      </c>
      <c r="E760" t="s">
        <v>272</v>
      </c>
      <c r="F760">
        <v>1</v>
      </c>
      <c r="G760" t="s">
        <v>50</v>
      </c>
      <c r="H760" s="14">
        <v>0.13</v>
      </c>
      <c r="I760" s="23">
        <v>202.13</v>
      </c>
      <c r="J760" s="4">
        <v>202</v>
      </c>
    </row>
    <row r="761" spans="1:10">
      <c r="A761" t="s">
        <v>1480</v>
      </c>
      <c r="B761" s="3">
        <v>45243</v>
      </c>
      <c r="C761" t="s">
        <v>1481</v>
      </c>
      <c r="D761" t="s">
        <v>31</v>
      </c>
      <c r="E761" t="s">
        <v>58</v>
      </c>
      <c r="F761">
        <v>1</v>
      </c>
      <c r="G761" t="s">
        <v>33</v>
      </c>
      <c r="H761" s="14">
        <v>0.01</v>
      </c>
      <c r="I761" s="23">
        <v>370.66</v>
      </c>
      <c r="J761" s="4">
        <v>370.65</v>
      </c>
    </row>
    <row r="762" spans="1:10">
      <c r="A762" t="s">
        <v>1482</v>
      </c>
      <c r="B762" s="3">
        <v>45341</v>
      </c>
      <c r="C762" t="s">
        <v>1483</v>
      </c>
      <c r="D762" t="s">
        <v>698</v>
      </c>
      <c r="E762" t="s">
        <v>208</v>
      </c>
      <c r="F762">
        <v>4</v>
      </c>
      <c r="G762" t="s">
        <v>23</v>
      </c>
      <c r="H762" s="14">
        <v>0.12</v>
      </c>
      <c r="I762" s="23">
        <v>731.53</v>
      </c>
      <c r="J762" s="4">
        <v>2925.64</v>
      </c>
    </row>
    <row r="763" spans="1:10">
      <c r="A763" t="s">
        <v>1484</v>
      </c>
      <c r="B763" s="3">
        <v>45371</v>
      </c>
      <c r="C763" t="s">
        <v>931</v>
      </c>
      <c r="D763" t="s">
        <v>267</v>
      </c>
      <c r="E763" t="s">
        <v>105</v>
      </c>
      <c r="F763">
        <v>3</v>
      </c>
      <c r="G763" t="s">
        <v>33</v>
      </c>
      <c r="H763" s="14">
        <v>7.0000000000000007E-2</v>
      </c>
      <c r="I763" s="23">
        <v>468.25</v>
      </c>
      <c r="J763" s="4">
        <v>1404.54</v>
      </c>
    </row>
    <row r="764" spans="1:10">
      <c r="A764" t="s">
        <v>1485</v>
      </c>
      <c r="B764" s="3">
        <v>45360</v>
      </c>
      <c r="C764" t="s">
        <v>1033</v>
      </c>
      <c r="D764" t="s">
        <v>178</v>
      </c>
      <c r="E764" t="s">
        <v>90</v>
      </c>
      <c r="F764">
        <v>1</v>
      </c>
      <c r="G764" t="s">
        <v>50</v>
      </c>
      <c r="H764" s="14">
        <v>0.1</v>
      </c>
      <c r="I764" s="23">
        <v>928.72</v>
      </c>
      <c r="J764" s="4">
        <v>928.62</v>
      </c>
    </row>
    <row r="765" spans="1:10">
      <c r="A765" t="s">
        <v>1486</v>
      </c>
      <c r="B765" s="3">
        <v>45499</v>
      </c>
      <c r="C765" t="s">
        <v>789</v>
      </c>
      <c r="D765" t="s">
        <v>634</v>
      </c>
      <c r="E765" t="s">
        <v>160</v>
      </c>
      <c r="F765">
        <v>3</v>
      </c>
      <c r="G765" t="s">
        <v>33</v>
      </c>
      <c r="H765" s="14">
        <v>0.06</v>
      </c>
      <c r="I765" s="23">
        <v>217.22</v>
      </c>
      <c r="J765" s="4">
        <v>651.48</v>
      </c>
    </row>
    <row r="766" spans="1:10">
      <c r="A766" t="s">
        <v>1487</v>
      </c>
      <c r="B766" s="3">
        <v>45745</v>
      </c>
      <c r="C766" t="s">
        <v>558</v>
      </c>
      <c r="D766" t="s">
        <v>97</v>
      </c>
      <c r="E766" t="s">
        <v>22</v>
      </c>
      <c r="F766">
        <v>1</v>
      </c>
      <c r="G766" t="s">
        <v>23</v>
      </c>
      <c r="H766" s="14">
        <v>0.3</v>
      </c>
      <c r="I766" s="23">
        <v>387.99</v>
      </c>
      <c r="J766" s="4">
        <v>387.69</v>
      </c>
    </row>
    <row r="767" spans="1:10">
      <c r="A767" t="s">
        <v>1488</v>
      </c>
      <c r="B767" s="3">
        <v>45718</v>
      </c>
      <c r="C767" t="s">
        <v>166</v>
      </c>
      <c r="D767" t="s">
        <v>928</v>
      </c>
      <c r="E767" t="s">
        <v>179</v>
      </c>
      <c r="F767">
        <v>4</v>
      </c>
      <c r="G767" t="s">
        <v>23</v>
      </c>
      <c r="H767" s="14">
        <v>0.23</v>
      </c>
      <c r="I767" s="23">
        <v>186.24</v>
      </c>
      <c r="J767" s="4">
        <v>744.04</v>
      </c>
    </row>
    <row r="768" spans="1:10">
      <c r="A768" t="s">
        <v>1489</v>
      </c>
      <c r="B768" s="3">
        <v>45454</v>
      </c>
      <c r="C768" t="s">
        <v>994</v>
      </c>
      <c r="D768" t="s">
        <v>295</v>
      </c>
      <c r="E768" t="s">
        <v>43</v>
      </c>
      <c r="F768">
        <v>4</v>
      </c>
      <c r="G768" t="s">
        <v>50</v>
      </c>
      <c r="H768" s="14">
        <v>0.22</v>
      </c>
      <c r="I768" s="23">
        <v>609.05999999999995</v>
      </c>
      <c r="J768" s="4">
        <v>2435.36</v>
      </c>
    </row>
    <row r="769" spans="1:10">
      <c r="A769" t="s">
        <v>1490</v>
      </c>
      <c r="B769" s="3">
        <v>45434</v>
      </c>
      <c r="C769" t="s">
        <v>667</v>
      </c>
      <c r="D769" t="s">
        <v>89</v>
      </c>
      <c r="E769" t="s">
        <v>272</v>
      </c>
      <c r="F769">
        <v>1</v>
      </c>
      <c r="G769" t="s">
        <v>33</v>
      </c>
      <c r="H769" s="14">
        <v>0.21</v>
      </c>
      <c r="I769" s="23">
        <v>827.91</v>
      </c>
      <c r="J769" s="4">
        <v>827.7</v>
      </c>
    </row>
    <row r="770" spans="1:10">
      <c r="A770" t="s">
        <v>1491</v>
      </c>
      <c r="B770" s="3">
        <v>45486</v>
      </c>
      <c r="C770" t="s">
        <v>365</v>
      </c>
      <c r="D770" t="s">
        <v>359</v>
      </c>
      <c r="E770" t="s">
        <v>90</v>
      </c>
      <c r="F770">
        <v>1</v>
      </c>
      <c r="G770" t="s">
        <v>33</v>
      </c>
      <c r="H770" s="14">
        <v>0.24</v>
      </c>
      <c r="I770" s="23">
        <v>303.79000000000002</v>
      </c>
      <c r="J770" s="4">
        <v>303.55</v>
      </c>
    </row>
    <row r="771" spans="1:10">
      <c r="A771" t="s">
        <v>1492</v>
      </c>
      <c r="B771" s="3">
        <v>45902</v>
      </c>
      <c r="C771" t="s">
        <v>923</v>
      </c>
      <c r="D771" t="s">
        <v>786</v>
      </c>
      <c r="E771" t="s">
        <v>179</v>
      </c>
      <c r="F771">
        <v>2</v>
      </c>
      <c r="G771" t="s">
        <v>50</v>
      </c>
      <c r="H771" s="14">
        <v>0.14000000000000001</v>
      </c>
      <c r="I771" s="23">
        <v>365.91</v>
      </c>
      <c r="J771" s="4">
        <v>731.54</v>
      </c>
    </row>
    <row r="772" spans="1:10">
      <c r="A772" t="s">
        <v>1493</v>
      </c>
      <c r="B772" s="3">
        <v>45762</v>
      </c>
      <c r="C772" t="s">
        <v>703</v>
      </c>
      <c r="D772" t="s">
        <v>425</v>
      </c>
      <c r="E772" t="s">
        <v>32</v>
      </c>
      <c r="F772">
        <v>3</v>
      </c>
      <c r="G772" t="s">
        <v>23</v>
      </c>
      <c r="H772" s="14">
        <v>0.16</v>
      </c>
      <c r="I772" s="23">
        <v>852.72</v>
      </c>
      <c r="J772" s="4">
        <v>2557.6799999999998</v>
      </c>
    </row>
    <row r="773" spans="1:10">
      <c r="A773" t="s">
        <v>1494</v>
      </c>
      <c r="B773" s="3">
        <v>45752</v>
      </c>
      <c r="C773" t="s">
        <v>1495</v>
      </c>
      <c r="D773" t="s">
        <v>234</v>
      </c>
      <c r="E773" t="s">
        <v>72</v>
      </c>
      <c r="F773">
        <v>1</v>
      </c>
      <c r="G773" t="s">
        <v>23</v>
      </c>
      <c r="H773" s="14">
        <v>0.18</v>
      </c>
      <c r="I773" s="23">
        <v>768.25</v>
      </c>
      <c r="J773" s="4">
        <v>768.07</v>
      </c>
    </row>
    <row r="774" spans="1:10">
      <c r="A774" t="s">
        <v>1496</v>
      </c>
      <c r="B774" s="3">
        <v>45254</v>
      </c>
      <c r="C774" t="s">
        <v>1497</v>
      </c>
      <c r="D774" t="s">
        <v>603</v>
      </c>
      <c r="E774" t="s">
        <v>135</v>
      </c>
      <c r="F774">
        <v>2</v>
      </c>
      <c r="G774" t="s">
        <v>50</v>
      </c>
      <c r="H774" s="14">
        <v>0.02</v>
      </c>
      <c r="I774" s="23">
        <v>318.62</v>
      </c>
      <c r="J774" s="4">
        <v>637.20000000000005</v>
      </c>
    </row>
    <row r="775" spans="1:10">
      <c r="A775" t="s">
        <v>1498</v>
      </c>
      <c r="B775" s="3">
        <v>45683</v>
      </c>
      <c r="C775" t="s">
        <v>710</v>
      </c>
      <c r="D775" t="s">
        <v>49</v>
      </c>
      <c r="E775" t="s">
        <v>198</v>
      </c>
      <c r="F775">
        <v>4</v>
      </c>
      <c r="G775" t="s">
        <v>33</v>
      </c>
      <c r="H775" s="14">
        <v>0.14000000000000001</v>
      </c>
      <c r="I775" s="23">
        <v>402.11</v>
      </c>
      <c r="J775" s="4">
        <v>1607.88</v>
      </c>
    </row>
    <row r="776" spans="1:10">
      <c r="A776" t="s">
        <v>1499</v>
      </c>
      <c r="B776" s="3">
        <v>45804</v>
      </c>
      <c r="C776" t="s">
        <v>310</v>
      </c>
      <c r="D776" t="s">
        <v>814</v>
      </c>
      <c r="E776" t="s">
        <v>32</v>
      </c>
      <c r="F776">
        <v>3</v>
      </c>
      <c r="G776" t="s">
        <v>50</v>
      </c>
      <c r="H776" s="14">
        <v>0.18</v>
      </c>
      <c r="I776" s="23">
        <v>846.31</v>
      </c>
      <c r="J776" s="4">
        <v>2538.39</v>
      </c>
    </row>
    <row r="777" spans="1:10">
      <c r="A777" t="s">
        <v>1500</v>
      </c>
      <c r="B777" s="3">
        <v>45821</v>
      </c>
      <c r="C777" t="s">
        <v>338</v>
      </c>
      <c r="D777" t="s">
        <v>242</v>
      </c>
      <c r="E777" t="s">
        <v>98</v>
      </c>
      <c r="F777">
        <v>1</v>
      </c>
      <c r="G777" t="s">
        <v>50</v>
      </c>
      <c r="H777" s="14">
        <v>7.0000000000000007E-2</v>
      </c>
      <c r="I777" s="23">
        <v>269.94</v>
      </c>
      <c r="J777" s="4">
        <v>269.87</v>
      </c>
    </row>
    <row r="778" spans="1:10">
      <c r="A778" t="s">
        <v>1501</v>
      </c>
      <c r="B778" s="3">
        <v>45472</v>
      </c>
      <c r="C778" t="s">
        <v>926</v>
      </c>
      <c r="D778" t="s">
        <v>291</v>
      </c>
      <c r="E778" t="s">
        <v>72</v>
      </c>
      <c r="F778">
        <v>3</v>
      </c>
      <c r="G778" t="s">
        <v>50</v>
      </c>
      <c r="H778" s="14">
        <v>0.28999999999999998</v>
      </c>
      <c r="I778" s="23">
        <v>909.25</v>
      </c>
      <c r="J778" s="4">
        <v>2726.88</v>
      </c>
    </row>
    <row r="779" spans="1:10">
      <c r="A779" t="s">
        <v>1502</v>
      </c>
      <c r="B779" s="3">
        <v>45331</v>
      </c>
      <c r="C779" t="s">
        <v>1503</v>
      </c>
      <c r="D779" t="s">
        <v>372</v>
      </c>
      <c r="E779" t="s">
        <v>208</v>
      </c>
      <c r="F779">
        <v>2</v>
      </c>
      <c r="G779" t="s">
        <v>50</v>
      </c>
      <c r="H779" s="14">
        <v>0.21</v>
      </c>
      <c r="I779" s="23">
        <v>229.81</v>
      </c>
      <c r="J779" s="4">
        <v>459.2</v>
      </c>
    </row>
    <row r="780" spans="1:10">
      <c r="A780" t="s">
        <v>1504</v>
      </c>
      <c r="B780" s="3">
        <v>45451</v>
      </c>
      <c r="C780" t="s">
        <v>343</v>
      </c>
      <c r="D780" t="s">
        <v>267</v>
      </c>
      <c r="E780" t="s">
        <v>122</v>
      </c>
      <c r="F780">
        <v>3</v>
      </c>
      <c r="G780" t="s">
        <v>33</v>
      </c>
      <c r="H780" s="14">
        <v>0.06</v>
      </c>
      <c r="I780" s="23">
        <v>442.36</v>
      </c>
      <c r="J780" s="4">
        <v>1326.9</v>
      </c>
    </row>
    <row r="781" spans="1:10">
      <c r="A781" t="s">
        <v>1505</v>
      </c>
      <c r="B781" s="3">
        <v>45386</v>
      </c>
      <c r="C781" t="s">
        <v>147</v>
      </c>
      <c r="D781" t="s">
        <v>400</v>
      </c>
      <c r="E781" t="s">
        <v>22</v>
      </c>
      <c r="F781">
        <v>3</v>
      </c>
      <c r="G781" t="s">
        <v>23</v>
      </c>
      <c r="H781" s="14">
        <v>0.01</v>
      </c>
      <c r="I781" s="23">
        <v>413.74</v>
      </c>
      <c r="J781" s="4">
        <v>1241.19</v>
      </c>
    </row>
    <row r="782" spans="1:10">
      <c r="A782" t="s">
        <v>1506</v>
      </c>
      <c r="B782" s="3">
        <v>45477</v>
      </c>
      <c r="C782" t="s">
        <v>500</v>
      </c>
      <c r="D782" t="s">
        <v>287</v>
      </c>
      <c r="E782" t="s">
        <v>98</v>
      </c>
      <c r="F782">
        <v>4</v>
      </c>
      <c r="G782" t="s">
        <v>33</v>
      </c>
      <c r="H782" s="14">
        <v>0.18</v>
      </c>
      <c r="I782" s="23">
        <v>79.75</v>
      </c>
      <c r="J782" s="4">
        <v>318.27999999999997</v>
      </c>
    </row>
    <row r="783" spans="1:10">
      <c r="A783" t="s">
        <v>1507</v>
      </c>
      <c r="B783" s="3">
        <v>45433</v>
      </c>
      <c r="C783" t="s">
        <v>697</v>
      </c>
      <c r="D783" t="s">
        <v>295</v>
      </c>
      <c r="E783" t="s">
        <v>208</v>
      </c>
      <c r="F783">
        <v>4</v>
      </c>
      <c r="G783" t="s">
        <v>23</v>
      </c>
      <c r="H783" s="14">
        <v>0.03</v>
      </c>
      <c r="I783" s="23">
        <v>95.06</v>
      </c>
      <c r="J783" s="4">
        <v>380.12</v>
      </c>
    </row>
    <row r="784" spans="1:10">
      <c r="A784" t="s">
        <v>1508</v>
      </c>
      <c r="B784" s="3">
        <v>45759</v>
      </c>
      <c r="C784" t="s">
        <v>298</v>
      </c>
      <c r="D784" t="s">
        <v>187</v>
      </c>
      <c r="E784" t="s">
        <v>66</v>
      </c>
      <c r="F784">
        <v>4</v>
      </c>
      <c r="G784" t="s">
        <v>50</v>
      </c>
      <c r="H784" s="14">
        <v>0.27</v>
      </c>
      <c r="I784" s="23">
        <v>107.08</v>
      </c>
      <c r="J784" s="4">
        <v>427.24</v>
      </c>
    </row>
    <row r="785" spans="1:10">
      <c r="A785" t="s">
        <v>1509</v>
      </c>
      <c r="B785" s="3">
        <v>45794</v>
      </c>
      <c r="C785" t="s">
        <v>1510</v>
      </c>
      <c r="D785" t="s">
        <v>85</v>
      </c>
      <c r="E785" t="s">
        <v>160</v>
      </c>
      <c r="F785">
        <v>1</v>
      </c>
      <c r="G785" t="s">
        <v>50</v>
      </c>
      <c r="H785" s="14">
        <v>0.03</v>
      </c>
      <c r="I785" s="23">
        <v>873.18</v>
      </c>
      <c r="J785" s="4">
        <v>873.15</v>
      </c>
    </row>
    <row r="786" spans="1:10">
      <c r="A786" t="s">
        <v>1511</v>
      </c>
      <c r="B786" s="3">
        <v>45764</v>
      </c>
      <c r="C786" t="s">
        <v>602</v>
      </c>
      <c r="D786" t="s">
        <v>79</v>
      </c>
      <c r="E786" t="s">
        <v>160</v>
      </c>
      <c r="F786">
        <v>1</v>
      </c>
      <c r="G786" t="s">
        <v>50</v>
      </c>
      <c r="H786" s="14">
        <v>0.1</v>
      </c>
      <c r="I786" s="23">
        <v>914.75</v>
      </c>
      <c r="J786" s="4">
        <v>914.65</v>
      </c>
    </row>
    <row r="787" spans="1:10">
      <c r="A787" t="s">
        <v>1512</v>
      </c>
      <c r="B787" s="3">
        <v>45279</v>
      </c>
      <c r="C787" t="s">
        <v>710</v>
      </c>
      <c r="D787" t="s">
        <v>575</v>
      </c>
      <c r="E787" t="s">
        <v>149</v>
      </c>
      <c r="F787">
        <v>4</v>
      </c>
      <c r="G787" t="s">
        <v>23</v>
      </c>
      <c r="H787" s="14">
        <v>0.1</v>
      </c>
      <c r="I787" s="23">
        <v>457.33</v>
      </c>
      <c r="J787" s="4">
        <v>1828.92</v>
      </c>
    </row>
    <row r="788" spans="1:10">
      <c r="A788" t="s">
        <v>1513</v>
      </c>
      <c r="B788" s="3">
        <v>45602</v>
      </c>
      <c r="C788" t="s">
        <v>1514</v>
      </c>
      <c r="D788" t="s">
        <v>85</v>
      </c>
      <c r="E788" t="s">
        <v>22</v>
      </c>
      <c r="F788">
        <v>3</v>
      </c>
      <c r="G788" t="s">
        <v>33</v>
      </c>
      <c r="H788" s="14">
        <v>0.23</v>
      </c>
      <c r="I788" s="23">
        <v>761.88</v>
      </c>
      <c r="J788" s="4">
        <v>2284.9499999999998</v>
      </c>
    </row>
    <row r="789" spans="1:10">
      <c r="A789" t="s">
        <v>1515</v>
      </c>
      <c r="B789" s="3">
        <v>45793</v>
      </c>
      <c r="C789" t="s">
        <v>1373</v>
      </c>
      <c r="D789" t="s">
        <v>786</v>
      </c>
      <c r="E789" t="s">
        <v>135</v>
      </c>
      <c r="F789">
        <v>4</v>
      </c>
      <c r="G789" t="s">
        <v>23</v>
      </c>
      <c r="H789" s="14">
        <v>0.13</v>
      </c>
      <c r="I789" s="23">
        <v>122.87</v>
      </c>
      <c r="J789" s="4">
        <v>490.96</v>
      </c>
    </row>
    <row r="790" spans="1:10">
      <c r="A790" t="s">
        <v>1516</v>
      </c>
      <c r="B790" s="3">
        <v>45778</v>
      </c>
      <c r="C790" t="s">
        <v>1517</v>
      </c>
      <c r="D790" t="s">
        <v>575</v>
      </c>
      <c r="E790" t="s">
        <v>72</v>
      </c>
      <c r="F790">
        <v>4</v>
      </c>
      <c r="G790" t="s">
        <v>50</v>
      </c>
      <c r="H790" s="14">
        <v>0.28000000000000003</v>
      </c>
      <c r="I790" s="23">
        <v>753</v>
      </c>
      <c r="J790" s="4">
        <v>3010.88</v>
      </c>
    </row>
    <row r="791" spans="1:10">
      <c r="A791" t="s">
        <v>1518</v>
      </c>
      <c r="B791" s="3">
        <v>45325</v>
      </c>
      <c r="C791" t="s">
        <v>946</v>
      </c>
      <c r="D791" t="s">
        <v>183</v>
      </c>
      <c r="E791" t="s">
        <v>58</v>
      </c>
      <c r="F791">
        <v>2</v>
      </c>
      <c r="G791" t="s">
        <v>23</v>
      </c>
      <c r="H791" s="14">
        <v>0.21</v>
      </c>
      <c r="I791" s="23">
        <v>788.05</v>
      </c>
      <c r="J791" s="4">
        <v>1575.68</v>
      </c>
    </row>
    <row r="792" spans="1:10">
      <c r="A792" t="s">
        <v>1519</v>
      </c>
      <c r="B792" s="3">
        <v>45875</v>
      </c>
      <c r="C792" t="s">
        <v>617</v>
      </c>
      <c r="D792" t="s">
        <v>542</v>
      </c>
      <c r="E792" t="s">
        <v>168</v>
      </c>
      <c r="F792">
        <v>2</v>
      </c>
      <c r="G792" t="s">
        <v>23</v>
      </c>
      <c r="H792" s="14">
        <v>0.28999999999999998</v>
      </c>
      <c r="I792" s="23">
        <v>807.1</v>
      </c>
      <c r="J792" s="4">
        <v>1613.62</v>
      </c>
    </row>
    <row r="793" spans="1:10">
      <c r="A793" t="s">
        <v>1520</v>
      </c>
      <c r="B793" s="3">
        <v>45320</v>
      </c>
      <c r="C793" t="s">
        <v>791</v>
      </c>
      <c r="D793" t="s">
        <v>484</v>
      </c>
      <c r="E793" t="s">
        <v>105</v>
      </c>
      <c r="F793">
        <v>2</v>
      </c>
      <c r="G793" t="s">
        <v>33</v>
      </c>
      <c r="H793" s="14">
        <v>0.02</v>
      </c>
      <c r="I793" s="23">
        <v>443.09</v>
      </c>
      <c r="J793" s="4">
        <v>886.14</v>
      </c>
    </row>
    <row r="794" spans="1:10">
      <c r="A794" t="s">
        <v>1521</v>
      </c>
      <c r="B794" s="3">
        <v>45870</v>
      </c>
      <c r="C794" t="s">
        <v>843</v>
      </c>
      <c r="D794" t="s">
        <v>314</v>
      </c>
      <c r="E794" t="s">
        <v>122</v>
      </c>
      <c r="F794">
        <v>1</v>
      </c>
      <c r="G794" t="s">
        <v>50</v>
      </c>
      <c r="H794" s="14">
        <v>0.02</v>
      </c>
      <c r="I794" s="23">
        <v>512.16</v>
      </c>
      <c r="J794" s="4">
        <v>512.14</v>
      </c>
    </row>
    <row r="795" spans="1:10">
      <c r="A795" t="s">
        <v>1522</v>
      </c>
      <c r="B795" s="3">
        <v>45577</v>
      </c>
      <c r="C795" t="s">
        <v>968</v>
      </c>
      <c r="D795" t="s">
        <v>745</v>
      </c>
      <c r="E795" t="s">
        <v>160</v>
      </c>
      <c r="F795">
        <v>2</v>
      </c>
      <c r="G795" t="s">
        <v>50</v>
      </c>
      <c r="H795" s="14">
        <v>0.23</v>
      </c>
      <c r="I795" s="23">
        <v>602.54999999999995</v>
      </c>
      <c r="J795" s="4">
        <v>1204.6400000000001</v>
      </c>
    </row>
    <row r="796" spans="1:10">
      <c r="A796" t="s">
        <v>1523</v>
      </c>
      <c r="B796" s="3">
        <v>45745</v>
      </c>
      <c r="C796" t="s">
        <v>504</v>
      </c>
      <c r="D796" t="s">
        <v>449</v>
      </c>
      <c r="E796" t="s">
        <v>90</v>
      </c>
      <c r="F796">
        <v>3</v>
      </c>
      <c r="G796" t="s">
        <v>50</v>
      </c>
      <c r="H796" s="14">
        <v>0.09</v>
      </c>
      <c r="I796" s="23">
        <v>846.19</v>
      </c>
      <c r="J796" s="4">
        <v>2538.3000000000002</v>
      </c>
    </row>
    <row r="797" spans="1:10">
      <c r="A797" t="s">
        <v>1524</v>
      </c>
      <c r="B797" s="3">
        <v>45772</v>
      </c>
      <c r="C797" t="s">
        <v>803</v>
      </c>
      <c r="D797" t="s">
        <v>167</v>
      </c>
      <c r="E797" t="s">
        <v>43</v>
      </c>
      <c r="F797">
        <v>1</v>
      </c>
      <c r="G797" t="s">
        <v>23</v>
      </c>
      <c r="H797" s="14">
        <v>0.28999999999999998</v>
      </c>
      <c r="I797" s="23">
        <v>506.73</v>
      </c>
      <c r="J797" s="4">
        <v>506.44</v>
      </c>
    </row>
    <row r="798" spans="1:10">
      <c r="A798" t="s">
        <v>1525</v>
      </c>
      <c r="B798" s="3">
        <v>45299</v>
      </c>
      <c r="C798" t="s">
        <v>1526</v>
      </c>
      <c r="D798" t="s">
        <v>501</v>
      </c>
      <c r="E798" t="s">
        <v>117</v>
      </c>
      <c r="F798">
        <v>1</v>
      </c>
      <c r="G798" t="s">
        <v>50</v>
      </c>
      <c r="H798" s="14">
        <v>0.13</v>
      </c>
      <c r="I798" s="23">
        <v>408.66</v>
      </c>
      <c r="J798" s="4">
        <v>408.53</v>
      </c>
    </row>
    <row r="799" spans="1:10">
      <c r="A799" t="s">
        <v>1527</v>
      </c>
      <c r="B799" s="3">
        <v>45447</v>
      </c>
      <c r="C799" t="s">
        <v>1528</v>
      </c>
      <c r="D799" t="s">
        <v>484</v>
      </c>
      <c r="E799" t="s">
        <v>32</v>
      </c>
      <c r="F799">
        <v>3</v>
      </c>
      <c r="G799" t="s">
        <v>50</v>
      </c>
      <c r="H799" s="14">
        <v>0.06</v>
      </c>
      <c r="I799" s="23">
        <v>170.48</v>
      </c>
      <c r="J799" s="4">
        <v>511.26</v>
      </c>
    </row>
    <row r="800" spans="1:10">
      <c r="A800" t="s">
        <v>1529</v>
      </c>
      <c r="B800" s="3">
        <v>45717</v>
      </c>
      <c r="C800" t="s">
        <v>428</v>
      </c>
      <c r="D800" t="s">
        <v>928</v>
      </c>
      <c r="E800" t="s">
        <v>127</v>
      </c>
      <c r="F800">
        <v>1</v>
      </c>
      <c r="G800" t="s">
        <v>33</v>
      </c>
      <c r="H800" s="14">
        <v>0.18</v>
      </c>
      <c r="I800" s="23">
        <v>423.48</v>
      </c>
      <c r="J800" s="4">
        <v>423.3</v>
      </c>
    </row>
    <row r="801" spans="1:10">
      <c r="A801" t="s">
        <v>1530</v>
      </c>
      <c r="B801" s="3">
        <v>45213</v>
      </c>
      <c r="C801" t="s">
        <v>1190</v>
      </c>
      <c r="D801" t="s">
        <v>603</v>
      </c>
      <c r="E801" t="s">
        <v>272</v>
      </c>
      <c r="F801">
        <v>4</v>
      </c>
      <c r="G801" t="s">
        <v>23</v>
      </c>
      <c r="H801" s="14">
        <v>0.1</v>
      </c>
      <c r="I801" s="23">
        <v>23.57</v>
      </c>
      <c r="J801" s="4">
        <v>93.88</v>
      </c>
    </row>
    <row r="802" spans="1:10">
      <c r="A802" t="s">
        <v>1531</v>
      </c>
      <c r="B802" s="3">
        <v>45837</v>
      </c>
      <c r="C802" t="s">
        <v>182</v>
      </c>
      <c r="D802" t="s">
        <v>449</v>
      </c>
      <c r="E802" t="s">
        <v>160</v>
      </c>
      <c r="F802">
        <v>2</v>
      </c>
      <c r="G802" t="s">
        <v>50</v>
      </c>
      <c r="H802" s="14">
        <v>0.1</v>
      </c>
      <c r="I802" s="23">
        <v>953.26</v>
      </c>
      <c r="J802" s="4">
        <v>1906.32</v>
      </c>
    </row>
    <row r="803" spans="1:10">
      <c r="A803" t="s">
        <v>1532</v>
      </c>
      <c r="B803" s="3">
        <v>45277</v>
      </c>
      <c r="C803" t="s">
        <v>977</v>
      </c>
      <c r="D803" t="s">
        <v>575</v>
      </c>
      <c r="E803" t="s">
        <v>66</v>
      </c>
      <c r="F803">
        <v>3</v>
      </c>
      <c r="G803" t="s">
        <v>50</v>
      </c>
      <c r="H803" s="14">
        <v>0.14000000000000001</v>
      </c>
      <c r="I803" s="23">
        <v>405.13</v>
      </c>
      <c r="J803" s="4">
        <v>1214.97</v>
      </c>
    </row>
    <row r="804" spans="1:10">
      <c r="A804" t="s">
        <v>1533</v>
      </c>
      <c r="B804" s="3">
        <v>45248</v>
      </c>
      <c r="C804" t="s">
        <v>1273</v>
      </c>
      <c r="D804" t="s">
        <v>868</v>
      </c>
      <c r="E804" t="s">
        <v>72</v>
      </c>
      <c r="F804">
        <v>2</v>
      </c>
      <c r="G804" t="s">
        <v>33</v>
      </c>
      <c r="H804" s="14">
        <v>0.26</v>
      </c>
      <c r="I804" s="23">
        <v>333.83</v>
      </c>
      <c r="J804" s="4">
        <v>667.14</v>
      </c>
    </row>
    <row r="805" spans="1:10">
      <c r="A805" t="s">
        <v>1534</v>
      </c>
      <c r="B805" s="3">
        <v>45741</v>
      </c>
      <c r="C805" t="s">
        <v>767</v>
      </c>
      <c r="D805" t="s">
        <v>372</v>
      </c>
      <c r="E805" t="s">
        <v>22</v>
      </c>
      <c r="F805">
        <v>2</v>
      </c>
      <c r="G805" t="s">
        <v>33</v>
      </c>
      <c r="H805" s="14">
        <v>0.22</v>
      </c>
      <c r="I805" s="23">
        <v>727.18</v>
      </c>
      <c r="J805" s="4">
        <v>1453.92</v>
      </c>
    </row>
    <row r="806" spans="1:10">
      <c r="A806" t="s">
        <v>1535</v>
      </c>
      <c r="B806" s="3">
        <v>45778</v>
      </c>
      <c r="C806" t="s">
        <v>1536</v>
      </c>
      <c r="D806" t="s">
        <v>183</v>
      </c>
      <c r="E806" t="s">
        <v>168</v>
      </c>
      <c r="F806">
        <v>2</v>
      </c>
      <c r="G806" t="s">
        <v>50</v>
      </c>
      <c r="H806" s="14">
        <v>0.19</v>
      </c>
      <c r="I806" s="23">
        <v>516.02</v>
      </c>
      <c r="J806" s="4">
        <v>1031.6600000000001</v>
      </c>
    </row>
    <row r="807" spans="1:10">
      <c r="A807" t="s">
        <v>1537</v>
      </c>
      <c r="B807" s="3">
        <v>45361</v>
      </c>
      <c r="C807" t="s">
        <v>541</v>
      </c>
      <c r="D807" t="s">
        <v>449</v>
      </c>
      <c r="E807" t="s">
        <v>272</v>
      </c>
      <c r="F807">
        <v>2</v>
      </c>
      <c r="G807" t="s">
        <v>23</v>
      </c>
      <c r="H807" s="14">
        <v>0.28000000000000003</v>
      </c>
      <c r="I807" s="23">
        <v>705.61</v>
      </c>
      <c r="J807" s="4">
        <v>1410.66</v>
      </c>
    </row>
    <row r="808" spans="1:10">
      <c r="A808" t="s">
        <v>1538</v>
      </c>
      <c r="B808" s="3">
        <v>45414</v>
      </c>
      <c r="C808" t="s">
        <v>712</v>
      </c>
      <c r="D808" t="s">
        <v>814</v>
      </c>
      <c r="E808" t="s">
        <v>43</v>
      </c>
      <c r="F808">
        <v>3</v>
      </c>
      <c r="G808" t="s">
        <v>50</v>
      </c>
      <c r="H808" s="14">
        <v>0.18</v>
      </c>
      <c r="I808" s="23">
        <v>654.47</v>
      </c>
      <c r="J808" s="4">
        <v>1962.87</v>
      </c>
    </row>
    <row r="809" spans="1:10">
      <c r="A809" t="s">
        <v>1539</v>
      </c>
      <c r="B809" s="3">
        <v>45734</v>
      </c>
      <c r="C809" t="s">
        <v>527</v>
      </c>
      <c r="D809" t="s">
        <v>110</v>
      </c>
      <c r="E809" t="s">
        <v>122</v>
      </c>
      <c r="F809">
        <v>2</v>
      </c>
      <c r="G809" t="s">
        <v>23</v>
      </c>
      <c r="H809" s="14">
        <v>0.23</v>
      </c>
      <c r="I809" s="23">
        <v>315.27</v>
      </c>
      <c r="J809" s="4">
        <v>630.08000000000004</v>
      </c>
    </row>
    <row r="810" spans="1:10">
      <c r="A810" t="s">
        <v>1540</v>
      </c>
      <c r="B810" s="3">
        <v>45623</v>
      </c>
      <c r="C810" t="s">
        <v>904</v>
      </c>
      <c r="D810" t="s">
        <v>567</v>
      </c>
      <c r="E810" t="s">
        <v>198</v>
      </c>
      <c r="F810">
        <v>1</v>
      </c>
      <c r="G810" t="s">
        <v>23</v>
      </c>
      <c r="H810" s="14">
        <v>0.05</v>
      </c>
      <c r="I810" s="23">
        <v>974.47</v>
      </c>
      <c r="J810" s="4">
        <v>974.42</v>
      </c>
    </row>
    <row r="811" spans="1:10">
      <c r="A811" t="s">
        <v>1541</v>
      </c>
      <c r="B811" s="3">
        <v>45340</v>
      </c>
      <c r="C811" t="s">
        <v>468</v>
      </c>
      <c r="D811" t="s">
        <v>868</v>
      </c>
      <c r="E811" t="s">
        <v>72</v>
      </c>
      <c r="F811">
        <v>2</v>
      </c>
      <c r="G811" t="s">
        <v>23</v>
      </c>
      <c r="H811" s="14">
        <v>0.17</v>
      </c>
      <c r="I811" s="23">
        <v>803.3</v>
      </c>
      <c r="J811" s="4">
        <v>1606.26</v>
      </c>
    </row>
    <row r="812" spans="1:10">
      <c r="A812" t="s">
        <v>1542</v>
      </c>
      <c r="B812" s="3">
        <v>45447</v>
      </c>
      <c r="C812" t="s">
        <v>758</v>
      </c>
      <c r="D812" t="s">
        <v>868</v>
      </c>
      <c r="E812" t="s">
        <v>168</v>
      </c>
      <c r="F812">
        <v>4</v>
      </c>
      <c r="G812" t="s">
        <v>50</v>
      </c>
      <c r="H812" s="14">
        <v>0.21</v>
      </c>
      <c r="I812" s="23">
        <v>863.87</v>
      </c>
      <c r="J812" s="4">
        <v>3454.64</v>
      </c>
    </row>
    <row r="813" spans="1:10">
      <c r="A813" t="s">
        <v>1543</v>
      </c>
      <c r="B813" s="3">
        <v>45513</v>
      </c>
      <c r="C813" t="s">
        <v>956</v>
      </c>
      <c r="D813" t="s">
        <v>429</v>
      </c>
      <c r="E813" t="s">
        <v>160</v>
      </c>
      <c r="F813">
        <v>1</v>
      </c>
      <c r="G813" t="s">
        <v>23</v>
      </c>
      <c r="H813" s="14">
        <v>0.17</v>
      </c>
      <c r="I813" s="23">
        <v>450.11</v>
      </c>
      <c r="J813" s="4">
        <v>449.94</v>
      </c>
    </row>
    <row r="814" spans="1:10">
      <c r="A814" t="s">
        <v>1544</v>
      </c>
      <c r="B814" s="3">
        <v>45486</v>
      </c>
      <c r="C814" t="s">
        <v>1545</v>
      </c>
      <c r="D814" t="s">
        <v>741</v>
      </c>
      <c r="E814" t="s">
        <v>149</v>
      </c>
      <c r="F814">
        <v>1</v>
      </c>
      <c r="G814" t="s">
        <v>50</v>
      </c>
      <c r="H814" s="14">
        <v>0.18</v>
      </c>
      <c r="I814" s="23">
        <v>289.82</v>
      </c>
      <c r="J814" s="4">
        <v>289.64</v>
      </c>
    </row>
    <row r="815" spans="1:10">
      <c r="A815" t="s">
        <v>1546</v>
      </c>
      <c r="B815" s="3">
        <v>45890</v>
      </c>
      <c r="C815" t="s">
        <v>639</v>
      </c>
      <c r="D815" t="s">
        <v>420</v>
      </c>
      <c r="E815" t="s">
        <v>168</v>
      </c>
      <c r="F815">
        <v>4</v>
      </c>
      <c r="G815" t="s">
        <v>33</v>
      </c>
      <c r="H815" s="14">
        <v>0.1</v>
      </c>
      <c r="I815" s="23">
        <v>250.64</v>
      </c>
      <c r="J815" s="4">
        <v>1002.16</v>
      </c>
    </row>
    <row r="816" spans="1:10">
      <c r="A816" t="s">
        <v>1547</v>
      </c>
      <c r="B816" s="3">
        <v>45876</v>
      </c>
      <c r="C816" t="s">
        <v>413</v>
      </c>
      <c r="D816" t="s">
        <v>167</v>
      </c>
      <c r="E816" t="s">
        <v>135</v>
      </c>
      <c r="F816">
        <v>4</v>
      </c>
      <c r="G816" t="s">
        <v>50</v>
      </c>
      <c r="H816" s="14">
        <v>0.16</v>
      </c>
      <c r="I816" s="23">
        <v>373.49</v>
      </c>
      <c r="J816" s="4">
        <v>1493.32</v>
      </c>
    </row>
    <row r="817" spans="1:10">
      <c r="A817" t="s">
        <v>1548</v>
      </c>
      <c r="B817" s="3">
        <v>45398</v>
      </c>
      <c r="C817" t="s">
        <v>611</v>
      </c>
      <c r="D817" t="s">
        <v>414</v>
      </c>
      <c r="E817" t="s">
        <v>127</v>
      </c>
      <c r="F817">
        <v>4</v>
      </c>
      <c r="G817" t="s">
        <v>33</v>
      </c>
      <c r="H817" s="14">
        <v>0.18</v>
      </c>
      <c r="I817" s="23">
        <v>348.91</v>
      </c>
      <c r="J817" s="4">
        <v>1394.92</v>
      </c>
    </row>
    <row r="818" spans="1:10">
      <c r="A818" t="s">
        <v>1549</v>
      </c>
      <c r="B818" s="3">
        <v>45390</v>
      </c>
      <c r="C818" t="s">
        <v>1528</v>
      </c>
      <c r="D818" t="s">
        <v>242</v>
      </c>
      <c r="E818" t="s">
        <v>32</v>
      </c>
      <c r="F818">
        <v>4</v>
      </c>
      <c r="G818" t="s">
        <v>23</v>
      </c>
      <c r="H818" s="14">
        <v>0.17</v>
      </c>
      <c r="I818" s="23">
        <v>212.96</v>
      </c>
      <c r="J818" s="4">
        <v>851.16</v>
      </c>
    </row>
    <row r="819" spans="1:10">
      <c r="A819" t="s">
        <v>1550</v>
      </c>
      <c r="B819" s="3">
        <v>45406</v>
      </c>
      <c r="C819" t="s">
        <v>1551</v>
      </c>
      <c r="D819" t="s">
        <v>139</v>
      </c>
      <c r="E819" t="s">
        <v>135</v>
      </c>
      <c r="F819">
        <v>3</v>
      </c>
      <c r="G819" t="s">
        <v>50</v>
      </c>
      <c r="H819" s="14">
        <v>0.11</v>
      </c>
      <c r="I819" s="23">
        <v>871.34</v>
      </c>
      <c r="J819" s="4">
        <v>2613.69</v>
      </c>
    </row>
    <row r="820" spans="1:10">
      <c r="A820" t="s">
        <v>1552</v>
      </c>
      <c r="B820" s="3">
        <v>45844</v>
      </c>
      <c r="C820" t="s">
        <v>1169</v>
      </c>
      <c r="D820" t="s">
        <v>242</v>
      </c>
      <c r="E820" t="s">
        <v>90</v>
      </c>
      <c r="F820">
        <v>2</v>
      </c>
      <c r="G820" t="s">
        <v>23</v>
      </c>
      <c r="H820" s="14">
        <v>0.06</v>
      </c>
      <c r="I820" s="23">
        <v>698.94</v>
      </c>
      <c r="J820" s="4">
        <v>1397.76</v>
      </c>
    </row>
    <row r="821" spans="1:10">
      <c r="A821" t="s">
        <v>1553</v>
      </c>
      <c r="B821" s="3">
        <v>45697</v>
      </c>
      <c r="C821" t="s">
        <v>801</v>
      </c>
      <c r="D821" t="s">
        <v>31</v>
      </c>
      <c r="E821" t="s">
        <v>90</v>
      </c>
      <c r="F821">
        <v>1</v>
      </c>
      <c r="G821" t="s">
        <v>50</v>
      </c>
      <c r="H821" s="14">
        <v>0.23</v>
      </c>
      <c r="I821" s="23">
        <v>719.94</v>
      </c>
      <c r="J821" s="4">
        <v>719.71</v>
      </c>
    </row>
    <row r="822" spans="1:10">
      <c r="A822" t="s">
        <v>1554</v>
      </c>
      <c r="B822" s="3">
        <v>45607</v>
      </c>
      <c r="C822" t="s">
        <v>1013</v>
      </c>
      <c r="D822" t="s">
        <v>567</v>
      </c>
      <c r="E822" t="s">
        <v>72</v>
      </c>
      <c r="F822">
        <v>2</v>
      </c>
      <c r="G822" t="s">
        <v>33</v>
      </c>
      <c r="H822" s="14">
        <v>0.22</v>
      </c>
      <c r="I822" s="23">
        <v>278.16000000000003</v>
      </c>
      <c r="J822" s="4">
        <v>555.88</v>
      </c>
    </row>
    <row r="823" spans="1:10">
      <c r="A823" t="s">
        <v>1555</v>
      </c>
      <c r="B823" s="3">
        <v>45307</v>
      </c>
      <c r="C823" t="s">
        <v>1042</v>
      </c>
      <c r="D823" t="s">
        <v>42</v>
      </c>
      <c r="E823" t="s">
        <v>58</v>
      </c>
      <c r="F823">
        <v>1</v>
      </c>
      <c r="G823" t="s">
        <v>23</v>
      </c>
      <c r="H823" s="14">
        <v>0.17</v>
      </c>
      <c r="I823" s="23">
        <v>678.9</v>
      </c>
      <c r="J823" s="4">
        <v>678.73</v>
      </c>
    </row>
    <row r="824" spans="1:10">
      <c r="A824" t="s">
        <v>1556</v>
      </c>
      <c r="B824" s="3">
        <v>45520</v>
      </c>
      <c r="C824" t="s">
        <v>986</v>
      </c>
      <c r="D824" t="s">
        <v>425</v>
      </c>
      <c r="E824" t="s">
        <v>122</v>
      </c>
      <c r="F824">
        <v>4</v>
      </c>
      <c r="G824" t="s">
        <v>23</v>
      </c>
      <c r="H824" s="14">
        <v>0.15</v>
      </c>
      <c r="I824" s="23">
        <v>94.13</v>
      </c>
      <c r="J824" s="4">
        <v>375.92</v>
      </c>
    </row>
    <row r="825" spans="1:10">
      <c r="A825" t="s">
        <v>1557</v>
      </c>
      <c r="B825" s="3">
        <v>45933</v>
      </c>
      <c r="C825" t="s">
        <v>1558</v>
      </c>
      <c r="D825" t="s">
        <v>275</v>
      </c>
      <c r="E825" t="s">
        <v>105</v>
      </c>
      <c r="F825">
        <v>4</v>
      </c>
      <c r="G825" t="s">
        <v>33</v>
      </c>
      <c r="H825" s="14">
        <v>0.01</v>
      </c>
      <c r="I825" s="23">
        <v>415.02</v>
      </c>
      <c r="J825" s="4">
        <v>1660.04</v>
      </c>
    </row>
    <row r="826" spans="1:10">
      <c r="A826" t="s">
        <v>1559</v>
      </c>
      <c r="B826" s="3">
        <v>45841</v>
      </c>
      <c r="C826" t="s">
        <v>1361</v>
      </c>
      <c r="D826" t="s">
        <v>555</v>
      </c>
      <c r="E826" t="s">
        <v>72</v>
      </c>
      <c r="F826">
        <v>4</v>
      </c>
      <c r="G826" t="s">
        <v>23</v>
      </c>
      <c r="H826" s="14">
        <v>0.03</v>
      </c>
      <c r="I826" s="23">
        <v>780.07</v>
      </c>
      <c r="J826" s="4">
        <v>3120.16</v>
      </c>
    </row>
    <row r="827" spans="1:10">
      <c r="A827" t="s">
        <v>1560</v>
      </c>
      <c r="B827" s="3">
        <v>45877</v>
      </c>
      <c r="C827" t="s">
        <v>624</v>
      </c>
      <c r="D827" t="s">
        <v>786</v>
      </c>
      <c r="E827" t="s">
        <v>122</v>
      </c>
      <c r="F827">
        <v>4</v>
      </c>
      <c r="G827" t="s">
        <v>23</v>
      </c>
      <c r="H827" s="14">
        <v>0.28000000000000003</v>
      </c>
      <c r="I827" s="23">
        <v>184.57</v>
      </c>
      <c r="J827" s="4">
        <v>737.16</v>
      </c>
    </row>
    <row r="828" spans="1:10">
      <c r="A828" t="s">
        <v>1561</v>
      </c>
      <c r="B828" s="3">
        <v>45532</v>
      </c>
      <c r="C828" t="s">
        <v>413</v>
      </c>
      <c r="D828" t="s">
        <v>134</v>
      </c>
      <c r="E828" t="s">
        <v>72</v>
      </c>
      <c r="F828">
        <v>4</v>
      </c>
      <c r="G828" t="s">
        <v>33</v>
      </c>
      <c r="H828" s="14">
        <v>0.22</v>
      </c>
      <c r="I828" s="23">
        <v>277.58</v>
      </c>
      <c r="J828" s="4">
        <v>1109.44</v>
      </c>
    </row>
    <row r="829" spans="1:10">
      <c r="A829" t="s">
        <v>1562</v>
      </c>
      <c r="B829" s="3">
        <v>45734</v>
      </c>
      <c r="C829" t="s">
        <v>923</v>
      </c>
      <c r="D829" t="s">
        <v>311</v>
      </c>
      <c r="E829" t="s">
        <v>22</v>
      </c>
      <c r="F829">
        <v>1</v>
      </c>
      <c r="G829" t="s">
        <v>23</v>
      </c>
      <c r="H829" s="14">
        <v>0.18</v>
      </c>
      <c r="I829" s="23">
        <v>36.799999999999997</v>
      </c>
      <c r="J829" s="4">
        <v>36.619999999999997</v>
      </c>
    </row>
    <row r="830" spans="1:10">
      <c r="A830" t="s">
        <v>1563</v>
      </c>
      <c r="B830" s="3">
        <v>45809</v>
      </c>
      <c r="C830" t="s">
        <v>1564</v>
      </c>
      <c r="D830" t="s">
        <v>110</v>
      </c>
      <c r="E830" t="s">
        <v>179</v>
      </c>
      <c r="F830">
        <v>1</v>
      </c>
      <c r="G830" t="s">
        <v>23</v>
      </c>
      <c r="H830" s="14">
        <v>0.14000000000000001</v>
      </c>
      <c r="I830" s="23">
        <v>539.37</v>
      </c>
      <c r="J830" s="4">
        <v>539.23</v>
      </c>
    </row>
    <row r="831" spans="1:10">
      <c r="A831" t="s">
        <v>1565</v>
      </c>
      <c r="B831" s="3">
        <v>45760</v>
      </c>
      <c r="C831" t="s">
        <v>979</v>
      </c>
      <c r="D831" t="s">
        <v>291</v>
      </c>
      <c r="E831" t="s">
        <v>160</v>
      </c>
      <c r="F831">
        <v>1</v>
      </c>
      <c r="G831" t="s">
        <v>33</v>
      </c>
      <c r="H831" s="14">
        <v>0.3</v>
      </c>
      <c r="I831" s="23">
        <v>27.83</v>
      </c>
      <c r="J831" s="4">
        <v>27.53</v>
      </c>
    </row>
    <row r="832" spans="1:10">
      <c r="A832" t="s">
        <v>1566</v>
      </c>
      <c r="B832" s="3">
        <v>45456</v>
      </c>
      <c r="C832" t="s">
        <v>1567</v>
      </c>
      <c r="D832" t="s">
        <v>79</v>
      </c>
      <c r="E832" t="s">
        <v>72</v>
      </c>
      <c r="F832">
        <v>3</v>
      </c>
      <c r="G832" t="s">
        <v>50</v>
      </c>
      <c r="H832" s="14">
        <v>0.28000000000000003</v>
      </c>
      <c r="I832" s="23">
        <v>698.72</v>
      </c>
      <c r="J832" s="4">
        <v>2095.3200000000002</v>
      </c>
    </row>
    <row r="833" spans="1:10">
      <c r="A833" t="s">
        <v>1568</v>
      </c>
      <c r="B833" s="3">
        <v>45698</v>
      </c>
      <c r="C833" t="s">
        <v>677</v>
      </c>
      <c r="D833" t="s">
        <v>49</v>
      </c>
      <c r="E833" t="s">
        <v>149</v>
      </c>
      <c r="F833">
        <v>4</v>
      </c>
      <c r="G833" t="s">
        <v>50</v>
      </c>
      <c r="H833" s="14">
        <v>0.15</v>
      </c>
      <c r="I833" s="23">
        <v>528.23</v>
      </c>
      <c r="J833" s="4">
        <v>2112.3200000000002</v>
      </c>
    </row>
    <row r="834" spans="1:10">
      <c r="A834" t="s">
        <v>1569</v>
      </c>
      <c r="B834" s="3">
        <v>45548</v>
      </c>
      <c r="C834" t="s">
        <v>233</v>
      </c>
      <c r="D834" t="s">
        <v>381</v>
      </c>
      <c r="E834" t="s">
        <v>117</v>
      </c>
      <c r="F834">
        <v>2</v>
      </c>
      <c r="G834" t="s">
        <v>33</v>
      </c>
      <c r="H834" s="14">
        <v>0.24</v>
      </c>
      <c r="I834" s="23">
        <v>780.9</v>
      </c>
      <c r="J834" s="4">
        <v>1561.32</v>
      </c>
    </row>
    <row r="835" spans="1:10">
      <c r="A835" t="s">
        <v>1570</v>
      </c>
      <c r="B835" s="3">
        <v>45236</v>
      </c>
      <c r="C835" t="s">
        <v>1351</v>
      </c>
      <c r="D835" t="s">
        <v>279</v>
      </c>
      <c r="E835" t="s">
        <v>98</v>
      </c>
      <c r="F835">
        <v>1</v>
      </c>
      <c r="G835" t="s">
        <v>50</v>
      </c>
      <c r="H835" s="14">
        <v>0.06</v>
      </c>
      <c r="I835" s="23">
        <v>977.97</v>
      </c>
      <c r="J835" s="4">
        <v>977.91</v>
      </c>
    </row>
    <row r="836" spans="1:10">
      <c r="A836" t="s">
        <v>1571</v>
      </c>
      <c r="B836" s="3">
        <v>45310</v>
      </c>
      <c r="C836" t="s">
        <v>423</v>
      </c>
      <c r="D836" t="s">
        <v>359</v>
      </c>
      <c r="E836" t="s">
        <v>208</v>
      </c>
      <c r="F836">
        <v>4</v>
      </c>
      <c r="G836" t="s">
        <v>23</v>
      </c>
      <c r="H836" s="14">
        <v>0.19</v>
      </c>
      <c r="I836" s="23">
        <v>354.65</v>
      </c>
      <c r="J836" s="4">
        <v>1417.84</v>
      </c>
    </row>
    <row r="837" spans="1:10">
      <c r="A837" t="s">
        <v>1572</v>
      </c>
      <c r="B837" s="3">
        <v>45376</v>
      </c>
      <c r="C837" t="s">
        <v>1567</v>
      </c>
      <c r="D837" t="s">
        <v>741</v>
      </c>
      <c r="E837" t="s">
        <v>135</v>
      </c>
      <c r="F837">
        <v>1</v>
      </c>
      <c r="G837" t="s">
        <v>50</v>
      </c>
      <c r="H837" s="14">
        <v>0.09</v>
      </c>
      <c r="I837" s="23">
        <v>671.62</v>
      </c>
      <c r="J837" s="4">
        <v>671.53</v>
      </c>
    </row>
    <row r="838" spans="1:10">
      <c r="A838" t="s">
        <v>1573</v>
      </c>
      <c r="B838" s="3">
        <v>45914</v>
      </c>
      <c r="C838" t="s">
        <v>1284</v>
      </c>
      <c r="D838" t="s">
        <v>542</v>
      </c>
      <c r="E838" t="s">
        <v>22</v>
      </c>
      <c r="F838">
        <v>1</v>
      </c>
      <c r="G838" t="s">
        <v>33</v>
      </c>
      <c r="H838" s="14">
        <v>0.28999999999999998</v>
      </c>
      <c r="I838" s="23">
        <v>867.32</v>
      </c>
      <c r="J838" s="4">
        <v>867.03</v>
      </c>
    </row>
    <row r="839" spans="1:10">
      <c r="A839" t="s">
        <v>1574</v>
      </c>
      <c r="B839" s="3">
        <v>45336</v>
      </c>
      <c r="C839" t="s">
        <v>613</v>
      </c>
      <c r="D839" t="s">
        <v>234</v>
      </c>
      <c r="E839" t="s">
        <v>208</v>
      </c>
      <c r="F839">
        <v>3</v>
      </c>
      <c r="G839" t="s">
        <v>33</v>
      </c>
      <c r="H839" s="14">
        <v>0.15</v>
      </c>
      <c r="I839" s="23">
        <v>240.27</v>
      </c>
      <c r="J839" s="4">
        <v>720.36</v>
      </c>
    </row>
    <row r="840" spans="1:10">
      <c r="A840" t="s">
        <v>1575</v>
      </c>
      <c r="B840" s="3">
        <v>45728</v>
      </c>
      <c r="C840" t="s">
        <v>692</v>
      </c>
      <c r="D840" t="s">
        <v>567</v>
      </c>
      <c r="E840" t="s">
        <v>117</v>
      </c>
      <c r="F840">
        <v>2</v>
      </c>
      <c r="G840" t="s">
        <v>50</v>
      </c>
      <c r="H840" s="14">
        <v>0.28000000000000003</v>
      </c>
      <c r="I840" s="23">
        <v>619.12</v>
      </c>
      <c r="J840" s="4">
        <v>1237.68</v>
      </c>
    </row>
    <row r="841" spans="1:10">
      <c r="A841" t="s">
        <v>1576</v>
      </c>
      <c r="B841" s="3">
        <v>45755</v>
      </c>
      <c r="C841" t="s">
        <v>186</v>
      </c>
      <c r="D841" t="s">
        <v>514</v>
      </c>
      <c r="E841" t="s">
        <v>90</v>
      </c>
      <c r="F841">
        <v>3</v>
      </c>
      <c r="G841" t="s">
        <v>33</v>
      </c>
      <c r="H841" s="14">
        <v>0.08</v>
      </c>
      <c r="I841" s="23">
        <v>693.42</v>
      </c>
      <c r="J841" s="4">
        <v>2080.02</v>
      </c>
    </row>
    <row r="842" spans="1:10">
      <c r="A842" t="s">
        <v>1577</v>
      </c>
      <c r="B842" s="3">
        <v>45695</v>
      </c>
      <c r="C842" t="s">
        <v>589</v>
      </c>
      <c r="D842" t="s">
        <v>505</v>
      </c>
      <c r="E842" t="s">
        <v>168</v>
      </c>
      <c r="F842">
        <v>4</v>
      </c>
      <c r="G842" t="s">
        <v>50</v>
      </c>
      <c r="H842" s="14">
        <v>0.28000000000000003</v>
      </c>
      <c r="I842" s="23">
        <v>751.63</v>
      </c>
      <c r="J842" s="4">
        <v>3005.4</v>
      </c>
    </row>
    <row r="843" spans="1:10">
      <c r="A843" t="s">
        <v>1578</v>
      </c>
      <c r="B843" s="3">
        <v>45380</v>
      </c>
      <c r="C843" t="s">
        <v>1528</v>
      </c>
      <c r="D843" t="s">
        <v>311</v>
      </c>
      <c r="E843" t="s">
        <v>122</v>
      </c>
      <c r="F843">
        <v>3</v>
      </c>
      <c r="G843" t="s">
        <v>50</v>
      </c>
      <c r="H843" s="14">
        <v>0.19</v>
      </c>
      <c r="I843" s="23">
        <v>108.14</v>
      </c>
      <c r="J843" s="4">
        <v>323.85000000000002</v>
      </c>
    </row>
    <row r="844" spans="1:10">
      <c r="A844" t="s">
        <v>1579</v>
      </c>
      <c r="B844" s="3">
        <v>45446</v>
      </c>
      <c r="C844" t="s">
        <v>593</v>
      </c>
      <c r="D844" t="s">
        <v>139</v>
      </c>
      <c r="E844" t="s">
        <v>72</v>
      </c>
      <c r="F844">
        <v>1</v>
      </c>
      <c r="G844" t="s">
        <v>50</v>
      </c>
      <c r="H844" s="14">
        <v>0.17</v>
      </c>
      <c r="I844" s="23">
        <v>964.11</v>
      </c>
      <c r="J844" s="4">
        <v>963.94</v>
      </c>
    </row>
    <row r="845" spans="1:10">
      <c r="A845" t="s">
        <v>1580</v>
      </c>
      <c r="B845" s="3">
        <v>45525</v>
      </c>
      <c r="C845" t="s">
        <v>417</v>
      </c>
      <c r="D845" t="s">
        <v>314</v>
      </c>
      <c r="E845" t="s">
        <v>90</v>
      </c>
      <c r="F845">
        <v>1</v>
      </c>
      <c r="G845" t="s">
        <v>23</v>
      </c>
      <c r="H845" s="14">
        <v>0.28999999999999998</v>
      </c>
      <c r="I845" s="23">
        <v>346.2</v>
      </c>
      <c r="J845" s="4">
        <v>345.91</v>
      </c>
    </row>
    <row r="846" spans="1:10">
      <c r="A846" t="s">
        <v>1581</v>
      </c>
      <c r="B846" s="3">
        <v>45527</v>
      </c>
      <c r="C846" t="s">
        <v>1582</v>
      </c>
      <c r="D846" t="s">
        <v>159</v>
      </c>
      <c r="E846" t="s">
        <v>122</v>
      </c>
      <c r="F846">
        <v>3</v>
      </c>
      <c r="G846" t="s">
        <v>23</v>
      </c>
      <c r="H846" s="14">
        <v>0.28999999999999998</v>
      </c>
      <c r="I846" s="23">
        <v>791.75</v>
      </c>
      <c r="J846" s="4">
        <v>2374.38</v>
      </c>
    </row>
    <row r="847" spans="1:10">
      <c r="A847" t="s">
        <v>1583</v>
      </c>
      <c r="B847" s="3">
        <v>45265</v>
      </c>
      <c r="C847" t="s">
        <v>562</v>
      </c>
      <c r="D847" t="s">
        <v>104</v>
      </c>
      <c r="E847" t="s">
        <v>149</v>
      </c>
      <c r="F847">
        <v>1</v>
      </c>
      <c r="G847" t="s">
        <v>33</v>
      </c>
      <c r="H847" s="14">
        <v>0.13</v>
      </c>
      <c r="I847" s="23">
        <v>529.84</v>
      </c>
      <c r="J847" s="4">
        <v>529.71</v>
      </c>
    </row>
    <row r="848" spans="1:10">
      <c r="A848" t="s">
        <v>1584</v>
      </c>
      <c r="B848" s="3">
        <v>45936</v>
      </c>
      <c r="C848" t="s">
        <v>756</v>
      </c>
      <c r="D848" t="s">
        <v>420</v>
      </c>
      <c r="E848" t="s">
        <v>22</v>
      </c>
      <c r="F848">
        <v>3</v>
      </c>
      <c r="G848" t="s">
        <v>33</v>
      </c>
      <c r="H848" s="14">
        <v>0.11</v>
      </c>
      <c r="I848" s="23">
        <v>582.57000000000005</v>
      </c>
      <c r="J848" s="4">
        <v>1747.38</v>
      </c>
    </row>
    <row r="849" spans="1:10">
      <c r="A849" t="s">
        <v>1585</v>
      </c>
      <c r="B849" s="3">
        <v>45242</v>
      </c>
      <c r="C849" t="s">
        <v>833</v>
      </c>
      <c r="D849" t="s">
        <v>1126</v>
      </c>
      <c r="E849" t="s">
        <v>32</v>
      </c>
      <c r="F849">
        <v>1</v>
      </c>
      <c r="G849" t="s">
        <v>50</v>
      </c>
      <c r="H849" s="14">
        <v>0.22</v>
      </c>
      <c r="I849" s="23">
        <v>219.81</v>
      </c>
      <c r="J849" s="4">
        <v>219.59</v>
      </c>
    </row>
    <row r="850" spans="1:10">
      <c r="A850" t="s">
        <v>1586</v>
      </c>
      <c r="B850" s="3">
        <v>45437</v>
      </c>
      <c r="C850" t="s">
        <v>1430</v>
      </c>
      <c r="D850" t="s">
        <v>79</v>
      </c>
      <c r="E850" t="s">
        <v>160</v>
      </c>
      <c r="F850">
        <v>4</v>
      </c>
      <c r="G850" t="s">
        <v>23</v>
      </c>
      <c r="H850" s="14">
        <v>0.27</v>
      </c>
      <c r="I850" s="23">
        <v>883.31</v>
      </c>
      <c r="J850" s="4">
        <v>3532.16</v>
      </c>
    </row>
    <row r="851" spans="1:10">
      <c r="A851" t="s">
        <v>1587</v>
      </c>
      <c r="B851" s="3">
        <v>45627</v>
      </c>
      <c r="C851" t="s">
        <v>880</v>
      </c>
      <c r="D851" t="s">
        <v>377</v>
      </c>
      <c r="E851" t="s">
        <v>98</v>
      </c>
      <c r="F851">
        <v>4</v>
      </c>
      <c r="G851" t="s">
        <v>50</v>
      </c>
      <c r="H851" s="14">
        <v>0.04</v>
      </c>
      <c r="I851" s="23">
        <v>329.06</v>
      </c>
      <c r="J851" s="4">
        <v>1316.08</v>
      </c>
    </row>
    <row r="852" spans="1:10">
      <c r="A852" t="s">
        <v>1588</v>
      </c>
      <c r="B852" s="3">
        <v>45678</v>
      </c>
      <c r="C852" t="s">
        <v>470</v>
      </c>
      <c r="D852" t="s">
        <v>741</v>
      </c>
      <c r="E852" t="s">
        <v>272</v>
      </c>
      <c r="F852">
        <v>1</v>
      </c>
      <c r="G852" t="s">
        <v>33</v>
      </c>
      <c r="H852" s="14">
        <v>0.03</v>
      </c>
      <c r="I852" s="23">
        <v>935.78</v>
      </c>
      <c r="J852" s="4">
        <v>935.75</v>
      </c>
    </row>
    <row r="853" spans="1:10">
      <c r="A853" t="s">
        <v>1589</v>
      </c>
      <c r="B853" s="3">
        <v>45484</v>
      </c>
      <c r="C853" t="s">
        <v>103</v>
      </c>
      <c r="D853" t="s">
        <v>148</v>
      </c>
      <c r="E853" t="s">
        <v>168</v>
      </c>
      <c r="F853">
        <v>4</v>
      </c>
      <c r="G853" t="s">
        <v>23</v>
      </c>
      <c r="H853" s="14">
        <v>0.2</v>
      </c>
      <c r="I853" s="23">
        <v>597.79999999999995</v>
      </c>
      <c r="J853" s="4">
        <v>2390.4</v>
      </c>
    </row>
    <row r="854" spans="1:10">
      <c r="A854" t="s">
        <v>1590</v>
      </c>
      <c r="B854" s="3">
        <v>45700</v>
      </c>
      <c r="C854" t="s">
        <v>1591</v>
      </c>
      <c r="D854" t="s">
        <v>197</v>
      </c>
      <c r="E854" t="s">
        <v>160</v>
      </c>
      <c r="F854">
        <v>4</v>
      </c>
      <c r="G854" t="s">
        <v>23</v>
      </c>
      <c r="H854" s="14">
        <v>0.16</v>
      </c>
      <c r="I854" s="23">
        <v>266.98</v>
      </c>
      <c r="J854" s="4">
        <v>1067.28</v>
      </c>
    </row>
    <row r="855" spans="1:10">
      <c r="A855" t="s">
        <v>1592</v>
      </c>
      <c r="B855" s="3">
        <v>45873</v>
      </c>
      <c r="C855" t="s">
        <v>1593</v>
      </c>
      <c r="D855" t="s">
        <v>79</v>
      </c>
      <c r="E855" t="s">
        <v>122</v>
      </c>
      <c r="F855">
        <v>3</v>
      </c>
      <c r="G855" t="s">
        <v>23</v>
      </c>
      <c r="H855" s="14">
        <v>0.03</v>
      </c>
      <c r="I855" s="23">
        <v>360.18</v>
      </c>
      <c r="J855" s="4">
        <v>1080.45</v>
      </c>
    </row>
    <row r="856" spans="1:10">
      <c r="A856" t="s">
        <v>1594</v>
      </c>
      <c r="B856" s="3">
        <v>45860</v>
      </c>
      <c r="C856" t="s">
        <v>1503</v>
      </c>
      <c r="D856" t="s">
        <v>71</v>
      </c>
      <c r="E856" t="s">
        <v>90</v>
      </c>
      <c r="F856">
        <v>3</v>
      </c>
      <c r="G856" t="s">
        <v>50</v>
      </c>
      <c r="H856" s="14">
        <v>0.05</v>
      </c>
      <c r="I856" s="23">
        <v>247.41</v>
      </c>
      <c r="J856" s="4">
        <v>742.08</v>
      </c>
    </row>
    <row r="857" spans="1:10">
      <c r="A857" t="s">
        <v>1595</v>
      </c>
      <c r="B857" s="3">
        <v>45235</v>
      </c>
      <c r="C857" t="s">
        <v>1596</v>
      </c>
      <c r="D857" t="s">
        <v>344</v>
      </c>
      <c r="E857" t="s">
        <v>122</v>
      </c>
      <c r="F857">
        <v>3</v>
      </c>
      <c r="G857" t="s">
        <v>23</v>
      </c>
      <c r="H857" s="14">
        <v>0.23</v>
      </c>
      <c r="I857" s="23">
        <v>674.66</v>
      </c>
      <c r="J857" s="4">
        <v>2023.29</v>
      </c>
    </row>
    <row r="858" spans="1:10">
      <c r="A858" t="s">
        <v>1597</v>
      </c>
      <c r="B858" s="3">
        <v>45874</v>
      </c>
      <c r="C858" t="s">
        <v>587</v>
      </c>
      <c r="D858" t="s">
        <v>449</v>
      </c>
      <c r="E858" t="s">
        <v>72</v>
      </c>
      <c r="F858">
        <v>1</v>
      </c>
      <c r="G858" t="s">
        <v>33</v>
      </c>
      <c r="H858" s="14">
        <v>0.27</v>
      </c>
      <c r="I858" s="23">
        <v>913.98</v>
      </c>
      <c r="J858" s="4">
        <v>913.71</v>
      </c>
    </row>
    <row r="859" spans="1:10">
      <c r="A859" t="s">
        <v>1598</v>
      </c>
      <c r="B859" s="3">
        <v>45769</v>
      </c>
      <c r="C859" t="s">
        <v>554</v>
      </c>
      <c r="D859" t="s">
        <v>317</v>
      </c>
      <c r="E859" t="s">
        <v>168</v>
      </c>
      <c r="F859">
        <v>4</v>
      </c>
      <c r="G859" t="s">
        <v>33</v>
      </c>
      <c r="H859" s="14">
        <v>0.13</v>
      </c>
      <c r="I859" s="23">
        <v>370.5</v>
      </c>
      <c r="J859" s="4">
        <v>1481.48</v>
      </c>
    </row>
    <row r="860" spans="1:10">
      <c r="A860" t="s">
        <v>1599</v>
      </c>
      <c r="B860" s="3">
        <v>45619</v>
      </c>
      <c r="C860" t="s">
        <v>871</v>
      </c>
      <c r="D860" t="s">
        <v>155</v>
      </c>
      <c r="E860" t="s">
        <v>149</v>
      </c>
      <c r="F860">
        <v>1</v>
      </c>
      <c r="G860" t="s">
        <v>33</v>
      </c>
      <c r="H860" s="14">
        <v>0.1</v>
      </c>
      <c r="I860" s="23">
        <v>735.1</v>
      </c>
      <c r="J860" s="4">
        <v>735</v>
      </c>
    </row>
    <row r="861" spans="1:10">
      <c r="A861" t="s">
        <v>1600</v>
      </c>
      <c r="B861" s="3">
        <v>45614</v>
      </c>
      <c r="C861" t="s">
        <v>652</v>
      </c>
      <c r="D861" t="s">
        <v>221</v>
      </c>
      <c r="E861" t="s">
        <v>198</v>
      </c>
      <c r="F861">
        <v>3</v>
      </c>
      <c r="G861" t="s">
        <v>23</v>
      </c>
      <c r="H861" s="14">
        <v>0.05</v>
      </c>
      <c r="I861" s="23">
        <v>448.55</v>
      </c>
      <c r="J861" s="4">
        <v>1345.5</v>
      </c>
    </row>
    <row r="862" spans="1:10">
      <c r="A862" t="s">
        <v>1601</v>
      </c>
      <c r="B862" s="3">
        <v>45691</v>
      </c>
      <c r="C862" t="s">
        <v>1306</v>
      </c>
      <c r="D862" t="s">
        <v>814</v>
      </c>
      <c r="E862" t="s">
        <v>149</v>
      </c>
      <c r="F862">
        <v>3</v>
      </c>
      <c r="G862" t="s">
        <v>50</v>
      </c>
      <c r="H862" s="14">
        <v>7.0000000000000007E-2</v>
      </c>
      <c r="I862" s="23">
        <v>904.96</v>
      </c>
      <c r="J862" s="4">
        <v>2714.67</v>
      </c>
    </row>
    <row r="863" spans="1:10">
      <c r="A863" t="s">
        <v>1602</v>
      </c>
      <c r="B863" s="3">
        <v>45608</v>
      </c>
      <c r="C863" t="s">
        <v>1424</v>
      </c>
      <c r="D863" t="s">
        <v>741</v>
      </c>
      <c r="E863" t="s">
        <v>149</v>
      </c>
      <c r="F863">
        <v>4</v>
      </c>
      <c r="G863" t="s">
        <v>50</v>
      </c>
      <c r="H863" s="14">
        <v>0.16</v>
      </c>
      <c r="I863" s="23">
        <v>408.72</v>
      </c>
      <c r="J863" s="4">
        <v>1634.24</v>
      </c>
    </row>
    <row r="864" spans="1:10">
      <c r="A864" t="s">
        <v>1603</v>
      </c>
      <c r="B864" s="3">
        <v>45412</v>
      </c>
      <c r="C864" t="s">
        <v>773</v>
      </c>
      <c r="D864" t="s">
        <v>368</v>
      </c>
      <c r="E864" t="s">
        <v>22</v>
      </c>
      <c r="F864">
        <v>4</v>
      </c>
      <c r="G864" t="s">
        <v>23</v>
      </c>
      <c r="H864" s="14">
        <v>0.27</v>
      </c>
      <c r="I864" s="23">
        <v>770.65</v>
      </c>
      <c r="J864" s="4">
        <v>3081.52</v>
      </c>
    </row>
    <row r="865" spans="1:10">
      <c r="A865" t="s">
        <v>1604</v>
      </c>
      <c r="B865" s="3">
        <v>45767</v>
      </c>
      <c r="C865" t="s">
        <v>262</v>
      </c>
      <c r="D865" t="s">
        <v>271</v>
      </c>
      <c r="E865" t="s">
        <v>179</v>
      </c>
      <c r="F865">
        <v>1</v>
      </c>
      <c r="G865" t="s">
        <v>50</v>
      </c>
      <c r="H865" s="14">
        <v>0.03</v>
      </c>
      <c r="I865" s="23">
        <v>649.22</v>
      </c>
      <c r="J865" s="4">
        <v>649.19000000000005</v>
      </c>
    </row>
    <row r="866" spans="1:10">
      <c r="A866" t="s">
        <v>1605</v>
      </c>
      <c r="B866" s="3">
        <v>45428</v>
      </c>
      <c r="C866" t="s">
        <v>121</v>
      </c>
      <c r="D866" t="s">
        <v>89</v>
      </c>
      <c r="E866" t="s">
        <v>168</v>
      </c>
      <c r="F866">
        <v>2</v>
      </c>
      <c r="G866" t="s">
        <v>23</v>
      </c>
      <c r="H866" s="14">
        <v>0.2</v>
      </c>
      <c r="I866" s="23">
        <v>379.78</v>
      </c>
      <c r="J866" s="4">
        <v>759.16</v>
      </c>
    </row>
    <row r="867" spans="1:10">
      <c r="A867" t="s">
        <v>1606</v>
      </c>
      <c r="B867" s="3">
        <v>45770</v>
      </c>
      <c r="C867" t="s">
        <v>763</v>
      </c>
      <c r="D867" t="s">
        <v>159</v>
      </c>
      <c r="E867" t="s">
        <v>43</v>
      </c>
      <c r="F867">
        <v>3</v>
      </c>
      <c r="G867" t="s">
        <v>33</v>
      </c>
      <c r="H867" s="14">
        <v>0.1</v>
      </c>
      <c r="I867" s="23">
        <v>924.15</v>
      </c>
      <c r="J867" s="4">
        <v>2772.15</v>
      </c>
    </row>
    <row r="868" spans="1:10">
      <c r="A868" t="s">
        <v>1607</v>
      </c>
      <c r="B868" s="3">
        <v>45571</v>
      </c>
      <c r="C868" t="s">
        <v>956</v>
      </c>
      <c r="D868" t="s">
        <v>344</v>
      </c>
      <c r="E868" t="s">
        <v>32</v>
      </c>
      <c r="F868">
        <v>3</v>
      </c>
      <c r="G868" t="s">
        <v>50</v>
      </c>
      <c r="H868" s="14">
        <v>0.28999999999999998</v>
      </c>
      <c r="I868" s="23">
        <v>144.66999999999999</v>
      </c>
      <c r="J868" s="4">
        <v>433.14</v>
      </c>
    </row>
    <row r="869" spans="1:10">
      <c r="A869" t="s">
        <v>1608</v>
      </c>
      <c r="B869" s="3">
        <v>45700</v>
      </c>
      <c r="C869" t="s">
        <v>1609</v>
      </c>
      <c r="D869" t="s">
        <v>89</v>
      </c>
      <c r="E869" t="s">
        <v>122</v>
      </c>
      <c r="F869">
        <v>2</v>
      </c>
      <c r="G869" t="s">
        <v>33</v>
      </c>
      <c r="H869" s="14">
        <v>0.1</v>
      </c>
      <c r="I869" s="23">
        <v>667.17</v>
      </c>
      <c r="J869" s="4">
        <v>1334.14</v>
      </c>
    </row>
    <row r="870" spans="1:10">
      <c r="A870" t="s">
        <v>1610</v>
      </c>
      <c r="B870" s="3">
        <v>45382</v>
      </c>
      <c r="C870" t="s">
        <v>1336</v>
      </c>
      <c r="D870" t="s">
        <v>532</v>
      </c>
      <c r="E870" t="s">
        <v>22</v>
      </c>
      <c r="F870">
        <v>1</v>
      </c>
      <c r="G870" t="s">
        <v>23</v>
      </c>
      <c r="H870" s="14">
        <v>0.22</v>
      </c>
      <c r="I870" s="23">
        <v>984.6</v>
      </c>
      <c r="J870" s="4">
        <v>984.38</v>
      </c>
    </row>
    <row r="871" spans="1:10">
      <c r="A871" t="s">
        <v>1611</v>
      </c>
      <c r="B871" s="3">
        <v>45260</v>
      </c>
      <c r="C871" t="s">
        <v>1612</v>
      </c>
      <c r="D871" t="s">
        <v>197</v>
      </c>
      <c r="E871" t="s">
        <v>43</v>
      </c>
      <c r="F871">
        <v>1</v>
      </c>
      <c r="G871" t="s">
        <v>23</v>
      </c>
      <c r="H871" s="14">
        <v>0</v>
      </c>
      <c r="I871" s="23">
        <v>139.29</v>
      </c>
      <c r="J871" s="4">
        <v>139.29</v>
      </c>
    </row>
    <row r="872" spans="1:10">
      <c r="A872" t="s">
        <v>1613</v>
      </c>
      <c r="B872" s="3">
        <v>45702</v>
      </c>
      <c r="C872" t="s">
        <v>620</v>
      </c>
      <c r="D872" t="s">
        <v>226</v>
      </c>
      <c r="E872" t="s">
        <v>43</v>
      </c>
      <c r="F872">
        <v>3</v>
      </c>
      <c r="G872" t="s">
        <v>50</v>
      </c>
      <c r="H872" s="14">
        <v>0.1</v>
      </c>
      <c r="I872" s="23">
        <v>459.57</v>
      </c>
      <c r="J872" s="4">
        <v>1378.41</v>
      </c>
    </row>
    <row r="873" spans="1:10">
      <c r="A873" t="s">
        <v>1614</v>
      </c>
      <c r="B873" s="3">
        <v>45302</v>
      </c>
      <c r="C873" t="s">
        <v>611</v>
      </c>
      <c r="D873" t="s">
        <v>295</v>
      </c>
      <c r="E873" t="s">
        <v>122</v>
      </c>
      <c r="F873">
        <v>1</v>
      </c>
      <c r="G873" t="s">
        <v>23</v>
      </c>
      <c r="H873" s="14">
        <v>0.28999999999999998</v>
      </c>
      <c r="I873" s="23">
        <v>517.82000000000005</v>
      </c>
      <c r="J873" s="4">
        <v>517.53</v>
      </c>
    </row>
    <row r="874" spans="1:10">
      <c r="A874" t="s">
        <v>1615</v>
      </c>
      <c r="B874" s="3">
        <v>45653</v>
      </c>
      <c r="C874" t="s">
        <v>997</v>
      </c>
      <c r="D874" t="s">
        <v>49</v>
      </c>
      <c r="E874" t="s">
        <v>179</v>
      </c>
      <c r="F874">
        <v>4</v>
      </c>
      <c r="G874" t="s">
        <v>50</v>
      </c>
      <c r="H874" s="14">
        <v>0.28999999999999998</v>
      </c>
      <c r="I874" s="23">
        <v>282.45</v>
      </c>
      <c r="J874" s="4">
        <v>1128.6400000000001</v>
      </c>
    </row>
    <row r="875" spans="1:10">
      <c r="A875" t="s">
        <v>1616</v>
      </c>
      <c r="B875" s="3">
        <v>45250</v>
      </c>
      <c r="C875" t="s">
        <v>961</v>
      </c>
      <c r="D875" t="s">
        <v>514</v>
      </c>
      <c r="E875" t="s">
        <v>66</v>
      </c>
      <c r="F875">
        <v>2</v>
      </c>
      <c r="G875" t="s">
        <v>50</v>
      </c>
      <c r="H875" s="14">
        <v>0.23</v>
      </c>
      <c r="I875" s="23">
        <v>386.46</v>
      </c>
      <c r="J875" s="4">
        <v>772.46</v>
      </c>
    </row>
    <row r="876" spans="1:10">
      <c r="A876" t="s">
        <v>1617</v>
      </c>
      <c r="B876" s="3">
        <v>45661</v>
      </c>
      <c r="C876" t="s">
        <v>1618</v>
      </c>
      <c r="D876" t="s">
        <v>314</v>
      </c>
      <c r="E876" t="s">
        <v>22</v>
      </c>
      <c r="F876">
        <v>1</v>
      </c>
      <c r="G876" t="s">
        <v>50</v>
      </c>
      <c r="H876" s="14">
        <v>0.15</v>
      </c>
      <c r="I876" s="23">
        <v>270.45</v>
      </c>
      <c r="J876" s="4">
        <v>270.3</v>
      </c>
    </row>
    <row r="877" spans="1:10">
      <c r="A877" t="s">
        <v>1619</v>
      </c>
      <c r="B877" s="3">
        <v>45493</v>
      </c>
      <c r="C877" t="s">
        <v>442</v>
      </c>
      <c r="D877" t="s">
        <v>49</v>
      </c>
      <c r="E877" t="s">
        <v>168</v>
      </c>
      <c r="F877">
        <v>4</v>
      </c>
      <c r="G877" t="s">
        <v>50</v>
      </c>
      <c r="H877" s="14">
        <v>0.09</v>
      </c>
      <c r="I877" s="23">
        <v>762.94</v>
      </c>
      <c r="J877" s="4">
        <v>3051.4</v>
      </c>
    </row>
    <row r="878" spans="1:10">
      <c r="A878" t="s">
        <v>1620</v>
      </c>
      <c r="B878" s="3">
        <v>45242</v>
      </c>
      <c r="C878" t="s">
        <v>722</v>
      </c>
      <c r="D878" t="s">
        <v>745</v>
      </c>
      <c r="E878" t="s">
        <v>149</v>
      </c>
      <c r="F878">
        <v>1</v>
      </c>
      <c r="G878" t="s">
        <v>50</v>
      </c>
      <c r="H878" s="14">
        <v>0.25</v>
      </c>
      <c r="I878" s="23">
        <v>409.03</v>
      </c>
      <c r="J878" s="4">
        <v>408.78</v>
      </c>
    </row>
    <row r="879" spans="1:10">
      <c r="A879" t="s">
        <v>1621</v>
      </c>
      <c r="B879" s="3">
        <v>45411</v>
      </c>
      <c r="C879" t="s">
        <v>785</v>
      </c>
      <c r="D879" t="s">
        <v>1259</v>
      </c>
      <c r="E879" t="s">
        <v>160</v>
      </c>
      <c r="F879">
        <v>2</v>
      </c>
      <c r="G879" t="s">
        <v>23</v>
      </c>
      <c r="H879" s="14">
        <v>0.13</v>
      </c>
      <c r="I879" s="23">
        <v>891.13</v>
      </c>
      <c r="J879" s="4">
        <v>1782</v>
      </c>
    </row>
    <row r="880" spans="1:10">
      <c r="A880" t="s">
        <v>1622</v>
      </c>
      <c r="B880" s="3">
        <v>45593</v>
      </c>
      <c r="C880" t="s">
        <v>1183</v>
      </c>
      <c r="D880" t="s">
        <v>603</v>
      </c>
      <c r="E880" t="s">
        <v>117</v>
      </c>
      <c r="F880">
        <v>1</v>
      </c>
      <c r="G880" t="s">
        <v>33</v>
      </c>
      <c r="H880" s="14">
        <v>0.21</v>
      </c>
      <c r="I880" s="23">
        <v>553.38</v>
      </c>
      <c r="J880" s="4">
        <v>553.16999999999996</v>
      </c>
    </row>
    <row r="881" spans="1:10">
      <c r="A881" t="s">
        <v>1623</v>
      </c>
      <c r="B881" s="3">
        <v>45281</v>
      </c>
      <c r="C881" t="s">
        <v>1155</v>
      </c>
      <c r="D881" t="s">
        <v>462</v>
      </c>
      <c r="E881" t="s">
        <v>149</v>
      </c>
      <c r="F881">
        <v>2</v>
      </c>
      <c r="G881" t="s">
        <v>50</v>
      </c>
      <c r="H881" s="14">
        <v>0.16</v>
      </c>
      <c r="I881" s="23">
        <v>652.29999999999995</v>
      </c>
      <c r="J881" s="4">
        <v>1304.28</v>
      </c>
    </row>
    <row r="882" spans="1:10">
      <c r="A882" t="s">
        <v>1624</v>
      </c>
      <c r="B882" s="3">
        <v>45575</v>
      </c>
      <c r="C882" t="s">
        <v>1468</v>
      </c>
      <c r="D882" t="s">
        <v>449</v>
      </c>
      <c r="E882" t="s">
        <v>127</v>
      </c>
      <c r="F882">
        <v>4</v>
      </c>
      <c r="G882" t="s">
        <v>50</v>
      </c>
      <c r="H882" s="14">
        <v>0.18</v>
      </c>
      <c r="I882" s="23">
        <v>194.36</v>
      </c>
      <c r="J882" s="4">
        <v>776.72</v>
      </c>
    </row>
    <row r="883" spans="1:10">
      <c r="A883" t="s">
        <v>1625</v>
      </c>
      <c r="B883" s="3">
        <v>45660</v>
      </c>
      <c r="C883" t="s">
        <v>685</v>
      </c>
      <c r="D883" t="s">
        <v>603</v>
      </c>
      <c r="E883" t="s">
        <v>105</v>
      </c>
      <c r="F883">
        <v>3</v>
      </c>
      <c r="G883" t="s">
        <v>50</v>
      </c>
      <c r="H883" s="14">
        <v>0.21</v>
      </c>
      <c r="I883" s="23">
        <v>476.37</v>
      </c>
      <c r="J883" s="4">
        <v>1428.48</v>
      </c>
    </row>
    <row r="884" spans="1:10">
      <c r="A884" t="s">
        <v>1626</v>
      </c>
      <c r="B884" s="3">
        <v>45360</v>
      </c>
      <c r="C884" t="s">
        <v>1152</v>
      </c>
      <c r="D884" t="s">
        <v>295</v>
      </c>
      <c r="E884" t="s">
        <v>58</v>
      </c>
      <c r="F884">
        <v>3</v>
      </c>
      <c r="G884" t="s">
        <v>33</v>
      </c>
      <c r="H884" s="14">
        <v>0</v>
      </c>
      <c r="I884" s="23">
        <v>174.57</v>
      </c>
      <c r="J884" s="4">
        <v>523.71</v>
      </c>
    </row>
    <row r="885" spans="1:10">
      <c r="A885" t="s">
        <v>1627</v>
      </c>
      <c r="B885" s="3">
        <v>45526</v>
      </c>
      <c r="C885" t="s">
        <v>452</v>
      </c>
      <c r="D885" t="s">
        <v>462</v>
      </c>
      <c r="E885" t="s">
        <v>90</v>
      </c>
      <c r="F885">
        <v>3</v>
      </c>
      <c r="G885" t="s">
        <v>33</v>
      </c>
      <c r="H885" s="14">
        <v>0.02</v>
      </c>
      <c r="I885" s="23">
        <v>762</v>
      </c>
      <c r="J885" s="4">
        <v>2285.94</v>
      </c>
    </row>
    <row r="886" spans="1:10">
      <c r="A886" t="s">
        <v>1628</v>
      </c>
      <c r="B886" s="3">
        <v>45395</v>
      </c>
      <c r="C886" t="s">
        <v>1290</v>
      </c>
      <c r="D886" t="s">
        <v>155</v>
      </c>
      <c r="E886" t="s">
        <v>135</v>
      </c>
      <c r="F886">
        <v>1</v>
      </c>
      <c r="G886" t="s">
        <v>23</v>
      </c>
      <c r="H886" s="14">
        <v>0.05</v>
      </c>
      <c r="I886" s="23">
        <v>44.08</v>
      </c>
      <c r="J886" s="4">
        <v>44.03</v>
      </c>
    </row>
    <row r="887" spans="1:10">
      <c r="A887" t="s">
        <v>1629</v>
      </c>
      <c r="B887" s="3">
        <v>45466</v>
      </c>
      <c r="C887" t="s">
        <v>697</v>
      </c>
      <c r="D887" t="s">
        <v>57</v>
      </c>
      <c r="E887" t="s">
        <v>149</v>
      </c>
      <c r="F887">
        <v>1</v>
      </c>
      <c r="G887" t="s">
        <v>50</v>
      </c>
      <c r="H887" s="14">
        <v>0.24</v>
      </c>
      <c r="I887" s="23">
        <v>992.37</v>
      </c>
      <c r="J887" s="4">
        <v>992.13</v>
      </c>
    </row>
    <row r="888" spans="1:10">
      <c r="A888" t="s">
        <v>1630</v>
      </c>
      <c r="B888" s="3">
        <v>45876</v>
      </c>
      <c r="C888" t="s">
        <v>513</v>
      </c>
      <c r="D888" t="s">
        <v>311</v>
      </c>
      <c r="E888" t="s">
        <v>168</v>
      </c>
      <c r="F888">
        <v>3</v>
      </c>
      <c r="G888" t="s">
        <v>50</v>
      </c>
      <c r="H888" s="14">
        <v>0.28999999999999998</v>
      </c>
      <c r="I888" s="23">
        <v>465.4</v>
      </c>
      <c r="J888" s="4">
        <v>1395.33</v>
      </c>
    </row>
    <row r="889" spans="1:10">
      <c r="A889" t="s">
        <v>1631</v>
      </c>
      <c r="B889" s="3">
        <v>45724</v>
      </c>
      <c r="C889" t="s">
        <v>525</v>
      </c>
      <c r="D889" t="s">
        <v>226</v>
      </c>
      <c r="E889" t="s">
        <v>168</v>
      </c>
      <c r="F889">
        <v>2</v>
      </c>
      <c r="G889" t="s">
        <v>33</v>
      </c>
      <c r="H889" s="14">
        <v>0.15</v>
      </c>
      <c r="I889" s="23">
        <v>693.61</v>
      </c>
      <c r="J889" s="4">
        <v>1386.92</v>
      </c>
    </row>
    <row r="890" spans="1:10">
      <c r="A890" t="s">
        <v>1632</v>
      </c>
      <c r="B890" s="3">
        <v>45801</v>
      </c>
      <c r="C890" t="s">
        <v>1633</v>
      </c>
      <c r="D890" t="s">
        <v>178</v>
      </c>
      <c r="E890" t="s">
        <v>43</v>
      </c>
      <c r="F890">
        <v>2</v>
      </c>
      <c r="G890" t="s">
        <v>33</v>
      </c>
      <c r="H890" s="14">
        <v>0.13</v>
      </c>
      <c r="I890" s="23">
        <v>995.11</v>
      </c>
      <c r="J890" s="4">
        <v>1989.96</v>
      </c>
    </row>
    <row r="891" spans="1:10">
      <c r="A891" t="s">
        <v>1634</v>
      </c>
      <c r="B891" s="3">
        <v>45749</v>
      </c>
      <c r="C891" t="s">
        <v>182</v>
      </c>
      <c r="D891" t="s">
        <v>250</v>
      </c>
      <c r="E891" t="s">
        <v>72</v>
      </c>
      <c r="F891">
        <v>3</v>
      </c>
      <c r="G891" t="s">
        <v>50</v>
      </c>
      <c r="H891" s="14">
        <v>0.06</v>
      </c>
      <c r="I891" s="23">
        <v>70.97</v>
      </c>
      <c r="J891" s="4">
        <v>212.73</v>
      </c>
    </row>
    <row r="892" spans="1:10">
      <c r="A892" t="s">
        <v>1635</v>
      </c>
      <c r="B892" s="3">
        <v>45325</v>
      </c>
      <c r="C892" t="s">
        <v>529</v>
      </c>
      <c r="D892" t="s">
        <v>359</v>
      </c>
      <c r="E892" t="s">
        <v>127</v>
      </c>
      <c r="F892">
        <v>3</v>
      </c>
      <c r="G892" t="s">
        <v>23</v>
      </c>
      <c r="H892" s="14">
        <v>0.16</v>
      </c>
      <c r="I892" s="23">
        <v>470.42</v>
      </c>
      <c r="J892" s="4">
        <v>1410.78</v>
      </c>
    </row>
    <row r="893" spans="1:10">
      <c r="A893" t="s">
        <v>1636</v>
      </c>
      <c r="B893" s="3">
        <v>45932</v>
      </c>
      <c r="C893" t="s">
        <v>554</v>
      </c>
      <c r="D893" t="s">
        <v>400</v>
      </c>
      <c r="E893" t="s">
        <v>117</v>
      </c>
      <c r="F893">
        <v>2</v>
      </c>
      <c r="G893" t="s">
        <v>23</v>
      </c>
      <c r="H893" s="14">
        <v>0.18</v>
      </c>
      <c r="I893" s="23">
        <v>215.59</v>
      </c>
      <c r="J893" s="4">
        <v>430.82</v>
      </c>
    </row>
    <row r="894" spans="1:10">
      <c r="A894" t="s">
        <v>1637</v>
      </c>
      <c r="B894" s="3">
        <v>45895</v>
      </c>
      <c r="C894" t="s">
        <v>147</v>
      </c>
      <c r="D894" t="s">
        <v>603</v>
      </c>
      <c r="E894" t="s">
        <v>90</v>
      </c>
      <c r="F894">
        <v>1</v>
      </c>
      <c r="G894" t="s">
        <v>50</v>
      </c>
      <c r="H894" s="14">
        <v>0.27</v>
      </c>
      <c r="I894" s="23">
        <v>533.79999999999995</v>
      </c>
      <c r="J894" s="4">
        <v>533.53</v>
      </c>
    </row>
    <row r="895" spans="1:10">
      <c r="A895" t="s">
        <v>1638</v>
      </c>
      <c r="B895" s="3">
        <v>45614</v>
      </c>
      <c r="C895" t="s">
        <v>546</v>
      </c>
      <c r="D895" t="s">
        <v>579</v>
      </c>
      <c r="E895" t="s">
        <v>22</v>
      </c>
      <c r="F895">
        <v>2</v>
      </c>
      <c r="G895" t="s">
        <v>33</v>
      </c>
      <c r="H895" s="14">
        <v>0.24</v>
      </c>
      <c r="I895" s="23">
        <v>732.67</v>
      </c>
      <c r="J895" s="4">
        <v>1464.86</v>
      </c>
    </row>
    <row r="896" spans="1:10">
      <c r="A896" t="s">
        <v>1639</v>
      </c>
      <c r="B896" s="3">
        <v>45247</v>
      </c>
      <c r="C896" t="s">
        <v>622</v>
      </c>
      <c r="D896" t="s">
        <v>148</v>
      </c>
      <c r="E896" t="s">
        <v>149</v>
      </c>
      <c r="F896">
        <v>4</v>
      </c>
      <c r="G896" t="s">
        <v>50</v>
      </c>
      <c r="H896" s="14">
        <v>0.1</v>
      </c>
      <c r="I896" s="23">
        <v>106.48</v>
      </c>
      <c r="J896" s="4">
        <v>425.52</v>
      </c>
    </row>
    <row r="897" spans="1:10">
      <c r="A897" t="s">
        <v>1640</v>
      </c>
      <c r="B897" s="3">
        <v>45696</v>
      </c>
      <c r="C897" t="s">
        <v>470</v>
      </c>
      <c r="D897" t="s">
        <v>509</v>
      </c>
      <c r="E897" t="s">
        <v>22</v>
      </c>
      <c r="F897">
        <v>1</v>
      </c>
      <c r="G897" t="s">
        <v>23</v>
      </c>
      <c r="H897" s="14">
        <v>0.28000000000000003</v>
      </c>
      <c r="I897" s="23">
        <v>38.950000000000003</v>
      </c>
      <c r="J897" s="4">
        <v>38.67</v>
      </c>
    </row>
    <row r="898" spans="1:10">
      <c r="A898" t="s">
        <v>1641</v>
      </c>
      <c r="B898" s="3">
        <v>45294</v>
      </c>
      <c r="C898" t="s">
        <v>241</v>
      </c>
      <c r="D898" t="s">
        <v>1259</v>
      </c>
      <c r="E898" t="s">
        <v>117</v>
      </c>
      <c r="F898">
        <v>1</v>
      </c>
      <c r="G898" t="s">
        <v>50</v>
      </c>
      <c r="H898" s="14">
        <v>0.02</v>
      </c>
      <c r="I898" s="23">
        <v>835.17</v>
      </c>
      <c r="J898" s="4">
        <v>835.15</v>
      </c>
    </row>
    <row r="899" spans="1:10">
      <c r="A899" t="s">
        <v>1642</v>
      </c>
      <c r="B899" s="3">
        <v>45389</v>
      </c>
      <c r="C899" t="s">
        <v>791</v>
      </c>
      <c r="D899" t="s">
        <v>359</v>
      </c>
      <c r="E899" t="s">
        <v>22</v>
      </c>
      <c r="F899">
        <v>1</v>
      </c>
      <c r="G899" t="s">
        <v>23</v>
      </c>
      <c r="H899" s="14">
        <v>0.24</v>
      </c>
      <c r="I899" s="23">
        <v>113.07</v>
      </c>
      <c r="J899" s="4">
        <v>112.83</v>
      </c>
    </row>
    <row r="900" spans="1:10">
      <c r="A900" t="s">
        <v>1643</v>
      </c>
      <c r="B900" s="3">
        <v>45930</v>
      </c>
      <c r="C900" t="s">
        <v>819</v>
      </c>
      <c r="D900" t="s">
        <v>242</v>
      </c>
      <c r="E900" t="s">
        <v>208</v>
      </c>
      <c r="F900">
        <v>2</v>
      </c>
      <c r="G900" t="s">
        <v>50</v>
      </c>
      <c r="H900" s="14">
        <v>0.23</v>
      </c>
      <c r="I900" s="23">
        <v>451.33</v>
      </c>
      <c r="J900" s="4">
        <v>902.2</v>
      </c>
    </row>
    <row r="901" spans="1:10">
      <c r="A901" t="s">
        <v>1644</v>
      </c>
      <c r="B901" s="3">
        <v>45456</v>
      </c>
      <c r="C901" t="s">
        <v>330</v>
      </c>
      <c r="D901" t="s">
        <v>400</v>
      </c>
      <c r="E901" t="s">
        <v>179</v>
      </c>
      <c r="F901">
        <v>3</v>
      </c>
      <c r="G901" t="s">
        <v>50</v>
      </c>
      <c r="H901" s="14">
        <v>0.16</v>
      </c>
      <c r="I901" s="23">
        <v>619.80999999999995</v>
      </c>
      <c r="J901" s="4">
        <v>1858.95</v>
      </c>
    </row>
    <row r="902" spans="1:10">
      <c r="A902" t="s">
        <v>1645</v>
      </c>
      <c r="B902" s="3">
        <v>45713</v>
      </c>
      <c r="C902" t="s">
        <v>589</v>
      </c>
      <c r="D902" t="s">
        <v>661</v>
      </c>
      <c r="E902" t="s">
        <v>66</v>
      </c>
      <c r="F902">
        <v>4</v>
      </c>
      <c r="G902" t="s">
        <v>33</v>
      </c>
      <c r="H902" s="14">
        <v>0.26</v>
      </c>
      <c r="I902" s="23">
        <v>46.97</v>
      </c>
      <c r="J902" s="4">
        <v>186.84</v>
      </c>
    </row>
    <row r="903" spans="1:10">
      <c r="A903" t="s">
        <v>1646</v>
      </c>
      <c r="B903" s="3">
        <v>45784</v>
      </c>
      <c r="C903" t="s">
        <v>672</v>
      </c>
      <c r="D903" t="s">
        <v>381</v>
      </c>
      <c r="E903" t="s">
        <v>198</v>
      </c>
      <c r="F903">
        <v>2</v>
      </c>
      <c r="G903" t="s">
        <v>50</v>
      </c>
      <c r="H903" s="14">
        <v>0.14000000000000001</v>
      </c>
      <c r="I903" s="23">
        <v>71.48</v>
      </c>
      <c r="J903" s="4">
        <v>142.68</v>
      </c>
    </row>
    <row r="904" spans="1:10">
      <c r="A904" t="s">
        <v>1647</v>
      </c>
      <c r="B904" s="3">
        <v>45812</v>
      </c>
      <c r="C904" t="s">
        <v>975</v>
      </c>
      <c r="D904" t="s">
        <v>71</v>
      </c>
      <c r="E904" t="s">
        <v>135</v>
      </c>
      <c r="F904">
        <v>2</v>
      </c>
      <c r="G904" t="s">
        <v>23</v>
      </c>
      <c r="H904" s="14">
        <v>7.0000000000000007E-2</v>
      </c>
      <c r="I904" s="23">
        <v>404.08</v>
      </c>
      <c r="J904" s="4">
        <v>808.02</v>
      </c>
    </row>
    <row r="905" spans="1:10">
      <c r="A905" t="s">
        <v>1648</v>
      </c>
      <c r="B905" s="3">
        <v>45653</v>
      </c>
      <c r="C905" t="s">
        <v>476</v>
      </c>
      <c r="D905" t="s">
        <v>377</v>
      </c>
      <c r="E905" t="s">
        <v>117</v>
      </c>
      <c r="F905">
        <v>1</v>
      </c>
      <c r="G905" t="s">
        <v>50</v>
      </c>
      <c r="H905" s="14">
        <v>0.05</v>
      </c>
      <c r="I905" s="23">
        <v>519.91</v>
      </c>
      <c r="J905" s="4">
        <v>519.86</v>
      </c>
    </row>
    <row r="906" spans="1:10">
      <c r="A906" t="s">
        <v>1649</v>
      </c>
      <c r="B906" s="3">
        <v>45672</v>
      </c>
      <c r="C906" t="s">
        <v>1024</v>
      </c>
      <c r="D906" t="s">
        <v>505</v>
      </c>
      <c r="E906" t="s">
        <v>149</v>
      </c>
      <c r="F906">
        <v>3</v>
      </c>
      <c r="G906" t="s">
        <v>33</v>
      </c>
      <c r="H906" s="14">
        <v>0.05</v>
      </c>
      <c r="I906" s="23">
        <v>566.16</v>
      </c>
      <c r="J906" s="4">
        <v>1698.33</v>
      </c>
    </row>
    <row r="907" spans="1:10">
      <c r="A907" t="s">
        <v>1650</v>
      </c>
      <c r="B907" s="3">
        <v>45799</v>
      </c>
      <c r="C907" t="s">
        <v>1651</v>
      </c>
      <c r="D907" t="s">
        <v>282</v>
      </c>
      <c r="E907" t="s">
        <v>168</v>
      </c>
      <c r="F907">
        <v>2</v>
      </c>
      <c r="G907" t="s">
        <v>50</v>
      </c>
      <c r="H907" s="14">
        <v>0.09</v>
      </c>
      <c r="I907" s="23">
        <v>295.12</v>
      </c>
      <c r="J907" s="4">
        <v>590.05999999999995</v>
      </c>
    </row>
    <row r="908" spans="1:10">
      <c r="A908" t="s">
        <v>1652</v>
      </c>
      <c r="B908" s="3">
        <v>45848</v>
      </c>
      <c r="C908" t="s">
        <v>1653</v>
      </c>
      <c r="D908" t="s">
        <v>116</v>
      </c>
      <c r="E908" t="s">
        <v>272</v>
      </c>
      <c r="F908">
        <v>2</v>
      </c>
      <c r="G908" t="s">
        <v>33</v>
      </c>
      <c r="H908" s="14">
        <v>0.25</v>
      </c>
      <c r="I908" s="23">
        <v>414.18</v>
      </c>
      <c r="J908" s="4">
        <v>827.86</v>
      </c>
    </row>
    <row r="909" spans="1:10">
      <c r="A909" t="s">
        <v>1654</v>
      </c>
      <c r="B909" s="3">
        <v>45918</v>
      </c>
      <c r="C909" t="s">
        <v>1655</v>
      </c>
      <c r="D909" t="s">
        <v>714</v>
      </c>
      <c r="E909" t="s">
        <v>43</v>
      </c>
      <c r="F909">
        <v>2</v>
      </c>
      <c r="G909" t="s">
        <v>23</v>
      </c>
      <c r="H909" s="14">
        <v>0</v>
      </c>
      <c r="I909" s="23">
        <v>433.75</v>
      </c>
      <c r="J909" s="4">
        <v>867.5</v>
      </c>
    </row>
    <row r="910" spans="1:10">
      <c r="A910" t="s">
        <v>1656</v>
      </c>
      <c r="B910" s="3">
        <v>45288</v>
      </c>
      <c r="C910" t="s">
        <v>1379</v>
      </c>
      <c r="D910" t="s">
        <v>462</v>
      </c>
      <c r="E910" t="s">
        <v>135</v>
      </c>
      <c r="F910">
        <v>3</v>
      </c>
      <c r="G910" t="s">
        <v>50</v>
      </c>
      <c r="H910" s="14">
        <v>0.13</v>
      </c>
      <c r="I910" s="23">
        <v>104.33</v>
      </c>
      <c r="J910" s="4">
        <v>312.60000000000002</v>
      </c>
    </row>
    <row r="911" spans="1:10">
      <c r="A911" t="s">
        <v>1657</v>
      </c>
      <c r="B911" s="3">
        <v>45477</v>
      </c>
      <c r="C911" t="s">
        <v>88</v>
      </c>
      <c r="D911" t="s">
        <v>634</v>
      </c>
      <c r="E911" t="s">
        <v>208</v>
      </c>
      <c r="F911">
        <v>1</v>
      </c>
      <c r="G911" t="s">
        <v>23</v>
      </c>
      <c r="H911" s="14">
        <v>0.04</v>
      </c>
      <c r="I911" s="23">
        <v>221.7</v>
      </c>
      <c r="J911" s="4">
        <v>221.66</v>
      </c>
    </row>
    <row r="912" spans="1:10">
      <c r="A912" t="s">
        <v>1658</v>
      </c>
      <c r="B912" s="3">
        <v>45796</v>
      </c>
      <c r="C912" t="s">
        <v>833</v>
      </c>
      <c r="D912" t="s">
        <v>178</v>
      </c>
      <c r="E912" t="s">
        <v>58</v>
      </c>
      <c r="F912">
        <v>2</v>
      </c>
      <c r="G912" t="s">
        <v>50</v>
      </c>
      <c r="H912" s="14">
        <v>0.14000000000000001</v>
      </c>
      <c r="I912" s="23">
        <v>491.26</v>
      </c>
      <c r="J912" s="4">
        <v>982.24</v>
      </c>
    </row>
    <row r="913" spans="1:10">
      <c r="A913" t="s">
        <v>1659</v>
      </c>
      <c r="B913" s="3">
        <v>45630</v>
      </c>
      <c r="C913" t="s">
        <v>1029</v>
      </c>
      <c r="D913" t="s">
        <v>786</v>
      </c>
      <c r="E913" t="s">
        <v>43</v>
      </c>
      <c r="F913">
        <v>4</v>
      </c>
      <c r="G913" t="s">
        <v>23</v>
      </c>
      <c r="H913" s="14">
        <v>0.15</v>
      </c>
      <c r="I913" s="23">
        <v>923.14</v>
      </c>
      <c r="J913" s="4">
        <v>3691.96</v>
      </c>
    </row>
    <row r="914" spans="1:10">
      <c r="A914" t="s">
        <v>1660</v>
      </c>
      <c r="B914" s="3">
        <v>45625</v>
      </c>
      <c r="C914" t="s">
        <v>1661</v>
      </c>
      <c r="D914" t="s">
        <v>779</v>
      </c>
      <c r="E914" t="s">
        <v>66</v>
      </c>
      <c r="F914">
        <v>2</v>
      </c>
      <c r="G914" t="s">
        <v>23</v>
      </c>
      <c r="H914" s="14">
        <v>0.08</v>
      </c>
      <c r="I914" s="23">
        <v>747.65</v>
      </c>
      <c r="J914" s="4">
        <v>1495.14</v>
      </c>
    </row>
    <row r="915" spans="1:10">
      <c r="A915" t="s">
        <v>1662</v>
      </c>
      <c r="B915" s="3">
        <v>45773</v>
      </c>
      <c r="C915" t="s">
        <v>1653</v>
      </c>
      <c r="D915" t="s">
        <v>449</v>
      </c>
      <c r="E915" t="s">
        <v>66</v>
      </c>
      <c r="F915">
        <v>3</v>
      </c>
      <c r="G915" t="s">
        <v>50</v>
      </c>
      <c r="H915" s="14">
        <v>0.13</v>
      </c>
      <c r="I915" s="23">
        <v>94.55</v>
      </c>
      <c r="J915" s="4">
        <v>283.26</v>
      </c>
    </row>
    <row r="916" spans="1:10">
      <c r="A916" t="s">
        <v>1663</v>
      </c>
      <c r="B916" s="3">
        <v>45308</v>
      </c>
      <c r="C916" t="s">
        <v>1004</v>
      </c>
      <c r="D916" t="s">
        <v>65</v>
      </c>
      <c r="E916" t="s">
        <v>135</v>
      </c>
      <c r="F916">
        <v>3</v>
      </c>
      <c r="G916" t="s">
        <v>23</v>
      </c>
      <c r="H916" s="14">
        <v>0.06</v>
      </c>
      <c r="I916" s="23">
        <v>620.12</v>
      </c>
      <c r="J916" s="4">
        <v>1860.18</v>
      </c>
    </row>
    <row r="917" spans="1:10">
      <c r="A917" t="s">
        <v>1664</v>
      </c>
      <c r="B917" s="3">
        <v>45869</v>
      </c>
      <c r="C917" t="s">
        <v>1367</v>
      </c>
      <c r="D917" t="s">
        <v>167</v>
      </c>
      <c r="E917" t="s">
        <v>179</v>
      </c>
      <c r="F917">
        <v>2</v>
      </c>
      <c r="G917" t="s">
        <v>50</v>
      </c>
      <c r="H917" s="14">
        <v>0.12</v>
      </c>
      <c r="I917" s="23">
        <v>354.09</v>
      </c>
      <c r="J917" s="4">
        <v>707.94</v>
      </c>
    </row>
    <row r="918" spans="1:10">
      <c r="A918" t="s">
        <v>1665</v>
      </c>
      <c r="B918" s="3">
        <v>45621</v>
      </c>
      <c r="C918" t="s">
        <v>1440</v>
      </c>
      <c r="D918" t="s">
        <v>207</v>
      </c>
      <c r="E918" t="s">
        <v>58</v>
      </c>
      <c r="F918">
        <v>3</v>
      </c>
      <c r="G918" t="s">
        <v>50</v>
      </c>
      <c r="H918" s="14">
        <v>0.22</v>
      </c>
      <c r="I918" s="23">
        <v>214.94</v>
      </c>
      <c r="J918" s="4">
        <v>644.16</v>
      </c>
    </row>
    <row r="919" spans="1:10">
      <c r="A919" t="s">
        <v>1666</v>
      </c>
      <c r="B919" s="3">
        <v>45428</v>
      </c>
      <c r="C919" t="s">
        <v>682</v>
      </c>
      <c r="D919" t="s">
        <v>810</v>
      </c>
      <c r="E919" t="s">
        <v>208</v>
      </c>
      <c r="F919">
        <v>2</v>
      </c>
      <c r="G919" t="s">
        <v>23</v>
      </c>
      <c r="H919" s="14">
        <v>0.16</v>
      </c>
      <c r="I919" s="23">
        <v>309.77999999999997</v>
      </c>
      <c r="J919" s="4">
        <v>619.24</v>
      </c>
    </row>
    <row r="920" spans="1:10">
      <c r="A920" t="s">
        <v>1667</v>
      </c>
      <c r="B920" s="3">
        <v>45807</v>
      </c>
      <c r="C920" t="s">
        <v>703</v>
      </c>
      <c r="D920" t="s">
        <v>197</v>
      </c>
      <c r="E920" t="s">
        <v>22</v>
      </c>
      <c r="F920">
        <v>2</v>
      </c>
      <c r="G920" t="s">
        <v>33</v>
      </c>
      <c r="H920" s="14">
        <v>0.14000000000000001</v>
      </c>
      <c r="I920" s="23">
        <v>183.85</v>
      </c>
      <c r="J920" s="4">
        <v>367.42</v>
      </c>
    </row>
    <row r="921" spans="1:10">
      <c r="A921" t="s">
        <v>1668</v>
      </c>
      <c r="B921" s="3">
        <v>45238</v>
      </c>
      <c r="C921" t="s">
        <v>20</v>
      </c>
      <c r="D921" t="s">
        <v>79</v>
      </c>
      <c r="E921" t="s">
        <v>90</v>
      </c>
      <c r="F921">
        <v>1</v>
      </c>
      <c r="G921" t="s">
        <v>23</v>
      </c>
      <c r="H921" s="14">
        <v>0.01</v>
      </c>
      <c r="I921" s="23">
        <v>550.05999999999995</v>
      </c>
      <c r="J921" s="4">
        <v>550.04999999999995</v>
      </c>
    </row>
    <row r="922" spans="1:10">
      <c r="A922" t="s">
        <v>1669</v>
      </c>
      <c r="B922" s="3">
        <v>45253</v>
      </c>
      <c r="C922" t="s">
        <v>434</v>
      </c>
      <c r="D922" t="s">
        <v>221</v>
      </c>
      <c r="E922" t="s">
        <v>72</v>
      </c>
      <c r="F922">
        <v>2</v>
      </c>
      <c r="G922" t="s">
        <v>50</v>
      </c>
      <c r="H922" s="14">
        <v>0.13</v>
      </c>
      <c r="I922" s="23">
        <v>32.19</v>
      </c>
      <c r="J922" s="4">
        <v>64.12</v>
      </c>
    </row>
    <row r="923" spans="1:10">
      <c r="A923" t="s">
        <v>1670</v>
      </c>
      <c r="B923" s="3">
        <v>45460</v>
      </c>
      <c r="C923" t="s">
        <v>641</v>
      </c>
      <c r="D923" t="s">
        <v>89</v>
      </c>
      <c r="E923" t="s">
        <v>135</v>
      </c>
      <c r="F923">
        <v>2</v>
      </c>
      <c r="G923" t="s">
        <v>23</v>
      </c>
      <c r="H923" s="14">
        <v>0.08</v>
      </c>
      <c r="I923" s="23">
        <v>892.06</v>
      </c>
      <c r="J923" s="4">
        <v>1783.96</v>
      </c>
    </row>
    <row r="924" spans="1:10">
      <c r="A924" t="s">
        <v>1671</v>
      </c>
      <c r="B924" s="3">
        <v>45628</v>
      </c>
      <c r="C924" t="s">
        <v>664</v>
      </c>
      <c r="D924" t="s">
        <v>714</v>
      </c>
      <c r="E924" t="s">
        <v>179</v>
      </c>
      <c r="F924">
        <v>1</v>
      </c>
      <c r="G924" t="s">
        <v>50</v>
      </c>
      <c r="H924" s="14">
        <v>0.16</v>
      </c>
      <c r="I924" s="23">
        <v>127.47</v>
      </c>
      <c r="J924" s="4">
        <v>127.31</v>
      </c>
    </row>
    <row r="925" spans="1:10">
      <c r="A925" t="s">
        <v>1672</v>
      </c>
      <c r="B925" s="3">
        <v>45778</v>
      </c>
      <c r="C925" t="s">
        <v>1187</v>
      </c>
      <c r="D925" t="s">
        <v>192</v>
      </c>
      <c r="E925" t="s">
        <v>98</v>
      </c>
      <c r="F925">
        <v>3</v>
      </c>
      <c r="G925" t="s">
        <v>23</v>
      </c>
      <c r="H925" s="14">
        <v>0.18</v>
      </c>
      <c r="I925" s="23">
        <v>212.87</v>
      </c>
      <c r="J925" s="4">
        <v>638.07000000000005</v>
      </c>
    </row>
    <row r="926" spans="1:10">
      <c r="A926" t="s">
        <v>1673</v>
      </c>
      <c r="B926" s="3">
        <v>45471</v>
      </c>
      <c r="C926" t="s">
        <v>1029</v>
      </c>
      <c r="D926" t="s">
        <v>630</v>
      </c>
      <c r="E926" t="s">
        <v>66</v>
      </c>
      <c r="F926">
        <v>1</v>
      </c>
      <c r="G926" t="s">
        <v>50</v>
      </c>
      <c r="H926" s="14">
        <v>0.3</v>
      </c>
      <c r="I926" s="23">
        <v>26.37</v>
      </c>
      <c r="J926" s="4">
        <v>26.07</v>
      </c>
    </row>
    <row r="927" spans="1:10">
      <c r="A927" t="s">
        <v>1674</v>
      </c>
      <c r="B927" s="3">
        <v>45770</v>
      </c>
      <c r="C927" t="s">
        <v>819</v>
      </c>
      <c r="D927" t="s">
        <v>116</v>
      </c>
      <c r="E927" t="s">
        <v>160</v>
      </c>
      <c r="F927">
        <v>4</v>
      </c>
      <c r="G927" t="s">
        <v>23</v>
      </c>
      <c r="H927" s="14">
        <v>0.16</v>
      </c>
      <c r="I927" s="23">
        <v>953.98</v>
      </c>
      <c r="J927" s="4">
        <v>3815.28</v>
      </c>
    </row>
    <row r="928" spans="1:10">
      <c r="A928" t="s">
        <v>1675</v>
      </c>
      <c r="B928" s="3">
        <v>45369</v>
      </c>
      <c r="C928" t="s">
        <v>1071</v>
      </c>
      <c r="D928" t="s">
        <v>178</v>
      </c>
      <c r="E928" t="s">
        <v>135</v>
      </c>
      <c r="F928">
        <v>3</v>
      </c>
      <c r="G928" t="s">
        <v>23</v>
      </c>
      <c r="H928" s="14">
        <v>0.15</v>
      </c>
      <c r="I928" s="23">
        <v>968.88</v>
      </c>
      <c r="J928" s="4">
        <v>2906.19</v>
      </c>
    </row>
    <row r="929" spans="1:10">
      <c r="A929" t="s">
        <v>1676</v>
      </c>
      <c r="B929" s="3">
        <v>45910</v>
      </c>
      <c r="C929" t="s">
        <v>84</v>
      </c>
      <c r="D929" t="s">
        <v>49</v>
      </c>
      <c r="E929" t="s">
        <v>160</v>
      </c>
      <c r="F929">
        <v>1</v>
      </c>
      <c r="G929" t="s">
        <v>33</v>
      </c>
      <c r="H929" s="14">
        <v>0.11</v>
      </c>
      <c r="I929" s="23">
        <v>533.04999999999995</v>
      </c>
      <c r="J929" s="4">
        <v>532.94000000000005</v>
      </c>
    </row>
    <row r="930" spans="1:10">
      <c r="A930" t="s">
        <v>1677</v>
      </c>
      <c r="B930" s="3">
        <v>45637</v>
      </c>
      <c r="C930" t="s">
        <v>182</v>
      </c>
      <c r="D930" t="s">
        <v>630</v>
      </c>
      <c r="E930" t="s">
        <v>105</v>
      </c>
      <c r="F930">
        <v>3</v>
      </c>
      <c r="G930" t="s">
        <v>33</v>
      </c>
      <c r="H930" s="14">
        <v>0.11</v>
      </c>
      <c r="I930" s="23">
        <v>138.86000000000001</v>
      </c>
      <c r="J930" s="4">
        <v>416.25</v>
      </c>
    </row>
    <row r="931" spans="1:10">
      <c r="A931" t="s">
        <v>1678</v>
      </c>
      <c r="B931" s="3">
        <v>45706</v>
      </c>
      <c r="C931" t="s">
        <v>1045</v>
      </c>
      <c r="D931" t="s">
        <v>443</v>
      </c>
      <c r="E931" t="s">
        <v>90</v>
      </c>
      <c r="F931">
        <v>1</v>
      </c>
      <c r="G931" t="s">
        <v>50</v>
      </c>
      <c r="H931" s="14">
        <v>0.03</v>
      </c>
      <c r="I931" s="23">
        <v>588.92999999999995</v>
      </c>
      <c r="J931" s="4">
        <v>588.9</v>
      </c>
    </row>
    <row r="932" spans="1:10">
      <c r="A932" t="s">
        <v>1679</v>
      </c>
      <c r="B932" s="3">
        <v>45557</v>
      </c>
      <c r="C932" t="s">
        <v>376</v>
      </c>
      <c r="D932" t="s">
        <v>282</v>
      </c>
      <c r="E932" t="s">
        <v>58</v>
      </c>
      <c r="F932">
        <v>2</v>
      </c>
      <c r="G932" t="s">
        <v>33</v>
      </c>
      <c r="H932" s="14">
        <v>0.19</v>
      </c>
      <c r="I932" s="23">
        <v>576.83000000000004</v>
      </c>
      <c r="J932" s="4">
        <v>1153.28</v>
      </c>
    </row>
    <row r="933" spans="1:10">
      <c r="A933" t="s">
        <v>1680</v>
      </c>
      <c r="B933" s="3">
        <v>45338</v>
      </c>
      <c r="C933" t="s">
        <v>648</v>
      </c>
      <c r="D933" t="s">
        <v>134</v>
      </c>
      <c r="E933" t="s">
        <v>208</v>
      </c>
      <c r="F933">
        <v>1</v>
      </c>
      <c r="G933" t="s">
        <v>23</v>
      </c>
      <c r="H933" s="14">
        <v>0.05</v>
      </c>
      <c r="I933" s="23">
        <v>681.3</v>
      </c>
      <c r="J933" s="4">
        <v>681.25</v>
      </c>
    </row>
    <row r="934" spans="1:10">
      <c r="A934" t="s">
        <v>1681</v>
      </c>
      <c r="B934" s="3">
        <v>45441</v>
      </c>
      <c r="C934" t="s">
        <v>1582</v>
      </c>
      <c r="D934" t="s">
        <v>425</v>
      </c>
      <c r="E934" t="s">
        <v>122</v>
      </c>
      <c r="F934">
        <v>3</v>
      </c>
      <c r="G934" t="s">
        <v>23</v>
      </c>
      <c r="H934" s="14">
        <v>0.3</v>
      </c>
      <c r="I934" s="23">
        <v>504.97</v>
      </c>
      <c r="J934" s="4">
        <v>1514.01</v>
      </c>
    </row>
    <row r="935" spans="1:10">
      <c r="A935" t="s">
        <v>1682</v>
      </c>
      <c r="B935" s="3">
        <v>45396</v>
      </c>
      <c r="C935" t="s">
        <v>1683</v>
      </c>
      <c r="D935" t="s">
        <v>340</v>
      </c>
      <c r="E935" t="s">
        <v>272</v>
      </c>
      <c r="F935">
        <v>3</v>
      </c>
      <c r="G935" t="s">
        <v>33</v>
      </c>
      <c r="H935" s="14">
        <v>0.1</v>
      </c>
      <c r="I935" s="23">
        <v>649.78</v>
      </c>
      <c r="J935" s="4">
        <v>1949.04</v>
      </c>
    </row>
    <row r="936" spans="1:10">
      <c r="A936" t="s">
        <v>1684</v>
      </c>
      <c r="B936" s="3">
        <v>45317</v>
      </c>
      <c r="C936" t="s">
        <v>1685</v>
      </c>
      <c r="D936" t="s">
        <v>104</v>
      </c>
      <c r="E936" t="s">
        <v>127</v>
      </c>
      <c r="F936">
        <v>2</v>
      </c>
      <c r="G936" t="s">
        <v>33</v>
      </c>
      <c r="H936" s="14">
        <v>0.05</v>
      </c>
      <c r="I936" s="23">
        <v>986.73</v>
      </c>
      <c r="J936" s="4">
        <v>1973.36</v>
      </c>
    </row>
    <row r="937" spans="1:10">
      <c r="A937" t="s">
        <v>1686</v>
      </c>
      <c r="B937" s="3">
        <v>45235</v>
      </c>
      <c r="C937" t="s">
        <v>452</v>
      </c>
      <c r="D937" t="s">
        <v>197</v>
      </c>
      <c r="E937" t="s">
        <v>122</v>
      </c>
      <c r="F937">
        <v>2</v>
      </c>
      <c r="G937" t="s">
        <v>33</v>
      </c>
      <c r="H937" s="14">
        <v>0.05</v>
      </c>
      <c r="I937" s="23">
        <v>65.44</v>
      </c>
      <c r="J937" s="4">
        <v>130.78</v>
      </c>
    </row>
    <row r="938" spans="1:10">
      <c r="A938" t="s">
        <v>1687</v>
      </c>
      <c r="B938" s="3">
        <v>45824</v>
      </c>
      <c r="C938" t="s">
        <v>1017</v>
      </c>
      <c r="D938" t="s">
        <v>625</v>
      </c>
      <c r="E938" t="s">
        <v>149</v>
      </c>
      <c r="F938">
        <v>3</v>
      </c>
      <c r="G938" t="s">
        <v>23</v>
      </c>
      <c r="H938" s="14">
        <v>0.04</v>
      </c>
      <c r="I938" s="23">
        <v>953.74</v>
      </c>
      <c r="J938" s="4">
        <v>2861.1</v>
      </c>
    </row>
    <row r="939" spans="1:10">
      <c r="A939" t="s">
        <v>1688</v>
      </c>
      <c r="B939" s="3">
        <v>45543</v>
      </c>
      <c r="C939" t="s">
        <v>468</v>
      </c>
      <c r="D939" t="s">
        <v>49</v>
      </c>
      <c r="E939" t="s">
        <v>168</v>
      </c>
      <c r="F939">
        <v>3</v>
      </c>
      <c r="G939" t="s">
        <v>33</v>
      </c>
      <c r="H939" s="14">
        <v>0.21</v>
      </c>
      <c r="I939" s="23">
        <v>904.48</v>
      </c>
      <c r="J939" s="4">
        <v>2712.81</v>
      </c>
    </row>
    <row r="940" spans="1:10">
      <c r="A940" t="s">
        <v>1689</v>
      </c>
      <c r="B940" s="3">
        <v>45595</v>
      </c>
      <c r="C940" t="s">
        <v>233</v>
      </c>
      <c r="D940" t="s">
        <v>661</v>
      </c>
      <c r="E940" t="s">
        <v>122</v>
      </c>
      <c r="F940">
        <v>3</v>
      </c>
      <c r="G940" t="s">
        <v>33</v>
      </c>
      <c r="H940" s="14">
        <v>0.1</v>
      </c>
      <c r="I940" s="23">
        <v>920.82</v>
      </c>
      <c r="J940" s="4">
        <v>2762.16</v>
      </c>
    </row>
    <row r="941" spans="1:10">
      <c r="A941" t="s">
        <v>1690</v>
      </c>
      <c r="B941" s="3">
        <v>45803</v>
      </c>
      <c r="C941" t="s">
        <v>1691</v>
      </c>
      <c r="D941" t="s">
        <v>567</v>
      </c>
      <c r="E941" t="s">
        <v>105</v>
      </c>
      <c r="F941">
        <v>1</v>
      </c>
      <c r="G941" t="s">
        <v>50</v>
      </c>
      <c r="H941" s="14">
        <v>0.15</v>
      </c>
      <c r="I941" s="23">
        <v>182.28</v>
      </c>
      <c r="J941" s="4">
        <v>182.13</v>
      </c>
    </row>
    <row r="942" spans="1:10">
      <c r="A942" t="s">
        <v>1692</v>
      </c>
      <c r="B942" s="3">
        <v>45880</v>
      </c>
      <c r="C942" t="s">
        <v>1134</v>
      </c>
      <c r="D942" t="s">
        <v>311</v>
      </c>
      <c r="E942" t="s">
        <v>117</v>
      </c>
      <c r="F942">
        <v>3</v>
      </c>
      <c r="G942" t="s">
        <v>23</v>
      </c>
      <c r="H942" s="14">
        <v>0.14000000000000001</v>
      </c>
      <c r="I942" s="23">
        <v>938.68</v>
      </c>
      <c r="J942" s="4">
        <v>2815.62</v>
      </c>
    </row>
    <row r="943" spans="1:10">
      <c r="A943" t="s">
        <v>1693</v>
      </c>
      <c r="B943" s="3">
        <v>45690</v>
      </c>
      <c r="C943" t="s">
        <v>613</v>
      </c>
      <c r="D943" t="s">
        <v>372</v>
      </c>
      <c r="E943" t="s">
        <v>58</v>
      </c>
      <c r="F943">
        <v>3</v>
      </c>
      <c r="G943" t="s">
        <v>33</v>
      </c>
      <c r="H943" s="14">
        <v>0.18</v>
      </c>
      <c r="I943" s="23">
        <v>219.96</v>
      </c>
      <c r="J943" s="4">
        <v>659.34</v>
      </c>
    </row>
    <row r="944" spans="1:10">
      <c r="A944" t="s">
        <v>1694</v>
      </c>
      <c r="B944" s="3">
        <v>45841</v>
      </c>
      <c r="C944" t="s">
        <v>521</v>
      </c>
      <c r="D944" t="s">
        <v>368</v>
      </c>
      <c r="E944" t="s">
        <v>160</v>
      </c>
      <c r="F944">
        <v>3</v>
      </c>
      <c r="G944" t="s">
        <v>23</v>
      </c>
      <c r="H944" s="14">
        <v>0.27</v>
      </c>
      <c r="I944" s="23">
        <v>385.74</v>
      </c>
      <c r="J944" s="4">
        <v>1156.4100000000001</v>
      </c>
    </row>
    <row r="945" spans="1:10">
      <c r="A945" t="s">
        <v>1695</v>
      </c>
      <c r="B945" s="3">
        <v>45380</v>
      </c>
      <c r="C945" t="s">
        <v>217</v>
      </c>
      <c r="D945" t="s">
        <v>630</v>
      </c>
      <c r="E945" t="s">
        <v>160</v>
      </c>
      <c r="F945">
        <v>2</v>
      </c>
      <c r="G945" t="s">
        <v>33</v>
      </c>
      <c r="H945" s="14">
        <v>0.28000000000000003</v>
      </c>
      <c r="I945" s="23">
        <v>830.94</v>
      </c>
      <c r="J945" s="4">
        <v>1661.32</v>
      </c>
    </row>
    <row r="946" spans="1:10">
      <c r="A946" t="s">
        <v>1696</v>
      </c>
      <c r="B946" s="3">
        <v>45503</v>
      </c>
      <c r="C946" t="s">
        <v>1017</v>
      </c>
      <c r="D946" t="s">
        <v>414</v>
      </c>
      <c r="E946" t="s">
        <v>127</v>
      </c>
      <c r="F946">
        <v>3</v>
      </c>
      <c r="G946" t="s">
        <v>33</v>
      </c>
      <c r="H946" s="14">
        <v>0.22</v>
      </c>
      <c r="I946" s="23">
        <v>462.75</v>
      </c>
      <c r="J946" s="4">
        <v>1387.59</v>
      </c>
    </row>
    <row r="947" spans="1:10">
      <c r="A947" t="s">
        <v>1697</v>
      </c>
      <c r="B947" s="3">
        <v>45567</v>
      </c>
      <c r="C947" t="s">
        <v>468</v>
      </c>
      <c r="D947" t="s">
        <v>480</v>
      </c>
      <c r="E947" t="s">
        <v>122</v>
      </c>
      <c r="F947">
        <v>4</v>
      </c>
      <c r="G947" t="s">
        <v>50</v>
      </c>
      <c r="H947" s="14">
        <v>0.02</v>
      </c>
      <c r="I947" s="23">
        <v>973.9</v>
      </c>
      <c r="J947" s="4">
        <v>3895.52</v>
      </c>
    </row>
    <row r="948" spans="1:10">
      <c r="A948" t="s">
        <v>1698</v>
      </c>
      <c r="B948" s="3">
        <v>45600</v>
      </c>
      <c r="C948" t="s">
        <v>1699</v>
      </c>
      <c r="D948" t="s">
        <v>487</v>
      </c>
      <c r="E948" t="s">
        <v>105</v>
      </c>
      <c r="F948">
        <v>2</v>
      </c>
      <c r="G948" t="s">
        <v>23</v>
      </c>
      <c r="H948" s="14">
        <v>0.15</v>
      </c>
      <c r="I948" s="23">
        <v>157.18</v>
      </c>
      <c r="J948" s="4">
        <v>314.06</v>
      </c>
    </row>
    <row r="949" spans="1:10">
      <c r="A949" t="s">
        <v>1700</v>
      </c>
      <c r="B949" s="3">
        <v>45415</v>
      </c>
      <c r="C949" t="s">
        <v>758</v>
      </c>
      <c r="D949" t="s">
        <v>575</v>
      </c>
      <c r="E949" t="s">
        <v>149</v>
      </c>
      <c r="F949">
        <v>3</v>
      </c>
      <c r="G949" t="s">
        <v>23</v>
      </c>
      <c r="H949" s="14">
        <v>0.16</v>
      </c>
      <c r="I949" s="23">
        <v>239.57</v>
      </c>
      <c r="J949" s="4">
        <v>718.23</v>
      </c>
    </row>
    <row r="950" spans="1:10">
      <c r="A950" t="s">
        <v>1701</v>
      </c>
      <c r="B950" s="3">
        <v>45343</v>
      </c>
      <c r="C950" t="s">
        <v>388</v>
      </c>
      <c r="D950" t="s">
        <v>810</v>
      </c>
      <c r="E950" t="s">
        <v>117</v>
      </c>
      <c r="F950">
        <v>4</v>
      </c>
      <c r="G950" t="s">
        <v>23</v>
      </c>
      <c r="H950" s="14">
        <v>0.2</v>
      </c>
      <c r="I950" s="23">
        <v>583.21</v>
      </c>
      <c r="J950" s="4">
        <v>2332.04</v>
      </c>
    </row>
    <row r="951" spans="1:10">
      <c r="A951" t="s">
        <v>1702</v>
      </c>
      <c r="B951" s="3">
        <v>45399</v>
      </c>
      <c r="C951" t="s">
        <v>1002</v>
      </c>
      <c r="D951" t="s">
        <v>630</v>
      </c>
      <c r="E951" t="s">
        <v>43</v>
      </c>
      <c r="F951">
        <v>3</v>
      </c>
      <c r="G951" t="s">
        <v>33</v>
      </c>
      <c r="H951" s="14">
        <v>0.27</v>
      </c>
      <c r="I951" s="23">
        <v>758.75</v>
      </c>
      <c r="J951" s="4">
        <v>2275.44</v>
      </c>
    </row>
    <row r="952" spans="1:10">
      <c r="A952" t="s">
        <v>1703</v>
      </c>
      <c r="B952" s="3">
        <v>45689</v>
      </c>
      <c r="C952" t="s">
        <v>1704</v>
      </c>
      <c r="D952" t="s">
        <v>698</v>
      </c>
      <c r="E952" t="s">
        <v>58</v>
      </c>
      <c r="F952">
        <v>4</v>
      </c>
      <c r="G952" t="s">
        <v>23</v>
      </c>
      <c r="H952" s="14">
        <v>0.19</v>
      </c>
      <c r="I952" s="23">
        <v>372.42</v>
      </c>
      <c r="J952" s="4">
        <v>1488.92</v>
      </c>
    </row>
    <row r="953" spans="1:10">
      <c r="A953" t="s">
        <v>1705</v>
      </c>
      <c r="B953" s="3">
        <v>45699</v>
      </c>
      <c r="C953" t="s">
        <v>1706</v>
      </c>
      <c r="D953" t="s">
        <v>625</v>
      </c>
      <c r="E953" t="s">
        <v>135</v>
      </c>
      <c r="F953">
        <v>4</v>
      </c>
      <c r="G953" t="s">
        <v>33</v>
      </c>
      <c r="H953" s="14">
        <v>0.28000000000000003</v>
      </c>
      <c r="I953" s="23">
        <v>286.27999999999997</v>
      </c>
      <c r="J953" s="4">
        <v>1144</v>
      </c>
    </row>
    <row r="954" spans="1:10">
      <c r="A954" t="s">
        <v>1707</v>
      </c>
      <c r="B954" s="3">
        <v>45663</v>
      </c>
      <c r="C954" t="s">
        <v>1612</v>
      </c>
      <c r="D954" t="s">
        <v>575</v>
      </c>
      <c r="E954" t="s">
        <v>272</v>
      </c>
      <c r="F954">
        <v>3</v>
      </c>
      <c r="G954" t="s">
        <v>50</v>
      </c>
      <c r="H954" s="14">
        <v>0.27</v>
      </c>
      <c r="I954" s="23">
        <v>488.37</v>
      </c>
      <c r="J954" s="4">
        <v>1464.3</v>
      </c>
    </row>
    <row r="955" spans="1:10">
      <c r="A955" t="s">
        <v>1708</v>
      </c>
      <c r="B955" s="3">
        <v>45377</v>
      </c>
      <c r="C955" t="s">
        <v>956</v>
      </c>
      <c r="D955" t="s">
        <v>514</v>
      </c>
      <c r="E955" t="s">
        <v>43</v>
      </c>
      <c r="F955">
        <v>3</v>
      </c>
      <c r="G955" t="s">
        <v>50</v>
      </c>
      <c r="H955" s="14">
        <v>0.01</v>
      </c>
      <c r="I955" s="23">
        <v>662.82</v>
      </c>
      <c r="J955" s="4">
        <v>1988.43</v>
      </c>
    </row>
    <row r="956" spans="1:10">
      <c r="A956" t="s">
        <v>1709</v>
      </c>
      <c r="B956" s="3">
        <v>45412</v>
      </c>
      <c r="C956" t="s">
        <v>1430</v>
      </c>
      <c r="D956" t="s">
        <v>887</v>
      </c>
      <c r="E956" t="s">
        <v>117</v>
      </c>
      <c r="F956">
        <v>2</v>
      </c>
      <c r="G956" t="s">
        <v>50</v>
      </c>
      <c r="H956" s="14">
        <v>0.1</v>
      </c>
      <c r="I956" s="23">
        <v>824.34</v>
      </c>
      <c r="J956" s="4">
        <v>1648.48</v>
      </c>
    </row>
    <row r="957" spans="1:10">
      <c r="A957" t="s">
        <v>1710</v>
      </c>
      <c r="B957" s="3">
        <v>45349</v>
      </c>
      <c r="C957" t="s">
        <v>529</v>
      </c>
      <c r="D957" t="s">
        <v>57</v>
      </c>
      <c r="E957" t="s">
        <v>43</v>
      </c>
      <c r="F957">
        <v>1</v>
      </c>
      <c r="G957" t="s">
        <v>23</v>
      </c>
      <c r="H957" s="14">
        <v>0.21</v>
      </c>
      <c r="I957" s="23">
        <v>437.12</v>
      </c>
      <c r="J957" s="4">
        <v>436.91</v>
      </c>
    </row>
    <row r="958" spans="1:10">
      <c r="A958" t="s">
        <v>1711</v>
      </c>
      <c r="B958" s="3">
        <v>45486</v>
      </c>
      <c r="C958" t="s">
        <v>1381</v>
      </c>
      <c r="D958" t="s">
        <v>110</v>
      </c>
      <c r="E958" t="s">
        <v>179</v>
      </c>
      <c r="F958">
        <v>3</v>
      </c>
      <c r="G958" t="s">
        <v>33</v>
      </c>
      <c r="H958" s="14">
        <v>0.15</v>
      </c>
      <c r="I958" s="23">
        <v>23.37</v>
      </c>
      <c r="J958" s="4">
        <v>69.66</v>
      </c>
    </row>
    <row r="959" spans="1:10">
      <c r="A959" t="s">
        <v>1712</v>
      </c>
      <c r="B959" s="3">
        <v>45761</v>
      </c>
      <c r="C959" t="s">
        <v>84</v>
      </c>
      <c r="D959" t="s">
        <v>126</v>
      </c>
      <c r="E959" t="s">
        <v>43</v>
      </c>
      <c r="F959">
        <v>1</v>
      </c>
      <c r="G959" t="s">
        <v>23</v>
      </c>
      <c r="H959" s="14">
        <v>0.02</v>
      </c>
      <c r="I959" s="23">
        <v>579.69000000000005</v>
      </c>
      <c r="J959" s="4">
        <v>579.66999999999996</v>
      </c>
    </row>
    <row r="960" spans="1:10">
      <c r="A960" t="s">
        <v>1713</v>
      </c>
      <c r="B960" s="3">
        <v>45639</v>
      </c>
      <c r="C960" t="s">
        <v>1282</v>
      </c>
      <c r="D960" t="s">
        <v>267</v>
      </c>
      <c r="E960" t="s">
        <v>98</v>
      </c>
      <c r="F960">
        <v>3</v>
      </c>
      <c r="G960" t="s">
        <v>23</v>
      </c>
      <c r="H960" s="14">
        <v>7.0000000000000007E-2</v>
      </c>
      <c r="I960" s="23">
        <v>240.51</v>
      </c>
      <c r="J960" s="4">
        <v>721.32</v>
      </c>
    </row>
    <row r="961" spans="1:10">
      <c r="A961" t="s">
        <v>1714</v>
      </c>
      <c r="B961" s="3">
        <v>45893</v>
      </c>
      <c r="C961" t="s">
        <v>633</v>
      </c>
      <c r="D961" t="s">
        <v>425</v>
      </c>
      <c r="E961" t="s">
        <v>98</v>
      </c>
      <c r="F961">
        <v>2</v>
      </c>
      <c r="G961" t="s">
        <v>50</v>
      </c>
      <c r="H961" s="14">
        <v>0.08</v>
      </c>
      <c r="I961" s="23">
        <v>855.4</v>
      </c>
      <c r="J961" s="4">
        <v>1710.64</v>
      </c>
    </row>
    <row r="962" spans="1:10">
      <c r="A962" t="s">
        <v>1715</v>
      </c>
      <c r="B962" s="3">
        <v>45227</v>
      </c>
      <c r="C962" t="s">
        <v>355</v>
      </c>
      <c r="D962" t="s">
        <v>453</v>
      </c>
      <c r="E962" t="s">
        <v>66</v>
      </c>
      <c r="F962">
        <v>1</v>
      </c>
      <c r="G962" t="s">
        <v>23</v>
      </c>
      <c r="H962" s="14">
        <v>0.09</v>
      </c>
      <c r="I962" s="23">
        <v>537.26</v>
      </c>
      <c r="J962" s="4">
        <v>537.16999999999996</v>
      </c>
    </row>
    <row r="963" spans="1:10">
      <c r="A963" t="s">
        <v>1716</v>
      </c>
      <c r="B963" s="3">
        <v>45637</v>
      </c>
      <c r="C963" t="s">
        <v>1097</v>
      </c>
      <c r="D963" t="s">
        <v>501</v>
      </c>
      <c r="E963" t="s">
        <v>168</v>
      </c>
      <c r="F963">
        <v>3</v>
      </c>
      <c r="G963" t="s">
        <v>50</v>
      </c>
      <c r="H963" s="14">
        <v>0.17</v>
      </c>
      <c r="I963" s="23">
        <v>918.26</v>
      </c>
      <c r="J963" s="4">
        <v>2754.27</v>
      </c>
    </row>
    <row r="964" spans="1:10">
      <c r="A964" t="s">
        <v>1717</v>
      </c>
      <c r="B964" s="3">
        <v>45472</v>
      </c>
      <c r="C964" t="s">
        <v>294</v>
      </c>
      <c r="D964" t="s">
        <v>887</v>
      </c>
      <c r="E964" t="s">
        <v>127</v>
      </c>
      <c r="F964">
        <v>4</v>
      </c>
      <c r="G964" t="s">
        <v>33</v>
      </c>
      <c r="H964" s="14">
        <v>0.18</v>
      </c>
      <c r="I964" s="23">
        <v>579.70000000000005</v>
      </c>
      <c r="J964" s="4">
        <v>2318.08</v>
      </c>
    </row>
    <row r="965" spans="1:10">
      <c r="A965" t="s">
        <v>1718</v>
      </c>
      <c r="B965" s="3">
        <v>45710</v>
      </c>
      <c r="C965" t="s">
        <v>1024</v>
      </c>
      <c r="D965" t="s">
        <v>159</v>
      </c>
      <c r="E965" t="s">
        <v>179</v>
      </c>
      <c r="F965">
        <v>1</v>
      </c>
      <c r="G965" t="s">
        <v>23</v>
      </c>
      <c r="H965" s="14">
        <v>0.18</v>
      </c>
      <c r="I965" s="23">
        <v>824.32</v>
      </c>
      <c r="J965" s="4">
        <v>824.14</v>
      </c>
    </row>
    <row r="966" spans="1:10">
      <c r="A966" t="s">
        <v>1719</v>
      </c>
      <c r="B966" s="3">
        <v>45682</v>
      </c>
      <c r="C966" t="s">
        <v>1653</v>
      </c>
      <c r="D966" t="s">
        <v>381</v>
      </c>
      <c r="E966" t="s">
        <v>122</v>
      </c>
      <c r="F966">
        <v>4</v>
      </c>
      <c r="G966" t="s">
        <v>33</v>
      </c>
      <c r="H966" s="14">
        <v>0.16</v>
      </c>
      <c r="I966" s="23">
        <v>614.99</v>
      </c>
      <c r="J966" s="4">
        <v>2459.3200000000002</v>
      </c>
    </row>
    <row r="967" spans="1:10">
      <c r="A967" t="s">
        <v>1720</v>
      </c>
      <c r="B967" s="3">
        <v>45730</v>
      </c>
      <c r="C967" t="s">
        <v>606</v>
      </c>
      <c r="D967" t="s">
        <v>661</v>
      </c>
      <c r="E967" t="s">
        <v>90</v>
      </c>
      <c r="F967">
        <v>4</v>
      </c>
      <c r="G967" t="s">
        <v>50</v>
      </c>
      <c r="H967" s="14">
        <v>0.06</v>
      </c>
      <c r="I967" s="23">
        <v>189.21</v>
      </c>
      <c r="J967" s="4">
        <v>756.6</v>
      </c>
    </row>
    <row r="968" spans="1:10">
      <c r="A968" t="s">
        <v>1721</v>
      </c>
      <c r="B968" s="3">
        <v>45629</v>
      </c>
      <c r="C968" t="s">
        <v>1706</v>
      </c>
      <c r="D968" t="s">
        <v>661</v>
      </c>
      <c r="E968" t="s">
        <v>98</v>
      </c>
      <c r="F968">
        <v>2</v>
      </c>
      <c r="G968" t="s">
        <v>23</v>
      </c>
      <c r="H968" s="14">
        <v>0.05</v>
      </c>
      <c r="I968" s="23">
        <v>233.33</v>
      </c>
      <c r="J968" s="4">
        <v>466.56</v>
      </c>
    </row>
    <row r="969" spans="1:10">
      <c r="A969" t="s">
        <v>1722</v>
      </c>
      <c r="B969" s="3">
        <v>45783</v>
      </c>
      <c r="C969" t="s">
        <v>763</v>
      </c>
      <c r="D969" t="s">
        <v>104</v>
      </c>
      <c r="E969" t="s">
        <v>160</v>
      </c>
      <c r="F969">
        <v>3</v>
      </c>
      <c r="G969" t="s">
        <v>23</v>
      </c>
      <c r="H969" s="14">
        <v>0.21</v>
      </c>
      <c r="I969" s="23">
        <v>529.89</v>
      </c>
      <c r="J969" s="4">
        <v>1589.04</v>
      </c>
    </row>
    <row r="970" spans="1:10">
      <c r="A970" t="s">
        <v>1723</v>
      </c>
      <c r="B970" s="3">
        <v>45518</v>
      </c>
      <c r="C970" t="s">
        <v>622</v>
      </c>
      <c r="D970" t="s">
        <v>603</v>
      </c>
      <c r="E970" t="s">
        <v>105</v>
      </c>
      <c r="F970">
        <v>2</v>
      </c>
      <c r="G970" t="s">
        <v>33</v>
      </c>
      <c r="H970" s="14">
        <v>0.17</v>
      </c>
      <c r="I970" s="23">
        <v>954.1</v>
      </c>
      <c r="J970" s="4">
        <v>1907.86</v>
      </c>
    </row>
    <row r="971" spans="1:10">
      <c r="A971" t="s">
        <v>1724</v>
      </c>
      <c r="B971" s="3">
        <v>45274</v>
      </c>
      <c r="C971" t="s">
        <v>648</v>
      </c>
      <c r="D971" t="s">
        <v>134</v>
      </c>
      <c r="E971" t="s">
        <v>66</v>
      </c>
      <c r="F971">
        <v>1</v>
      </c>
      <c r="G971" t="s">
        <v>50</v>
      </c>
      <c r="H971" s="14">
        <v>0.04</v>
      </c>
      <c r="I971" s="23">
        <v>370.04</v>
      </c>
      <c r="J971" s="4">
        <v>370</v>
      </c>
    </row>
    <row r="972" spans="1:10">
      <c r="A972" t="s">
        <v>1725</v>
      </c>
      <c r="B972" s="3">
        <v>45297</v>
      </c>
      <c r="C972" t="s">
        <v>915</v>
      </c>
      <c r="D972" t="s">
        <v>1259</v>
      </c>
      <c r="E972" t="s">
        <v>135</v>
      </c>
      <c r="F972">
        <v>4</v>
      </c>
      <c r="G972" t="s">
        <v>23</v>
      </c>
      <c r="H972" s="14">
        <v>0.08</v>
      </c>
      <c r="I972" s="23">
        <v>492.71</v>
      </c>
      <c r="J972" s="4">
        <v>1970.52</v>
      </c>
    </row>
    <row r="973" spans="1:10">
      <c r="A973" t="s">
        <v>1726</v>
      </c>
      <c r="B973" s="3">
        <v>45530</v>
      </c>
      <c r="C973" t="s">
        <v>1727</v>
      </c>
      <c r="D973" t="s">
        <v>372</v>
      </c>
      <c r="E973" t="s">
        <v>149</v>
      </c>
      <c r="F973">
        <v>4</v>
      </c>
      <c r="G973" t="s">
        <v>50</v>
      </c>
      <c r="H973" s="14">
        <v>0.24</v>
      </c>
      <c r="I973" s="23">
        <v>853.26</v>
      </c>
      <c r="J973" s="4">
        <v>3412.08</v>
      </c>
    </row>
    <row r="974" spans="1:10">
      <c r="A974" t="s">
        <v>1728</v>
      </c>
      <c r="B974" s="3">
        <v>45740</v>
      </c>
      <c r="C974" t="s">
        <v>398</v>
      </c>
      <c r="D974" t="s">
        <v>414</v>
      </c>
      <c r="E974" t="s">
        <v>117</v>
      </c>
      <c r="F974">
        <v>1</v>
      </c>
      <c r="G974" t="s">
        <v>33</v>
      </c>
      <c r="H974" s="14">
        <v>0.19</v>
      </c>
      <c r="I974" s="23">
        <v>402.47</v>
      </c>
      <c r="J974" s="4">
        <v>402.28</v>
      </c>
    </row>
    <row r="975" spans="1:10">
      <c r="A975" t="s">
        <v>1729</v>
      </c>
      <c r="B975" s="3">
        <v>45311</v>
      </c>
      <c r="C975" t="s">
        <v>1336</v>
      </c>
      <c r="D975" t="s">
        <v>420</v>
      </c>
      <c r="E975" t="s">
        <v>160</v>
      </c>
      <c r="F975">
        <v>2</v>
      </c>
      <c r="G975" t="s">
        <v>23</v>
      </c>
      <c r="H975" s="14">
        <v>0.24</v>
      </c>
      <c r="I975" s="23">
        <v>528.29999999999995</v>
      </c>
      <c r="J975" s="4">
        <v>1056.1199999999999</v>
      </c>
    </row>
    <row r="976" spans="1:10">
      <c r="A976" t="s">
        <v>1730</v>
      </c>
      <c r="B976" s="3">
        <v>45667</v>
      </c>
      <c r="C976" t="s">
        <v>1731</v>
      </c>
      <c r="D976" t="s">
        <v>234</v>
      </c>
      <c r="E976" t="s">
        <v>179</v>
      </c>
      <c r="F976">
        <v>4</v>
      </c>
      <c r="G976" t="s">
        <v>23</v>
      </c>
      <c r="H976" s="14">
        <v>0.25</v>
      </c>
      <c r="I976" s="23">
        <v>599.85</v>
      </c>
      <c r="J976" s="4">
        <v>2398.4</v>
      </c>
    </row>
    <row r="977" spans="1:10">
      <c r="A977" t="s">
        <v>1732</v>
      </c>
      <c r="B977" s="3">
        <v>45281</v>
      </c>
      <c r="C977" t="s">
        <v>386</v>
      </c>
      <c r="D977" t="s">
        <v>226</v>
      </c>
      <c r="E977" t="s">
        <v>127</v>
      </c>
      <c r="F977">
        <v>2</v>
      </c>
      <c r="G977" t="s">
        <v>33</v>
      </c>
      <c r="H977" s="14">
        <v>0.08</v>
      </c>
      <c r="I977" s="23">
        <v>61.42</v>
      </c>
      <c r="J977" s="4">
        <v>122.68</v>
      </c>
    </row>
    <row r="978" spans="1:10">
      <c r="A978" t="s">
        <v>1733</v>
      </c>
      <c r="B978" s="3">
        <v>45693</v>
      </c>
      <c r="C978" t="s">
        <v>1734</v>
      </c>
      <c r="D978" t="s">
        <v>314</v>
      </c>
      <c r="E978" t="s">
        <v>168</v>
      </c>
      <c r="F978">
        <v>2</v>
      </c>
      <c r="G978" t="s">
        <v>33</v>
      </c>
      <c r="H978" s="14">
        <v>0.12</v>
      </c>
      <c r="I978" s="23">
        <v>466.42</v>
      </c>
      <c r="J978" s="4">
        <v>932.6</v>
      </c>
    </row>
    <row r="979" spans="1:10">
      <c r="A979" t="s">
        <v>1735</v>
      </c>
      <c r="B979" s="3">
        <v>45857</v>
      </c>
      <c r="C979" t="s">
        <v>694</v>
      </c>
      <c r="D979" t="s">
        <v>311</v>
      </c>
      <c r="E979" t="s">
        <v>58</v>
      </c>
      <c r="F979">
        <v>4</v>
      </c>
      <c r="G979" t="s">
        <v>50</v>
      </c>
      <c r="H979" s="14">
        <v>0.09</v>
      </c>
      <c r="I979" s="23">
        <v>540.69000000000005</v>
      </c>
      <c r="J979" s="4">
        <v>2162.4</v>
      </c>
    </row>
    <row r="980" spans="1:10">
      <c r="A980" t="s">
        <v>1736</v>
      </c>
      <c r="B980" s="3">
        <v>45737</v>
      </c>
      <c r="C980" t="s">
        <v>404</v>
      </c>
      <c r="D980" t="s">
        <v>314</v>
      </c>
      <c r="E980" t="s">
        <v>149</v>
      </c>
      <c r="F980">
        <v>3</v>
      </c>
      <c r="G980" t="s">
        <v>23</v>
      </c>
      <c r="H980" s="14">
        <v>0.05</v>
      </c>
      <c r="I980" s="23">
        <v>677.46</v>
      </c>
      <c r="J980" s="4">
        <v>2032.23</v>
      </c>
    </row>
    <row r="981" spans="1:10">
      <c r="A981" t="s">
        <v>1737</v>
      </c>
      <c r="B981" s="3">
        <v>45771</v>
      </c>
      <c r="C981" t="s">
        <v>1232</v>
      </c>
      <c r="D981" t="s">
        <v>279</v>
      </c>
      <c r="E981" t="s">
        <v>105</v>
      </c>
      <c r="F981">
        <v>3</v>
      </c>
      <c r="G981" t="s">
        <v>33</v>
      </c>
      <c r="H981" s="14">
        <v>0.06</v>
      </c>
      <c r="I981" s="23">
        <v>614.63</v>
      </c>
      <c r="J981" s="4">
        <v>1843.71</v>
      </c>
    </row>
    <row r="982" spans="1:10">
      <c r="A982" t="s">
        <v>1738</v>
      </c>
      <c r="B982" s="3">
        <v>45272</v>
      </c>
      <c r="C982" t="s">
        <v>1125</v>
      </c>
      <c r="D982" t="s">
        <v>532</v>
      </c>
      <c r="E982" t="s">
        <v>43</v>
      </c>
      <c r="F982">
        <v>4</v>
      </c>
      <c r="G982" t="s">
        <v>23</v>
      </c>
      <c r="H982" s="14">
        <v>0.11</v>
      </c>
      <c r="I982" s="23">
        <v>649.52</v>
      </c>
      <c r="J982" s="4">
        <v>2597.64</v>
      </c>
    </row>
    <row r="983" spans="1:10">
      <c r="A983" t="s">
        <v>1739</v>
      </c>
      <c r="B983" s="3">
        <v>45481</v>
      </c>
      <c r="C983" t="s">
        <v>1134</v>
      </c>
      <c r="D983" t="s">
        <v>462</v>
      </c>
      <c r="E983" t="s">
        <v>43</v>
      </c>
      <c r="F983">
        <v>2</v>
      </c>
      <c r="G983" t="s">
        <v>33</v>
      </c>
      <c r="H983" s="14">
        <v>0.22</v>
      </c>
      <c r="I983" s="23">
        <v>943.93</v>
      </c>
      <c r="J983" s="4">
        <v>1887.42</v>
      </c>
    </row>
    <row r="984" spans="1:10">
      <c r="A984" t="s">
        <v>1740</v>
      </c>
      <c r="B984" s="3">
        <v>45228</v>
      </c>
      <c r="C984" t="s">
        <v>931</v>
      </c>
      <c r="D984" t="s">
        <v>311</v>
      </c>
      <c r="E984" t="s">
        <v>43</v>
      </c>
      <c r="F984">
        <v>4</v>
      </c>
      <c r="G984" t="s">
        <v>23</v>
      </c>
      <c r="H984" s="14">
        <v>0.03</v>
      </c>
      <c r="I984" s="23">
        <v>538.73</v>
      </c>
      <c r="J984" s="4">
        <v>2154.8000000000002</v>
      </c>
    </row>
    <row r="985" spans="1:10">
      <c r="A985" t="s">
        <v>1741</v>
      </c>
      <c r="B985" s="3">
        <v>45432</v>
      </c>
      <c r="C985" t="s">
        <v>867</v>
      </c>
      <c r="D985" t="s">
        <v>532</v>
      </c>
      <c r="E985" t="s">
        <v>43</v>
      </c>
      <c r="F985">
        <v>2</v>
      </c>
      <c r="G985" t="s">
        <v>33</v>
      </c>
      <c r="H985" s="14">
        <v>0.01</v>
      </c>
      <c r="I985" s="23">
        <v>853.93</v>
      </c>
      <c r="J985" s="4">
        <v>1707.84</v>
      </c>
    </row>
    <row r="986" spans="1:10">
      <c r="A986" t="s">
        <v>1742</v>
      </c>
      <c r="B986" s="3">
        <v>45914</v>
      </c>
      <c r="C986" t="s">
        <v>1292</v>
      </c>
      <c r="D986" t="s">
        <v>255</v>
      </c>
      <c r="E986" t="s">
        <v>72</v>
      </c>
      <c r="F986">
        <v>4</v>
      </c>
      <c r="G986" t="s">
        <v>50</v>
      </c>
      <c r="H986" s="14">
        <v>0.26</v>
      </c>
      <c r="I986" s="23">
        <v>465.42</v>
      </c>
      <c r="J986" s="4">
        <v>1860.64</v>
      </c>
    </row>
    <row r="987" spans="1:10">
      <c r="A987" t="s">
        <v>1743</v>
      </c>
      <c r="B987" s="3">
        <v>45758</v>
      </c>
      <c r="C987" t="s">
        <v>1348</v>
      </c>
      <c r="D987" t="s">
        <v>389</v>
      </c>
      <c r="E987" t="s">
        <v>272</v>
      </c>
      <c r="F987">
        <v>4</v>
      </c>
      <c r="G987" t="s">
        <v>50</v>
      </c>
      <c r="H987" s="14">
        <v>0.11</v>
      </c>
      <c r="I987" s="23">
        <v>880.26</v>
      </c>
      <c r="J987" s="4">
        <v>3520.6</v>
      </c>
    </row>
    <row r="988" spans="1:10">
      <c r="A988" t="s">
        <v>1744</v>
      </c>
      <c r="B988" s="3">
        <v>45429</v>
      </c>
      <c r="C988" t="s">
        <v>328</v>
      </c>
      <c r="D988" t="s">
        <v>501</v>
      </c>
      <c r="E988" t="s">
        <v>272</v>
      </c>
      <c r="F988">
        <v>3</v>
      </c>
      <c r="G988" t="s">
        <v>33</v>
      </c>
      <c r="H988" s="14">
        <v>0.28999999999999998</v>
      </c>
      <c r="I988" s="23">
        <v>461.02</v>
      </c>
      <c r="J988" s="4">
        <v>1382.19</v>
      </c>
    </row>
    <row r="989" spans="1:10">
      <c r="A989" t="s">
        <v>1745</v>
      </c>
      <c r="B989" s="3">
        <v>45578</v>
      </c>
      <c r="C989" t="s">
        <v>1223</v>
      </c>
      <c r="D989" t="s">
        <v>425</v>
      </c>
      <c r="E989" t="s">
        <v>149</v>
      </c>
      <c r="F989">
        <v>1</v>
      </c>
      <c r="G989" t="s">
        <v>33</v>
      </c>
      <c r="H989" s="14">
        <v>0.17</v>
      </c>
      <c r="I989" s="23">
        <v>531.99</v>
      </c>
      <c r="J989" s="4">
        <v>531.82000000000005</v>
      </c>
    </row>
    <row r="990" spans="1:10">
      <c r="A990" t="s">
        <v>1746</v>
      </c>
      <c r="B990" s="3">
        <v>45486</v>
      </c>
      <c r="C990" t="s">
        <v>1747</v>
      </c>
      <c r="D990" t="s">
        <v>302</v>
      </c>
      <c r="E990" t="s">
        <v>32</v>
      </c>
      <c r="F990">
        <v>2</v>
      </c>
      <c r="G990" t="s">
        <v>33</v>
      </c>
      <c r="H990" s="14">
        <v>0.13</v>
      </c>
      <c r="I990" s="23">
        <v>274.08999999999997</v>
      </c>
      <c r="J990" s="4">
        <v>547.91999999999996</v>
      </c>
    </row>
    <row r="991" spans="1:10">
      <c r="A991" t="s">
        <v>1748</v>
      </c>
      <c r="B991" s="3">
        <v>45694</v>
      </c>
      <c r="C991" t="s">
        <v>115</v>
      </c>
      <c r="D991" t="s">
        <v>110</v>
      </c>
      <c r="E991" t="s">
        <v>168</v>
      </c>
      <c r="F991">
        <v>1</v>
      </c>
      <c r="G991" t="s">
        <v>50</v>
      </c>
      <c r="H991" s="14">
        <v>0.14000000000000001</v>
      </c>
      <c r="I991" s="23">
        <v>66.14</v>
      </c>
      <c r="J991" s="4">
        <v>66</v>
      </c>
    </row>
    <row r="992" spans="1:10">
      <c r="A992" t="s">
        <v>1749</v>
      </c>
      <c r="B992" s="3">
        <v>45875</v>
      </c>
      <c r="C992" t="s">
        <v>944</v>
      </c>
      <c r="D992" t="s">
        <v>291</v>
      </c>
      <c r="E992" t="s">
        <v>127</v>
      </c>
      <c r="F992">
        <v>3</v>
      </c>
      <c r="G992" t="s">
        <v>50</v>
      </c>
      <c r="H992" s="14">
        <v>0.16</v>
      </c>
      <c r="I992" s="23">
        <v>955.82</v>
      </c>
      <c r="J992" s="4">
        <v>2866.98</v>
      </c>
    </row>
    <row r="993" spans="1:10">
      <c r="A993" t="s">
        <v>1750</v>
      </c>
      <c r="B993" s="3">
        <v>45432</v>
      </c>
      <c r="C993" t="s">
        <v>562</v>
      </c>
      <c r="D993" t="s">
        <v>443</v>
      </c>
      <c r="E993" t="s">
        <v>208</v>
      </c>
      <c r="F993">
        <v>1</v>
      </c>
      <c r="G993" t="s">
        <v>23</v>
      </c>
      <c r="H993" s="14">
        <v>0.13</v>
      </c>
      <c r="I993" s="23">
        <v>904.92</v>
      </c>
      <c r="J993" s="4">
        <v>904.79</v>
      </c>
    </row>
    <row r="994" spans="1:10">
      <c r="A994" t="s">
        <v>1751</v>
      </c>
      <c r="B994" s="3">
        <v>45575</v>
      </c>
      <c r="C994" t="s">
        <v>975</v>
      </c>
      <c r="D994" t="s">
        <v>295</v>
      </c>
      <c r="E994" t="s">
        <v>66</v>
      </c>
      <c r="F994">
        <v>3</v>
      </c>
      <c r="G994" t="s">
        <v>23</v>
      </c>
      <c r="H994" s="14">
        <v>0.26</v>
      </c>
      <c r="I994" s="23">
        <v>490.02</v>
      </c>
      <c r="J994" s="4">
        <v>1469.28</v>
      </c>
    </row>
    <row r="995" spans="1:10">
      <c r="A995" t="s">
        <v>1752</v>
      </c>
      <c r="B995" s="3">
        <v>45340</v>
      </c>
      <c r="C995" t="s">
        <v>1503</v>
      </c>
      <c r="D995" t="s">
        <v>314</v>
      </c>
      <c r="E995" t="s">
        <v>179</v>
      </c>
      <c r="F995">
        <v>2</v>
      </c>
      <c r="G995" t="s">
        <v>50</v>
      </c>
      <c r="H995" s="14">
        <v>0.1</v>
      </c>
      <c r="I995" s="23">
        <v>957.54</v>
      </c>
      <c r="J995" s="4">
        <v>1914.88</v>
      </c>
    </row>
    <row r="996" spans="1:10">
      <c r="A996" t="s">
        <v>1753</v>
      </c>
      <c r="B996" s="3">
        <v>45926</v>
      </c>
      <c r="C996" t="s">
        <v>508</v>
      </c>
      <c r="D996" t="s">
        <v>85</v>
      </c>
      <c r="E996" t="s">
        <v>149</v>
      </c>
      <c r="F996">
        <v>2</v>
      </c>
      <c r="G996" t="s">
        <v>33</v>
      </c>
      <c r="H996" s="14">
        <v>7.0000000000000007E-2</v>
      </c>
      <c r="I996" s="23">
        <v>314.39999999999998</v>
      </c>
      <c r="J996" s="4">
        <v>628.66</v>
      </c>
    </row>
    <row r="997" spans="1:10">
      <c r="A997" t="s">
        <v>1754</v>
      </c>
      <c r="B997" s="3">
        <v>45373</v>
      </c>
      <c r="C997" t="s">
        <v>570</v>
      </c>
      <c r="D997" t="s">
        <v>97</v>
      </c>
      <c r="E997" t="s">
        <v>179</v>
      </c>
      <c r="F997">
        <v>3</v>
      </c>
      <c r="G997" t="s">
        <v>33</v>
      </c>
      <c r="H997" s="14">
        <v>0.11</v>
      </c>
      <c r="I997" s="23">
        <v>480.11</v>
      </c>
      <c r="J997" s="4">
        <v>1440</v>
      </c>
    </row>
    <row r="998" spans="1:10">
      <c r="A998" t="s">
        <v>1755</v>
      </c>
      <c r="B998" s="3">
        <v>45579</v>
      </c>
      <c r="C998" t="s">
        <v>1187</v>
      </c>
      <c r="D998" t="s">
        <v>505</v>
      </c>
      <c r="E998" t="s">
        <v>179</v>
      </c>
      <c r="F998">
        <v>4</v>
      </c>
      <c r="G998" t="s">
        <v>23</v>
      </c>
      <c r="H998" s="14">
        <v>0.28000000000000003</v>
      </c>
      <c r="I998" s="23">
        <v>826.55</v>
      </c>
      <c r="J998" s="4">
        <v>3305.08</v>
      </c>
    </row>
    <row r="999" spans="1:10">
      <c r="A999" t="s">
        <v>1756</v>
      </c>
      <c r="B999" s="3">
        <v>45805</v>
      </c>
      <c r="C999" t="s">
        <v>1551</v>
      </c>
      <c r="D999" t="s">
        <v>139</v>
      </c>
      <c r="E999" t="s">
        <v>22</v>
      </c>
      <c r="F999">
        <v>3</v>
      </c>
      <c r="G999" t="s">
        <v>33</v>
      </c>
      <c r="H999" s="14">
        <v>0.18</v>
      </c>
      <c r="I999" s="23">
        <v>530.16999999999996</v>
      </c>
      <c r="J999" s="4">
        <v>1589.97</v>
      </c>
    </row>
    <row r="1000" spans="1:10">
      <c r="A1000" t="s">
        <v>1757</v>
      </c>
      <c r="B1000" s="3">
        <v>45522</v>
      </c>
      <c r="C1000" t="s">
        <v>1593</v>
      </c>
      <c r="D1000" t="s">
        <v>116</v>
      </c>
      <c r="E1000" t="s">
        <v>32</v>
      </c>
      <c r="F1000">
        <v>3</v>
      </c>
      <c r="G1000" t="s">
        <v>50</v>
      </c>
      <c r="H1000" s="14">
        <v>0.04</v>
      </c>
      <c r="I1000" s="23">
        <v>336.17</v>
      </c>
      <c r="J1000" s="4">
        <v>1008.39</v>
      </c>
    </row>
    <row r="1001" spans="1:10">
      <c r="A1001" t="s">
        <v>1758</v>
      </c>
      <c r="B1001" s="3">
        <v>45304</v>
      </c>
      <c r="C1001" t="s">
        <v>1759</v>
      </c>
      <c r="D1001" t="s">
        <v>630</v>
      </c>
      <c r="E1001" t="s">
        <v>43</v>
      </c>
      <c r="F1001">
        <v>4</v>
      </c>
      <c r="G1001" t="s">
        <v>33</v>
      </c>
      <c r="H1001" s="14">
        <v>0.27</v>
      </c>
      <c r="I1001" s="23">
        <v>22.51</v>
      </c>
      <c r="J1001" s="4">
        <v>88.96</v>
      </c>
    </row>
    <row r="1002" spans="1:10">
      <c r="A1002" t="s">
        <v>1760</v>
      </c>
      <c r="B1002" s="3">
        <v>45456</v>
      </c>
      <c r="C1002" t="s">
        <v>1551</v>
      </c>
      <c r="D1002" t="s">
        <v>57</v>
      </c>
      <c r="E1002" t="s">
        <v>198</v>
      </c>
      <c r="F1002">
        <v>2</v>
      </c>
      <c r="G1002" t="s">
        <v>23</v>
      </c>
      <c r="H1002" s="14">
        <v>0.27</v>
      </c>
      <c r="I1002" s="23">
        <v>909.51</v>
      </c>
      <c r="J1002" s="4">
        <v>1818.48</v>
      </c>
    </row>
    <row r="1003" spans="1:10">
      <c r="A1003" t="s">
        <v>1761</v>
      </c>
      <c r="B1003" s="3">
        <v>45776</v>
      </c>
      <c r="C1003" t="s">
        <v>1526</v>
      </c>
      <c r="D1003" t="s">
        <v>167</v>
      </c>
      <c r="E1003" t="s">
        <v>98</v>
      </c>
      <c r="F1003">
        <v>4</v>
      </c>
      <c r="G1003" t="s">
        <v>33</v>
      </c>
      <c r="H1003" s="14">
        <v>0.24</v>
      </c>
      <c r="I1003" s="23">
        <v>593.84</v>
      </c>
      <c r="J1003" s="4">
        <v>2374.4</v>
      </c>
    </row>
    <row r="1004" spans="1:10">
      <c r="A1004" t="s">
        <v>1762</v>
      </c>
      <c r="B1004" s="3">
        <v>45566</v>
      </c>
      <c r="C1004" t="s">
        <v>1653</v>
      </c>
      <c r="D1004" t="s">
        <v>575</v>
      </c>
      <c r="E1004" t="s">
        <v>168</v>
      </c>
      <c r="F1004">
        <v>3</v>
      </c>
      <c r="G1004" t="s">
        <v>50</v>
      </c>
      <c r="H1004" s="14">
        <v>0.23</v>
      </c>
      <c r="I1004" s="23">
        <v>909.11</v>
      </c>
      <c r="J1004" s="4">
        <v>2726.64</v>
      </c>
    </row>
    <row r="1005" spans="1:10">
      <c r="A1005" t="s">
        <v>1763</v>
      </c>
      <c r="B1005" s="3">
        <v>45542</v>
      </c>
      <c r="C1005" t="s">
        <v>531</v>
      </c>
      <c r="D1005" t="s">
        <v>97</v>
      </c>
      <c r="E1005" t="s">
        <v>105</v>
      </c>
      <c r="F1005">
        <v>4</v>
      </c>
      <c r="G1005" t="s">
        <v>33</v>
      </c>
      <c r="H1005" s="14">
        <v>0.24</v>
      </c>
      <c r="I1005" s="23">
        <v>996.85</v>
      </c>
      <c r="J1005" s="4">
        <v>3986.44</v>
      </c>
    </row>
    <row r="1006" spans="1:10">
      <c r="A1006" t="s">
        <v>1764</v>
      </c>
      <c r="B1006" s="3">
        <v>45834</v>
      </c>
      <c r="C1006" t="s">
        <v>1085</v>
      </c>
      <c r="D1006" t="s">
        <v>768</v>
      </c>
      <c r="E1006" t="s">
        <v>32</v>
      </c>
      <c r="F1006">
        <v>1</v>
      </c>
      <c r="G1006" t="s">
        <v>50</v>
      </c>
      <c r="H1006" s="14">
        <v>0.06</v>
      </c>
      <c r="I1006" s="23">
        <v>522.69000000000005</v>
      </c>
      <c r="J1006" s="4">
        <v>522.63</v>
      </c>
    </row>
    <row r="1007" spans="1:10">
      <c r="A1007" t="s">
        <v>1765</v>
      </c>
      <c r="B1007" s="3">
        <v>45405</v>
      </c>
      <c r="C1007" t="s">
        <v>1766</v>
      </c>
      <c r="D1007" t="s">
        <v>420</v>
      </c>
      <c r="E1007" t="s">
        <v>22</v>
      </c>
      <c r="F1007">
        <v>3</v>
      </c>
      <c r="G1007" t="s">
        <v>33</v>
      </c>
      <c r="H1007" s="14">
        <v>0.12</v>
      </c>
      <c r="I1007" s="23">
        <v>261.05</v>
      </c>
      <c r="J1007" s="4">
        <v>782.79</v>
      </c>
    </row>
    <row r="1008" spans="1:10">
      <c r="A1008" t="s">
        <v>1767</v>
      </c>
      <c r="B1008" s="3">
        <v>45918</v>
      </c>
      <c r="C1008" t="s">
        <v>456</v>
      </c>
      <c r="D1008" t="s">
        <v>250</v>
      </c>
      <c r="E1008" t="s">
        <v>32</v>
      </c>
      <c r="F1008">
        <v>3</v>
      </c>
      <c r="G1008" t="s">
        <v>50</v>
      </c>
      <c r="H1008" s="14">
        <v>0.01</v>
      </c>
      <c r="I1008" s="23">
        <v>644.73</v>
      </c>
      <c r="J1008" s="4">
        <v>1934.16</v>
      </c>
    </row>
    <row r="1009" spans="1:10">
      <c r="A1009" t="s">
        <v>1768</v>
      </c>
      <c r="B1009" s="3">
        <v>45217</v>
      </c>
      <c r="C1009" t="s">
        <v>840</v>
      </c>
      <c r="D1009" t="s">
        <v>213</v>
      </c>
      <c r="E1009" t="s">
        <v>198</v>
      </c>
      <c r="F1009">
        <v>2</v>
      </c>
      <c r="G1009" t="s">
        <v>33</v>
      </c>
      <c r="H1009" s="14">
        <v>0.26</v>
      </c>
      <c r="I1009" s="23">
        <v>541.52</v>
      </c>
      <c r="J1009" s="4">
        <v>1082.52</v>
      </c>
    </row>
    <row r="1010" spans="1:10">
      <c r="A1010" t="s">
        <v>1769</v>
      </c>
      <c r="B1010" s="3">
        <v>45259</v>
      </c>
      <c r="C1010" t="s">
        <v>1770</v>
      </c>
      <c r="D1010" t="s">
        <v>625</v>
      </c>
      <c r="E1010" t="s">
        <v>168</v>
      </c>
      <c r="F1010">
        <v>1</v>
      </c>
      <c r="G1010" t="s">
        <v>33</v>
      </c>
      <c r="H1010" s="14">
        <v>0.09</v>
      </c>
      <c r="I1010" s="23">
        <v>395.18</v>
      </c>
      <c r="J1010" s="4">
        <v>395.09</v>
      </c>
    </row>
    <row r="1011" spans="1:10">
      <c r="A1011" t="s">
        <v>1771</v>
      </c>
      <c r="B1011" s="3">
        <v>45740</v>
      </c>
      <c r="C1011" t="s">
        <v>1169</v>
      </c>
      <c r="D1011" t="s">
        <v>484</v>
      </c>
      <c r="E1011" t="s">
        <v>43</v>
      </c>
      <c r="F1011">
        <v>4</v>
      </c>
      <c r="G1011" t="s">
        <v>23</v>
      </c>
      <c r="H1011" s="14">
        <v>0.17</v>
      </c>
      <c r="I1011" s="23">
        <v>56.37</v>
      </c>
      <c r="J1011" s="4">
        <v>224.8</v>
      </c>
    </row>
    <row r="1012" spans="1:10">
      <c r="A1012" t="s">
        <v>1772</v>
      </c>
      <c r="B1012" s="3">
        <v>45908</v>
      </c>
      <c r="C1012" t="s">
        <v>771</v>
      </c>
      <c r="D1012" t="s">
        <v>221</v>
      </c>
      <c r="E1012" t="s">
        <v>127</v>
      </c>
      <c r="F1012">
        <v>4</v>
      </c>
      <c r="G1012" t="s">
        <v>50</v>
      </c>
      <c r="H1012" s="14">
        <v>0.06</v>
      </c>
      <c r="I1012" s="23">
        <v>202.59</v>
      </c>
      <c r="J1012" s="4">
        <v>810.12</v>
      </c>
    </row>
    <row r="1013" spans="1:10">
      <c r="A1013" t="s">
        <v>1773</v>
      </c>
      <c r="B1013" s="3">
        <v>45601</v>
      </c>
      <c r="C1013" t="s">
        <v>1747</v>
      </c>
      <c r="D1013" t="s">
        <v>630</v>
      </c>
      <c r="E1013" t="s">
        <v>58</v>
      </c>
      <c r="F1013">
        <v>2</v>
      </c>
      <c r="G1013" t="s">
        <v>33</v>
      </c>
      <c r="H1013" s="14">
        <v>0.05</v>
      </c>
      <c r="I1013" s="23">
        <v>358.36</v>
      </c>
      <c r="J1013" s="4">
        <v>716.62</v>
      </c>
    </row>
    <row r="1014" spans="1:10">
      <c r="A1014" t="s">
        <v>1774</v>
      </c>
      <c r="B1014" s="3">
        <v>45535</v>
      </c>
      <c r="C1014" t="s">
        <v>245</v>
      </c>
      <c r="D1014" t="s">
        <v>786</v>
      </c>
      <c r="E1014" t="s">
        <v>160</v>
      </c>
      <c r="F1014">
        <v>4</v>
      </c>
      <c r="G1014" t="s">
        <v>50</v>
      </c>
      <c r="H1014" s="14">
        <v>0.28000000000000003</v>
      </c>
      <c r="I1014" s="23">
        <v>85.62</v>
      </c>
      <c r="J1014" s="4">
        <v>341.36</v>
      </c>
    </row>
    <row r="1015" spans="1:10">
      <c r="A1015" t="s">
        <v>1775</v>
      </c>
      <c r="B1015" s="3">
        <v>45459</v>
      </c>
      <c r="C1015" t="s">
        <v>670</v>
      </c>
      <c r="D1015" t="s">
        <v>645</v>
      </c>
      <c r="E1015" t="s">
        <v>32</v>
      </c>
      <c r="F1015">
        <v>4</v>
      </c>
      <c r="G1015" t="s">
        <v>33</v>
      </c>
      <c r="H1015" s="14">
        <v>0.23</v>
      </c>
      <c r="I1015" s="23">
        <v>929.26</v>
      </c>
      <c r="J1015" s="4">
        <v>3716.12</v>
      </c>
    </row>
    <row r="1016" spans="1:10">
      <c r="A1016" t="s">
        <v>1776</v>
      </c>
      <c r="B1016" s="3">
        <v>45681</v>
      </c>
      <c r="C1016" t="s">
        <v>1704</v>
      </c>
      <c r="D1016" t="s">
        <v>148</v>
      </c>
      <c r="E1016" t="s">
        <v>149</v>
      </c>
      <c r="F1016">
        <v>2</v>
      </c>
      <c r="G1016" t="s">
        <v>50</v>
      </c>
      <c r="H1016" s="14">
        <v>0.14000000000000001</v>
      </c>
      <c r="I1016" s="23">
        <v>92.64</v>
      </c>
      <c r="J1016" s="4">
        <v>185</v>
      </c>
    </row>
    <row r="1017" spans="1:10">
      <c r="A1017" t="s">
        <v>1777</v>
      </c>
      <c r="B1017" s="3">
        <v>45725</v>
      </c>
      <c r="C1017" t="s">
        <v>763</v>
      </c>
      <c r="D1017" t="s">
        <v>661</v>
      </c>
      <c r="E1017" t="s">
        <v>72</v>
      </c>
      <c r="F1017">
        <v>4</v>
      </c>
      <c r="G1017" t="s">
        <v>50</v>
      </c>
      <c r="H1017" s="14">
        <v>0.28999999999999998</v>
      </c>
      <c r="I1017" s="23">
        <v>139.05000000000001</v>
      </c>
      <c r="J1017" s="4">
        <v>555.04</v>
      </c>
    </row>
    <row r="1018" spans="1:10">
      <c r="A1018" t="s">
        <v>1778</v>
      </c>
      <c r="B1018" s="3">
        <v>45461</v>
      </c>
      <c r="C1018" t="s">
        <v>1699</v>
      </c>
      <c r="D1018" t="s">
        <v>207</v>
      </c>
      <c r="E1018" t="s">
        <v>72</v>
      </c>
      <c r="F1018">
        <v>3</v>
      </c>
      <c r="G1018" t="s">
        <v>50</v>
      </c>
      <c r="H1018" s="14">
        <v>0.03</v>
      </c>
      <c r="I1018" s="23">
        <v>155.87</v>
      </c>
      <c r="J1018" s="4">
        <v>467.52</v>
      </c>
    </row>
    <row r="1019" spans="1:10">
      <c r="A1019" t="s">
        <v>1779</v>
      </c>
      <c r="B1019" s="3">
        <v>45837</v>
      </c>
      <c r="C1019" t="s">
        <v>679</v>
      </c>
      <c r="D1019" t="s">
        <v>116</v>
      </c>
      <c r="E1019" t="s">
        <v>117</v>
      </c>
      <c r="F1019">
        <v>4</v>
      </c>
      <c r="G1019" t="s">
        <v>50</v>
      </c>
      <c r="H1019" s="14">
        <v>0.03</v>
      </c>
      <c r="I1019" s="23">
        <v>115.42</v>
      </c>
      <c r="J1019" s="4">
        <v>461.56</v>
      </c>
    </row>
    <row r="1020" spans="1:10">
      <c r="A1020" t="s">
        <v>1780</v>
      </c>
      <c r="B1020" s="3">
        <v>45823</v>
      </c>
      <c r="C1020" t="s">
        <v>1468</v>
      </c>
      <c r="D1020" t="s">
        <v>282</v>
      </c>
      <c r="E1020" t="s">
        <v>179</v>
      </c>
      <c r="F1020">
        <v>3</v>
      </c>
      <c r="G1020" t="s">
        <v>23</v>
      </c>
      <c r="H1020" s="14">
        <v>0.08</v>
      </c>
      <c r="I1020" s="23">
        <v>593.62</v>
      </c>
      <c r="J1020" s="4">
        <v>1780.62</v>
      </c>
    </row>
    <row r="1021" spans="1:10">
      <c r="A1021" t="s">
        <v>1781</v>
      </c>
      <c r="B1021" s="3">
        <v>45733</v>
      </c>
      <c r="C1021" t="s">
        <v>1301</v>
      </c>
      <c r="D1021" t="s">
        <v>344</v>
      </c>
      <c r="E1021" t="s">
        <v>72</v>
      </c>
      <c r="F1021">
        <v>2</v>
      </c>
      <c r="G1021" t="s">
        <v>23</v>
      </c>
      <c r="H1021" s="14">
        <v>0.2</v>
      </c>
      <c r="I1021" s="23">
        <v>825.04</v>
      </c>
      <c r="J1021" s="4">
        <v>1649.68</v>
      </c>
    </row>
    <row r="1022" spans="1:10">
      <c r="A1022" t="s">
        <v>1782</v>
      </c>
      <c r="B1022" s="3">
        <v>45322</v>
      </c>
      <c r="C1022" t="s">
        <v>88</v>
      </c>
      <c r="D1022" t="s">
        <v>425</v>
      </c>
      <c r="E1022" t="s">
        <v>149</v>
      </c>
      <c r="F1022">
        <v>1</v>
      </c>
      <c r="G1022" t="s">
        <v>33</v>
      </c>
      <c r="H1022" s="14">
        <v>0.14000000000000001</v>
      </c>
      <c r="I1022" s="23">
        <v>963.76</v>
      </c>
      <c r="J1022" s="4">
        <v>963.62</v>
      </c>
    </row>
    <row r="1023" spans="1:10">
      <c r="A1023" t="s">
        <v>1783</v>
      </c>
      <c r="B1023" s="3">
        <v>45415</v>
      </c>
      <c r="C1023" t="s">
        <v>1514</v>
      </c>
      <c r="D1023" t="s">
        <v>564</v>
      </c>
      <c r="E1023" t="s">
        <v>179</v>
      </c>
      <c r="F1023">
        <v>1</v>
      </c>
      <c r="G1023" t="s">
        <v>33</v>
      </c>
      <c r="H1023" s="14">
        <v>0.12</v>
      </c>
      <c r="I1023" s="23">
        <v>238.24</v>
      </c>
      <c r="J1023" s="4">
        <v>238.12</v>
      </c>
    </row>
    <row r="1024" spans="1:10">
      <c r="A1024" t="s">
        <v>1784</v>
      </c>
      <c r="B1024" s="3">
        <v>45644</v>
      </c>
      <c r="C1024" t="s">
        <v>1582</v>
      </c>
      <c r="D1024" t="s">
        <v>542</v>
      </c>
      <c r="E1024" t="s">
        <v>117</v>
      </c>
      <c r="F1024">
        <v>1</v>
      </c>
      <c r="G1024" t="s">
        <v>33</v>
      </c>
      <c r="H1024" s="14">
        <v>0.04</v>
      </c>
      <c r="I1024" s="23">
        <v>756.63</v>
      </c>
      <c r="J1024" s="4">
        <v>756.59</v>
      </c>
    </row>
    <row r="1025" spans="1:10">
      <c r="A1025" t="s">
        <v>1785</v>
      </c>
      <c r="B1025" s="3">
        <v>45845</v>
      </c>
      <c r="C1025" t="s">
        <v>353</v>
      </c>
      <c r="D1025" t="s">
        <v>317</v>
      </c>
      <c r="E1025" t="s">
        <v>66</v>
      </c>
      <c r="F1025">
        <v>3</v>
      </c>
      <c r="G1025" t="s">
        <v>23</v>
      </c>
      <c r="H1025" s="14">
        <v>0.22</v>
      </c>
      <c r="I1025" s="23">
        <v>159.76</v>
      </c>
      <c r="J1025" s="4">
        <v>478.62</v>
      </c>
    </row>
    <row r="1026" spans="1:10">
      <c r="A1026" t="s">
        <v>1786</v>
      </c>
      <c r="B1026" s="3">
        <v>45354</v>
      </c>
      <c r="C1026" t="s">
        <v>172</v>
      </c>
      <c r="D1026" t="s">
        <v>1126</v>
      </c>
      <c r="E1026" t="s">
        <v>43</v>
      </c>
      <c r="F1026">
        <v>1</v>
      </c>
      <c r="G1026" t="s">
        <v>50</v>
      </c>
      <c r="H1026" s="14">
        <v>0.14000000000000001</v>
      </c>
      <c r="I1026" s="23">
        <v>329.94</v>
      </c>
      <c r="J1026" s="4">
        <v>329.8</v>
      </c>
    </row>
    <row r="1027" spans="1:10">
      <c r="A1027" t="s">
        <v>1787</v>
      </c>
      <c r="B1027" s="3">
        <v>45720</v>
      </c>
      <c r="C1027" t="s">
        <v>1683</v>
      </c>
      <c r="D1027" t="s">
        <v>377</v>
      </c>
      <c r="E1027" t="s">
        <v>43</v>
      </c>
      <c r="F1027">
        <v>1</v>
      </c>
      <c r="G1027" t="s">
        <v>33</v>
      </c>
      <c r="H1027" s="14">
        <v>0.11</v>
      </c>
      <c r="I1027" s="23">
        <v>234.06</v>
      </c>
      <c r="J1027" s="4">
        <v>233.95</v>
      </c>
    </row>
    <row r="1028" spans="1:10">
      <c r="A1028" t="s">
        <v>1788</v>
      </c>
      <c r="B1028" s="3">
        <v>45278</v>
      </c>
      <c r="C1028" t="s">
        <v>1284</v>
      </c>
      <c r="D1028" t="s">
        <v>630</v>
      </c>
      <c r="E1028" t="s">
        <v>90</v>
      </c>
      <c r="F1028">
        <v>2</v>
      </c>
      <c r="G1028" t="s">
        <v>33</v>
      </c>
      <c r="H1028" s="14">
        <v>0.16</v>
      </c>
      <c r="I1028" s="23">
        <v>773.75</v>
      </c>
      <c r="J1028" s="4">
        <v>1547.18</v>
      </c>
    </row>
    <row r="1029" spans="1:10">
      <c r="A1029" t="s">
        <v>1789</v>
      </c>
      <c r="B1029" s="3">
        <v>45422</v>
      </c>
      <c r="C1029" t="s">
        <v>1790</v>
      </c>
      <c r="D1029" t="s">
        <v>282</v>
      </c>
      <c r="E1029" t="s">
        <v>160</v>
      </c>
      <c r="F1029">
        <v>1</v>
      </c>
      <c r="G1029" t="s">
        <v>23</v>
      </c>
      <c r="H1029" s="14">
        <v>0.04</v>
      </c>
      <c r="I1029" s="23">
        <v>73.88</v>
      </c>
      <c r="J1029" s="4">
        <v>73.84</v>
      </c>
    </row>
    <row r="1030" spans="1:10">
      <c r="A1030" t="s">
        <v>1791</v>
      </c>
      <c r="B1030" s="3">
        <v>45337</v>
      </c>
      <c r="C1030" t="s">
        <v>1483</v>
      </c>
      <c r="D1030" t="s">
        <v>400</v>
      </c>
      <c r="E1030" t="s">
        <v>160</v>
      </c>
      <c r="F1030">
        <v>1</v>
      </c>
      <c r="G1030" t="s">
        <v>33</v>
      </c>
      <c r="H1030" s="14">
        <v>0.16</v>
      </c>
      <c r="I1030" s="23">
        <v>859.3</v>
      </c>
      <c r="J1030" s="4">
        <v>859.14</v>
      </c>
    </row>
    <row r="1031" spans="1:10">
      <c r="A1031" t="s">
        <v>1792</v>
      </c>
      <c r="B1031" s="3">
        <v>45564</v>
      </c>
      <c r="C1031" t="s">
        <v>1079</v>
      </c>
      <c r="D1031" t="s">
        <v>630</v>
      </c>
      <c r="E1031" t="s">
        <v>179</v>
      </c>
      <c r="F1031">
        <v>4</v>
      </c>
      <c r="G1031" t="s">
        <v>23</v>
      </c>
      <c r="H1031" s="14">
        <v>0.05</v>
      </c>
      <c r="I1031" s="23">
        <v>762.43</v>
      </c>
      <c r="J1031" s="4">
        <v>3049.52</v>
      </c>
    </row>
    <row r="1032" spans="1:10">
      <c r="A1032" t="s">
        <v>1793</v>
      </c>
      <c r="B1032" s="3">
        <v>45424</v>
      </c>
      <c r="C1032" t="s">
        <v>1392</v>
      </c>
      <c r="D1032" t="s">
        <v>575</v>
      </c>
      <c r="E1032" t="s">
        <v>90</v>
      </c>
      <c r="F1032">
        <v>1</v>
      </c>
      <c r="G1032" t="s">
        <v>50</v>
      </c>
      <c r="H1032" s="14">
        <v>0.2</v>
      </c>
      <c r="I1032" s="23">
        <v>328.51</v>
      </c>
      <c r="J1032" s="4">
        <v>328.31</v>
      </c>
    </row>
    <row r="1033" spans="1:10">
      <c r="A1033" t="s">
        <v>1794</v>
      </c>
      <c r="B1033" s="3">
        <v>45719</v>
      </c>
      <c r="C1033" t="s">
        <v>1426</v>
      </c>
      <c r="D1033" t="s">
        <v>275</v>
      </c>
      <c r="E1033" t="s">
        <v>72</v>
      </c>
      <c r="F1033">
        <v>1</v>
      </c>
      <c r="G1033" t="s">
        <v>50</v>
      </c>
      <c r="H1033" s="14">
        <v>0.04</v>
      </c>
      <c r="I1033" s="23">
        <v>34.51</v>
      </c>
      <c r="J1033" s="4">
        <v>34.47</v>
      </c>
    </row>
    <row r="1034" spans="1:10">
      <c r="A1034" t="s">
        <v>1795</v>
      </c>
      <c r="B1034" s="3">
        <v>45250</v>
      </c>
      <c r="C1034" t="s">
        <v>470</v>
      </c>
      <c r="D1034" t="s">
        <v>314</v>
      </c>
      <c r="E1034" t="s">
        <v>272</v>
      </c>
      <c r="F1034">
        <v>3</v>
      </c>
      <c r="G1034" t="s">
        <v>50</v>
      </c>
      <c r="H1034" s="14">
        <v>0.06</v>
      </c>
      <c r="I1034" s="23">
        <v>663.73</v>
      </c>
      <c r="J1034" s="4">
        <v>1991.01</v>
      </c>
    </row>
    <row r="1035" spans="1:10">
      <c r="A1035" t="s">
        <v>1796</v>
      </c>
      <c r="B1035" s="3">
        <v>45479</v>
      </c>
      <c r="C1035" t="s">
        <v>689</v>
      </c>
      <c r="D1035" t="s">
        <v>89</v>
      </c>
      <c r="E1035" t="s">
        <v>127</v>
      </c>
      <c r="F1035">
        <v>1</v>
      </c>
      <c r="G1035" t="s">
        <v>33</v>
      </c>
      <c r="H1035" s="14">
        <v>0.13</v>
      </c>
      <c r="I1035" s="23">
        <v>409.41</v>
      </c>
      <c r="J1035" s="4">
        <v>409.28</v>
      </c>
    </row>
    <row r="1036" spans="1:10">
      <c r="A1036" t="s">
        <v>1797</v>
      </c>
      <c r="B1036" s="3">
        <v>45727</v>
      </c>
      <c r="C1036" t="s">
        <v>1175</v>
      </c>
      <c r="D1036" t="s">
        <v>267</v>
      </c>
      <c r="E1036" t="s">
        <v>22</v>
      </c>
      <c r="F1036">
        <v>3</v>
      </c>
      <c r="G1036" t="s">
        <v>33</v>
      </c>
      <c r="H1036" s="14">
        <v>0.11</v>
      </c>
      <c r="I1036" s="23">
        <v>461.03</v>
      </c>
      <c r="J1036" s="4">
        <v>1382.76</v>
      </c>
    </row>
    <row r="1037" spans="1:10">
      <c r="A1037" t="s">
        <v>1798</v>
      </c>
      <c r="B1037" s="3">
        <v>45394</v>
      </c>
      <c r="C1037" t="s">
        <v>172</v>
      </c>
      <c r="D1037" t="s">
        <v>314</v>
      </c>
      <c r="E1037" t="s">
        <v>98</v>
      </c>
      <c r="F1037">
        <v>2</v>
      </c>
      <c r="G1037" t="s">
        <v>50</v>
      </c>
      <c r="H1037" s="14">
        <v>0.02</v>
      </c>
      <c r="I1037" s="23">
        <v>760.14</v>
      </c>
      <c r="J1037" s="4">
        <v>1520.24</v>
      </c>
    </row>
    <row r="1038" spans="1:10">
      <c r="A1038" t="s">
        <v>1799</v>
      </c>
      <c r="B1038" s="3">
        <v>45773</v>
      </c>
      <c r="C1038" t="s">
        <v>1212</v>
      </c>
      <c r="D1038" t="s">
        <v>250</v>
      </c>
      <c r="E1038" t="s">
        <v>105</v>
      </c>
      <c r="F1038">
        <v>3</v>
      </c>
      <c r="G1038" t="s">
        <v>33</v>
      </c>
      <c r="H1038" s="14">
        <v>0.12</v>
      </c>
      <c r="I1038" s="23">
        <v>688.76</v>
      </c>
      <c r="J1038" s="4">
        <v>2065.92</v>
      </c>
    </row>
    <row r="1039" spans="1:10">
      <c r="A1039" t="s">
        <v>1800</v>
      </c>
      <c r="B1039" s="3">
        <v>45779</v>
      </c>
      <c r="C1039" t="s">
        <v>1045</v>
      </c>
      <c r="D1039" t="s">
        <v>159</v>
      </c>
      <c r="E1039" t="s">
        <v>127</v>
      </c>
      <c r="F1039">
        <v>2</v>
      </c>
      <c r="G1039" t="s">
        <v>23</v>
      </c>
      <c r="H1039" s="14">
        <v>0.05</v>
      </c>
      <c r="I1039" s="23">
        <v>257.77999999999997</v>
      </c>
      <c r="J1039" s="4">
        <v>515.46</v>
      </c>
    </row>
    <row r="1040" spans="1:10">
      <c r="A1040" t="s">
        <v>1801</v>
      </c>
      <c r="B1040" s="3">
        <v>45400</v>
      </c>
      <c r="C1040" t="s">
        <v>1526</v>
      </c>
      <c r="D1040" t="s">
        <v>207</v>
      </c>
      <c r="E1040" t="s">
        <v>66</v>
      </c>
      <c r="F1040">
        <v>2</v>
      </c>
      <c r="G1040" t="s">
        <v>50</v>
      </c>
      <c r="H1040" s="14">
        <v>0.19</v>
      </c>
      <c r="I1040" s="23">
        <v>314.29000000000002</v>
      </c>
      <c r="J1040" s="4">
        <v>628.20000000000005</v>
      </c>
    </row>
    <row r="1041" spans="1:10">
      <c r="A1041" t="s">
        <v>1802</v>
      </c>
      <c r="B1041" s="3">
        <v>45520</v>
      </c>
      <c r="C1041" t="s">
        <v>1803</v>
      </c>
      <c r="D1041" t="s">
        <v>155</v>
      </c>
      <c r="E1041" t="s">
        <v>98</v>
      </c>
      <c r="F1041">
        <v>3</v>
      </c>
      <c r="G1041" t="s">
        <v>33</v>
      </c>
      <c r="H1041" s="14">
        <v>0.01</v>
      </c>
      <c r="I1041" s="23">
        <v>336.09</v>
      </c>
      <c r="J1041" s="4">
        <v>1008.24</v>
      </c>
    </row>
    <row r="1042" spans="1:10">
      <c r="A1042" t="s">
        <v>1804</v>
      </c>
      <c r="B1042" s="3">
        <v>45861</v>
      </c>
      <c r="C1042" t="s">
        <v>436</v>
      </c>
      <c r="D1042" t="s">
        <v>213</v>
      </c>
      <c r="E1042" t="s">
        <v>32</v>
      </c>
      <c r="F1042">
        <v>3</v>
      </c>
      <c r="G1042" t="s">
        <v>33</v>
      </c>
      <c r="H1042" s="14">
        <v>0.23</v>
      </c>
      <c r="I1042" s="23">
        <v>202.07</v>
      </c>
      <c r="J1042" s="4">
        <v>605.52</v>
      </c>
    </row>
    <row r="1043" spans="1:10">
      <c r="A1043" t="s">
        <v>1805</v>
      </c>
      <c r="B1043" s="3">
        <v>45781</v>
      </c>
      <c r="C1043" t="s">
        <v>1806</v>
      </c>
      <c r="D1043" t="s">
        <v>377</v>
      </c>
      <c r="E1043" t="s">
        <v>43</v>
      </c>
      <c r="F1043">
        <v>2</v>
      </c>
      <c r="G1043" t="s">
        <v>23</v>
      </c>
      <c r="H1043" s="14">
        <v>0.28000000000000003</v>
      </c>
      <c r="I1043" s="23">
        <v>485.25</v>
      </c>
      <c r="J1043" s="4">
        <v>969.94</v>
      </c>
    </row>
    <row r="1044" spans="1:10">
      <c r="A1044" t="s">
        <v>1807</v>
      </c>
      <c r="B1044" s="3">
        <v>45906</v>
      </c>
      <c r="C1044" t="s">
        <v>527</v>
      </c>
      <c r="D1044" t="s">
        <v>213</v>
      </c>
      <c r="E1044" t="s">
        <v>168</v>
      </c>
      <c r="F1044">
        <v>4</v>
      </c>
      <c r="G1044" t="s">
        <v>33</v>
      </c>
      <c r="H1044" s="14">
        <v>0.1</v>
      </c>
      <c r="I1044" s="23">
        <v>552.38</v>
      </c>
      <c r="J1044" s="4">
        <v>2209.12</v>
      </c>
    </row>
    <row r="1045" spans="1:10">
      <c r="A1045" t="s">
        <v>1808</v>
      </c>
      <c r="B1045" s="3">
        <v>45251</v>
      </c>
      <c r="C1045" t="s">
        <v>707</v>
      </c>
      <c r="D1045" t="s">
        <v>714</v>
      </c>
      <c r="E1045" t="s">
        <v>32</v>
      </c>
      <c r="F1045">
        <v>4</v>
      </c>
      <c r="G1045" t="s">
        <v>50</v>
      </c>
      <c r="H1045" s="14">
        <v>0.22</v>
      </c>
      <c r="I1045" s="23">
        <v>377.26</v>
      </c>
      <c r="J1045" s="4">
        <v>1508.16</v>
      </c>
    </row>
    <row r="1046" spans="1:10">
      <c r="A1046" t="s">
        <v>1809</v>
      </c>
      <c r="B1046" s="3">
        <v>45257</v>
      </c>
      <c r="C1046" t="s">
        <v>1042</v>
      </c>
      <c r="D1046" t="s">
        <v>302</v>
      </c>
      <c r="E1046" t="s">
        <v>135</v>
      </c>
      <c r="F1046">
        <v>4</v>
      </c>
      <c r="G1046" t="s">
        <v>50</v>
      </c>
      <c r="H1046" s="14">
        <v>0.1</v>
      </c>
      <c r="I1046" s="23">
        <v>189.07</v>
      </c>
      <c r="J1046" s="4">
        <v>755.88</v>
      </c>
    </row>
    <row r="1047" spans="1:10">
      <c r="A1047" t="s">
        <v>1810</v>
      </c>
      <c r="B1047" s="3">
        <v>45818</v>
      </c>
      <c r="C1047" t="s">
        <v>608</v>
      </c>
      <c r="D1047" t="s">
        <v>271</v>
      </c>
      <c r="E1047" t="s">
        <v>72</v>
      </c>
      <c r="F1047">
        <v>3</v>
      </c>
      <c r="G1047" t="s">
        <v>23</v>
      </c>
      <c r="H1047" s="14">
        <v>0.01</v>
      </c>
      <c r="I1047" s="23">
        <v>272.27</v>
      </c>
      <c r="J1047" s="4">
        <v>816.78</v>
      </c>
    </row>
    <row r="1048" spans="1:10">
      <c r="A1048" t="s">
        <v>1811</v>
      </c>
      <c r="B1048" s="3">
        <v>45806</v>
      </c>
      <c r="C1048" t="s">
        <v>476</v>
      </c>
      <c r="D1048" t="s">
        <v>603</v>
      </c>
      <c r="E1048" t="s">
        <v>272</v>
      </c>
      <c r="F1048">
        <v>1</v>
      </c>
      <c r="G1048" t="s">
        <v>33</v>
      </c>
      <c r="H1048" s="14">
        <v>0.28000000000000003</v>
      </c>
      <c r="I1048" s="23">
        <v>209.39</v>
      </c>
      <c r="J1048" s="4">
        <v>209.11</v>
      </c>
    </row>
    <row r="1049" spans="1:10">
      <c r="A1049" t="s">
        <v>1812</v>
      </c>
      <c r="B1049" s="3">
        <v>45288</v>
      </c>
      <c r="C1049" t="s">
        <v>1042</v>
      </c>
      <c r="D1049" t="s">
        <v>429</v>
      </c>
      <c r="E1049" t="s">
        <v>127</v>
      </c>
      <c r="F1049">
        <v>1</v>
      </c>
      <c r="G1049" t="s">
        <v>23</v>
      </c>
      <c r="H1049" s="14">
        <v>0.23</v>
      </c>
      <c r="I1049" s="23">
        <v>813.87</v>
      </c>
      <c r="J1049" s="4">
        <v>813.64</v>
      </c>
    </row>
    <row r="1050" spans="1:10">
      <c r="A1050" t="s">
        <v>1813</v>
      </c>
      <c r="B1050" s="3">
        <v>45783</v>
      </c>
      <c r="C1050" t="s">
        <v>461</v>
      </c>
      <c r="D1050" t="s">
        <v>567</v>
      </c>
      <c r="E1050" t="s">
        <v>90</v>
      </c>
      <c r="F1050">
        <v>1</v>
      </c>
      <c r="G1050" t="s">
        <v>33</v>
      </c>
      <c r="H1050" s="14">
        <v>0.19</v>
      </c>
      <c r="I1050" s="23">
        <v>143.69999999999999</v>
      </c>
      <c r="J1050" s="4">
        <v>143.51</v>
      </c>
    </row>
    <row r="1051" spans="1:10">
      <c r="A1051" t="s">
        <v>1814</v>
      </c>
      <c r="B1051" s="3">
        <v>45385</v>
      </c>
      <c r="C1051" t="s">
        <v>264</v>
      </c>
      <c r="D1051" t="s">
        <v>381</v>
      </c>
      <c r="E1051" t="s">
        <v>105</v>
      </c>
      <c r="F1051">
        <v>4</v>
      </c>
      <c r="G1051" t="s">
        <v>33</v>
      </c>
      <c r="H1051" s="14">
        <v>0.05</v>
      </c>
      <c r="I1051" s="23">
        <v>837.34</v>
      </c>
      <c r="J1051" s="4">
        <v>3349.16</v>
      </c>
    </row>
    <row r="1052" spans="1:10">
      <c r="A1052" t="s">
        <v>1815</v>
      </c>
      <c r="B1052" s="3">
        <v>45878</v>
      </c>
      <c r="C1052" t="s">
        <v>959</v>
      </c>
      <c r="D1052" t="s">
        <v>65</v>
      </c>
      <c r="E1052" t="s">
        <v>135</v>
      </c>
      <c r="F1052">
        <v>1</v>
      </c>
      <c r="G1052" t="s">
        <v>50</v>
      </c>
      <c r="H1052" s="14">
        <v>0.16</v>
      </c>
      <c r="I1052" s="23">
        <v>151.66</v>
      </c>
      <c r="J1052" s="4">
        <v>151.5</v>
      </c>
    </row>
    <row r="1053" spans="1:10">
      <c r="A1053" t="s">
        <v>1816</v>
      </c>
      <c r="B1053" s="3">
        <v>45720</v>
      </c>
      <c r="C1053" t="s">
        <v>608</v>
      </c>
      <c r="D1053" t="s">
        <v>275</v>
      </c>
      <c r="E1053" t="s">
        <v>43</v>
      </c>
      <c r="F1053">
        <v>3</v>
      </c>
      <c r="G1053" t="s">
        <v>33</v>
      </c>
      <c r="H1053" s="14">
        <v>0.02</v>
      </c>
      <c r="I1053" s="23">
        <v>961.4</v>
      </c>
      <c r="J1053" s="4">
        <v>2884.14</v>
      </c>
    </row>
    <row r="1054" spans="1:10">
      <c r="A1054" t="s">
        <v>1817</v>
      </c>
      <c r="B1054" s="3">
        <v>45503</v>
      </c>
      <c r="C1054" t="s">
        <v>946</v>
      </c>
      <c r="D1054" t="s">
        <v>31</v>
      </c>
      <c r="E1054" t="s">
        <v>160</v>
      </c>
      <c r="F1054">
        <v>4</v>
      </c>
      <c r="G1054" t="s">
        <v>33</v>
      </c>
      <c r="H1054" s="14">
        <v>0.19</v>
      </c>
      <c r="I1054" s="23">
        <v>475.98</v>
      </c>
      <c r="J1054" s="4">
        <v>1903.16</v>
      </c>
    </row>
    <row r="1055" spans="1:10">
      <c r="A1055" t="s">
        <v>1818</v>
      </c>
      <c r="B1055" s="3">
        <v>45551</v>
      </c>
      <c r="C1055" t="s">
        <v>1424</v>
      </c>
      <c r="D1055" t="s">
        <v>340</v>
      </c>
      <c r="E1055" t="s">
        <v>122</v>
      </c>
      <c r="F1055">
        <v>4</v>
      </c>
      <c r="G1055" t="s">
        <v>23</v>
      </c>
      <c r="H1055" s="14">
        <v>0.12</v>
      </c>
      <c r="I1055" s="23">
        <v>132.88999999999999</v>
      </c>
      <c r="J1055" s="4">
        <v>531.08000000000004</v>
      </c>
    </row>
    <row r="1056" spans="1:10">
      <c r="A1056" t="s">
        <v>1819</v>
      </c>
      <c r="B1056" s="3">
        <v>45850</v>
      </c>
      <c r="C1056" t="s">
        <v>667</v>
      </c>
      <c r="D1056" t="s">
        <v>487</v>
      </c>
      <c r="E1056" t="s">
        <v>208</v>
      </c>
      <c r="F1056">
        <v>3</v>
      </c>
      <c r="G1056" t="s">
        <v>33</v>
      </c>
      <c r="H1056" s="14">
        <v>0</v>
      </c>
      <c r="I1056" s="23">
        <v>471.31</v>
      </c>
      <c r="J1056" s="4">
        <v>1413.93</v>
      </c>
    </row>
    <row r="1057" spans="1:10">
      <c r="A1057" t="s">
        <v>1820</v>
      </c>
      <c r="B1057" s="3">
        <v>45441</v>
      </c>
      <c r="C1057" t="s">
        <v>88</v>
      </c>
      <c r="D1057" t="s">
        <v>49</v>
      </c>
      <c r="E1057" t="s">
        <v>98</v>
      </c>
      <c r="F1057">
        <v>2</v>
      </c>
      <c r="G1057" t="s">
        <v>23</v>
      </c>
      <c r="H1057" s="14">
        <v>0.26</v>
      </c>
      <c r="I1057" s="23">
        <v>720.32</v>
      </c>
      <c r="J1057" s="4">
        <v>1440.12</v>
      </c>
    </row>
    <row r="1058" spans="1:10">
      <c r="A1058" t="s">
        <v>1821</v>
      </c>
      <c r="B1058" s="3">
        <v>45431</v>
      </c>
      <c r="C1058" t="s">
        <v>692</v>
      </c>
      <c r="D1058" t="s">
        <v>532</v>
      </c>
      <c r="E1058" t="s">
        <v>160</v>
      </c>
      <c r="F1058">
        <v>4</v>
      </c>
      <c r="G1058" t="s">
        <v>50</v>
      </c>
      <c r="H1058" s="14">
        <v>0.11</v>
      </c>
      <c r="I1058" s="23">
        <v>99.92</v>
      </c>
      <c r="J1058" s="4">
        <v>399.24</v>
      </c>
    </row>
    <row r="1059" spans="1:10">
      <c r="A1059" t="s">
        <v>1822</v>
      </c>
      <c r="B1059" s="3">
        <v>45873</v>
      </c>
      <c r="C1059" t="s">
        <v>468</v>
      </c>
      <c r="D1059" t="s">
        <v>234</v>
      </c>
      <c r="E1059" t="s">
        <v>22</v>
      </c>
      <c r="F1059">
        <v>3</v>
      </c>
      <c r="G1059" t="s">
        <v>50</v>
      </c>
      <c r="H1059" s="14">
        <v>0.11</v>
      </c>
      <c r="I1059" s="23">
        <v>900.63</v>
      </c>
      <c r="J1059" s="4">
        <v>2701.56</v>
      </c>
    </row>
    <row r="1060" spans="1:10">
      <c r="A1060" t="s">
        <v>1823</v>
      </c>
      <c r="B1060" s="3">
        <v>45629</v>
      </c>
      <c r="C1060" t="s">
        <v>679</v>
      </c>
      <c r="D1060" t="s">
        <v>381</v>
      </c>
      <c r="E1060" t="s">
        <v>43</v>
      </c>
      <c r="F1060">
        <v>1</v>
      </c>
      <c r="G1060" t="s">
        <v>33</v>
      </c>
      <c r="H1060" s="14">
        <v>0.11</v>
      </c>
      <c r="I1060" s="23">
        <v>681.72</v>
      </c>
      <c r="J1060" s="4">
        <v>681.61</v>
      </c>
    </row>
    <row r="1061" spans="1:10">
      <c r="A1061" t="s">
        <v>1824</v>
      </c>
      <c r="B1061" s="3">
        <v>45222</v>
      </c>
      <c r="C1061" t="s">
        <v>1825</v>
      </c>
      <c r="D1061" t="s">
        <v>267</v>
      </c>
      <c r="E1061" t="s">
        <v>149</v>
      </c>
      <c r="F1061">
        <v>2</v>
      </c>
      <c r="G1061" t="s">
        <v>23</v>
      </c>
      <c r="H1061" s="14">
        <v>0.3</v>
      </c>
      <c r="I1061" s="23">
        <v>838.22</v>
      </c>
      <c r="J1061" s="4">
        <v>1675.84</v>
      </c>
    </row>
    <row r="1062" spans="1:10">
      <c r="A1062" t="s">
        <v>1826</v>
      </c>
      <c r="B1062" s="3">
        <v>45797</v>
      </c>
      <c r="C1062" t="s">
        <v>1766</v>
      </c>
      <c r="D1062" t="s">
        <v>514</v>
      </c>
      <c r="E1062" t="s">
        <v>208</v>
      </c>
      <c r="F1062">
        <v>2</v>
      </c>
      <c r="G1062" t="s">
        <v>23</v>
      </c>
      <c r="H1062" s="14">
        <v>0.27</v>
      </c>
      <c r="I1062" s="23">
        <v>816.22</v>
      </c>
      <c r="J1062" s="4">
        <v>1631.9</v>
      </c>
    </row>
    <row r="1063" spans="1:10">
      <c r="A1063" t="s">
        <v>1827</v>
      </c>
      <c r="B1063" s="3">
        <v>45554</v>
      </c>
      <c r="C1063" t="s">
        <v>1424</v>
      </c>
      <c r="D1063" t="s">
        <v>698</v>
      </c>
      <c r="E1063" t="s">
        <v>66</v>
      </c>
      <c r="F1063">
        <v>2</v>
      </c>
      <c r="G1063" t="s">
        <v>33</v>
      </c>
      <c r="H1063" s="14">
        <v>0.27</v>
      </c>
      <c r="I1063" s="23">
        <v>654.12</v>
      </c>
      <c r="J1063" s="4">
        <v>1307.7</v>
      </c>
    </row>
    <row r="1064" spans="1:10">
      <c r="A1064" t="s">
        <v>1828</v>
      </c>
      <c r="B1064" s="3">
        <v>45385</v>
      </c>
      <c r="C1064" t="s">
        <v>470</v>
      </c>
      <c r="D1064" t="s">
        <v>575</v>
      </c>
      <c r="E1064" t="s">
        <v>149</v>
      </c>
      <c r="F1064">
        <v>4</v>
      </c>
      <c r="G1064" t="s">
        <v>33</v>
      </c>
      <c r="H1064" s="14">
        <v>0.2</v>
      </c>
      <c r="I1064" s="23">
        <v>528.22</v>
      </c>
      <c r="J1064" s="4">
        <v>2112.08</v>
      </c>
    </row>
    <row r="1065" spans="1:10">
      <c r="A1065" t="s">
        <v>1829</v>
      </c>
      <c r="B1065" s="3">
        <v>45704</v>
      </c>
      <c r="C1065" t="s">
        <v>358</v>
      </c>
      <c r="D1065" t="s">
        <v>116</v>
      </c>
      <c r="E1065" t="s">
        <v>66</v>
      </c>
      <c r="F1065">
        <v>4</v>
      </c>
      <c r="G1065" t="s">
        <v>50</v>
      </c>
      <c r="H1065" s="14">
        <v>7.0000000000000007E-2</v>
      </c>
      <c r="I1065" s="23">
        <v>36.72</v>
      </c>
      <c r="J1065" s="4">
        <v>146.6</v>
      </c>
    </row>
    <row r="1066" spans="1:10">
      <c r="A1066" t="s">
        <v>1830</v>
      </c>
      <c r="B1066" s="3">
        <v>45545</v>
      </c>
      <c r="C1066" t="s">
        <v>946</v>
      </c>
      <c r="D1066" t="s">
        <v>267</v>
      </c>
      <c r="E1066" t="s">
        <v>135</v>
      </c>
      <c r="F1066">
        <v>2</v>
      </c>
      <c r="G1066" t="s">
        <v>33</v>
      </c>
      <c r="H1066" s="14">
        <v>0.1</v>
      </c>
      <c r="I1066" s="23">
        <v>705.97</v>
      </c>
      <c r="J1066" s="4">
        <v>1411.74</v>
      </c>
    </row>
    <row r="1067" spans="1:10">
      <c r="A1067" t="s">
        <v>1831</v>
      </c>
      <c r="B1067" s="3">
        <v>45736</v>
      </c>
      <c r="C1067" t="s">
        <v>740</v>
      </c>
      <c r="D1067" t="s">
        <v>295</v>
      </c>
      <c r="E1067" t="s">
        <v>105</v>
      </c>
      <c r="F1067">
        <v>2</v>
      </c>
      <c r="G1067" t="s">
        <v>33</v>
      </c>
      <c r="H1067" s="14">
        <v>0.01</v>
      </c>
      <c r="I1067" s="23">
        <v>994.29</v>
      </c>
      <c r="J1067" s="4">
        <v>1988.56</v>
      </c>
    </row>
    <row r="1068" spans="1:10">
      <c r="A1068" t="s">
        <v>1832</v>
      </c>
      <c r="B1068" s="3">
        <v>45608</v>
      </c>
      <c r="C1068" t="s">
        <v>1759</v>
      </c>
      <c r="D1068" t="s">
        <v>603</v>
      </c>
      <c r="E1068" t="s">
        <v>160</v>
      </c>
      <c r="F1068">
        <v>1</v>
      </c>
      <c r="G1068" t="s">
        <v>23</v>
      </c>
      <c r="H1068" s="14">
        <v>0.11</v>
      </c>
      <c r="I1068" s="23">
        <v>909.04</v>
      </c>
      <c r="J1068" s="4">
        <v>908.93</v>
      </c>
    </row>
    <row r="1069" spans="1:10">
      <c r="A1069" t="s">
        <v>1833</v>
      </c>
      <c r="B1069" s="3">
        <v>45334</v>
      </c>
      <c r="C1069" t="s">
        <v>519</v>
      </c>
      <c r="D1069" t="s">
        <v>116</v>
      </c>
      <c r="E1069" t="s">
        <v>272</v>
      </c>
      <c r="F1069">
        <v>1</v>
      </c>
      <c r="G1069" t="s">
        <v>33</v>
      </c>
      <c r="H1069" s="14">
        <v>0.12</v>
      </c>
      <c r="I1069" s="23">
        <v>164.73</v>
      </c>
      <c r="J1069" s="4">
        <v>164.61</v>
      </c>
    </row>
    <row r="1070" spans="1:10">
      <c r="A1070" t="s">
        <v>1834</v>
      </c>
      <c r="B1070" s="3">
        <v>45690</v>
      </c>
      <c r="C1070" t="s">
        <v>1215</v>
      </c>
      <c r="D1070" t="s">
        <v>786</v>
      </c>
      <c r="E1070" t="s">
        <v>66</v>
      </c>
      <c r="F1070">
        <v>2</v>
      </c>
      <c r="G1070" t="s">
        <v>50</v>
      </c>
      <c r="H1070" s="14">
        <v>0.16</v>
      </c>
      <c r="I1070" s="23">
        <v>606.35</v>
      </c>
      <c r="J1070" s="4">
        <v>1212.3800000000001</v>
      </c>
    </row>
    <row r="1071" spans="1:10">
      <c r="A1071" t="s">
        <v>1835</v>
      </c>
      <c r="B1071" s="3">
        <v>45481</v>
      </c>
      <c r="C1071" t="s">
        <v>1083</v>
      </c>
      <c r="D1071" t="s">
        <v>187</v>
      </c>
      <c r="E1071" t="s">
        <v>72</v>
      </c>
      <c r="F1071">
        <v>3</v>
      </c>
      <c r="G1071" t="s">
        <v>23</v>
      </c>
      <c r="H1071" s="14">
        <v>0.09</v>
      </c>
      <c r="I1071" s="23">
        <v>904.19</v>
      </c>
      <c r="J1071" s="4">
        <v>2712.3</v>
      </c>
    </row>
    <row r="1072" spans="1:10">
      <c r="A1072" t="s">
        <v>1836</v>
      </c>
      <c r="B1072" s="3">
        <v>45576</v>
      </c>
      <c r="C1072" t="s">
        <v>1412</v>
      </c>
      <c r="D1072" t="s">
        <v>409</v>
      </c>
      <c r="E1072" t="s">
        <v>198</v>
      </c>
      <c r="F1072">
        <v>4</v>
      </c>
      <c r="G1072" t="s">
        <v>50</v>
      </c>
      <c r="H1072" s="14">
        <v>0.18</v>
      </c>
      <c r="I1072" s="23">
        <v>694.61</v>
      </c>
      <c r="J1072" s="4">
        <v>2777.72</v>
      </c>
    </row>
    <row r="1073" spans="1:10">
      <c r="A1073" t="s">
        <v>1837</v>
      </c>
      <c r="B1073" s="3">
        <v>45215</v>
      </c>
      <c r="C1073" t="s">
        <v>817</v>
      </c>
      <c r="D1073" t="s">
        <v>287</v>
      </c>
      <c r="E1073" t="s">
        <v>198</v>
      </c>
      <c r="F1073">
        <v>4</v>
      </c>
      <c r="G1073" t="s">
        <v>23</v>
      </c>
      <c r="H1073" s="14">
        <v>0.24</v>
      </c>
      <c r="I1073" s="23">
        <v>753.83</v>
      </c>
      <c r="J1073" s="4">
        <v>3014.36</v>
      </c>
    </row>
    <row r="1074" spans="1:10">
      <c r="A1074" t="s">
        <v>1838</v>
      </c>
      <c r="B1074" s="3">
        <v>45653</v>
      </c>
      <c r="C1074" t="s">
        <v>1095</v>
      </c>
      <c r="D1074" t="s">
        <v>279</v>
      </c>
      <c r="E1074" t="s">
        <v>43</v>
      </c>
      <c r="F1074">
        <v>1</v>
      </c>
      <c r="G1074" t="s">
        <v>23</v>
      </c>
      <c r="H1074" s="14">
        <v>0.02</v>
      </c>
      <c r="I1074" s="23">
        <v>66.22</v>
      </c>
      <c r="J1074" s="4">
        <v>66.2</v>
      </c>
    </row>
    <row r="1075" spans="1:10">
      <c r="A1075" t="s">
        <v>1839</v>
      </c>
      <c r="B1075" s="3">
        <v>45241</v>
      </c>
      <c r="C1075" t="s">
        <v>525</v>
      </c>
      <c r="D1075" t="s">
        <v>779</v>
      </c>
      <c r="E1075" t="s">
        <v>98</v>
      </c>
      <c r="F1075">
        <v>2</v>
      </c>
      <c r="G1075" t="s">
        <v>50</v>
      </c>
      <c r="H1075" s="14">
        <v>0.28999999999999998</v>
      </c>
      <c r="I1075" s="23">
        <v>891.8</v>
      </c>
      <c r="J1075" s="4">
        <v>1783.02</v>
      </c>
    </row>
    <row r="1076" spans="1:10">
      <c r="A1076" t="s">
        <v>1840</v>
      </c>
      <c r="B1076" s="3">
        <v>45428</v>
      </c>
      <c r="C1076" t="s">
        <v>1503</v>
      </c>
      <c r="D1076" t="s">
        <v>213</v>
      </c>
      <c r="E1076" t="s">
        <v>127</v>
      </c>
      <c r="F1076">
        <v>4</v>
      </c>
      <c r="G1076" t="s">
        <v>50</v>
      </c>
      <c r="H1076" s="14">
        <v>0.03</v>
      </c>
      <c r="I1076" s="23">
        <v>255.48</v>
      </c>
      <c r="J1076" s="4">
        <v>1021.8</v>
      </c>
    </row>
    <row r="1077" spans="1:10">
      <c r="A1077" t="s">
        <v>1841</v>
      </c>
      <c r="B1077" s="3">
        <v>45593</v>
      </c>
      <c r="C1077" t="s">
        <v>1842</v>
      </c>
      <c r="D1077" t="s">
        <v>814</v>
      </c>
      <c r="E1077" t="s">
        <v>32</v>
      </c>
      <c r="F1077">
        <v>4</v>
      </c>
      <c r="G1077" t="s">
        <v>33</v>
      </c>
      <c r="H1077" s="14">
        <v>0.28000000000000003</v>
      </c>
      <c r="I1077" s="23">
        <v>604.87</v>
      </c>
      <c r="J1077" s="4">
        <v>2418.36</v>
      </c>
    </row>
    <row r="1078" spans="1:10">
      <c r="A1078" t="s">
        <v>1843</v>
      </c>
      <c r="B1078" s="3">
        <v>45370</v>
      </c>
      <c r="C1078" t="s">
        <v>1844</v>
      </c>
      <c r="D1078" t="s">
        <v>89</v>
      </c>
      <c r="E1078" t="s">
        <v>32</v>
      </c>
      <c r="F1078">
        <v>3</v>
      </c>
      <c r="G1078" t="s">
        <v>50</v>
      </c>
      <c r="H1078" s="14">
        <v>0.13</v>
      </c>
      <c r="I1078" s="23">
        <v>623.82000000000005</v>
      </c>
      <c r="J1078" s="4">
        <v>1871.07</v>
      </c>
    </row>
    <row r="1079" spans="1:10">
      <c r="A1079" t="s">
        <v>1845</v>
      </c>
      <c r="B1079" s="3">
        <v>45882</v>
      </c>
      <c r="C1079" t="s">
        <v>641</v>
      </c>
      <c r="D1079" t="s">
        <v>368</v>
      </c>
      <c r="E1079" t="s">
        <v>117</v>
      </c>
      <c r="F1079">
        <v>3</v>
      </c>
      <c r="G1079" t="s">
        <v>50</v>
      </c>
      <c r="H1079" s="14">
        <v>0.12</v>
      </c>
      <c r="I1079" s="23">
        <v>575.24</v>
      </c>
      <c r="J1079" s="4">
        <v>1725.36</v>
      </c>
    </row>
    <row r="1080" spans="1:10">
      <c r="A1080" t="s">
        <v>1846</v>
      </c>
      <c r="B1080" s="3">
        <v>45878</v>
      </c>
      <c r="C1080" t="s">
        <v>1847</v>
      </c>
      <c r="D1080" t="s">
        <v>634</v>
      </c>
      <c r="E1080" t="s">
        <v>272</v>
      </c>
      <c r="F1080">
        <v>1</v>
      </c>
      <c r="G1080" t="s">
        <v>23</v>
      </c>
      <c r="H1080" s="14">
        <v>0.16</v>
      </c>
      <c r="I1080" s="23">
        <v>769.4</v>
      </c>
      <c r="J1080" s="4">
        <v>769.24</v>
      </c>
    </row>
    <row r="1081" spans="1:10">
      <c r="A1081" t="s">
        <v>1848</v>
      </c>
      <c r="B1081" s="3">
        <v>45420</v>
      </c>
      <c r="C1081" t="s">
        <v>508</v>
      </c>
      <c r="D1081" t="s">
        <v>634</v>
      </c>
      <c r="E1081" t="s">
        <v>32</v>
      </c>
      <c r="F1081">
        <v>1</v>
      </c>
      <c r="G1081" t="s">
        <v>50</v>
      </c>
      <c r="H1081" s="14">
        <v>0.13</v>
      </c>
      <c r="I1081" s="23">
        <v>227.28</v>
      </c>
      <c r="J1081" s="4">
        <v>227.15</v>
      </c>
    </row>
    <row r="1082" spans="1:10">
      <c r="A1082" t="s">
        <v>1849</v>
      </c>
      <c r="B1082" s="3">
        <v>45361</v>
      </c>
      <c r="C1082" t="s">
        <v>1361</v>
      </c>
      <c r="D1082" t="s">
        <v>868</v>
      </c>
      <c r="E1082" t="s">
        <v>32</v>
      </c>
      <c r="F1082">
        <v>4</v>
      </c>
      <c r="G1082" t="s">
        <v>23</v>
      </c>
      <c r="H1082" s="14">
        <v>0.15</v>
      </c>
      <c r="I1082" s="23">
        <v>127.58</v>
      </c>
      <c r="J1082" s="4">
        <v>509.72</v>
      </c>
    </row>
    <row r="1083" spans="1:10">
      <c r="A1083" t="s">
        <v>1850</v>
      </c>
      <c r="B1083" s="3">
        <v>45702</v>
      </c>
      <c r="C1083" t="s">
        <v>1116</v>
      </c>
      <c r="D1083" t="s">
        <v>275</v>
      </c>
      <c r="E1083" t="s">
        <v>22</v>
      </c>
      <c r="F1083">
        <v>1</v>
      </c>
      <c r="G1083" t="s">
        <v>23</v>
      </c>
      <c r="H1083" s="14">
        <v>0.09</v>
      </c>
      <c r="I1083" s="23">
        <v>793.21</v>
      </c>
      <c r="J1083" s="4">
        <v>793.12</v>
      </c>
    </row>
    <row r="1084" spans="1:10">
      <c r="A1084" t="s">
        <v>1851</v>
      </c>
      <c r="B1084" s="3">
        <v>45871</v>
      </c>
      <c r="C1084" t="s">
        <v>1842</v>
      </c>
      <c r="D1084" t="s">
        <v>359</v>
      </c>
      <c r="E1084" t="s">
        <v>208</v>
      </c>
      <c r="F1084">
        <v>3</v>
      </c>
      <c r="G1084" t="s">
        <v>33</v>
      </c>
      <c r="H1084" s="14">
        <v>0.03</v>
      </c>
      <c r="I1084" s="23">
        <v>435.61</v>
      </c>
      <c r="J1084" s="4">
        <v>1306.74</v>
      </c>
    </row>
    <row r="1085" spans="1:10">
      <c r="A1085" t="s">
        <v>1852</v>
      </c>
      <c r="B1085" s="3">
        <v>45531</v>
      </c>
      <c r="C1085" t="s">
        <v>1446</v>
      </c>
      <c r="D1085" t="s">
        <v>255</v>
      </c>
      <c r="E1085" t="s">
        <v>117</v>
      </c>
      <c r="F1085">
        <v>1</v>
      </c>
      <c r="G1085" t="s">
        <v>33</v>
      </c>
      <c r="H1085" s="14">
        <v>0.28999999999999998</v>
      </c>
      <c r="I1085" s="23">
        <v>850.06</v>
      </c>
      <c r="J1085" s="4">
        <v>849.77</v>
      </c>
    </row>
    <row r="1086" spans="1:10">
      <c r="A1086" t="s">
        <v>1853</v>
      </c>
      <c r="B1086" s="3">
        <v>45330</v>
      </c>
      <c r="C1086" t="s">
        <v>977</v>
      </c>
      <c r="D1086" t="s">
        <v>226</v>
      </c>
      <c r="E1086" t="s">
        <v>117</v>
      </c>
      <c r="F1086">
        <v>2</v>
      </c>
      <c r="G1086" t="s">
        <v>33</v>
      </c>
      <c r="H1086" s="14">
        <v>0.17</v>
      </c>
      <c r="I1086" s="23">
        <v>753.92</v>
      </c>
      <c r="J1086" s="4">
        <v>1507.5</v>
      </c>
    </row>
    <row r="1087" spans="1:10">
      <c r="A1087" t="s">
        <v>1854</v>
      </c>
      <c r="B1087" s="3">
        <v>45311</v>
      </c>
      <c r="C1087" t="s">
        <v>1053</v>
      </c>
      <c r="D1087" t="s">
        <v>634</v>
      </c>
      <c r="E1087" t="s">
        <v>149</v>
      </c>
      <c r="F1087">
        <v>3</v>
      </c>
      <c r="G1087" t="s">
        <v>33</v>
      </c>
      <c r="H1087" s="14">
        <v>0.27</v>
      </c>
      <c r="I1087" s="23">
        <v>408.99</v>
      </c>
      <c r="J1087" s="4">
        <v>1226.1600000000001</v>
      </c>
    </row>
    <row r="1088" spans="1:10">
      <c r="A1088" t="s">
        <v>1855</v>
      </c>
      <c r="B1088" s="3">
        <v>45567</v>
      </c>
      <c r="C1088" t="s">
        <v>1404</v>
      </c>
      <c r="D1088" t="s">
        <v>509</v>
      </c>
      <c r="E1088" t="s">
        <v>58</v>
      </c>
      <c r="F1088">
        <v>3</v>
      </c>
      <c r="G1088" t="s">
        <v>33</v>
      </c>
      <c r="H1088" s="14">
        <v>0.22</v>
      </c>
      <c r="I1088" s="23">
        <v>404.5</v>
      </c>
      <c r="J1088" s="4">
        <v>1212.8399999999999</v>
      </c>
    </row>
    <row r="1089" spans="1:10">
      <c r="A1089" t="s">
        <v>1856</v>
      </c>
      <c r="B1089" s="3">
        <v>45239</v>
      </c>
      <c r="C1089" t="s">
        <v>1424</v>
      </c>
      <c r="D1089" t="s">
        <v>104</v>
      </c>
      <c r="E1089" t="s">
        <v>22</v>
      </c>
      <c r="F1089">
        <v>3</v>
      </c>
      <c r="G1089" t="s">
        <v>50</v>
      </c>
      <c r="H1089" s="14">
        <v>0.17</v>
      </c>
      <c r="I1089" s="23">
        <v>717.81</v>
      </c>
      <c r="J1089" s="4">
        <v>2152.92</v>
      </c>
    </row>
    <row r="1090" spans="1:10">
      <c r="A1090" t="s">
        <v>1857</v>
      </c>
      <c r="B1090" s="3">
        <v>45284</v>
      </c>
      <c r="C1090" t="s">
        <v>890</v>
      </c>
      <c r="D1090" t="s">
        <v>814</v>
      </c>
      <c r="E1090" t="s">
        <v>105</v>
      </c>
      <c r="F1090">
        <v>3</v>
      </c>
      <c r="G1090" t="s">
        <v>23</v>
      </c>
      <c r="H1090" s="14">
        <v>0.14000000000000001</v>
      </c>
      <c r="I1090" s="23">
        <v>204.77</v>
      </c>
      <c r="J1090" s="4">
        <v>613.89</v>
      </c>
    </row>
    <row r="1091" spans="1:10">
      <c r="A1091" t="s">
        <v>1858</v>
      </c>
      <c r="B1091" s="3">
        <v>45686</v>
      </c>
      <c r="C1091" t="s">
        <v>1004</v>
      </c>
      <c r="D1091" t="s">
        <v>505</v>
      </c>
      <c r="E1091" t="s">
        <v>160</v>
      </c>
      <c r="F1091">
        <v>4</v>
      </c>
      <c r="G1091" t="s">
        <v>50</v>
      </c>
      <c r="H1091" s="14">
        <v>0.28000000000000003</v>
      </c>
      <c r="I1091" s="23">
        <v>106.23</v>
      </c>
      <c r="J1091" s="4">
        <v>423.8</v>
      </c>
    </row>
    <row r="1092" spans="1:10">
      <c r="A1092" t="s">
        <v>1859</v>
      </c>
      <c r="B1092" s="3">
        <v>45824</v>
      </c>
      <c r="C1092" t="s">
        <v>419</v>
      </c>
      <c r="D1092" t="s">
        <v>532</v>
      </c>
      <c r="E1092" t="s">
        <v>58</v>
      </c>
      <c r="F1092">
        <v>2</v>
      </c>
      <c r="G1092" t="s">
        <v>33</v>
      </c>
      <c r="H1092" s="14">
        <v>0.11</v>
      </c>
      <c r="I1092" s="23">
        <v>769.48</v>
      </c>
      <c r="J1092" s="4">
        <v>1538.74</v>
      </c>
    </row>
    <row r="1093" spans="1:10">
      <c r="A1093" t="s">
        <v>1860</v>
      </c>
      <c r="B1093" s="3">
        <v>45867</v>
      </c>
      <c r="C1093" t="s">
        <v>322</v>
      </c>
      <c r="D1093" t="s">
        <v>509</v>
      </c>
      <c r="E1093" t="s">
        <v>149</v>
      </c>
      <c r="F1093">
        <v>2</v>
      </c>
      <c r="G1093" t="s">
        <v>23</v>
      </c>
      <c r="H1093" s="14">
        <v>0.14000000000000001</v>
      </c>
      <c r="I1093" s="23">
        <v>714.21</v>
      </c>
      <c r="J1093" s="4">
        <v>1428.14</v>
      </c>
    </row>
    <row r="1094" spans="1:10">
      <c r="A1094" t="s">
        <v>1861</v>
      </c>
      <c r="B1094" s="3">
        <v>45578</v>
      </c>
      <c r="C1094" t="s">
        <v>1481</v>
      </c>
      <c r="D1094" t="s">
        <v>555</v>
      </c>
      <c r="E1094" t="s">
        <v>122</v>
      </c>
      <c r="F1094">
        <v>4</v>
      </c>
      <c r="G1094" t="s">
        <v>33</v>
      </c>
      <c r="H1094" s="14">
        <v>0.25</v>
      </c>
      <c r="I1094" s="23">
        <v>632.24</v>
      </c>
      <c r="J1094" s="4">
        <v>2527.96</v>
      </c>
    </row>
    <row r="1095" spans="1:10">
      <c r="A1095" t="s">
        <v>1862</v>
      </c>
      <c r="B1095" s="3">
        <v>45575</v>
      </c>
      <c r="C1095" t="s">
        <v>954</v>
      </c>
      <c r="D1095" t="s">
        <v>267</v>
      </c>
      <c r="E1095" t="s">
        <v>22</v>
      </c>
      <c r="F1095">
        <v>2</v>
      </c>
      <c r="G1095" t="s">
        <v>33</v>
      </c>
      <c r="H1095" s="14">
        <v>0.18</v>
      </c>
      <c r="I1095" s="23">
        <v>845.27</v>
      </c>
      <c r="J1095" s="4">
        <v>1690.18</v>
      </c>
    </row>
    <row r="1096" spans="1:10">
      <c r="A1096" t="s">
        <v>1863</v>
      </c>
      <c r="B1096" s="3">
        <v>45816</v>
      </c>
      <c r="C1096" t="s">
        <v>1430</v>
      </c>
      <c r="D1096" t="s">
        <v>514</v>
      </c>
      <c r="E1096" t="s">
        <v>149</v>
      </c>
      <c r="F1096">
        <v>1</v>
      </c>
      <c r="G1096" t="s">
        <v>23</v>
      </c>
      <c r="H1096" s="14">
        <v>0.17</v>
      </c>
      <c r="I1096" s="23">
        <v>575.94000000000005</v>
      </c>
      <c r="J1096" s="4">
        <v>575.77</v>
      </c>
    </row>
    <row r="1097" spans="1:10">
      <c r="A1097" t="s">
        <v>1864</v>
      </c>
      <c r="B1097" s="3">
        <v>45620</v>
      </c>
      <c r="C1097" t="s">
        <v>890</v>
      </c>
      <c r="D1097" t="s">
        <v>814</v>
      </c>
      <c r="E1097" t="s">
        <v>122</v>
      </c>
      <c r="F1097">
        <v>1</v>
      </c>
      <c r="G1097" t="s">
        <v>50</v>
      </c>
      <c r="H1097" s="14">
        <v>0.26</v>
      </c>
      <c r="I1097" s="23">
        <v>907.97</v>
      </c>
      <c r="J1097" s="4">
        <v>907.71</v>
      </c>
    </row>
    <row r="1098" spans="1:10">
      <c r="A1098" t="s">
        <v>1865</v>
      </c>
      <c r="B1098" s="3">
        <v>45695</v>
      </c>
      <c r="C1098" t="s">
        <v>687</v>
      </c>
      <c r="D1098" t="s">
        <v>291</v>
      </c>
      <c r="E1098" t="s">
        <v>208</v>
      </c>
      <c r="F1098">
        <v>1</v>
      </c>
      <c r="G1098" t="s">
        <v>50</v>
      </c>
      <c r="H1098" s="14">
        <v>0.08</v>
      </c>
      <c r="I1098" s="23">
        <v>99.35</v>
      </c>
      <c r="J1098" s="4">
        <v>99.27</v>
      </c>
    </row>
    <row r="1099" spans="1:10">
      <c r="A1099" t="s">
        <v>1866</v>
      </c>
      <c r="B1099" s="3">
        <v>45596</v>
      </c>
      <c r="C1099" t="s">
        <v>1060</v>
      </c>
      <c r="D1099" t="s">
        <v>768</v>
      </c>
      <c r="E1099" t="s">
        <v>22</v>
      </c>
      <c r="F1099">
        <v>2</v>
      </c>
      <c r="G1099" t="s">
        <v>50</v>
      </c>
      <c r="H1099" s="14">
        <v>0.21</v>
      </c>
      <c r="I1099" s="23">
        <v>374.42</v>
      </c>
      <c r="J1099" s="4">
        <v>748.42</v>
      </c>
    </row>
    <row r="1100" spans="1:10">
      <c r="A1100" t="s">
        <v>1867</v>
      </c>
      <c r="B1100" s="3">
        <v>45869</v>
      </c>
      <c r="C1100" t="s">
        <v>849</v>
      </c>
      <c r="D1100" t="s">
        <v>65</v>
      </c>
      <c r="E1100" t="s">
        <v>122</v>
      </c>
      <c r="F1100">
        <v>3</v>
      </c>
      <c r="G1100" t="s">
        <v>50</v>
      </c>
      <c r="H1100" s="14">
        <v>0.24</v>
      </c>
      <c r="I1100" s="23">
        <v>248.43</v>
      </c>
      <c r="J1100" s="4">
        <v>744.57</v>
      </c>
    </row>
    <row r="1101" spans="1:10">
      <c r="A1101" t="s">
        <v>1868</v>
      </c>
      <c r="B1101" s="3">
        <v>45631</v>
      </c>
      <c r="C1101" t="s">
        <v>843</v>
      </c>
      <c r="D1101" t="s">
        <v>462</v>
      </c>
      <c r="E1101" t="s">
        <v>105</v>
      </c>
      <c r="F1101">
        <v>1</v>
      </c>
      <c r="G1101" t="s">
        <v>50</v>
      </c>
      <c r="H1101" s="14">
        <v>0.14000000000000001</v>
      </c>
      <c r="I1101" s="23">
        <v>784.46</v>
      </c>
      <c r="J1101" s="4">
        <v>784.32</v>
      </c>
    </row>
    <row r="1102" spans="1:10">
      <c r="A1102" t="s">
        <v>1869</v>
      </c>
      <c r="B1102" s="3">
        <v>45379</v>
      </c>
      <c r="C1102" t="s">
        <v>1591</v>
      </c>
      <c r="D1102" t="s">
        <v>282</v>
      </c>
      <c r="E1102" t="s">
        <v>168</v>
      </c>
      <c r="F1102">
        <v>3</v>
      </c>
      <c r="G1102" t="s">
        <v>50</v>
      </c>
      <c r="H1102" s="14">
        <v>0.27</v>
      </c>
      <c r="I1102" s="23">
        <v>70.88</v>
      </c>
      <c r="J1102" s="4">
        <v>211.83</v>
      </c>
    </row>
    <row r="1103" spans="1:10">
      <c r="A1103" t="s">
        <v>1870</v>
      </c>
      <c r="B1103" s="3">
        <v>45641</v>
      </c>
      <c r="C1103" t="s">
        <v>1528</v>
      </c>
      <c r="D1103" t="s">
        <v>484</v>
      </c>
      <c r="E1103" t="s">
        <v>105</v>
      </c>
      <c r="F1103">
        <v>3</v>
      </c>
      <c r="G1103" t="s">
        <v>50</v>
      </c>
      <c r="H1103" s="14">
        <v>0.16</v>
      </c>
      <c r="I1103" s="23">
        <v>324.29000000000002</v>
      </c>
      <c r="J1103" s="4">
        <v>972.39</v>
      </c>
    </row>
    <row r="1104" spans="1:10">
      <c r="A1104" t="s">
        <v>1871</v>
      </c>
      <c r="B1104" s="3">
        <v>45842</v>
      </c>
      <c r="C1104" t="s">
        <v>776</v>
      </c>
      <c r="D1104" t="s">
        <v>65</v>
      </c>
      <c r="E1104" t="s">
        <v>22</v>
      </c>
      <c r="F1104">
        <v>4</v>
      </c>
      <c r="G1104" t="s">
        <v>33</v>
      </c>
      <c r="H1104" s="14">
        <v>0.02</v>
      </c>
      <c r="I1104" s="23">
        <v>243.92</v>
      </c>
      <c r="J1104" s="4">
        <v>975.6</v>
      </c>
    </row>
    <row r="1105" spans="1:10">
      <c r="A1105" t="s">
        <v>1872</v>
      </c>
      <c r="B1105" s="3">
        <v>45257</v>
      </c>
      <c r="C1105" t="s">
        <v>1873</v>
      </c>
      <c r="D1105" t="s">
        <v>567</v>
      </c>
      <c r="E1105" t="s">
        <v>149</v>
      </c>
      <c r="F1105">
        <v>1</v>
      </c>
      <c r="G1105" t="s">
        <v>23</v>
      </c>
      <c r="H1105" s="14">
        <v>0</v>
      </c>
      <c r="I1105" s="23">
        <v>664.35</v>
      </c>
      <c r="J1105" s="4">
        <v>664.35</v>
      </c>
    </row>
    <row r="1106" spans="1:10">
      <c r="A1106" t="s">
        <v>1874</v>
      </c>
      <c r="B1106" s="3">
        <v>45468</v>
      </c>
      <c r="C1106" t="s">
        <v>1097</v>
      </c>
      <c r="D1106" t="s">
        <v>279</v>
      </c>
      <c r="E1106" t="s">
        <v>168</v>
      </c>
      <c r="F1106">
        <v>2</v>
      </c>
      <c r="G1106" t="s">
        <v>33</v>
      </c>
      <c r="H1106" s="14">
        <v>0.19</v>
      </c>
      <c r="I1106" s="23">
        <v>218.07</v>
      </c>
      <c r="J1106" s="4">
        <v>435.76</v>
      </c>
    </row>
    <row r="1107" spans="1:10">
      <c r="A1107" t="s">
        <v>1875</v>
      </c>
      <c r="B1107" s="3">
        <v>45228</v>
      </c>
      <c r="C1107" t="s">
        <v>1017</v>
      </c>
      <c r="D1107" t="s">
        <v>65</v>
      </c>
      <c r="E1107" t="s">
        <v>22</v>
      </c>
      <c r="F1107">
        <v>4</v>
      </c>
      <c r="G1107" t="s">
        <v>23</v>
      </c>
      <c r="H1107" s="14">
        <v>0.27</v>
      </c>
      <c r="I1107" s="23">
        <v>921.83</v>
      </c>
      <c r="J1107" s="4">
        <v>3686.24</v>
      </c>
    </row>
    <row r="1108" spans="1:10">
      <c r="A1108" t="s">
        <v>1876</v>
      </c>
      <c r="B1108" s="3">
        <v>45661</v>
      </c>
      <c r="C1108" t="s">
        <v>338</v>
      </c>
      <c r="D1108" t="s">
        <v>409</v>
      </c>
      <c r="E1108" t="s">
        <v>105</v>
      </c>
      <c r="F1108">
        <v>3</v>
      </c>
      <c r="G1108" t="s">
        <v>50</v>
      </c>
      <c r="H1108" s="14">
        <v>0.22</v>
      </c>
      <c r="I1108" s="23">
        <v>326.2</v>
      </c>
      <c r="J1108" s="4">
        <v>977.94</v>
      </c>
    </row>
    <row r="1109" spans="1:10">
      <c r="A1109" t="s">
        <v>1877</v>
      </c>
      <c r="B1109" s="3">
        <v>45701</v>
      </c>
      <c r="C1109" t="s">
        <v>898</v>
      </c>
      <c r="D1109" t="s">
        <v>377</v>
      </c>
      <c r="E1109" t="s">
        <v>135</v>
      </c>
      <c r="F1109">
        <v>1</v>
      </c>
      <c r="G1109" t="s">
        <v>33</v>
      </c>
      <c r="H1109" s="14">
        <v>0.09</v>
      </c>
      <c r="I1109" s="23">
        <v>244.25</v>
      </c>
      <c r="J1109" s="4">
        <v>244.16</v>
      </c>
    </row>
    <row r="1110" spans="1:10">
      <c r="A1110" t="s">
        <v>1878</v>
      </c>
      <c r="B1110" s="3">
        <v>45448</v>
      </c>
      <c r="C1110" t="s">
        <v>423</v>
      </c>
      <c r="D1110" t="s">
        <v>698</v>
      </c>
      <c r="E1110" t="s">
        <v>168</v>
      </c>
      <c r="F1110">
        <v>3</v>
      </c>
      <c r="G1110" t="s">
        <v>50</v>
      </c>
      <c r="H1110" s="14">
        <v>0.12</v>
      </c>
      <c r="I1110" s="23">
        <v>808.87</v>
      </c>
      <c r="J1110" s="4">
        <v>2426.25</v>
      </c>
    </row>
    <row r="1111" spans="1:10">
      <c r="A1111" t="s">
        <v>1879</v>
      </c>
      <c r="B1111" s="3">
        <v>45387</v>
      </c>
      <c r="C1111" t="s">
        <v>439</v>
      </c>
      <c r="D1111" t="s">
        <v>311</v>
      </c>
      <c r="E1111" t="s">
        <v>198</v>
      </c>
      <c r="F1111">
        <v>3</v>
      </c>
      <c r="G1111" t="s">
        <v>33</v>
      </c>
      <c r="H1111" s="14">
        <v>0</v>
      </c>
      <c r="I1111" s="23">
        <v>826.15</v>
      </c>
      <c r="J1111" s="4">
        <v>2478.4499999999998</v>
      </c>
    </row>
    <row r="1112" spans="1:10">
      <c r="A1112" t="s">
        <v>1880</v>
      </c>
      <c r="B1112" s="3">
        <v>45652</v>
      </c>
      <c r="C1112" t="s">
        <v>84</v>
      </c>
      <c r="D1112" t="s">
        <v>97</v>
      </c>
      <c r="E1112" t="s">
        <v>135</v>
      </c>
      <c r="F1112">
        <v>3</v>
      </c>
      <c r="G1112" t="s">
        <v>23</v>
      </c>
      <c r="H1112" s="14">
        <v>0.24</v>
      </c>
      <c r="I1112" s="23">
        <v>631.20000000000005</v>
      </c>
      <c r="J1112" s="4">
        <v>1892.88</v>
      </c>
    </row>
    <row r="1113" spans="1:10">
      <c r="A1113" t="s">
        <v>1881</v>
      </c>
      <c r="B1113" s="3">
        <v>45316</v>
      </c>
      <c r="C1113" t="s">
        <v>1426</v>
      </c>
      <c r="D1113" t="s">
        <v>714</v>
      </c>
      <c r="E1113" t="s">
        <v>168</v>
      </c>
      <c r="F1113">
        <v>1</v>
      </c>
      <c r="G1113" t="s">
        <v>23</v>
      </c>
      <c r="H1113" s="14">
        <v>7.0000000000000007E-2</v>
      </c>
      <c r="I1113" s="23">
        <v>937.01</v>
      </c>
      <c r="J1113" s="4">
        <v>936.94</v>
      </c>
    </row>
    <row r="1114" spans="1:10">
      <c r="A1114" t="s">
        <v>1882</v>
      </c>
      <c r="B1114" s="3">
        <v>45316</v>
      </c>
      <c r="C1114" t="s">
        <v>1412</v>
      </c>
      <c r="D1114" t="s">
        <v>575</v>
      </c>
      <c r="E1114" t="s">
        <v>58</v>
      </c>
      <c r="F1114">
        <v>2</v>
      </c>
      <c r="G1114" t="s">
        <v>33</v>
      </c>
      <c r="H1114" s="14">
        <v>0.04</v>
      </c>
      <c r="I1114" s="23">
        <v>644</v>
      </c>
      <c r="J1114" s="4">
        <v>1287.92</v>
      </c>
    </row>
    <row r="1115" spans="1:10">
      <c r="A1115" t="s">
        <v>1883</v>
      </c>
      <c r="B1115" s="3">
        <v>45888</v>
      </c>
      <c r="C1115" t="s">
        <v>145</v>
      </c>
      <c r="D1115" t="s">
        <v>372</v>
      </c>
      <c r="E1115" t="s">
        <v>58</v>
      </c>
      <c r="F1115">
        <v>3</v>
      </c>
      <c r="G1115" t="s">
        <v>23</v>
      </c>
      <c r="H1115" s="14">
        <v>0.05</v>
      </c>
      <c r="I1115" s="23">
        <v>629.58000000000004</v>
      </c>
      <c r="J1115" s="4">
        <v>1888.59</v>
      </c>
    </row>
    <row r="1116" spans="1:10">
      <c r="A1116" t="s">
        <v>1884</v>
      </c>
      <c r="B1116" s="3">
        <v>45791</v>
      </c>
      <c r="C1116" t="s">
        <v>819</v>
      </c>
      <c r="D1116" t="s">
        <v>514</v>
      </c>
      <c r="E1116" t="s">
        <v>198</v>
      </c>
      <c r="F1116">
        <v>2</v>
      </c>
      <c r="G1116" t="s">
        <v>50</v>
      </c>
      <c r="H1116" s="14">
        <v>0.18</v>
      </c>
      <c r="I1116" s="23">
        <v>121.52</v>
      </c>
      <c r="J1116" s="4">
        <v>242.68</v>
      </c>
    </row>
    <row r="1117" spans="1:10">
      <c r="A1117" t="s">
        <v>1885</v>
      </c>
      <c r="B1117" s="3">
        <v>45420</v>
      </c>
      <c r="C1117" t="s">
        <v>535</v>
      </c>
      <c r="D1117" t="s">
        <v>134</v>
      </c>
      <c r="E1117" t="s">
        <v>135</v>
      </c>
      <c r="F1117">
        <v>2</v>
      </c>
      <c r="G1117" t="s">
        <v>33</v>
      </c>
      <c r="H1117" s="14">
        <v>7.0000000000000007E-2</v>
      </c>
      <c r="I1117" s="23">
        <v>549.83000000000004</v>
      </c>
      <c r="J1117" s="4">
        <v>1099.52</v>
      </c>
    </row>
    <row r="1118" spans="1:10">
      <c r="A1118" t="s">
        <v>1886</v>
      </c>
      <c r="B1118" s="3">
        <v>45219</v>
      </c>
      <c r="C1118" t="s">
        <v>1699</v>
      </c>
      <c r="D1118" t="s">
        <v>197</v>
      </c>
      <c r="E1118" t="s">
        <v>43</v>
      </c>
      <c r="F1118">
        <v>3</v>
      </c>
      <c r="G1118" t="s">
        <v>23</v>
      </c>
      <c r="H1118" s="14">
        <v>0.03</v>
      </c>
      <c r="I1118" s="23">
        <v>278.38</v>
      </c>
      <c r="J1118" s="4">
        <v>835.05</v>
      </c>
    </row>
    <row r="1119" spans="1:10">
      <c r="A1119" t="s">
        <v>1887</v>
      </c>
      <c r="B1119" s="3">
        <v>45510</v>
      </c>
      <c r="C1119" t="s">
        <v>667</v>
      </c>
      <c r="D1119" t="s">
        <v>1259</v>
      </c>
      <c r="E1119" t="s">
        <v>22</v>
      </c>
      <c r="F1119">
        <v>4</v>
      </c>
      <c r="G1119" t="s">
        <v>33</v>
      </c>
      <c r="H1119" s="14">
        <v>0.03</v>
      </c>
      <c r="I1119" s="23">
        <v>723.66</v>
      </c>
      <c r="J1119" s="4">
        <v>2894.52</v>
      </c>
    </row>
    <row r="1120" spans="1:10">
      <c r="A1120" t="s">
        <v>1888</v>
      </c>
      <c r="B1120" s="3">
        <v>45687</v>
      </c>
      <c r="C1120" t="s">
        <v>1075</v>
      </c>
      <c r="D1120" t="s">
        <v>155</v>
      </c>
      <c r="E1120" t="s">
        <v>127</v>
      </c>
      <c r="F1120">
        <v>1</v>
      </c>
      <c r="G1120" t="s">
        <v>33</v>
      </c>
      <c r="H1120" s="14">
        <v>0.15</v>
      </c>
      <c r="I1120" s="23">
        <v>724.74</v>
      </c>
      <c r="J1120" s="4">
        <v>724.59</v>
      </c>
    </row>
    <row r="1121" spans="1:10">
      <c r="A1121" t="s">
        <v>1889</v>
      </c>
      <c r="B1121" s="3">
        <v>45271</v>
      </c>
      <c r="C1121" t="s">
        <v>961</v>
      </c>
      <c r="D1121" t="s">
        <v>279</v>
      </c>
      <c r="E1121" t="s">
        <v>72</v>
      </c>
      <c r="F1121">
        <v>2</v>
      </c>
      <c r="G1121" t="s">
        <v>33</v>
      </c>
      <c r="H1121" s="14">
        <v>0.25</v>
      </c>
      <c r="I1121" s="23">
        <v>961.84</v>
      </c>
      <c r="J1121" s="4">
        <v>1923.18</v>
      </c>
    </row>
    <row r="1122" spans="1:10">
      <c r="A1122" t="s">
        <v>1890</v>
      </c>
      <c r="B1122" s="3">
        <v>45446</v>
      </c>
      <c r="C1122" t="s">
        <v>572</v>
      </c>
      <c r="D1122" t="s">
        <v>786</v>
      </c>
      <c r="E1122" t="s">
        <v>117</v>
      </c>
      <c r="F1122">
        <v>4</v>
      </c>
      <c r="G1122" t="s">
        <v>50</v>
      </c>
      <c r="H1122" s="14">
        <v>0.18</v>
      </c>
      <c r="I1122" s="23">
        <v>21.12</v>
      </c>
      <c r="J1122" s="4">
        <v>83.76</v>
      </c>
    </row>
    <row r="1123" spans="1:10">
      <c r="A1123" t="s">
        <v>1891</v>
      </c>
      <c r="B1123" s="3">
        <v>45579</v>
      </c>
      <c r="C1123" t="s">
        <v>562</v>
      </c>
      <c r="D1123" t="s">
        <v>768</v>
      </c>
      <c r="E1123" t="s">
        <v>72</v>
      </c>
      <c r="F1123">
        <v>3</v>
      </c>
      <c r="G1123" t="s">
        <v>33</v>
      </c>
      <c r="H1123" s="14">
        <v>0.08</v>
      </c>
      <c r="I1123" s="23">
        <v>819.93</v>
      </c>
      <c r="J1123" s="4">
        <v>2459.5500000000002</v>
      </c>
    </row>
    <row r="1124" spans="1:10">
      <c r="A1124" t="s">
        <v>1892</v>
      </c>
      <c r="B1124" s="3">
        <v>45725</v>
      </c>
      <c r="C1124" t="s">
        <v>541</v>
      </c>
      <c r="D1124" t="s">
        <v>449</v>
      </c>
      <c r="E1124" t="s">
        <v>90</v>
      </c>
      <c r="F1124">
        <v>2</v>
      </c>
      <c r="G1124" t="s">
        <v>23</v>
      </c>
      <c r="H1124" s="14">
        <v>0.18</v>
      </c>
      <c r="I1124" s="23">
        <v>700.95</v>
      </c>
      <c r="J1124" s="4">
        <v>1401.54</v>
      </c>
    </row>
    <row r="1125" spans="1:10">
      <c r="A1125" t="s">
        <v>1893</v>
      </c>
      <c r="B1125" s="3">
        <v>45910</v>
      </c>
      <c r="C1125" t="s">
        <v>776</v>
      </c>
      <c r="D1125" t="s">
        <v>377</v>
      </c>
      <c r="E1125" t="s">
        <v>98</v>
      </c>
      <c r="F1125">
        <v>2</v>
      </c>
      <c r="G1125" t="s">
        <v>23</v>
      </c>
      <c r="H1125" s="14">
        <v>0.12</v>
      </c>
      <c r="I1125" s="23">
        <v>456.38</v>
      </c>
      <c r="J1125" s="4">
        <v>912.52</v>
      </c>
    </row>
    <row r="1126" spans="1:10">
      <c r="A1126" t="s">
        <v>1894</v>
      </c>
      <c r="B1126" s="3">
        <v>45447</v>
      </c>
      <c r="C1126" t="s">
        <v>1895</v>
      </c>
      <c r="D1126" t="s">
        <v>49</v>
      </c>
      <c r="E1126" t="s">
        <v>98</v>
      </c>
      <c r="F1126">
        <v>3</v>
      </c>
      <c r="G1126" t="s">
        <v>23</v>
      </c>
      <c r="H1126" s="14">
        <v>0.3</v>
      </c>
      <c r="I1126" s="23">
        <v>291.05</v>
      </c>
      <c r="J1126" s="4">
        <v>872.25</v>
      </c>
    </row>
    <row r="1127" spans="1:10">
      <c r="A1127" t="s">
        <v>1896</v>
      </c>
      <c r="B1127" s="3">
        <v>45307</v>
      </c>
      <c r="C1127" t="s">
        <v>1161</v>
      </c>
      <c r="D1127" t="s">
        <v>1126</v>
      </c>
      <c r="E1127" t="s">
        <v>122</v>
      </c>
      <c r="F1127">
        <v>2</v>
      </c>
      <c r="G1127" t="s">
        <v>33</v>
      </c>
      <c r="H1127" s="14">
        <v>0.27</v>
      </c>
      <c r="I1127" s="23">
        <v>463.52</v>
      </c>
      <c r="J1127" s="4">
        <v>926.5</v>
      </c>
    </row>
    <row r="1128" spans="1:10">
      <c r="A1128" t="s">
        <v>1897</v>
      </c>
      <c r="B1128" s="3">
        <v>45653</v>
      </c>
      <c r="C1128" t="s">
        <v>997</v>
      </c>
      <c r="D1128" t="s">
        <v>768</v>
      </c>
      <c r="E1128" t="s">
        <v>32</v>
      </c>
      <c r="F1128">
        <v>3</v>
      </c>
      <c r="G1128" t="s">
        <v>33</v>
      </c>
      <c r="H1128" s="14">
        <v>0.28999999999999998</v>
      </c>
      <c r="I1128" s="23">
        <v>241.64</v>
      </c>
      <c r="J1128" s="4">
        <v>724.05</v>
      </c>
    </row>
    <row r="1129" spans="1:10">
      <c r="A1129" t="s">
        <v>1898</v>
      </c>
      <c r="B1129" s="3">
        <v>45817</v>
      </c>
      <c r="C1129" t="s">
        <v>328</v>
      </c>
      <c r="D1129" t="s">
        <v>271</v>
      </c>
      <c r="E1129" t="s">
        <v>168</v>
      </c>
      <c r="F1129">
        <v>2</v>
      </c>
      <c r="G1129" t="s">
        <v>33</v>
      </c>
      <c r="H1129" s="14">
        <v>0.03</v>
      </c>
      <c r="I1129" s="23">
        <v>47.86</v>
      </c>
      <c r="J1129" s="4">
        <v>95.66</v>
      </c>
    </row>
    <row r="1130" spans="1:10">
      <c r="A1130" t="s">
        <v>1899</v>
      </c>
      <c r="B1130" s="3">
        <v>45509</v>
      </c>
      <c r="C1130" t="s">
        <v>220</v>
      </c>
      <c r="D1130" t="s">
        <v>603</v>
      </c>
      <c r="E1130" t="s">
        <v>22</v>
      </c>
      <c r="F1130">
        <v>1</v>
      </c>
      <c r="G1130" t="s">
        <v>50</v>
      </c>
      <c r="H1130" s="14">
        <v>0.06</v>
      </c>
      <c r="I1130" s="23">
        <v>805.07</v>
      </c>
      <c r="J1130" s="4">
        <v>805.01</v>
      </c>
    </row>
    <row r="1131" spans="1:10">
      <c r="A1131" t="s">
        <v>1900</v>
      </c>
      <c r="B1131" s="3">
        <v>45753</v>
      </c>
      <c r="C1131" t="s">
        <v>591</v>
      </c>
      <c r="D1131" t="s">
        <v>116</v>
      </c>
      <c r="E1131" t="s">
        <v>105</v>
      </c>
      <c r="F1131">
        <v>3</v>
      </c>
      <c r="G1131" t="s">
        <v>50</v>
      </c>
      <c r="H1131" s="14">
        <v>0</v>
      </c>
      <c r="I1131" s="23">
        <v>848.48</v>
      </c>
      <c r="J1131" s="4">
        <v>2545.44</v>
      </c>
    </row>
    <row r="1132" spans="1:10">
      <c r="A1132" t="s">
        <v>1901</v>
      </c>
      <c r="B1132" s="3">
        <v>45512</v>
      </c>
      <c r="C1132" t="s">
        <v>408</v>
      </c>
      <c r="D1132" t="s">
        <v>207</v>
      </c>
      <c r="E1132" t="s">
        <v>43</v>
      </c>
      <c r="F1132">
        <v>2</v>
      </c>
      <c r="G1132" t="s">
        <v>23</v>
      </c>
      <c r="H1132" s="14">
        <v>0.22</v>
      </c>
      <c r="I1132" s="23">
        <v>568.95000000000005</v>
      </c>
      <c r="J1132" s="4">
        <v>1137.46</v>
      </c>
    </row>
    <row r="1133" spans="1:10">
      <c r="A1133" t="s">
        <v>1902</v>
      </c>
      <c r="B1133" s="3">
        <v>45764</v>
      </c>
      <c r="C1133" t="s">
        <v>324</v>
      </c>
      <c r="D1133" t="s">
        <v>207</v>
      </c>
      <c r="E1133" t="s">
        <v>272</v>
      </c>
      <c r="F1133">
        <v>3</v>
      </c>
      <c r="G1133" t="s">
        <v>33</v>
      </c>
      <c r="H1133" s="14">
        <v>0.05</v>
      </c>
      <c r="I1133" s="23">
        <v>269.83999999999997</v>
      </c>
      <c r="J1133" s="4">
        <v>809.37</v>
      </c>
    </row>
    <row r="1134" spans="1:10">
      <c r="A1134" t="s">
        <v>1903</v>
      </c>
      <c r="B1134" s="3">
        <v>45746</v>
      </c>
      <c r="C1134" t="s">
        <v>1704</v>
      </c>
      <c r="D1134" t="s">
        <v>661</v>
      </c>
      <c r="E1134" t="s">
        <v>149</v>
      </c>
      <c r="F1134">
        <v>4</v>
      </c>
      <c r="G1134" t="s">
        <v>33</v>
      </c>
      <c r="H1134" s="14">
        <v>0.27</v>
      </c>
      <c r="I1134" s="23">
        <v>267.36</v>
      </c>
      <c r="J1134" s="4">
        <v>1068.3599999999999</v>
      </c>
    </row>
    <row r="1135" spans="1:10">
      <c r="A1135" t="s">
        <v>1904</v>
      </c>
      <c r="B1135" s="3">
        <v>45647</v>
      </c>
      <c r="C1135" t="s">
        <v>1037</v>
      </c>
      <c r="D1135" t="s">
        <v>786</v>
      </c>
      <c r="E1135" t="s">
        <v>105</v>
      </c>
      <c r="F1135">
        <v>1</v>
      </c>
      <c r="G1135" t="s">
        <v>23</v>
      </c>
      <c r="H1135" s="14">
        <v>0.09</v>
      </c>
      <c r="I1135" s="23">
        <v>438.41</v>
      </c>
      <c r="J1135" s="4">
        <v>438.32</v>
      </c>
    </row>
    <row r="1136" spans="1:10">
      <c r="A1136" t="s">
        <v>1905</v>
      </c>
      <c r="B1136" s="3">
        <v>45443</v>
      </c>
      <c r="C1136" t="s">
        <v>504</v>
      </c>
      <c r="D1136" t="s">
        <v>501</v>
      </c>
      <c r="E1136" t="s">
        <v>160</v>
      </c>
      <c r="F1136">
        <v>2</v>
      </c>
      <c r="G1136" t="s">
        <v>50</v>
      </c>
      <c r="H1136" s="14">
        <v>0.28000000000000003</v>
      </c>
      <c r="I1136" s="23">
        <v>86.72</v>
      </c>
      <c r="J1136" s="4">
        <v>172.88</v>
      </c>
    </row>
    <row r="1137" spans="1:10">
      <c r="A1137" t="s">
        <v>1906</v>
      </c>
      <c r="B1137" s="3">
        <v>45722</v>
      </c>
      <c r="C1137" t="s">
        <v>1290</v>
      </c>
      <c r="D1137" t="s">
        <v>287</v>
      </c>
      <c r="E1137" t="s">
        <v>179</v>
      </c>
      <c r="F1137">
        <v>4</v>
      </c>
      <c r="G1137" t="s">
        <v>50</v>
      </c>
      <c r="H1137" s="14">
        <v>0.14000000000000001</v>
      </c>
      <c r="I1137" s="23">
        <v>630.21</v>
      </c>
      <c r="J1137" s="4">
        <v>2520.2800000000002</v>
      </c>
    </row>
    <row r="1138" spans="1:10">
      <c r="A1138" t="s">
        <v>1907</v>
      </c>
      <c r="B1138" s="3">
        <v>45575</v>
      </c>
      <c r="C1138" t="s">
        <v>1908</v>
      </c>
      <c r="D1138" t="s">
        <v>57</v>
      </c>
      <c r="E1138" t="s">
        <v>179</v>
      </c>
      <c r="F1138">
        <v>3</v>
      </c>
      <c r="G1138" t="s">
        <v>33</v>
      </c>
      <c r="H1138" s="14">
        <v>0.03</v>
      </c>
      <c r="I1138" s="23">
        <v>180.84</v>
      </c>
      <c r="J1138" s="4">
        <v>542.42999999999995</v>
      </c>
    </row>
    <row r="1139" spans="1:10">
      <c r="A1139" t="s">
        <v>1909</v>
      </c>
      <c r="B1139" s="3">
        <v>45441</v>
      </c>
      <c r="C1139" t="s">
        <v>1747</v>
      </c>
      <c r="D1139" t="s">
        <v>779</v>
      </c>
      <c r="E1139" t="s">
        <v>117</v>
      </c>
      <c r="F1139">
        <v>1</v>
      </c>
      <c r="G1139" t="s">
        <v>50</v>
      </c>
      <c r="H1139" s="14">
        <v>0.04</v>
      </c>
      <c r="I1139" s="23">
        <v>453.41</v>
      </c>
      <c r="J1139" s="4">
        <v>453.37</v>
      </c>
    </row>
    <row r="1140" spans="1:10">
      <c r="A1140" t="s">
        <v>1910</v>
      </c>
      <c r="B1140" s="3">
        <v>45940</v>
      </c>
      <c r="C1140" t="s">
        <v>1422</v>
      </c>
      <c r="D1140" t="s">
        <v>501</v>
      </c>
      <c r="E1140" t="s">
        <v>179</v>
      </c>
      <c r="F1140">
        <v>1</v>
      </c>
      <c r="G1140" t="s">
        <v>23</v>
      </c>
      <c r="H1140" s="14">
        <v>0.02</v>
      </c>
      <c r="I1140" s="23">
        <v>629.09</v>
      </c>
      <c r="J1140" s="4">
        <v>629.07000000000005</v>
      </c>
    </row>
    <row r="1141" spans="1:10">
      <c r="A1141" t="s">
        <v>1911</v>
      </c>
      <c r="B1141" s="3">
        <v>45518</v>
      </c>
      <c r="C1141" t="s">
        <v>550</v>
      </c>
      <c r="D1141" t="s">
        <v>192</v>
      </c>
      <c r="E1141" t="s">
        <v>198</v>
      </c>
      <c r="F1141">
        <v>2</v>
      </c>
      <c r="G1141" t="s">
        <v>50</v>
      </c>
      <c r="H1141" s="14">
        <v>0</v>
      </c>
      <c r="I1141" s="23">
        <v>257.45</v>
      </c>
      <c r="J1141" s="4">
        <v>514.9</v>
      </c>
    </row>
    <row r="1142" spans="1:10">
      <c r="A1142" t="s">
        <v>1912</v>
      </c>
      <c r="B1142" s="3">
        <v>45861</v>
      </c>
      <c r="C1142" t="s">
        <v>1913</v>
      </c>
      <c r="D1142" t="s">
        <v>116</v>
      </c>
      <c r="E1142" t="s">
        <v>122</v>
      </c>
      <c r="F1142">
        <v>2</v>
      </c>
      <c r="G1142" t="s">
        <v>33</v>
      </c>
      <c r="H1142" s="14">
        <v>0.17</v>
      </c>
      <c r="I1142" s="23">
        <v>696.61</v>
      </c>
      <c r="J1142" s="4">
        <v>1392.88</v>
      </c>
    </row>
    <row r="1143" spans="1:10">
      <c r="A1143" t="s">
        <v>1914</v>
      </c>
      <c r="B1143" s="3">
        <v>45416</v>
      </c>
      <c r="C1143" t="s">
        <v>591</v>
      </c>
      <c r="D1143" t="s">
        <v>381</v>
      </c>
      <c r="E1143" t="s">
        <v>66</v>
      </c>
      <c r="F1143">
        <v>2</v>
      </c>
      <c r="G1143" t="s">
        <v>33</v>
      </c>
      <c r="H1143" s="14">
        <v>0.1</v>
      </c>
      <c r="I1143" s="23">
        <v>143.79</v>
      </c>
      <c r="J1143" s="4">
        <v>287.38</v>
      </c>
    </row>
    <row r="1144" spans="1:10">
      <c r="A1144" t="s">
        <v>1915</v>
      </c>
      <c r="B1144" s="3">
        <v>45608</v>
      </c>
      <c r="C1144" t="s">
        <v>994</v>
      </c>
      <c r="D1144" t="s">
        <v>359</v>
      </c>
      <c r="E1144" t="s">
        <v>105</v>
      </c>
      <c r="F1144">
        <v>3</v>
      </c>
      <c r="G1144" t="s">
        <v>50</v>
      </c>
      <c r="H1144" s="14">
        <v>0.19</v>
      </c>
      <c r="I1144" s="23">
        <v>460.93</v>
      </c>
      <c r="J1144" s="4">
        <v>1382.22</v>
      </c>
    </row>
    <row r="1145" spans="1:10">
      <c r="A1145" t="s">
        <v>1916</v>
      </c>
      <c r="B1145" s="3">
        <v>45301</v>
      </c>
      <c r="C1145" t="s">
        <v>608</v>
      </c>
      <c r="D1145" t="s">
        <v>567</v>
      </c>
      <c r="E1145" t="s">
        <v>127</v>
      </c>
      <c r="F1145">
        <v>2</v>
      </c>
      <c r="G1145" t="s">
        <v>23</v>
      </c>
      <c r="H1145" s="14">
        <v>0.03</v>
      </c>
      <c r="I1145" s="23">
        <v>67.55</v>
      </c>
      <c r="J1145" s="4">
        <v>135.04</v>
      </c>
    </row>
    <row r="1146" spans="1:10">
      <c r="A1146" t="s">
        <v>1917</v>
      </c>
      <c r="B1146" s="3">
        <v>45433</v>
      </c>
      <c r="C1146" t="s">
        <v>934</v>
      </c>
      <c r="D1146" t="s">
        <v>42</v>
      </c>
      <c r="E1146" t="s">
        <v>105</v>
      </c>
      <c r="F1146">
        <v>3</v>
      </c>
      <c r="G1146" t="s">
        <v>33</v>
      </c>
      <c r="H1146" s="14">
        <v>0.1</v>
      </c>
      <c r="I1146" s="23">
        <v>803.31</v>
      </c>
      <c r="J1146" s="4">
        <v>2409.63</v>
      </c>
    </row>
    <row r="1147" spans="1:10">
      <c r="A1147" t="s">
        <v>1918</v>
      </c>
      <c r="B1147" s="3">
        <v>45821</v>
      </c>
      <c r="C1147" t="s">
        <v>1919</v>
      </c>
      <c r="D1147" t="s">
        <v>226</v>
      </c>
      <c r="E1147" t="s">
        <v>149</v>
      </c>
      <c r="F1147">
        <v>4</v>
      </c>
      <c r="G1147" t="s">
        <v>50</v>
      </c>
      <c r="H1147" s="14">
        <v>0.2</v>
      </c>
      <c r="I1147" s="23">
        <v>254.71</v>
      </c>
      <c r="J1147" s="4">
        <v>1018.04</v>
      </c>
    </row>
    <row r="1148" spans="1:10">
      <c r="A1148" t="s">
        <v>1920</v>
      </c>
      <c r="B1148" s="3">
        <v>45508</v>
      </c>
      <c r="C1148" t="s">
        <v>1361</v>
      </c>
      <c r="D1148" t="s">
        <v>409</v>
      </c>
      <c r="E1148" t="s">
        <v>72</v>
      </c>
      <c r="F1148">
        <v>4</v>
      </c>
      <c r="G1148" t="s">
        <v>33</v>
      </c>
      <c r="H1148" s="14">
        <v>0.3</v>
      </c>
      <c r="I1148" s="23">
        <v>594.89</v>
      </c>
      <c r="J1148" s="4">
        <v>2378.36</v>
      </c>
    </row>
    <row r="1149" spans="1:10">
      <c r="A1149" t="s">
        <v>1921</v>
      </c>
      <c r="B1149" s="3">
        <v>45854</v>
      </c>
      <c r="C1149" t="s">
        <v>785</v>
      </c>
      <c r="D1149" t="s">
        <v>372</v>
      </c>
      <c r="E1149" t="s">
        <v>90</v>
      </c>
      <c r="F1149">
        <v>2</v>
      </c>
      <c r="G1149" t="s">
        <v>33</v>
      </c>
      <c r="H1149" s="14">
        <v>7.0000000000000007E-2</v>
      </c>
      <c r="I1149" s="23">
        <v>844.31</v>
      </c>
      <c r="J1149" s="4">
        <v>1688.48</v>
      </c>
    </row>
    <row r="1150" spans="1:10">
      <c r="A1150" t="s">
        <v>1922</v>
      </c>
      <c r="B1150" s="3">
        <v>45569</v>
      </c>
      <c r="C1150" t="s">
        <v>791</v>
      </c>
      <c r="D1150" t="s">
        <v>65</v>
      </c>
      <c r="E1150" t="s">
        <v>179</v>
      </c>
      <c r="F1150">
        <v>4</v>
      </c>
      <c r="G1150" t="s">
        <v>23</v>
      </c>
      <c r="H1150" s="14">
        <v>0</v>
      </c>
      <c r="I1150" s="23">
        <v>101.33</v>
      </c>
      <c r="J1150" s="4">
        <v>405.32</v>
      </c>
    </row>
    <row r="1151" spans="1:10">
      <c r="A1151" t="s">
        <v>1923</v>
      </c>
      <c r="B1151" s="3">
        <v>45824</v>
      </c>
      <c r="C1151" t="s">
        <v>417</v>
      </c>
      <c r="D1151" t="s">
        <v>246</v>
      </c>
      <c r="E1151" t="s">
        <v>43</v>
      </c>
      <c r="F1151">
        <v>3</v>
      </c>
      <c r="G1151" t="s">
        <v>33</v>
      </c>
      <c r="H1151" s="14">
        <v>0.18</v>
      </c>
      <c r="I1151" s="23">
        <v>922.56</v>
      </c>
      <c r="J1151" s="4">
        <v>2767.14</v>
      </c>
    </row>
    <row r="1152" spans="1:10">
      <c r="A1152" t="s">
        <v>1924</v>
      </c>
      <c r="B1152" s="3">
        <v>45352</v>
      </c>
      <c r="C1152" t="s">
        <v>1919</v>
      </c>
      <c r="D1152" t="s">
        <v>340</v>
      </c>
      <c r="E1152" t="s">
        <v>98</v>
      </c>
      <c r="F1152">
        <v>4</v>
      </c>
      <c r="G1152" t="s">
        <v>50</v>
      </c>
      <c r="H1152" s="14">
        <v>7.0000000000000007E-2</v>
      </c>
      <c r="I1152" s="23">
        <v>867.19</v>
      </c>
      <c r="J1152" s="4">
        <v>3468.48</v>
      </c>
    </row>
    <row r="1153" spans="1:10">
      <c r="A1153" t="s">
        <v>1925</v>
      </c>
      <c r="B1153" s="3">
        <v>45454</v>
      </c>
      <c r="C1153" t="s">
        <v>1013</v>
      </c>
      <c r="D1153" t="s">
        <v>359</v>
      </c>
      <c r="E1153" t="s">
        <v>32</v>
      </c>
      <c r="F1153">
        <v>3</v>
      </c>
      <c r="G1153" t="s">
        <v>33</v>
      </c>
      <c r="H1153" s="14">
        <v>0.14000000000000001</v>
      </c>
      <c r="I1153" s="23">
        <v>816.87</v>
      </c>
      <c r="J1153" s="4">
        <v>2450.19</v>
      </c>
    </row>
    <row r="1154" spans="1:10">
      <c r="A1154" t="s">
        <v>1926</v>
      </c>
      <c r="B1154" s="3">
        <v>45924</v>
      </c>
      <c r="C1154" t="s">
        <v>1927</v>
      </c>
      <c r="D1154" t="s">
        <v>134</v>
      </c>
      <c r="E1154" t="s">
        <v>22</v>
      </c>
      <c r="F1154">
        <v>3</v>
      </c>
      <c r="G1154" t="s">
        <v>33</v>
      </c>
      <c r="H1154" s="14">
        <v>0</v>
      </c>
      <c r="I1154" s="23">
        <v>258.06</v>
      </c>
      <c r="J1154" s="4">
        <v>774.18</v>
      </c>
    </row>
    <row r="1155" spans="1:10">
      <c r="A1155" t="s">
        <v>1928</v>
      </c>
      <c r="B1155" s="3">
        <v>45694</v>
      </c>
      <c r="C1155" t="s">
        <v>794</v>
      </c>
      <c r="D1155" t="s">
        <v>340</v>
      </c>
      <c r="E1155" t="s">
        <v>98</v>
      </c>
      <c r="F1155">
        <v>2</v>
      </c>
      <c r="G1155" t="s">
        <v>23</v>
      </c>
      <c r="H1155" s="14">
        <v>0.06</v>
      </c>
      <c r="I1155" s="23">
        <v>574.58000000000004</v>
      </c>
      <c r="J1155" s="4">
        <v>1149.04</v>
      </c>
    </row>
    <row r="1156" spans="1:10">
      <c r="A1156" t="s">
        <v>1929</v>
      </c>
      <c r="B1156" s="3">
        <v>45587</v>
      </c>
      <c r="C1156" t="s">
        <v>550</v>
      </c>
      <c r="D1156" t="s">
        <v>359</v>
      </c>
      <c r="E1156" t="s">
        <v>179</v>
      </c>
      <c r="F1156">
        <v>2</v>
      </c>
      <c r="G1156" t="s">
        <v>33</v>
      </c>
      <c r="H1156" s="14">
        <v>0.27</v>
      </c>
      <c r="I1156" s="23">
        <v>472.18</v>
      </c>
      <c r="J1156" s="4">
        <v>943.82</v>
      </c>
    </row>
    <row r="1157" spans="1:10">
      <c r="A1157" t="s">
        <v>1930</v>
      </c>
      <c r="B1157" s="3">
        <v>45556</v>
      </c>
      <c r="C1157" t="s">
        <v>1931</v>
      </c>
      <c r="D1157" t="s">
        <v>745</v>
      </c>
      <c r="E1157" t="s">
        <v>58</v>
      </c>
      <c r="F1157">
        <v>2</v>
      </c>
      <c r="G1157" t="s">
        <v>50</v>
      </c>
      <c r="H1157" s="14">
        <v>0.12</v>
      </c>
      <c r="I1157" s="23">
        <v>20.47</v>
      </c>
      <c r="J1157" s="4">
        <v>40.700000000000003</v>
      </c>
    </row>
    <row r="1158" spans="1:10">
      <c r="A1158" t="s">
        <v>1932</v>
      </c>
      <c r="B1158" s="3">
        <v>45923</v>
      </c>
      <c r="C1158" t="s">
        <v>740</v>
      </c>
      <c r="D1158" t="s">
        <v>443</v>
      </c>
      <c r="E1158" t="s">
        <v>66</v>
      </c>
      <c r="F1158">
        <v>3</v>
      </c>
      <c r="G1158" t="s">
        <v>33</v>
      </c>
      <c r="H1158" s="14">
        <v>0.15</v>
      </c>
      <c r="I1158" s="23">
        <v>235.41</v>
      </c>
      <c r="J1158" s="4">
        <v>705.78</v>
      </c>
    </row>
    <row r="1159" spans="1:10">
      <c r="A1159" t="s">
        <v>1933</v>
      </c>
      <c r="B1159" s="3">
        <v>45811</v>
      </c>
      <c r="C1159" t="s">
        <v>1545</v>
      </c>
      <c r="D1159" t="s">
        <v>267</v>
      </c>
      <c r="E1159" t="s">
        <v>66</v>
      </c>
      <c r="F1159">
        <v>3</v>
      </c>
      <c r="G1159" t="s">
        <v>33</v>
      </c>
      <c r="H1159" s="14">
        <v>0.27</v>
      </c>
      <c r="I1159" s="23">
        <v>744.9</v>
      </c>
      <c r="J1159" s="4">
        <v>2233.89</v>
      </c>
    </row>
    <row r="1160" spans="1:10">
      <c r="A1160" t="s">
        <v>1934</v>
      </c>
      <c r="B1160" s="3">
        <v>45559</v>
      </c>
      <c r="C1160" t="s">
        <v>857</v>
      </c>
      <c r="D1160" t="s">
        <v>928</v>
      </c>
      <c r="E1160" t="s">
        <v>22</v>
      </c>
      <c r="F1160">
        <v>2</v>
      </c>
      <c r="G1160" t="s">
        <v>23</v>
      </c>
      <c r="H1160" s="14">
        <v>0.15</v>
      </c>
      <c r="I1160" s="23">
        <v>382.2</v>
      </c>
      <c r="J1160" s="4">
        <v>764.1</v>
      </c>
    </row>
    <row r="1161" spans="1:10">
      <c r="A1161" t="s">
        <v>1935</v>
      </c>
      <c r="B1161" s="3">
        <v>45881</v>
      </c>
      <c r="C1161" t="s">
        <v>48</v>
      </c>
      <c r="D1161" t="s">
        <v>453</v>
      </c>
      <c r="E1161" t="s">
        <v>117</v>
      </c>
      <c r="F1161">
        <v>1</v>
      </c>
      <c r="G1161" t="s">
        <v>33</v>
      </c>
      <c r="H1161" s="14">
        <v>0.14000000000000001</v>
      </c>
      <c r="I1161" s="23">
        <v>269.25</v>
      </c>
      <c r="J1161" s="4">
        <v>269.11</v>
      </c>
    </row>
    <row r="1162" spans="1:10">
      <c r="A1162" t="s">
        <v>1936</v>
      </c>
      <c r="B1162" s="3">
        <v>45367</v>
      </c>
      <c r="C1162" t="s">
        <v>1152</v>
      </c>
      <c r="D1162" t="s">
        <v>271</v>
      </c>
      <c r="E1162" t="s">
        <v>272</v>
      </c>
      <c r="F1162">
        <v>2</v>
      </c>
      <c r="G1162" t="s">
        <v>33</v>
      </c>
      <c r="H1162" s="14">
        <v>0.03</v>
      </c>
      <c r="I1162" s="23">
        <v>723.75</v>
      </c>
      <c r="J1162" s="4">
        <v>1447.44</v>
      </c>
    </row>
    <row r="1163" spans="1:10">
      <c r="A1163" t="s">
        <v>1937</v>
      </c>
      <c r="B1163" s="3">
        <v>45832</v>
      </c>
      <c r="C1163" t="s">
        <v>1379</v>
      </c>
      <c r="D1163" t="s">
        <v>314</v>
      </c>
      <c r="E1163" t="s">
        <v>135</v>
      </c>
      <c r="F1163">
        <v>4</v>
      </c>
      <c r="G1163" t="s">
        <v>23</v>
      </c>
      <c r="H1163" s="14">
        <v>0.18</v>
      </c>
      <c r="I1163" s="23">
        <v>58.92</v>
      </c>
      <c r="J1163" s="4">
        <v>234.96</v>
      </c>
    </row>
    <row r="1164" spans="1:10">
      <c r="A1164" t="s">
        <v>1938</v>
      </c>
      <c r="B1164" s="3">
        <v>45438</v>
      </c>
      <c r="C1164" t="s">
        <v>1220</v>
      </c>
      <c r="D1164" t="s">
        <v>368</v>
      </c>
      <c r="E1164" t="s">
        <v>168</v>
      </c>
      <c r="F1164">
        <v>2</v>
      </c>
      <c r="G1164" t="s">
        <v>23</v>
      </c>
      <c r="H1164" s="14">
        <v>0.26</v>
      </c>
      <c r="I1164" s="23">
        <v>913.08</v>
      </c>
      <c r="J1164" s="4">
        <v>1825.64</v>
      </c>
    </row>
    <row r="1165" spans="1:10">
      <c r="A1165" t="s">
        <v>1939</v>
      </c>
      <c r="B1165" s="3">
        <v>45691</v>
      </c>
      <c r="C1165" t="s">
        <v>1248</v>
      </c>
      <c r="D1165" t="s">
        <v>630</v>
      </c>
      <c r="E1165" t="s">
        <v>105</v>
      </c>
      <c r="F1165">
        <v>1</v>
      </c>
      <c r="G1165" t="s">
        <v>33</v>
      </c>
      <c r="H1165" s="14">
        <v>0.28000000000000003</v>
      </c>
      <c r="I1165" s="23">
        <v>791.83</v>
      </c>
      <c r="J1165" s="4">
        <v>791.55</v>
      </c>
    </row>
    <row r="1166" spans="1:10">
      <c r="A1166" t="s">
        <v>1940</v>
      </c>
      <c r="B1166" s="3">
        <v>45506</v>
      </c>
      <c r="C1166" t="s">
        <v>756</v>
      </c>
      <c r="D1166" t="s">
        <v>414</v>
      </c>
      <c r="E1166" t="s">
        <v>122</v>
      </c>
      <c r="F1166">
        <v>1</v>
      </c>
      <c r="G1166" t="s">
        <v>50</v>
      </c>
      <c r="H1166" s="14">
        <v>0.3</v>
      </c>
      <c r="I1166" s="23">
        <v>74.290000000000006</v>
      </c>
      <c r="J1166" s="4">
        <v>73.989999999999995</v>
      </c>
    </row>
    <row r="1167" spans="1:10">
      <c r="A1167" t="s">
        <v>1941</v>
      </c>
      <c r="B1167" s="3">
        <v>45251</v>
      </c>
      <c r="C1167" t="s">
        <v>552</v>
      </c>
      <c r="D1167" t="s">
        <v>487</v>
      </c>
      <c r="E1167" t="s">
        <v>90</v>
      </c>
      <c r="F1167">
        <v>2</v>
      </c>
      <c r="G1167" t="s">
        <v>33</v>
      </c>
      <c r="H1167" s="14">
        <v>0.27</v>
      </c>
      <c r="I1167" s="23">
        <v>961.68</v>
      </c>
      <c r="J1167" s="4">
        <v>1922.82</v>
      </c>
    </row>
    <row r="1168" spans="1:10">
      <c r="A1168" t="s">
        <v>1942</v>
      </c>
      <c r="B1168" s="3">
        <v>45722</v>
      </c>
      <c r="C1168" t="s">
        <v>722</v>
      </c>
      <c r="D1168" t="s">
        <v>314</v>
      </c>
      <c r="E1168" t="s">
        <v>98</v>
      </c>
      <c r="F1168">
        <v>1</v>
      </c>
      <c r="G1168" t="s">
        <v>33</v>
      </c>
      <c r="H1168" s="14">
        <v>0.1</v>
      </c>
      <c r="I1168" s="23">
        <v>90.72</v>
      </c>
      <c r="J1168" s="4">
        <v>90.62</v>
      </c>
    </row>
    <row r="1169" spans="1:10">
      <c r="A1169" t="s">
        <v>1943</v>
      </c>
      <c r="B1169" s="3">
        <v>45689</v>
      </c>
      <c r="C1169" t="s">
        <v>1683</v>
      </c>
      <c r="D1169" t="s">
        <v>714</v>
      </c>
      <c r="E1169" t="s">
        <v>66</v>
      </c>
      <c r="F1169">
        <v>1</v>
      </c>
      <c r="G1169" t="s">
        <v>33</v>
      </c>
      <c r="H1169" s="14">
        <v>0.16</v>
      </c>
      <c r="I1169" s="23">
        <v>458.69</v>
      </c>
      <c r="J1169" s="4">
        <v>458.53</v>
      </c>
    </row>
    <row r="1170" spans="1:10">
      <c r="A1170" t="s">
        <v>1944</v>
      </c>
      <c r="B1170" s="3">
        <v>45346</v>
      </c>
      <c r="C1170" t="s">
        <v>474</v>
      </c>
      <c r="D1170" t="s">
        <v>116</v>
      </c>
      <c r="E1170" t="s">
        <v>66</v>
      </c>
      <c r="F1170">
        <v>1</v>
      </c>
      <c r="G1170" t="s">
        <v>33</v>
      </c>
      <c r="H1170" s="14">
        <v>0.05</v>
      </c>
      <c r="I1170" s="23">
        <v>168.29</v>
      </c>
      <c r="J1170" s="4">
        <v>168.24</v>
      </c>
    </row>
    <row r="1171" spans="1:10">
      <c r="A1171" t="s">
        <v>1945</v>
      </c>
      <c r="B1171" s="3">
        <v>45549</v>
      </c>
      <c r="C1171" t="s">
        <v>833</v>
      </c>
      <c r="D1171" t="s">
        <v>377</v>
      </c>
      <c r="E1171" t="s">
        <v>32</v>
      </c>
      <c r="F1171">
        <v>1</v>
      </c>
      <c r="G1171" t="s">
        <v>33</v>
      </c>
      <c r="H1171" s="14">
        <v>0.1</v>
      </c>
      <c r="I1171" s="23">
        <v>391.77</v>
      </c>
      <c r="J1171" s="4">
        <v>391.67</v>
      </c>
    </row>
    <row r="1172" spans="1:10">
      <c r="A1172" t="s">
        <v>1946</v>
      </c>
      <c r="B1172" s="3">
        <v>45900</v>
      </c>
      <c r="C1172" t="s">
        <v>497</v>
      </c>
      <c r="D1172" t="s">
        <v>173</v>
      </c>
      <c r="E1172" t="s">
        <v>98</v>
      </c>
      <c r="F1172">
        <v>1</v>
      </c>
      <c r="G1172" t="s">
        <v>50</v>
      </c>
      <c r="H1172" s="14">
        <v>0.05</v>
      </c>
      <c r="I1172" s="23">
        <v>424.83</v>
      </c>
      <c r="J1172" s="4">
        <v>424.78</v>
      </c>
    </row>
    <row r="1173" spans="1:10">
      <c r="A1173" t="s">
        <v>1947</v>
      </c>
      <c r="B1173" s="3">
        <v>45308</v>
      </c>
      <c r="C1173" t="s">
        <v>1042</v>
      </c>
      <c r="D1173" t="s">
        <v>555</v>
      </c>
      <c r="E1173" t="s">
        <v>22</v>
      </c>
      <c r="F1173">
        <v>1</v>
      </c>
      <c r="G1173" t="s">
        <v>23</v>
      </c>
      <c r="H1173" s="14">
        <v>0.1</v>
      </c>
      <c r="I1173" s="23">
        <v>499.46</v>
      </c>
      <c r="J1173" s="4">
        <v>499.36</v>
      </c>
    </row>
    <row r="1174" spans="1:10">
      <c r="A1174" t="s">
        <v>1948</v>
      </c>
      <c r="B1174" s="3">
        <v>45336</v>
      </c>
      <c r="C1174" t="s">
        <v>353</v>
      </c>
      <c r="D1174" t="s">
        <v>85</v>
      </c>
      <c r="E1174" t="s">
        <v>105</v>
      </c>
      <c r="F1174">
        <v>2</v>
      </c>
      <c r="G1174" t="s">
        <v>33</v>
      </c>
      <c r="H1174" s="14">
        <v>0.15</v>
      </c>
      <c r="I1174" s="23">
        <v>698.34</v>
      </c>
      <c r="J1174" s="4">
        <v>1396.38</v>
      </c>
    </row>
    <row r="1175" spans="1:10">
      <c r="A1175" t="s">
        <v>1949</v>
      </c>
      <c r="B1175" s="3">
        <v>45213</v>
      </c>
      <c r="C1175" t="s">
        <v>1567</v>
      </c>
      <c r="D1175" t="s">
        <v>71</v>
      </c>
      <c r="E1175" t="s">
        <v>117</v>
      </c>
      <c r="F1175">
        <v>2</v>
      </c>
      <c r="G1175" t="s">
        <v>33</v>
      </c>
      <c r="H1175" s="14">
        <v>0.27</v>
      </c>
      <c r="I1175" s="23">
        <v>805.08</v>
      </c>
      <c r="J1175" s="4">
        <v>1609.62</v>
      </c>
    </row>
    <row r="1176" spans="1:10">
      <c r="A1176" t="s">
        <v>1950</v>
      </c>
      <c r="B1176" s="3">
        <v>45742</v>
      </c>
      <c r="C1176" t="s">
        <v>819</v>
      </c>
      <c r="D1176" t="s">
        <v>49</v>
      </c>
      <c r="E1176" t="s">
        <v>198</v>
      </c>
      <c r="F1176">
        <v>4</v>
      </c>
      <c r="G1176" t="s">
        <v>33</v>
      </c>
      <c r="H1176" s="14">
        <v>0.08</v>
      </c>
      <c r="I1176" s="23">
        <v>934.79</v>
      </c>
      <c r="J1176" s="4">
        <v>3738.84</v>
      </c>
    </row>
    <row r="1177" spans="1:10">
      <c r="A1177" t="s">
        <v>1951</v>
      </c>
      <c r="B1177" s="3">
        <v>45932</v>
      </c>
      <c r="C1177" t="s">
        <v>353</v>
      </c>
      <c r="D1177" t="s">
        <v>148</v>
      </c>
      <c r="E1177" t="s">
        <v>105</v>
      </c>
      <c r="F1177">
        <v>2</v>
      </c>
      <c r="G1177" t="s">
        <v>33</v>
      </c>
      <c r="H1177" s="14">
        <v>0.24</v>
      </c>
      <c r="I1177" s="23">
        <v>424.54</v>
      </c>
      <c r="J1177" s="4">
        <v>848.6</v>
      </c>
    </row>
    <row r="1178" spans="1:10">
      <c r="A1178" t="s">
        <v>1952</v>
      </c>
      <c r="B1178" s="3">
        <v>45462</v>
      </c>
      <c r="C1178" t="s">
        <v>388</v>
      </c>
      <c r="D1178" t="s">
        <v>814</v>
      </c>
      <c r="E1178" t="s">
        <v>32</v>
      </c>
      <c r="F1178">
        <v>1</v>
      </c>
      <c r="G1178" t="s">
        <v>50</v>
      </c>
      <c r="H1178" s="14">
        <v>0.19</v>
      </c>
      <c r="I1178" s="23">
        <v>235.44</v>
      </c>
      <c r="J1178" s="4">
        <v>235.25</v>
      </c>
    </row>
    <row r="1179" spans="1:10">
      <c r="A1179" t="s">
        <v>1953</v>
      </c>
      <c r="B1179" s="3">
        <v>45568</v>
      </c>
      <c r="C1179" t="s">
        <v>1481</v>
      </c>
      <c r="D1179" t="s">
        <v>42</v>
      </c>
      <c r="E1179" t="s">
        <v>149</v>
      </c>
      <c r="F1179">
        <v>2</v>
      </c>
      <c r="G1179" t="s">
        <v>23</v>
      </c>
      <c r="H1179" s="14">
        <v>0.27</v>
      </c>
      <c r="I1179" s="23">
        <v>620.71</v>
      </c>
      <c r="J1179" s="4">
        <v>1240.8800000000001</v>
      </c>
    </row>
    <row r="1180" spans="1:10">
      <c r="A1180" t="s">
        <v>1954</v>
      </c>
      <c r="B1180" s="3">
        <v>45397</v>
      </c>
      <c r="C1180" t="s">
        <v>363</v>
      </c>
      <c r="D1180" t="s">
        <v>226</v>
      </c>
      <c r="E1180" t="s">
        <v>272</v>
      </c>
      <c r="F1180">
        <v>2</v>
      </c>
      <c r="G1180" t="s">
        <v>33</v>
      </c>
      <c r="H1180" s="14">
        <v>0.13</v>
      </c>
      <c r="I1180" s="23">
        <v>851.77</v>
      </c>
      <c r="J1180" s="4">
        <v>1703.28</v>
      </c>
    </row>
    <row r="1181" spans="1:10">
      <c r="A1181" t="s">
        <v>1955</v>
      </c>
      <c r="B1181" s="3">
        <v>45569</v>
      </c>
      <c r="C1181" t="s">
        <v>338</v>
      </c>
      <c r="D1181" t="s">
        <v>344</v>
      </c>
      <c r="E1181" t="s">
        <v>105</v>
      </c>
      <c r="F1181">
        <v>3</v>
      </c>
      <c r="G1181" t="s">
        <v>23</v>
      </c>
      <c r="H1181" s="14">
        <v>0.2</v>
      </c>
      <c r="I1181" s="23">
        <v>876.01</v>
      </c>
      <c r="J1181" s="4">
        <v>2627.43</v>
      </c>
    </row>
    <row r="1182" spans="1:10">
      <c r="A1182" t="s">
        <v>1956</v>
      </c>
      <c r="B1182" s="3">
        <v>45353</v>
      </c>
      <c r="C1182" t="s">
        <v>133</v>
      </c>
      <c r="D1182" t="s">
        <v>139</v>
      </c>
      <c r="E1182" t="s">
        <v>127</v>
      </c>
      <c r="F1182">
        <v>2</v>
      </c>
      <c r="G1182" t="s">
        <v>50</v>
      </c>
      <c r="H1182" s="14">
        <v>0.15</v>
      </c>
      <c r="I1182" s="23">
        <v>717.21</v>
      </c>
      <c r="J1182" s="4">
        <v>1434.12</v>
      </c>
    </row>
    <row r="1183" spans="1:10">
      <c r="A1183" t="s">
        <v>1957</v>
      </c>
      <c r="B1183" s="3">
        <v>45343</v>
      </c>
      <c r="C1183" t="s">
        <v>41</v>
      </c>
      <c r="D1183" t="s">
        <v>745</v>
      </c>
      <c r="E1183" t="s">
        <v>43</v>
      </c>
      <c r="F1183">
        <v>2</v>
      </c>
      <c r="G1183" t="s">
        <v>23</v>
      </c>
      <c r="H1183" s="14">
        <v>0.05</v>
      </c>
      <c r="I1183" s="23">
        <v>871.43</v>
      </c>
      <c r="J1183" s="4">
        <v>1742.76</v>
      </c>
    </row>
    <row r="1184" spans="1:10">
      <c r="A1184" t="s">
        <v>1958</v>
      </c>
      <c r="B1184" s="3">
        <v>45321</v>
      </c>
      <c r="C1184" t="s">
        <v>217</v>
      </c>
      <c r="D1184" t="s">
        <v>126</v>
      </c>
      <c r="E1184" t="s">
        <v>66</v>
      </c>
      <c r="F1184">
        <v>1</v>
      </c>
      <c r="G1184" t="s">
        <v>23</v>
      </c>
      <c r="H1184" s="14">
        <v>0.18</v>
      </c>
      <c r="I1184" s="23">
        <v>514.65</v>
      </c>
      <c r="J1184" s="4">
        <v>514.47</v>
      </c>
    </row>
    <row r="1185" spans="1:10">
      <c r="A1185" t="s">
        <v>1959</v>
      </c>
      <c r="B1185" s="3">
        <v>45650</v>
      </c>
      <c r="C1185" t="s">
        <v>538</v>
      </c>
      <c r="D1185" t="s">
        <v>661</v>
      </c>
      <c r="E1185" t="s">
        <v>117</v>
      </c>
      <c r="F1185">
        <v>3</v>
      </c>
      <c r="G1185" t="s">
        <v>50</v>
      </c>
      <c r="H1185" s="14">
        <v>0.28000000000000003</v>
      </c>
      <c r="I1185" s="23">
        <v>198.76</v>
      </c>
      <c r="J1185" s="4">
        <v>595.44000000000005</v>
      </c>
    </row>
    <row r="1186" spans="1:10">
      <c r="A1186" t="s">
        <v>1960</v>
      </c>
      <c r="B1186" s="3">
        <v>45811</v>
      </c>
      <c r="C1186" t="s">
        <v>817</v>
      </c>
      <c r="D1186" t="s">
        <v>625</v>
      </c>
      <c r="E1186" t="s">
        <v>22</v>
      </c>
      <c r="F1186">
        <v>2</v>
      </c>
      <c r="G1186" t="s">
        <v>50</v>
      </c>
      <c r="H1186" s="14">
        <v>0.16</v>
      </c>
      <c r="I1186" s="23">
        <v>975.72</v>
      </c>
      <c r="J1186" s="4">
        <v>1951.12</v>
      </c>
    </row>
    <row r="1187" spans="1:10">
      <c r="A1187" t="s">
        <v>1961</v>
      </c>
      <c r="B1187" s="3">
        <v>45505</v>
      </c>
      <c r="C1187" t="s">
        <v>278</v>
      </c>
      <c r="D1187" t="s">
        <v>65</v>
      </c>
      <c r="E1187" t="s">
        <v>105</v>
      </c>
      <c r="F1187">
        <v>1</v>
      </c>
      <c r="G1187" t="s">
        <v>23</v>
      </c>
      <c r="H1187" s="14">
        <v>0.01</v>
      </c>
      <c r="I1187" s="23">
        <v>86.03</v>
      </c>
      <c r="J1187" s="4">
        <v>86.02</v>
      </c>
    </row>
    <row r="1188" spans="1:10">
      <c r="A1188" t="s">
        <v>1962</v>
      </c>
      <c r="B1188" s="3">
        <v>45897</v>
      </c>
      <c r="C1188" t="s">
        <v>456</v>
      </c>
      <c r="D1188" t="s">
        <v>420</v>
      </c>
      <c r="E1188" t="s">
        <v>208</v>
      </c>
      <c r="F1188">
        <v>4</v>
      </c>
      <c r="G1188" t="s">
        <v>33</v>
      </c>
      <c r="H1188" s="14">
        <v>0.15</v>
      </c>
      <c r="I1188" s="23">
        <v>705.12</v>
      </c>
      <c r="J1188" s="4">
        <v>2819.88</v>
      </c>
    </row>
    <row r="1189" spans="1:10">
      <c r="A1189" t="s">
        <v>1963</v>
      </c>
      <c r="B1189" s="3">
        <v>45602</v>
      </c>
      <c r="C1189" t="s">
        <v>674</v>
      </c>
      <c r="D1189" t="s">
        <v>928</v>
      </c>
      <c r="E1189" t="s">
        <v>208</v>
      </c>
      <c r="F1189">
        <v>3</v>
      </c>
      <c r="G1189" t="s">
        <v>33</v>
      </c>
      <c r="H1189" s="14">
        <v>0.01</v>
      </c>
      <c r="I1189" s="23">
        <v>99.77</v>
      </c>
      <c r="J1189" s="4">
        <v>299.27999999999997</v>
      </c>
    </row>
    <row r="1190" spans="1:10">
      <c r="A1190" t="s">
        <v>1964</v>
      </c>
      <c r="B1190" s="3">
        <v>45530</v>
      </c>
      <c r="C1190" t="s">
        <v>771</v>
      </c>
      <c r="D1190" t="s">
        <v>116</v>
      </c>
      <c r="E1190" t="s">
        <v>127</v>
      </c>
      <c r="F1190">
        <v>2</v>
      </c>
      <c r="G1190" t="s">
        <v>33</v>
      </c>
      <c r="H1190" s="14">
        <v>0.14000000000000001</v>
      </c>
      <c r="I1190" s="23">
        <v>166.26</v>
      </c>
      <c r="J1190" s="4">
        <v>332.24</v>
      </c>
    </row>
    <row r="1191" spans="1:10">
      <c r="A1191" t="s">
        <v>1965</v>
      </c>
      <c r="B1191" s="3">
        <v>45729</v>
      </c>
      <c r="C1191" t="s">
        <v>538</v>
      </c>
      <c r="D1191" t="s">
        <v>246</v>
      </c>
      <c r="E1191" t="s">
        <v>58</v>
      </c>
      <c r="F1191">
        <v>1</v>
      </c>
      <c r="G1191" t="s">
        <v>23</v>
      </c>
      <c r="H1191" s="14">
        <v>0.28999999999999998</v>
      </c>
      <c r="I1191" s="23">
        <v>429.25</v>
      </c>
      <c r="J1191" s="4">
        <v>428.96</v>
      </c>
    </row>
    <row r="1192" spans="1:10">
      <c r="A1192" t="s">
        <v>1966</v>
      </c>
      <c r="B1192" s="3">
        <v>45468</v>
      </c>
      <c r="C1192" t="s">
        <v>115</v>
      </c>
      <c r="D1192" t="s">
        <v>768</v>
      </c>
      <c r="E1192" t="s">
        <v>127</v>
      </c>
      <c r="F1192">
        <v>2</v>
      </c>
      <c r="G1192" t="s">
        <v>23</v>
      </c>
      <c r="H1192" s="14">
        <v>0.28999999999999998</v>
      </c>
      <c r="I1192" s="23">
        <v>540.48</v>
      </c>
      <c r="J1192" s="4">
        <v>1080.3800000000001</v>
      </c>
    </row>
    <row r="1193" spans="1:10">
      <c r="A1193" t="s">
        <v>1967</v>
      </c>
      <c r="B1193" s="3">
        <v>45936</v>
      </c>
      <c r="C1193" t="s">
        <v>326</v>
      </c>
      <c r="D1193" t="s">
        <v>57</v>
      </c>
      <c r="E1193" t="s">
        <v>98</v>
      </c>
      <c r="F1193">
        <v>2</v>
      </c>
      <c r="G1193" t="s">
        <v>33</v>
      </c>
      <c r="H1193" s="14">
        <v>0.01</v>
      </c>
      <c r="I1193" s="23">
        <v>579.52</v>
      </c>
      <c r="J1193" s="4">
        <v>1159.02</v>
      </c>
    </row>
    <row r="1194" spans="1:10">
      <c r="A1194" t="s">
        <v>1968</v>
      </c>
      <c r="B1194" s="3">
        <v>45622</v>
      </c>
      <c r="C1194" t="s">
        <v>1223</v>
      </c>
      <c r="D1194" t="s">
        <v>167</v>
      </c>
      <c r="E1194" t="s">
        <v>32</v>
      </c>
      <c r="F1194">
        <v>4</v>
      </c>
      <c r="G1194" t="s">
        <v>33</v>
      </c>
      <c r="H1194" s="14">
        <v>7.0000000000000007E-2</v>
      </c>
      <c r="I1194" s="23">
        <v>477.52</v>
      </c>
      <c r="J1194" s="4">
        <v>1909.8</v>
      </c>
    </row>
    <row r="1195" spans="1:10">
      <c r="A1195" t="s">
        <v>1969</v>
      </c>
      <c r="B1195" s="3">
        <v>45705</v>
      </c>
      <c r="C1195" t="s">
        <v>1591</v>
      </c>
      <c r="D1195" t="s">
        <v>372</v>
      </c>
      <c r="E1195" t="s">
        <v>179</v>
      </c>
      <c r="F1195">
        <v>3</v>
      </c>
      <c r="G1195" t="s">
        <v>23</v>
      </c>
      <c r="H1195" s="14">
        <v>0.25</v>
      </c>
      <c r="I1195" s="23">
        <v>242.58</v>
      </c>
      <c r="J1195" s="4">
        <v>726.99</v>
      </c>
    </row>
    <row r="1196" spans="1:10">
      <c r="A1196" t="s">
        <v>1970</v>
      </c>
      <c r="B1196" s="3">
        <v>45250</v>
      </c>
      <c r="C1196" t="s">
        <v>307</v>
      </c>
      <c r="D1196" t="s">
        <v>246</v>
      </c>
      <c r="E1196" t="s">
        <v>32</v>
      </c>
      <c r="F1196">
        <v>2</v>
      </c>
      <c r="G1196" t="s">
        <v>33</v>
      </c>
      <c r="H1196" s="14">
        <v>0.09</v>
      </c>
      <c r="I1196" s="23">
        <v>519.29999999999995</v>
      </c>
      <c r="J1196" s="4">
        <v>1038.42</v>
      </c>
    </row>
    <row r="1197" spans="1:10">
      <c r="A1197" t="s">
        <v>1971</v>
      </c>
      <c r="B1197" s="3">
        <v>45684</v>
      </c>
      <c r="C1197" t="s">
        <v>1292</v>
      </c>
      <c r="D1197" t="s">
        <v>242</v>
      </c>
      <c r="E1197" t="s">
        <v>272</v>
      </c>
      <c r="F1197">
        <v>3</v>
      </c>
      <c r="G1197" t="s">
        <v>50</v>
      </c>
      <c r="H1197" s="14">
        <v>0.12</v>
      </c>
      <c r="I1197" s="23">
        <v>845.67</v>
      </c>
      <c r="J1197" s="4">
        <v>2536.65</v>
      </c>
    </row>
    <row r="1198" spans="1:10">
      <c r="A1198" t="s">
        <v>1972</v>
      </c>
      <c r="B1198" s="3">
        <v>45395</v>
      </c>
      <c r="C1198" t="s">
        <v>1691</v>
      </c>
      <c r="D1198" t="s">
        <v>564</v>
      </c>
      <c r="E1198" t="s">
        <v>117</v>
      </c>
      <c r="F1198">
        <v>4</v>
      </c>
      <c r="G1198" t="s">
        <v>33</v>
      </c>
      <c r="H1198" s="14">
        <v>0.01</v>
      </c>
      <c r="I1198" s="23">
        <v>750.26</v>
      </c>
      <c r="J1198" s="4">
        <v>3001</v>
      </c>
    </row>
    <row r="1199" spans="1:10">
      <c r="A1199" t="s">
        <v>1973</v>
      </c>
      <c r="B1199" s="3">
        <v>45382</v>
      </c>
      <c r="C1199" t="s">
        <v>873</v>
      </c>
      <c r="D1199" t="s">
        <v>603</v>
      </c>
      <c r="E1199" t="s">
        <v>208</v>
      </c>
      <c r="F1199">
        <v>4</v>
      </c>
      <c r="G1199" t="s">
        <v>23</v>
      </c>
      <c r="H1199" s="14">
        <v>0.2</v>
      </c>
      <c r="I1199" s="23">
        <v>294.38</v>
      </c>
      <c r="J1199" s="4">
        <v>1176.72</v>
      </c>
    </row>
    <row r="1200" spans="1:10">
      <c r="A1200" t="s">
        <v>1974</v>
      </c>
      <c r="B1200" s="3">
        <v>45919</v>
      </c>
      <c r="C1200" t="s">
        <v>428</v>
      </c>
      <c r="D1200" t="s">
        <v>1259</v>
      </c>
      <c r="E1200" t="s">
        <v>198</v>
      </c>
      <c r="F1200">
        <v>3</v>
      </c>
      <c r="G1200" t="s">
        <v>33</v>
      </c>
      <c r="H1200" s="14">
        <v>7.0000000000000007E-2</v>
      </c>
      <c r="I1200" s="23">
        <v>583.52</v>
      </c>
      <c r="J1200" s="4">
        <v>1750.35</v>
      </c>
    </row>
    <row r="1201" spans="1:10">
      <c r="A1201" t="s">
        <v>1975</v>
      </c>
      <c r="B1201" s="3">
        <v>45453</v>
      </c>
      <c r="C1201" t="s">
        <v>264</v>
      </c>
      <c r="D1201" t="s">
        <v>287</v>
      </c>
      <c r="E1201" t="s">
        <v>117</v>
      </c>
      <c r="F1201">
        <v>2</v>
      </c>
      <c r="G1201" t="s">
        <v>50</v>
      </c>
      <c r="H1201" s="14">
        <v>0.3</v>
      </c>
      <c r="I1201" s="23">
        <v>635.22</v>
      </c>
      <c r="J1201" s="4">
        <v>1269.8399999999999</v>
      </c>
    </row>
    <row r="1202" spans="1:10">
      <c r="A1202" t="s">
        <v>1976</v>
      </c>
      <c r="B1202" s="3">
        <v>45313</v>
      </c>
      <c r="C1202" t="s">
        <v>624</v>
      </c>
      <c r="D1202" t="s">
        <v>532</v>
      </c>
      <c r="E1202" t="s">
        <v>198</v>
      </c>
      <c r="F1202">
        <v>1</v>
      </c>
      <c r="G1202" t="s">
        <v>50</v>
      </c>
      <c r="H1202" s="14">
        <v>0.11</v>
      </c>
      <c r="I1202" s="23">
        <v>743.55</v>
      </c>
      <c r="J1202" s="4">
        <v>743.44</v>
      </c>
    </row>
    <row r="1203" spans="1:10">
      <c r="A1203" t="s">
        <v>1977</v>
      </c>
      <c r="B1203" s="3">
        <v>45377</v>
      </c>
      <c r="C1203" t="s">
        <v>789</v>
      </c>
      <c r="D1203" t="s">
        <v>275</v>
      </c>
      <c r="E1203" t="s">
        <v>22</v>
      </c>
      <c r="F1203">
        <v>4</v>
      </c>
      <c r="G1203" t="s">
        <v>23</v>
      </c>
      <c r="H1203" s="14">
        <v>0.13</v>
      </c>
      <c r="I1203" s="23">
        <v>530.45000000000005</v>
      </c>
      <c r="J1203" s="4">
        <v>2121.2800000000002</v>
      </c>
    </row>
    <row r="1204" spans="1:10">
      <c r="A1204" t="s">
        <v>1978</v>
      </c>
      <c r="B1204" s="3">
        <v>45371</v>
      </c>
      <c r="C1204" t="s">
        <v>476</v>
      </c>
      <c r="D1204" t="s">
        <v>532</v>
      </c>
      <c r="E1204" t="s">
        <v>127</v>
      </c>
      <c r="F1204">
        <v>2</v>
      </c>
      <c r="G1204" t="s">
        <v>50</v>
      </c>
      <c r="H1204" s="14">
        <v>0.06</v>
      </c>
      <c r="I1204" s="23">
        <v>972.4</v>
      </c>
      <c r="J1204" s="4">
        <v>1944.68</v>
      </c>
    </row>
    <row r="1205" spans="1:10">
      <c r="A1205" t="s">
        <v>1979</v>
      </c>
      <c r="B1205" s="3">
        <v>45797</v>
      </c>
      <c r="C1205" t="s">
        <v>371</v>
      </c>
      <c r="D1205" t="s">
        <v>65</v>
      </c>
      <c r="E1205" t="s">
        <v>160</v>
      </c>
      <c r="F1205">
        <v>3</v>
      </c>
      <c r="G1205" t="s">
        <v>50</v>
      </c>
      <c r="H1205" s="14">
        <v>0</v>
      </c>
      <c r="I1205" s="23">
        <v>197.93</v>
      </c>
      <c r="J1205" s="4">
        <v>593.79</v>
      </c>
    </row>
    <row r="1206" spans="1:10">
      <c r="A1206" t="s">
        <v>1980</v>
      </c>
      <c r="B1206" s="3">
        <v>45575</v>
      </c>
      <c r="C1206" t="s">
        <v>1455</v>
      </c>
      <c r="D1206" t="s">
        <v>514</v>
      </c>
      <c r="E1206" t="s">
        <v>272</v>
      </c>
      <c r="F1206">
        <v>4</v>
      </c>
      <c r="G1206" t="s">
        <v>33</v>
      </c>
      <c r="H1206" s="14">
        <v>0.16</v>
      </c>
      <c r="I1206" s="23">
        <v>565.51</v>
      </c>
      <c r="J1206" s="4">
        <v>2261.4</v>
      </c>
    </row>
    <row r="1207" spans="1:10">
      <c r="A1207" t="s">
        <v>1981</v>
      </c>
      <c r="B1207" s="3">
        <v>45566</v>
      </c>
      <c r="C1207" t="s">
        <v>1982</v>
      </c>
      <c r="D1207" t="s">
        <v>104</v>
      </c>
      <c r="E1207" t="s">
        <v>72</v>
      </c>
      <c r="F1207">
        <v>4</v>
      </c>
      <c r="G1207" t="s">
        <v>50</v>
      </c>
      <c r="H1207" s="14">
        <v>0.25</v>
      </c>
      <c r="I1207" s="23">
        <v>983.38</v>
      </c>
      <c r="J1207" s="4">
        <v>3932.52</v>
      </c>
    </row>
    <row r="1208" spans="1:10">
      <c r="A1208" t="s">
        <v>1983</v>
      </c>
      <c r="B1208" s="3">
        <v>45252</v>
      </c>
      <c r="C1208" t="s">
        <v>880</v>
      </c>
      <c r="D1208" t="s">
        <v>85</v>
      </c>
      <c r="E1208" t="s">
        <v>127</v>
      </c>
      <c r="F1208">
        <v>1</v>
      </c>
      <c r="G1208" t="s">
        <v>23</v>
      </c>
      <c r="H1208" s="14">
        <v>0.14000000000000001</v>
      </c>
      <c r="I1208" s="23">
        <v>955.06</v>
      </c>
      <c r="J1208" s="4">
        <v>954.92</v>
      </c>
    </row>
    <row r="1209" spans="1:10">
      <c r="A1209" t="s">
        <v>1984</v>
      </c>
      <c r="B1209" s="3">
        <v>45693</v>
      </c>
      <c r="C1209" t="s">
        <v>1149</v>
      </c>
      <c r="D1209" t="s">
        <v>57</v>
      </c>
      <c r="E1209" t="s">
        <v>122</v>
      </c>
      <c r="F1209">
        <v>3</v>
      </c>
      <c r="G1209" t="s">
        <v>33</v>
      </c>
      <c r="H1209" s="14">
        <v>0.02</v>
      </c>
      <c r="I1209" s="23">
        <v>597.46</v>
      </c>
      <c r="J1209" s="4">
        <v>1792.32</v>
      </c>
    </row>
    <row r="1210" spans="1:10">
      <c r="A1210" t="s">
        <v>1985</v>
      </c>
      <c r="B1210" s="3">
        <v>45446</v>
      </c>
      <c r="C1210" t="s">
        <v>1284</v>
      </c>
      <c r="D1210" t="s">
        <v>484</v>
      </c>
      <c r="E1210" t="s">
        <v>117</v>
      </c>
      <c r="F1210">
        <v>3</v>
      </c>
      <c r="G1210" t="s">
        <v>50</v>
      </c>
      <c r="H1210" s="14">
        <v>0.1</v>
      </c>
      <c r="I1210" s="23">
        <v>581.09</v>
      </c>
      <c r="J1210" s="4">
        <v>1742.97</v>
      </c>
    </row>
    <row r="1211" spans="1:10">
      <c r="A1211" t="s">
        <v>1986</v>
      </c>
      <c r="B1211" s="3">
        <v>45862</v>
      </c>
      <c r="C1211" t="s">
        <v>384</v>
      </c>
      <c r="D1211" t="s">
        <v>271</v>
      </c>
      <c r="E1211" t="s">
        <v>72</v>
      </c>
      <c r="F1211">
        <v>4</v>
      </c>
      <c r="G1211" t="s">
        <v>33</v>
      </c>
      <c r="H1211" s="14">
        <v>0.11</v>
      </c>
      <c r="I1211" s="23">
        <v>153.94999999999999</v>
      </c>
      <c r="J1211" s="4">
        <v>615.36</v>
      </c>
    </row>
    <row r="1212" spans="1:10">
      <c r="A1212" t="s">
        <v>1987</v>
      </c>
      <c r="B1212" s="3">
        <v>45530</v>
      </c>
      <c r="C1212" t="s">
        <v>613</v>
      </c>
      <c r="D1212" t="s">
        <v>126</v>
      </c>
      <c r="E1212" t="s">
        <v>43</v>
      </c>
      <c r="F1212">
        <v>4</v>
      </c>
      <c r="G1212" t="s">
        <v>50</v>
      </c>
      <c r="H1212" s="14">
        <v>0.12</v>
      </c>
      <c r="I1212" s="23">
        <v>271.04000000000002</v>
      </c>
      <c r="J1212" s="4">
        <v>1083.68</v>
      </c>
    </row>
    <row r="1213" spans="1:10">
      <c r="A1213" t="s">
        <v>1988</v>
      </c>
      <c r="B1213" s="3">
        <v>45558</v>
      </c>
      <c r="C1213" t="s">
        <v>986</v>
      </c>
      <c r="D1213" t="s">
        <v>487</v>
      </c>
      <c r="E1213" t="s">
        <v>179</v>
      </c>
      <c r="F1213">
        <v>4</v>
      </c>
      <c r="G1213" t="s">
        <v>33</v>
      </c>
      <c r="H1213" s="14">
        <v>0.09</v>
      </c>
      <c r="I1213" s="23">
        <v>328.27</v>
      </c>
      <c r="J1213" s="4">
        <v>1312.72</v>
      </c>
    </row>
    <row r="1214" spans="1:10">
      <c r="A1214" t="s">
        <v>1989</v>
      </c>
      <c r="B1214" s="3">
        <v>45472</v>
      </c>
      <c r="C1214" t="s">
        <v>722</v>
      </c>
      <c r="D1214" t="s">
        <v>377</v>
      </c>
      <c r="E1214" t="s">
        <v>98</v>
      </c>
      <c r="F1214">
        <v>4</v>
      </c>
      <c r="G1214" t="s">
        <v>33</v>
      </c>
      <c r="H1214" s="14">
        <v>0.09</v>
      </c>
      <c r="I1214" s="23">
        <v>884.71</v>
      </c>
      <c r="J1214" s="4">
        <v>3538.48</v>
      </c>
    </row>
    <row r="1215" spans="1:10">
      <c r="A1215" t="s">
        <v>1990</v>
      </c>
      <c r="B1215" s="3">
        <v>45809</v>
      </c>
      <c r="C1215" t="s">
        <v>1734</v>
      </c>
      <c r="D1215" t="s">
        <v>155</v>
      </c>
      <c r="E1215" t="s">
        <v>72</v>
      </c>
      <c r="F1215">
        <v>1</v>
      </c>
      <c r="G1215" t="s">
        <v>23</v>
      </c>
      <c r="H1215" s="14">
        <v>0.01</v>
      </c>
      <c r="I1215" s="23">
        <v>41.39</v>
      </c>
      <c r="J1215" s="4">
        <v>41.38</v>
      </c>
    </row>
    <row r="1216" spans="1:10">
      <c r="A1216" t="s">
        <v>1991</v>
      </c>
      <c r="B1216" s="3">
        <v>45783</v>
      </c>
      <c r="C1216" t="s">
        <v>931</v>
      </c>
      <c r="D1216" t="s">
        <v>509</v>
      </c>
      <c r="E1216" t="s">
        <v>127</v>
      </c>
      <c r="F1216">
        <v>4</v>
      </c>
      <c r="G1216" t="s">
        <v>23</v>
      </c>
      <c r="H1216" s="14">
        <v>0.26</v>
      </c>
      <c r="I1216" s="23">
        <v>64.06</v>
      </c>
      <c r="J1216" s="4">
        <v>255.2</v>
      </c>
    </row>
    <row r="1217" spans="1:10">
      <c r="A1217" t="s">
        <v>1992</v>
      </c>
      <c r="B1217" s="3">
        <v>45849</v>
      </c>
      <c r="C1217" t="s">
        <v>48</v>
      </c>
      <c r="D1217" t="s">
        <v>381</v>
      </c>
      <c r="E1217" t="s">
        <v>127</v>
      </c>
      <c r="F1217">
        <v>2</v>
      </c>
      <c r="G1217" t="s">
        <v>23</v>
      </c>
      <c r="H1217" s="14">
        <v>0.13</v>
      </c>
      <c r="I1217" s="23">
        <v>152.25</v>
      </c>
      <c r="J1217" s="4">
        <v>304.24</v>
      </c>
    </row>
    <row r="1218" spans="1:10">
      <c r="A1218" t="s">
        <v>1993</v>
      </c>
      <c r="B1218" s="3">
        <v>45281</v>
      </c>
      <c r="C1218" t="s">
        <v>1169</v>
      </c>
      <c r="D1218" t="s">
        <v>197</v>
      </c>
      <c r="E1218" t="s">
        <v>135</v>
      </c>
      <c r="F1218">
        <v>2</v>
      </c>
      <c r="G1218" t="s">
        <v>23</v>
      </c>
      <c r="H1218" s="14">
        <v>0.23</v>
      </c>
      <c r="I1218" s="23">
        <v>889.04</v>
      </c>
      <c r="J1218" s="4">
        <v>1777.62</v>
      </c>
    </row>
    <row r="1219" spans="1:10">
      <c r="A1219" t="s">
        <v>1994</v>
      </c>
      <c r="B1219" s="3">
        <v>45322</v>
      </c>
      <c r="C1219" t="s">
        <v>954</v>
      </c>
      <c r="D1219" t="s">
        <v>786</v>
      </c>
      <c r="E1219" t="s">
        <v>168</v>
      </c>
      <c r="F1219">
        <v>3</v>
      </c>
      <c r="G1219" t="s">
        <v>33</v>
      </c>
      <c r="H1219" s="14">
        <v>0.24</v>
      </c>
      <c r="I1219" s="23">
        <v>145.25</v>
      </c>
      <c r="J1219" s="4">
        <v>435.03</v>
      </c>
    </row>
    <row r="1220" spans="1:10">
      <c r="A1220" t="s">
        <v>1995</v>
      </c>
      <c r="B1220" s="3">
        <v>45560</v>
      </c>
      <c r="C1220" t="s">
        <v>41</v>
      </c>
      <c r="D1220" t="s">
        <v>110</v>
      </c>
      <c r="E1220" t="s">
        <v>198</v>
      </c>
      <c r="F1220">
        <v>2</v>
      </c>
      <c r="G1220" t="s">
        <v>50</v>
      </c>
      <c r="H1220" s="14">
        <v>0.28999999999999998</v>
      </c>
      <c r="I1220" s="23">
        <v>898.45</v>
      </c>
      <c r="J1220" s="4">
        <v>1796.32</v>
      </c>
    </row>
    <row r="1221" spans="1:10">
      <c r="A1221" t="s">
        <v>1996</v>
      </c>
      <c r="B1221" s="3">
        <v>45905</v>
      </c>
      <c r="C1221" t="s">
        <v>1997</v>
      </c>
      <c r="D1221" t="s">
        <v>487</v>
      </c>
      <c r="E1221" t="s">
        <v>122</v>
      </c>
      <c r="F1221">
        <v>4</v>
      </c>
      <c r="G1221" t="s">
        <v>23</v>
      </c>
      <c r="H1221" s="14">
        <v>0.25</v>
      </c>
      <c r="I1221" s="23">
        <v>642.04999999999995</v>
      </c>
      <c r="J1221" s="4">
        <v>2567.1999999999998</v>
      </c>
    </row>
    <row r="1222" spans="1:10">
      <c r="A1222" t="s">
        <v>1998</v>
      </c>
      <c r="B1222" s="3">
        <v>45531</v>
      </c>
      <c r="C1222" t="s">
        <v>1999</v>
      </c>
      <c r="D1222" t="s">
        <v>814</v>
      </c>
      <c r="E1222" t="s">
        <v>66</v>
      </c>
      <c r="F1222">
        <v>4</v>
      </c>
      <c r="G1222" t="s">
        <v>23</v>
      </c>
      <c r="H1222" s="14">
        <v>0.24</v>
      </c>
      <c r="I1222" s="23">
        <v>450.83</v>
      </c>
      <c r="J1222" s="4">
        <v>1802.36</v>
      </c>
    </row>
    <row r="1223" spans="1:10">
      <c r="A1223" t="s">
        <v>2000</v>
      </c>
      <c r="B1223" s="3">
        <v>45216</v>
      </c>
      <c r="C1223" t="s">
        <v>396</v>
      </c>
      <c r="D1223" t="s">
        <v>282</v>
      </c>
      <c r="E1223" t="s">
        <v>135</v>
      </c>
      <c r="F1223">
        <v>2</v>
      </c>
      <c r="G1223" t="s">
        <v>50</v>
      </c>
      <c r="H1223" s="14">
        <v>0.23</v>
      </c>
      <c r="I1223" s="23">
        <v>441.03</v>
      </c>
      <c r="J1223" s="4">
        <v>881.6</v>
      </c>
    </row>
    <row r="1224" spans="1:10">
      <c r="A1224" t="s">
        <v>2001</v>
      </c>
      <c r="B1224" s="3">
        <v>45384</v>
      </c>
      <c r="C1224" t="s">
        <v>752</v>
      </c>
      <c r="D1224" t="s">
        <v>425</v>
      </c>
      <c r="E1224" t="s">
        <v>198</v>
      </c>
      <c r="F1224">
        <v>3</v>
      </c>
      <c r="G1224" t="s">
        <v>33</v>
      </c>
      <c r="H1224" s="14">
        <v>7.0000000000000007E-2</v>
      </c>
      <c r="I1224" s="23">
        <v>377.69</v>
      </c>
      <c r="J1224" s="4">
        <v>1132.8599999999999</v>
      </c>
    </row>
    <row r="1225" spans="1:10">
      <c r="A1225" t="s">
        <v>2002</v>
      </c>
      <c r="B1225" s="3">
        <v>45416</v>
      </c>
      <c r="C1225" t="s">
        <v>1155</v>
      </c>
      <c r="D1225" t="s">
        <v>234</v>
      </c>
      <c r="E1225" t="s">
        <v>66</v>
      </c>
      <c r="F1225">
        <v>1</v>
      </c>
      <c r="G1225" t="s">
        <v>23</v>
      </c>
      <c r="H1225" s="14">
        <v>0.27</v>
      </c>
      <c r="I1225" s="23">
        <v>457.33</v>
      </c>
      <c r="J1225" s="4">
        <v>457.06</v>
      </c>
    </row>
    <row r="1226" spans="1:10">
      <c r="A1226" t="s">
        <v>2003</v>
      </c>
      <c r="B1226" s="3">
        <v>45880</v>
      </c>
      <c r="C1226" t="s">
        <v>408</v>
      </c>
      <c r="D1226" t="s">
        <v>49</v>
      </c>
      <c r="E1226" t="s">
        <v>179</v>
      </c>
      <c r="F1226">
        <v>4</v>
      </c>
      <c r="G1226" t="s">
        <v>23</v>
      </c>
      <c r="H1226" s="14">
        <v>0.06</v>
      </c>
      <c r="I1226" s="23">
        <v>218.01</v>
      </c>
      <c r="J1226" s="4">
        <v>871.8</v>
      </c>
    </row>
    <row r="1227" spans="1:10">
      <c r="A1227" t="s">
        <v>2004</v>
      </c>
      <c r="B1227" s="3">
        <v>45933</v>
      </c>
      <c r="C1227" t="s">
        <v>225</v>
      </c>
      <c r="D1227" t="s">
        <v>603</v>
      </c>
      <c r="E1227" t="s">
        <v>160</v>
      </c>
      <c r="F1227">
        <v>2</v>
      </c>
      <c r="G1227" t="s">
        <v>23</v>
      </c>
      <c r="H1227" s="14">
        <v>0.13</v>
      </c>
      <c r="I1227" s="23">
        <v>682.7</v>
      </c>
      <c r="J1227" s="4">
        <v>1365.14</v>
      </c>
    </row>
    <row r="1228" spans="1:10">
      <c r="A1228" t="s">
        <v>2005</v>
      </c>
      <c r="B1228" s="3">
        <v>45345</v>
      </c>
      <c r="C1228" t="s">
        <v>648</v>
      </c>
      <c r="D1228" t="s">
        <v>314</v>
      </c>
      <c r="E1228" t="s">
        <v>160</v>
      </c>
      <c r="F1228">
        <v>3</v>
      </c>
      <c r="G1228" t="s">
        <v>33</v>
      </c>
      <c r="H1228" s="14">
        <v>0.04</v>
      </c>
      <c r="I1228" s="23">
        <v>726.97</v>
      </c>
      <c r="J1228" s="4">
        <v>2180.79</v>
      </c>
    </row>
    <row r="1229" spans="1:10">
      <c r="A1229" t="s">
        <v>2006</v>
      </c>
      <c r="B1229" s="3">
        <v>45681</v>
      </c>
      <c r="C1229" t="s">
        <v>310</v>
      </c>
      <c r="D1229" t="s">
        <v>57</v>
      </c>
      <c r="E1229" t="s">
        <v>127</v>
      </c>
      <c r="F1229">
        <v>2</v>
      </c>
      <c r="G1229" t="s">
        <v>23</v>
      </c>
      <c r="H1229" s="14">
        <v>0.06</v>
      </c>
      <c r="I1229" s="23">
        <v>107.97</v>
      </c>
      <c r="J1229" s="4">
        <v>215.82</v>
      </c>
    </row>
    <row r="1230" spans="1:10">
      <c r="A1230" t="s">
        <v>2007</v>
      </c>
      <c r="B1230" s="3">
        <v>45785</v>
      </c>
      <c r="C1230" t="s">
        <v>355</v>
      </c>
      <c r="D1230" t="s">
        <v>183</v>
      </c>
      <c r="E1230" t="s">
        <v>98</v>
      </c>
      <c r="F1230">
        <v>1</v>
      </c>
      <c r="G1230" t="s">
        <v>50</v>
      </c>
      <c r="H1230" s="14">
        <v>0.16</v>
      </c>
      <c r="I1230" s="23">
        <v>38.880000000000003</v>
      </c>
      <c r="J1230" s="4">
        <v>38.72</v>
      </c>
    </row>
    <row r="1231" spans="1:10">
      <c r="A1231" t="s">
        <v>2008</v>
      </c>
      <c r="B1231" s="3">
        <v>45823</v>
      </c>
      <c r="C1231" t="s">
        <v>1596</v>
      </c>
      <c r="D1231" t="s">
        <v>226</v>
      </c>
      <c r="E1231" t="s">
        <v>32</v>
      </c>
      <c r="F1231">
        <v>3</v>
      </c>
      <c r="G1231" t="s">
        <v>50</v>
      </c>
      <c r="H1231" s="14">
        <v>0.28999999999999998</v>
      </c>
      <c r="I1231" s="23">
        <v>484.39</v>
      </c>
      <c r="J1231" s="4">
        <v>1452.3</v>
      </c>
    </row>
    <row r="1232" spans="1:10">
      <c r="A1232" t="s">
        <v>2009</v>
      </c>
      <c r="B1232" s="3">
        <v>45572</v>
      </c>
      <c r="C1232" t="s">
        <v>2010</v>
      </c>
      <c r="D1232" t="s">
        <v>429</v>
      </c>
      <c r="E1232" t="s">
        <v>122</v>
      </c>
      <c r="F1232">
        <v>2</v>
      </c>
      <c r="G1232" t="s">
        <v>50</v>
      </c>
      <c r="H1232" s="14">
        <v>0.08</v>
      </c>
      <c r="I1232" s="23">
        <v>949.3</v>
      </c>
      <c r="J1232" s="4">
        <v>1898.44</v>
      </c>
    </row>
    <row r="1233" spans="1:10">
      <c r="A1233" t="s">
        <v>2011</v>
      </c>
      <c r="B1233" s="3">
        <v>45259</v>
      </c>
      <c r="C1233" t="s">
        <v>778</v>
      </c>
      <c r="D1233" t="s">
        <v>368</v>
      </c>
      <c r="E1233" t="s">
        <v>179</v>
      </c>
      <c r="F1233">
        <v>3</v>
      </c>
      <c r="G1233" t="s">
        <v>23</v>
      </c>
      <c r="H1233" s="14">
        <v>0.12</v>
      </c>
      <c r="I1233" s="23">
        <v>664.75</v>
      </c>
      <c r="J1233" s="4">
        <v>1993.89</v>
      </c>
    </row>
    <row r="1234" spans="1:10">
      <c r="A1234" t="s">
        <v>2012</v>
      </c>
      <c r="B1234" s="3">
        <v>45740</v>
      </c>
      <c r="C1234" t="s">
        <v>773</v>
      </c>
      <c r="D1234" t="s">
        <v>79</v>
      </c>
      <c r="E1234" t="s">
        <v>32</v>
      </c>
      <c r="F1234">
        <v>3</v>
      </c>
      <c r="G1234" t="s">
        <v>33</v>
      </c>
      <c r="H1234" s="14">
        <v>7.0000000000000007E-2</v>
      </c>
      <c r="I1234" s="23">
        <v>190.04</v>
      </c>
      <c r="J1234" s="4">
        <v>569.91</v>
      </c>
    </row>
    <row r="1235" spans="1:10">
      <c r="A1235" t="s">
        <v>2013</v>
      </c>
      <c r="B1235" s="3">
        <v>45869</v>
      </c>
      <c r="C1235" t="s">
        <v>490</v>
      </c>
      <c r="D1235" t="s">
        <v>645</v>
      </c>
      <c r="E1235" t="s">
        <v>122</v>
      </c>
      <c r="F1235">
        <v>3</v>
      </c>
      <c r="G1235" t="s">
        <v>50</v>
      </c>
      <c r="H1235" s="14">
        <v>0.1</v>
      </c>
      <c r="I1235" s="23">
        <v>754.02</v>
      </c>
      <c r="J1235" s="4">
        <v>2261.7600000000002</v>
      </c>
    </row>
    <row r="1236" spans="1:10">
      <c r="A1236" t="s">
        <v>2014</v>
      </c>
      <c r="B1236" s="3">
        <v>45526</v>
      </c>
      <c r="C1236" t="s">
        <v>1097</v>
      </c>
      <c r="D1236" t="s">
        <v>116</v>
      </c>
      <c r="E1236" t="s">
        <v>208</v>
      </c>
      <c r="F1236">
        <v>4</v>
      </c>
      <c r="G1236" t="s">
        <v>50</v>
      </c>
      <c r="H1236" s="14">
        <v>0.04</v>
      </c>
      <c r="I1236" s="23">
        <v>94.13</v>
      </c>
      <c r="J1236" s="4">
        <v>376.36</v>
      </c>
    </row>
    <row r="1237" spans="1:10">
      <c r="A1237" t="s">
        <v>2015</v>
      </c>
      <c r="B1237" s="3">
        <v>45489</v>
      </c>
      <c r="C1237" t="s">
        <v>843</v>
      </c>
      <c r="D1237" t="s">
        <v>389</v>
      </c>
      <c r="E1237" t="s">
        <v>122</v>
      </c>
      <c r="F1237">
        <v>3</v>
      </c>
      <c r="G1237" t="s">
        <v>33</v>
      </c>
      <c r="H1237" s="14">
        <v>0.21</v>
      </c>
      <c r="I1237" s="23">
        <v>402.3</v>
      </c>
      <c r="J1237" s="4">
        <v>1206.27</v>
      </c>
    </row>
    <row r="1238" spans="1:10">
      <c r="A1238" t="s">
        <v>2016</v>
      </c>
      <c r="B1238" s="3">
        <v>45908</v>
      </c>
      <c r="C1238" t="s">
        <v>147</v>
      </c>
      <c r="D1238" t="s">
        <v>400</v>
      </c>
      <c r="E1238" t="s">
        <v>66</v>
      </c>
      <c r="F1238">
        <v>1</v>
      </c>
      <c r="G1238" t="s">
        <v>50</v>
      </c>
      <c r="H1238" s="14">
        <v>0.06</v>
      </c>
      <c r="I1238" s="23">
        <v>729.05</v>
      </c>
      <c r="J1238" s="4">
        <v>728.99</v>
      </c>
    </row>
    <row r="1239" spans="1:10">
      <c r="A1239" t="s">
        <v>2017</v>
      </c>
      <c r="B1239" s="3">
        <v>45912</v>
      </c>
      <c r="C1239" t="s">
        <v>791</v>
      </c>
      <c r="D1239" t="s">
        <v>453</v>
      </c>
      <c r="E1239" t="s">
        <v>149</v>
      </c>
      <c r="F1239">
        <v>1</v>
      </c>
      <c r="G1239" t="s">
        <v>33</v>
      </c>
      <c r="H1239" s="14">
        <v>0.28999999999999998</v>
      </c>
      <c r="I1239" s="23">
        <v>822.6</v>
      </c>
      <c r="J1239" s="4">
        <v>822.31</v>
      </c>
    </row>
    <row r="1240" spans="1:10">
      <c r="A1240" t="s">
        <v>2018</v>
      </c>
      <c r="B1240" s="3">
        <v>45771</v>
      </c>
      <c r="C1240" t="s">
        <v>1661</v>
      </c>
      <c r="D1240" t="s">
        <v>359</v>
      </c>
      <c r="E1240" t="s">
        <v>43</v>
      </c>
      <c r="F1240">
        <v>2</v>
      </c>
      <c r="G1240" t="s">
        <v>33</v>
      </c>
      <c r="H1240" s="14">
        <v>0.19</v>
      </c>
      <c r="I1240" s="23">
        <v>327.25</v>
      </c>
      <c r="J1240" s="4">
        <v>654.12</v>
      </c>
    </row>
    <row r="1241" spans="1:10">
      <c r="A1241" t="s">
        <v>2019</v>
      </c>
      <c r="B1241" s="3">
        <v>45619</v>
      </c>
      <c r="C1241" t="s">
        <v>259</v>
      </c>
      <c r="D1241" t="s">
        <v>79</v>
      </c>
      <c r="E1241" t="s">
        <v>127</v>
      </c>
      <c r="F1241">
        <v>4</v>
      </c>
      <c r="G1241" t="s">
        <v>50</v>
      </c>
      <c r="H1241" s="14">
        <v>0</v>
      </c>
      <c r="I1241" s="23">
        <v>930.38</v>
      </c>
      <c r="J1241" s="4">
        <v>3721.52</v>
      </c>
    </row>
    <row r="1242" spans="1:10">
      <c r="A1242" t="s">
        <v>2020</v>
      </c>
      <c r="B1242" s="3">
        <v>45394</v>
      </c>
      <c r="C1242" t="s">
        <v>154</v>
      </c>
      <c r="D1242" t="s">
        <v>139</v>
      </c>
      <c r="E1242" t="s">
        <v>58</v>
      </c>
      <c r="F1242">
        <v>2</v>
      </c>
      <c r="G1242" t="s">
        <v>23</v>
      </c>
      <c r="H1242" s="14">
        <v>0.24</v>
      </c>
      <c r="I1242" s="23">
        <v>437.84</v>
      </c>
      <c r="J1242" s="4">
        <v>875.2</v>
      </c>
    </row>
    <row r="1243" spans="1:10">
      <c r="A1243" t="s">
        <v>2021</v>
      </c>
      <c r="B1243" s="3">
        <v>45786</v>
      </c>
      <c r="C1243" t="s">
        <v>266</v>
      </c>
      <c r="D1243" t="s">
        <v>226</v>
      </c>
      <c r="E1243" t="s">
        <v>117</v>
      </c>
      <c r="F1243">
        <v>2</v>
      </c>
      <c r="G1243" t="s">
        <v>50</v>
      </c>
      <c r="H1243" s="14">
        <v>0.09</v>
      </c>
      <c r="I1243" s="23">
        <v>126.02</v>
      </c>
      <c r="J1243" s="4">
        <v>251.86</v>
      </c>
    </row>
    <row r="1244" spans="1:10">
      <c r="A1244" t="s">
        <v>2022</v>
      </c>
      <c r="B1244" s="3">
        <v>45692</v>
      </c>
      <c r="C1244" t="s">
        <v>667</v>
      </c>
      <c r="D1244" t="s">
        <v>359</v>
      </c>
      <c r="E1244" t="s">
        <v>122</v>
      </c>
      <c r="F1244">
        <v>1</v>
      </c>
      <c r="G1244" t="s">
        <v>33</v>
      </c>
      <c r="H1244" s="14">
        <v>7.0000000000000007E-2</v>
      </c>
      <c r="I1244" s="23">
        <v>860.84</v>
      </c>
      <c r="J1244" s="4">
        <v>860.77</v>
      </c>
    </row>
    <row r="1245" spans="1:10">
      <c r="A1245" t="s">
        <v>2023</v>
      </c>
      <c r="B1245" s="3">
        <v>45677</v>
      </c>
      <c r="C1245" t="s">
        <v>546</v>
      </c>
      <c r="D1245" t="s">
        <v>505</v>
      </c>
      <c r="E1245" t="s">
        <v>149</v>
      </c>
      <c r="F1245">
        <v>1</v>
      </c>
      <c r="G1245" t="s">
        <v>33</v>
      </c>
      <c r="H1245" s="14">
        <v>0.24</v>
      </c>
      <c r="I1245" s="23">
        <v>161.80000000000001</v>
      </c>
      <c r="J1245" s="4">
        <v>161.56</v>
      </c>
    </row>
    <row r="1246" spans="1:10">
      <c r="A1246" t="s">
        <v>2024</v>
      </c>
      <c r="B1246" s="3">
        <v>45669</v>
      </c>
      <c r="C1246" t="s">
        <v>1446</v>
      </c>
      <c r="D1246" t="s">
        <v>340</v>
      </c>
      <c r="E1246" t="s">
        <v>32</v>
      </c>
      <c r="F1246">
        <v>4</v>
      </c>
      <c r="G1246" t="s">
        <v>50</v>
      </c>
      <c r="H1246" s="14">
        <v>0.02</v>
      </c>
      <c r="I1246" s="23">
        <v>347.82</v>
      </c>
      <c r="J1246" s="4">
        <v>1391.2</v>
      </c>
    </row>
    <row r="1247" spans="1:10">
      <c r="A1247" t="s">
        <v>2025</v>
      </c>
      <c r="B1247" s="3">
        <v>45299</v>
      </c>
      <c r="C1247" t="s">
        <v>217</v>
      </c>
      <c r="D1247" t="s">
        <v>462</v>
      </c>
      <c r="E1247" t="s">
        <v>117</v>
      </c>
      <c r="F1247">
        <v>3</v>
      </c>
      <c r="G1247" t="s">
        <v>23</v>
      </c>
      <c r="H1247" s="14">
        <v>0.27</v>
      </c>
      <c r="I1247" s="23">
        <v>416.44</v>
      </c>
      <c r="J1247" s="4">
        <v>1248.51</v>
      </c>
    </row>
    <row r="1248" spans="1:10">
      <c r="A1248" t="s">
        <v>2026</v>
      </c>
      <c r="B1248" s="3">
        <v>45893</v>
      </c>
      <c r="C1248" t="s">
        <v>1483</v>
      </c>
      <c r="D1248" t="s">
        <v>661</v>
      </c>
      <c r="E1248" t="s">
        <v>90</v>
      </c>
      <c r="F1248">
        <v>1</v>
      </c>
      <c r="G1248" t="s">
        <v>50</v>
      </c>
      <c r="H1248" s="14">
        <v>0.24</v>
      </c>
      <c r="I1248" s="23">
        <v>147.96</v>
      </c>
      <c r="J1248" s="4">
        <v>147.72</v>
      </c>
    </row>
    <row r="1249" spans="1:10">
      <c r="A1249" t="s">
        <v>2027</v>
      </c>
      <c r="B1249" s="3">
        <v>45560</v>
      </c>
      <c r="C1249" t="s">
        <v>1134</v>
      </c>
      <c r="D1249" t="s">
        <v>928</v>
      </c>
      <c r="E1249" t="s">
        <v>43</v>
      </c>
      <c r="F1249">
        <v>3</v>
      </c>
      <c r="G1249" t="s">
        <v>23</v>
      </c>
      <c r="H1249" s="14">
        <v>0.22</v>
      </c>
      <c r="I1249" s="23">
        <v>550.26</v>
      </c>
      <c r="J1249" s="4">
        <v>1650.12</v>
      </c>
    </row>
    <row r="1250" spans="1:10">
      <c r="A1250" t="s">
        <v>2028</v>
      </c>
      <c r="B1250" s="3">
        <v>45267</v>
      </c>
      <c r="C1250" t="s">
        <v>674</v>
      </c>
      <c r="D1250" t="s">
        <v>21</v>
      </c>
      <c r="E1250" t="s">
        <v>66</v>
      </c>
      <c r="F1250">
        <v>4</v>
      </c>
      <c r="G1250" t="s">
        <v>33</v>
      </c>
      <c r="H1250" s="14">
        <v>0.04</v>
      </c>
      <c r="I1250" s="23">
        <v>938.21</v>
      </c>
      <c r="J1250" s="4">
        <v>3752.68</v>
      </c>
    </row>
    <row r="1251" spans="1:10">
      <c r="A1251" t="s">
        <v>2029</v>
      </c>
      <c r="B1251" s="3">
        <v>45467</v>
      </c>
      <c r="C1251" t="s">
        <v>791</v>
      </c>
      <c r="D1251" t="s">
        <v>242</v>
      </c>
      <c r="E1251" t="s">
        <v>117</v>
      </c>
      <c r="F1251">
        <v>3</v>
      </c>
      <c r="G1251" t="s">
        <v>33</v>
      </c>
      <c r="H1251" s="14">
        <v>0.01</v>
      </c>
      <c r="I1251" s="23">
        <v>517.98</v>
      </c>
      <c r="J1251" s="4">
        <v>1553.91</v>
      </c>
    </row>
    <row r="1252" spans="1:10">
      <c r="A1252" t="s">
        <v>2030</v>
      </c>
      <c r="B1252" s="3">
        <v>45847</v>
      </c>
      <c r="C1252" t="s">
        <v>1303</v>
      </c>
      <c r="D1252" t="s">
        <v>887</v>
      </c>
      <c r="E1252" t="s">
        <v>43</v>
      </c>
      <c r="F1252">
        <v>1</v>
      </c>
      <c r="G1252" t="s">
        <v>33</v>
      </c>
      <c r="H1252" s="14">
        <v>0.16</v>
      </c>
      <c r="I1252" s="23">
        <v>98.27</v>
      </c>
      <c r="J1252" s="4">
        <v>98.11</v>
      </c>
    </row>
    <row r="1253" spans="1:10">
      <c r="A1253" t="s">
        <v>2031</v>
      </c>
      <c r="B1253" s="3">
        <v>45480</v>
      </c>
      <c r="C1253" t="s">
        <v>890</v>
      </c>
      <c r="D1253" t="s">
        <v>505</v>
      </c>
      <c r="E1253" t="s">
        <v>272</v>
      </c>
      <c r="F1253">
        <v>2</v>
      </c>
      <c r="G1253" t="s">
        <v>23</v>
      </c>
      <c r="H1253" s="14">
        <v>0.19</v>
      </c>
      <c r="I1253" s="23">
        <v>875.2</v>
      </c>
      <c r="J1253" s="4">
        <v>1750.02</v>
      </c>
    </row>
    <row r="1254" spans="1:10">
      <c r="A1254" t="s">
        <v>2032</v>
      </c>
      <c r="B1254" s="3">
        <v>45345</v>
      </c>
      <c r="C1254" t="s">
        <v>1691</v>
      </c>
      <c r="D1254" t="s">
        <v>400</v>
      </c>
      <c r="E1254" t="s">
        <v>90</v>
      </c>
      <c r="F1254">
        <v>1</v>
      </c>
      <c r="G1254" t="s">
        <v>50</v>
      </c>
      <c r="H1254" s="14">
        <v>0.06</v>
      </c>
      <c r="I1254" s="23">
        <v>227.35</v>
      </c>
      <c r="J1254" s="4">
        <v>227.29</v>
      </c>
    </row>
    <row r="1255" spans="1:10">
      <c r="A1255" t="s">
        <v>2033</v>
      </c>
      <c r="B1255" s="3">
        <v>45235</v>
      </c>
      <c r="C1255" t="s">
        <v>934</v>
      </c>
      <c r="D1255" t="s">
        <v>31</v>
      </c>
      <c r="E1255" t="s">
        <v>105</v>
      </c>
      <c r="F1255">
        <v>1</v>
      </c>
      <c r="G1255" t="s">
        <v>50</v>
      </c>
      <c r="H1255" s="14">
        <v>0.05</v>
      </c>
      <c r="I1255" s="23">
        <v>842.46</v>
      </c>
      <c r="J1255" s="4">
        <v>842.41</v>
      </c>
    </row>
    <row r="1256" spans="1:10">
      <c r="A1256" t="s">
        <v>2034</v>
      </c>
      <c r="B1256" s="3">
        <v>45543</v>
      </c>
      <c r="C1256" t="s">
        <v>1143</v>
      </c>
      <c r="D1256" t="s">
        <v>126</v>
      </c>
      <c r="E1256" t="s">
        <v>272</v>
      </c>
      <c r="F1256">
        <v>3</v>
      </c>
      <c r="G1256" t="s">
        <v>50</v>
      </c>
      <c r="H1256" s="14">
        <v>0.08</v>
      </c>
      <c r="I1256" s="23">
        <v>120.67</v>
      </c>
      <c r="J1256" s="4">
        <v>361.77</v>
      </c>
    </row>
    <row r="1257" spans="1:10">
      <c r="A1257" t="s">
        <v>2035</v>
      </c>
      <c r="B1257" s="3">
        <v>45402</v>
      </c>
      <c r="C1257" t="s">
        <v>1430</v>
      </c>
      <c r="D1257" t="s">
        <v>291</v>
      </c>
      <c r="E1257" t="s">
        <v>22</v>
      </c>
      <c r="F1257">
        <v>4</v>
      </c>
      <c r="G1257" t="s">
        <v>33</v>
      </c>
      <c r="H1257" s="14">
        <v>0.27</v>
      </c>
      <c r="I1257" s="23">
        <v>176.13</v>
      </c>
      <c r="J1257" s="4">
        <v>703.44</v>
      </c>
    </row>
    <row r="1258" spans="1:10">
      <c r="A1258" t="s">
        <v>2036</v>
      </c>
      <c r="B1258" s="3">
        <v>45671</v>
      </c>
      <c r="C1258" t="s">
        <v>2037</v>
      </c>
      <c r="D1258" t="s">
        <v>625</v>
      </c>
      <c r="E1258" t="s">
        <v>272</v>
      </c>
      <c r="F1258">
        <v>4</v>
      </c>
      <c r="G1258" t="s">
        <v>23</v>
      </c>
      <c r="H1258" s="14">
        <v>0.03</v>
      </c>
      <c r="I1258" s="23">
        <v>592.67999999999995</v>
      </c>
      <c r="J1258" s="4">
        <v>2370.6</v>
      </c>
    </row>
    <row r="1259" spans="1:10">
      <c r="A1259" t="s">
        <v>2038</v>
      </c>
      <c r="B1259" s="3">
        <v>45367</v>
      </c>
      <c r="C1259" t="s">
        <v>365</v>
      </c>
      <c r="D1259" t="s">
        <v>79</v>
      </c>
      <c r="E1259" t="s">
        <v>72</v>
      </c>
      <c r="F1259">
        <v>4</v>
      </c>
      <c r="G1259" t="s">
        <v>33</v>
      </c>
      <c r="H1259" s="14">
        <v>0.24</v>
      </c>
      <c r="I1259" s="23">
        <v>662.43</v>
      </c>
      <c r="J1259" s="4">
        <v>2648.76</v>
      </c>
    </row>
    <row r="1260" spans="1:10">
      <c r="A1260" t="s">
        <v>2039</v>
      </c>
      <c r="B1260" s="3">
        <v>45488</v>
      </c>
      <c r="C1260" t="s">
        <v>606</v>
      </c>
      <c r="D1260" t="s">
        <v>159</v>
      </c>
      <c r="E1260" t="s">
        <v>43</v>
      </c>
      <c r="F1260">
        <v>3</v>
      </c>
      <c r="G1260" t="s">
        <v>50</v>
      </c>
      <c r="H1260" s="14">
        <v>0.21</v>
      </c>
      <c r="I1260" s="23">
        <v>518.35</v>
      </c>
      <c r="J1260" s="4">
        <v>1554.42</v>
      </c>
    </row>
    <row r="1261" spans="1:10">
      <c r="A1261" t="s">
        <v>2040</v>
      </c>
      <c r="B1261" s="3">
        <v>45509</v>
      </c>
      <c r="C1261" t="s">
        <v>1806</v>
      </c>
      <c r="D1261" t="s">
        <v>698</v>
      </c>
      <c r="E1261" t="s">
        <v>58</v>
      </c>
      <c r="F1261">
        <v>1</v>
      </c>
      <c r="G1261" t="s">
        <v>50</v>
      </c>
      <c r="H1261" s="14">
        <v>0.1</v>
      </c>
      <c r="I1261" s="23">
        <v>85.58</v>
      </c>
      <c r="J1261" s="4">
        <v>85.48</v>
      </c>
    </row>
    <row r="1262" spans="1:10">
      <c r="A1262" t="s">
        <v>2041</v>
      </c>
      <c r="B1262" s="3">
        <v>45323</v>
      </c>
      <c r="C1262" t="s">
        <v>1503</v>
      </c>
      <c r="D1262" t="s">
        <v>514</v>
      </c>
      <c r="E1262" t="s">
        <v>105</v>
      </c>
      <c r="F1262">
        <v>4</v>
      </c>
      <c r="G1262" t="s">
        <v>23</v>
      </c>
      <c r="H1262" s="14">
        <v>0.2</v>
      </c>
      <c r="I1262" s="23">
        <v>800</v>
      </c>
      <c r="J1262" s="4">
        <v>3199.2</v>
      </c>
    </row>
    <row r="1263" spans="1:10">
      <c r="A1263" t="s">
        <v>2042</v>
      </c>
      <c r="B1263" s="3">
        <v>45889</v>
      </c>
      <c r="C1263" t="s">
        <v>1803</v>
      </c>
      <c r="D1263" t="s">
        <v>148</v>
      </c>
      <c r="E1263" t="s">
        <v>168</v>
      </c>
      <c r="F1263">
        <v>3</v>
      </c>
      <c r="G1263" t="s">
        <v>33</v>
      </c>
      <c r="H1263" s="14">
        <v>0.26</v>
      </c>
      <c r="I1263" s="23">
        <v>118.25</v>
      </c>
      <c r="J1263" s="4">
        <v>353.97</v>
      </c>
    </row>
    <row r="1264" spans="1:10">
      <c r="A1264" t="s">
        <v>2043</v>
      </c>
      <c r="B1264" s="3">
        <v>45253</v>
      </c>
      <c r="C1264" t="s">
        <v>1759</v>
      </c>
      <c r="D1264" t="s">
        <v>579</v>
      </c>
      <c r="E1264" t="s">
        <v>122</v>
      </c>
      <c r="F1264">
        <v>1</v>
      </c>
      <c r="G1264" t="s">
        <v>23</v>
      </c>
      <c r="H1264" s="14">
        <v>0.28999999999999998</v>
      </c>
      <c r="I1264" s="23">
        <v>223.25</v>
      </c>
      <c r="J1264" s="4">
        <v>222.96</v>
      </c>
    </row>
    <row r="1265" spans="1:10">
      <c r="A1265" t="s">
        <v>2044</v>
      </c>
      <c r="B1265" s="3">
        <v>45530</v>
      </c>
      <c r="C1265" t="s">
        <v>517</v>
      </c>
      <c r="D1265" t="s">
        <v>579</v>
      </c>
      <c r="E1265" t="s">
        <v>72</v>
      </c>
      <c r="F1265">
        <v>3</v>
      </c>
      <c r="G1265" t="s">
        <v>33</v>
      </c>
      <c r="H1265" s="14">
        <v>0.2</v>
      </c>
      <c r="I1265" s="23">
        <v>918.76</v>
      </c>
      <c r="J1265" s="4">
        <v>2755.68</v>
      </c>
    </row>
    <row r="1266" spans="1:10">
      <c r="A1266" t="s">
        <v>2045</v>
      </c>
      <c r="B1266" s="3">
        <v>45491</v>
      </c>
      <c r="C1266" t="s">
        <v>1727</v>
      </c>
      <c r="D1266" t="s">
        <v>814</v>
      </c>
      <c r="E1266" t="s">
        <v>149</v>
      </c>
      <c r="F1266">
        <v>2</v>
      </c>
      <c r="G1266" t="s">
        <v>50</v>
      </c>
      <c r="H1266" s="14">
        <v>0.15</v>
      </c>
      <c r="I1266" s="23">
        <v>905.26</v>
      </c>
      <c r="J1266" s="4">
        <v>1810.22</v>
      </c>
    </row>
    <row r="1267" spans="1:10">
      <c r="A1267" t="s">
        <v>2046</v>
      </c>
      <c r="B1267" s="3">
        <v>45628</v>
      </c>
      <c r="C1267" t="s">
        <v>794</v>
      </c>
      <c r="D1267" t="s">
        <v>226</v>
      </c>
      <c r="E1267" t="s">
        <v>135</v>
      </c>
      <c r="F1267">
        <v>4</v>
      </c>
      <c r="G1267" t="s">
        <v>33</v>
      </c>
      <c r="H1267" s="14">
        <v>0.23</v>
      </c>
      <c r="I1267" s="23">
        <v>295.39999999999998</v>
      </c>
      <c r="J1267" s="4">
        <v>1180.68</v>
      </c>
    </row>
    <row r="1268" spans="1:10">
      <c r="A1268" t="s">
        <v>2047</v>
      </c>
      <c r="B1268" s="3">
        <v>45861</v>
      </c>
      <c r="C1268" t="s">
        <v>456</v>
      </c>
      <c r="D1268" t="s">
        <v>242</v>
      </c>
      <c r="E1268" t="s">
        <v>58</v>
      </c>
      <c r="F1268">
        <v>1</v>
      </c>
      <c r="G1268" t="s">
        <v>33</v>
      </c>
      <c r="H1268" s="14">
        <v>0.23</v>
      </c>
      <c r="I1268" s="23">
        <v>252.18</v>
      </c>
      <c r="J1268" s="4">
        <v>251.95</v>
      </c>
    </row>
    <row r="1269" spans="1:10">
      <c r="A1269" t="s">
        <v>2048</v>
      </c>
      <c r="B1269" s="3">
        <v>45878</v>
      </c>
      <c r="C1269" t="s">
        <v>78</v>
      </c>
      <c r="D1269" t="s">
        <v>21</v>
      </c>
      <c r="E1269" t="s">
        <v>208</v>
      </c>
      <c r="F1269">
        <v>4</v>
      </c>
      <c r="G1269" t="s">
        <v>50</v>
      </c>
      <c r="H1269" s="14">
        <v>0.19</v>
      </c>
      <c r="I1269" s="23">
        <v>792.1</v>
      </c>
      <c r="J1269" s="4">
        <v>3167.64</v>
      </c>
    </row>
    <row r="1270" spans="1:10">
      <c r="A1270" t="s">
        <v>2049</v>
      </c>
      <c r="B1270" s="3">
        <v>45426</v>
      </c>
      <c r="C1270" t="s">
        <v>578</v>
      </c>
      <c r="D1270" t="s">
        <v>110</v>
      </c>
      <c r="E1270" t="s">
        <v>98</v>
      </c>
      <c r="F1270">
        <v>1</v>
      </c>
      <c r="G1270" t="s">
        <v>33</v>
      </c>
      <c r="H1270" s="14">
        <v>0.11</v>
      </c>
      <c r="I1270" s="23">
        <v>883.36</v>
      </c>
      <c r="J1270" s="4">
        <v>883.25</v>
      </c>
    </row>
    <row r="1271" spans="1:10">
      <c r="A1271" t="s">
        <v>2050</v>
      </c>
      <c r="B1271" s="3">
        <v>45231</v>
      </c>
      <c r="C1271" t="s">
        <v>133</v>
      </c>
      <c r="D1271" t="s">
        <v>167</v>
      </c>
      <c r="E1271" t="s">
        <v>90</v>
      </c>
      <c r="F1271">
        <v>4</v>
      </c>
      <c r="G1271" t="s">
        <v>33</v>
      </c>
      <c r="H1271" s="14">
        <v>0.08</v>
      </c>
      <c r="I1271" s="23">
        <v>305.95</v>
      </c>
      <c r="J1271" s="4">
        <v>1223.48</v>
      </c>
    </row>
    <row r="1272" spans="1:10">
      <c r="A1272" t="s">
        <v>2051</v>
      </c>
      <c r="B1272" s="3">
        <v>45609</v>
      </c>
      <c r="C1272" t="s">
        <v>535</v>
      </c>
      <c r="D1272" t="s">
        <v>714</v>
      </c>
      <c r="E1272" t="s">
        <v>66</v>
      </c>
      <c r="F1272">
        <v>3</v>
      </c>
      <c r="G1272" t="s">
        <v>50</v>
      </c>
      <c r="H1272" s="14">
        <v>0.23</v>
      </c>
      <c r="I1272" s="23">
        <v>742.45</v>
      </c>
      <c r="J1272" s="4">
        <v>2226.66</v>
      </c>
    </row>
    <row r="1273" spans="1:10">
      <c r="A1273" t="s">
        <v>2052</v>
      </c>
      <c r="B1273" s="3">
        <v>45392</v>
      </c>
      <c r="C1273" t="s">
        <v>1453</v>
      </c>
      <c r="D1273" t="s">
        <v>425</v>
      </c>
      <c r="E1273" t="s">
        <v>160</v>
      </c>
      <c r="F1273">
        <v>3</v>
      </c>
      <c r="G1273" t="s">
        <v>50</v>
      </c>
      <c r="H1273" s="14">
        <v>0.12</v>
      </c>
      <c r="I1273" s="23">
        <v>336.1</v>
      </c>
      <c r="J1273" s="4">
        <v>1007.94</v>
      </c>
    </row>
    <row r="1274" spans="1:10">
      <c r="A1274" t="s">
        <v>2053</v>
      </c>
      <c r="B1274" s="3">
        <v>45876</v>
      </c>
      <c r="C1274" t="s">
        <v>206</v>
      </c>
      <c r="D1274" t="s">
        <v>255</v>
      </c>
      <c r="E1274" t="s">
        <v>66</v>
      </c>
      <c r="F1274">
        <v>3</v>
      </c>
      <c r="G1274" t="s">
        <v>50</v>
      </c>
      <c r="H1274" s="14">
        <v>0.14000000000000001</v>
      </c>
      <c r="I1274" s="23">
        <v>310.36</v>
      </c>
      <c r="J1274" s="4">
        <v>930.66</v>
      </c>
    </row>
    <row r="1275" spans="1:10">
      <c r="A1275" t="s">
        <v>2054</v>
      </c>
      <c r="B1275" s="3">
        <v>45772</v>
      </c>
      <c r="C1275" t="s">
        <v>1612</v>
      </c>
      <c r="D1275" t="s">
        <v>187</v>
      </c>
      <c r="E1275" t="s">
        <v>43</v>
      </c>
      <c r="F1275">
        <v>3</v>
      </c>
      <c r="G1275" t="s">
        <v>33</v>
      </c>
      <c r="H1275" s="14">
        <v>0.04</v>
      </c>
      <c r="I1275" s="23">
        <v>992.81</v>
      </c>
      <c r="J1275" s="4">
        <v>2978.31</v>
      </c>
    </row>
    <row r="1276" spans="1:10">
      <c r="A1276" t="s">
        <v>2055</v>
      </c>
      <c r="B1276" s="3">
        <v>45217</v>
      </c>
      <c r="C1276" t="s">
        <v>840</v>
      </c>
      <c r="D1276" t="s">
        <v>148</v>
      </c>
      <c r="E1276" t="s">
        <v>272</v>
      </c>
      <c r="F1276">
        <v>3</v>
      </c>
      <c r="G1276" t="s">
        <v>50</v>
      </c>
      <c r="H1276" s="14">
        <v>0.26</v>
      </c>
      <c r="I1276" s="23">
        <v>257.11</v>
      </c>
      <c r="J1276" s="4">
        <v>770.55</v>
      </c>
    </row>
    <row r="1277" spans="1:10">
      <c r="A1277" t="s">
        <v>2056</v>
      </c>
      <c r="B1277" s="3">
        <v>45739</v>
      </c>
      <c r="C1277" t="s">
        <v>855</v>
      </c>
      <c r="D1277" t="s">
        <v>1126</v>
      </c>
      <c r="E1277" t="s">
        <v>208</v>
      </c>
      <c r="F1277">
        <v>4</v>
      </c>
      <c r="G1277" t="s">
        <v>33</v>
      </c>
      <c r="H1277" s="14">
        <v>0.24</v>
      </c>
      <c r="I1277" s="23">
        <v>816.29</v>
      </c>
      <c r="J1277" s="4">
        <v>3264.2</v>
      </c>
    </row>
    <row r="1278" spans="1:10">
      <c r="A1278" t="s">
        <v>2057</v>
      </c>
      <c r="B1278" s="3">
        <v>45272</v>
      </c>
      <c r="C1278" t="s">
        <v>1468</v>
      </c>
      <c r="D1278" t="s">
        <v>148</v>
      </c>
      <c r="E1278" t="s">
        <v>208</v>
      </c>
      <c r="F1278">
        <v>4</v>
      </c>
      <c r="G1278" t="s">
        <v>50</v>
      </c>
      <c r="H1278" s="14">
        <v>0.22</v>
      </c>
      <c r="I1278" s="23">
        <v>755.82</v>
      </c>
      <c r="J1278" s="4">
        <v>3022.4</v>
      </c>
    </row>
    <row r="1279" spans="1:10">
      <c r="A1279" t="s">
        <v>2058</v>
      </c>
      <c r="B1279" s="3">
        <v>45524</v>
      </c>
      <c r="C1279" t="s">
        <v>2059</v>
      </c>
      <c r="D1279" t="s">
        <v>768</v>
      </c>
      <c r="E1279" t="s">
        <v>98</v>
      </c>
      <c r="F1279">
        <v>1</v>
      </c>
      <c r="G1279" t="s">
        <v>33</v>
      </c>
      <c r="H1279" s="14">
        <v>0.01</v>
      </c>
      <c r="I1279" s="23">
        <v>449.6</v>
      </c>
      <c r="J1279" s="4">
        <v>449.59</v>
      </c>
    </row>
    <row r="1280" spans="1:10">
      <c r="A1280" t="s">
        <v>2060</v>
      </c>
      <c r="B1280" s="3">
        <v>45481</v>
      </c>
      <c r="C1280" t="s">
        <v>1397</v>
      </c>
      <c r="D1280" t="s">
        <v>480</v>
      </c>
      <c r="E1280" t="s">
        <v>90</v>
      </c>
      <c r="F1280">
        <v>2</v>
      </c>
      <c r="G1280" t="s">
        <v>50</v>
      </c>
      <c r="H1280" s="14">
        <v>0.12</v>
      </c>
      <c r="I1280" s="23">
        <v>779.29</v>
      </c>
      <c r="J1280" s="4">
        <v>1558.34</v>
      </c>
    </row>
    <row r="1281" spans="1:10">
      <c r="A1281" t="s">
        <v>2061</v>
      </c>
      <c r="B1281" s="3">
        <v>45267</v>
      </c>
      <c r="C1281" t="s">
        <v>88</v>
      </c>
      <c r="D1281" t="s">
        <v>192</v>
      </c>
      <c r="E1281" t="s">
        <v>32</v>
      </c>
      <c r="F1281">
        <v>1</v>
      </c>
      <c r="G1281" t="s">
        <v>50</v>
      </c>
      <c r="H1281" s="14">
        <v>0.1</v>
      </c>
      <c r="I1281" s="23">
        <v>748.75</v>
      </c>
      <c r="J1281" s="4">
        <v>748.65</v>
      </c>
    </row>
    <row r="1282" spans="1:10">
      <c r="A1282" t="s">
        <v>2062</v>
      </c>
      <c r="B1282" s="3">
        <v>45328</v>
      </c>
      <c r="C1282" t="s">
        <v>1029</v>
      </c>
      <c r="D1282" t="s">
        <v>287</v>
      </c>
      <c r="E1282" t="s">
        <v>90</v>
      </c>
      <c r="F1282">
        <v>2</v>
      </c>
      <c r="G1282" t="s">
        <v>50</v>
      </c>
      <c r="H1282" s="14">
        <v>0.08</v>
      </c>
      <c r="I1282" s="23">
        <v>121.67</v>
      </c>
      <c r="J1282" s="4">
        <v>243.18</v>
      </c>
    </row>
    <row r="1283" spans="1:10">
      <c r="A1283" t="s">
        <v>2063</v>
      </c>
      <c r="B1283" s="3">
        <v>45787</v>
      </c>
      <c r="C1283" t="s">
        <v>233</v>
      </c>
      <c r="D1283" t="s">
        <v>42</v>
      </c>
      <c r="E1283" t="s">
        <v>122</v>
      </c>
      <c r="F1283">
        <v>3</v>
      </c>
      <c r="G1283" t="s">
        <v>50</v>
      </c>
      <c r="H1283" s="14">
        <v>0.15</v>
      </c>
      <c r="I1283" s="23">
        <v>225.14</v>
      </c>
      <c r="J1283" s="4">
        <v>674.97</v>
      </c>
    </row>
    <row r="1284" spans="1:10">
      <c r="A1284" t="s">
        <v>2064</v>
      </c>
      <c r="B1284" s="3">
        <v>45876</v>
      </c>
      <c r="C1284" t="s">
        <v>406</v>
      </c>
      <c r="D1284" t="s">
        <v>255</v>
      </c>
      <c r="E1284" t="s">
        <v>135</v>
      </c>
      <c r="F1284">
        <v>1</v>
      </c>
      <c r="G1284" t="s">
        <v>33</v>
      </c>
      <c r="H1284" s="14">
        <v>0.19</v>
      </c>
      <c r="I1284" s="23">
        <v>654.17999999999995</v>
      </c>
      <c r="J1284" s="4">
        <v>653.99</v>
      </c>
    </row>
    <row r="1285" spans="1:10">
      <c r="A1285" t="s">
        <v>2065</v>
      </c>
      <c r="B1285" s="3">
        <v>45552</v>
      </c>
      <c r="C1285" t="s">
        <v>335</v>
      </c>
      <c r="D1285" t="s">
        <v>368</v>
      </c>
      <c r="E1285" t="s">
        <v>58</v>
      </c>
      <c r="F1285">
        <v>2</v>
      </c>
      <c r="G1285" t="s">
        <v>50</v>
      </c>
      <c r="H1285" s="14">
        <v>0.08</v>
      </c>
      <c r="I1285" s="23">
        <v>504.98</v>
      </c>
      <c r="J1285" s="4">
        <v>1009.8</v>
      </c>
    </row>
    <row r="1286" spans="1:10">
      <c r="A1286" t="s">
        <v>2066</v>
      </c>
      <c r="B1286" s="3">
        <v>45823</v>
      </c>
      <c r="C1286" t="s">
        <v>371</v>
      </c>
      <c r="D1286" t="s">
        <v>420</v>
      </c>
      <c r="E1286" t="s">
        <v>43</v>
      </c>
      <c r="F1286">
        <v>2</v>
      </c>
      <c r="G1286" t="s">
        <v>50</v>
      </c>
      <c r="H1286" s="14">
        <v>0.14000000000000001</v>
      </c>
      <c r="I1286" s="23">
        <v>623.20000000000005</v>
      </c>
      <c r="J1286" s="4">
        <v>1246.1199999999999</v>
      </c>
    </row>
    <row r="1287" spans="1:10">
      <c r="A1287" t="s">
        <v>2067</v>
      </c>
      <c r="B1287" s="3">
        <v>45622</v>
      </c>
      <c r="C1287" t="s">
        <v>419</v>
      </c>
      <c r="D1287" t="s">
        <v>183</v>
      </c>
      <c r="E1287" t="s">
        <v>117</v>
      </c>
      <c r="F1287">
        <v>2</v>
      </c>
      <c r="G1287" t="s">
        <v>50</v>
      </c>
      <c r="H1287" s="14">
        <v>0.28000000000000003</v>
      </c>
      <c r="I1287" s="23">
        <v>530.54</v>
      </c>
      <c r="J1287" s="4">
        <v>1060.52</v>
      </c>
    </row>
    <row r="1288" spans="1:10">
      <c r="A1288" t="s">
        <v>2068</v>
      </c>
      <c r="B1288" s="3">
        <v>45810</v>
      </c>
      <c r="C1288" t="s">
        <v>1152</v>
      </c>
      <c r="D1288" t="s">
        <v>768</v>
      </c>
      <c r="E1288" t="s">
        <v>117</v>
      </c>
      <c r="F1288">
        <v>3</v>
      </c>
      <c r="G1288" t="s">
        <v>50</v>
      </c>
      <c r="H1288" s="14">
        <v>0.15</v>
      </c>
      <c r="I1288" s="23">
        <v>279.45</v>
      </c>
      <c r="J1288" s="4">
        <v>837.9</v>
      </c>
    </row>
    <row r="1289" spans="1:10">
      <c r="A1289" t="s">
        <v>2069</v>
      </c>
      <c r="B1289" s="3">
        <v>45645</v>
      </c>
      <c r="C1289" t="s">
        <v>687</v>
      </c>
      <c r="D1289" t="s">
        <v>173</v>
      </c>
      <c r="E1289" t="s">
        <v>43</v>
      </c>
      <c r="F1289">
        <v>3</v>
      </c>
      <c r="G1289" t="s">
        <v>50</v>
      </c>
      <c r="H1289" s="14">
        <v>0.26</v>
      </c>
      <c r="I1289" s="23">
        <v>906.99</v>
      </c>
      <c r="J1289" s="4">
        <v>2720.19</v>
      </c>
    </row>
    <row r="1290" spans="1:10">
      <c r="A1290" t="s">
        <v>2070</v>
      </c>
      <c r="B1290" s="3">
        <v>45749</v>
      </c>
      <c r="C1290" t="s">
        <v>266</v>
      </c>
      <c r="D1290" t="s">
        <v>429</v>
      </c>
      <c r="E1290" t="s">
        <v>32</v>
      </c>
      <c r="F1290">
        <v>4</v>
      </c>
      <c r="G1290" t="s">
        <v>50</v>
      </c>
      <c r="H1290" s="14">
        <v>0.12</v>
      </c>
      <c r="I1290" s="23">
        <v>408.76</v>
      </c>
      <c r="J1290" s="4">
        <v>1634.56</v>
      </c>
    </row>
    <row r="1291" spans="1:10">
      <c r="A1291" t="s">
        <v>2071</v>
      </c>
      <c r="B1291" s="3">
        <v>45537</v>
      </c>
      <c r="C1291" t="s">
        <v>1373</v>
      </c>
      <c r="D1291" t="s">
        <v>126</v>
      </c>
      <c r="E1291" t="s">
        <v>127</v>
      </c>
      <c r="F1291">
        <v>2</v>
      </c>
      <c r="G1291" t="s">
        <v>33</v>
      </c>
      <c r="H1291" s="14">
        <v>0.09</v>
      </c>
      <c r="I1291" s="23">
        <v>117.34</v>
      </c>
      <c r="J1291" s="4">
        <v>234.5</v>
      </c>
    </row>
    <row r="1292" spans="1:10">
      <c r="A1292" t="s">
        <v>2072</v>
      </c>
      <c r="B1292" s="3">
        <v>45376</v>
      </c>
      <c r="C1292" t="s">
        <v>338</v>
      </c>
      <c r="D1292" t="s">
        <v>372</v>
      </c>
      <c r="E1292" t="s">
        <v>98</v>
      </c>
      <c r="F1292">
        <v>3</v>
      </c>
      <c r="G1292" t="s">
        <v>33</v>
      </c>
      <c r="H1292" s="14">
        <v>7.0000000000000007E-2</v>
      </c>
      <c r="I1292" s="23">
        <v>690.27</v>
      </c>
      <c r="J1292" s="4">
        <v>2070.6</v>
      </c>
    </row>
    <row r="1293" spans="1:10">
      <c r="A1293" t="s">
        <v>2073</v>
      </c>
      <c r="B1293" s="3">
        <v>45709</v>
      </c>
      <c r="C1293" t="s">
        <v>589</v>
      </c>
      <c r="D1293" t="s">
        <v>567</v>
      </c>
      <c r="E1293" t="s">
        <v>32</v>
      </c>
      <c r="F1293">
        <v>4</v>
      </c>
      <c r="G1293" t="s">
        <v>33</v>
      </c>
      <c r="H1293" s="14">
        <v>0.24</v>
      </c>
      <c r="I1293" s="23">
        <v>377.18</v>
      </c>
      <c r="J1293" s="4">
        <v>1507.76</v>
      </c>
    </row>
    <row r="1294" spans="1:10">
      <c r="A1294" t="s">
        <v>2074</v>
      </c>
      <c r="B1294" s="3">
        <v>45446</v>
      </c>
      <c r="C1294" t="s">
        <v>2075</v>
      </c>
      <c r="D1294" t="s">
        <v>295</v>
      </c>
      <c r="E1294" t="s">
        <v>90</v>
      </c>
      <c r="F1294">
        <v>1</v>
      </c>
      <c r="G1294" t="s">
        <v>50</v>
      </c>
      <c r="H1294" s="14">
        <v>0.08</v>
      </c>
      <c r="I1294" s="23">
        <v>70.52</v>
      </c>
      <c r="J1294" s="4">
        <v>70.44</v>
      </c>
    </row>
    <row r="1295" spans="1:10">
      <c r="A1295" t="s">
        <v>2076</v>
      </c>
      <c r="B1295" s="3">
        <v>45330</v>
      </c>
      <c r="C1295" t="s">
        <v>712</v>
      </c>
      <c r="D1295" t="s">
        <v>340</v>
      </c>
      <c r="E1295" t="s">
        <v>127</v>
      </c>
      <c r="F1295">
        <v>1</v>
      </c>
      <c r="G1295" t="s">
        <v>33</v>
      </c>
      <c r="H1295" s="14">
        <v>0.1</v>
      </c>
      <c r="I1295" s="23">
        <v>40.25</v>
      </c>
      <c r="J1295" s="4">
        <v>40.15</v>
      </c>
    </row>
    <row r="1296" spans="1:10">
      <c r="A1296" t="s">
        <v>2077</v>
      </c>
      <c r="B1296" s="3">
        <v>45388</v>
      </c>
      <c r="C1296" t="s">
        <v>1125</v>
      </c>
      <c r="D1296" t="s">
        <v>287</v>
      </c>
      <c r="E1296" t="s">
        <v>272</v>
      </c>
      <c r="F1296">
        <v>3</v>
      </c>
      <c r="G1296" t="s">
        <v>50</v>
      </c>
      <c r="H1296" s="14">
        <v>0.05</v>
      </c>
      <c r="I1296" s="23">
        <v>539.44000000000005</v>
      </c>
      <c r="J1296" s="4">
        <v>1618.17</v>
      </c>
    </row>
    <row r="1297" spans="1:10">
      <c r="A1297" t="s">
        <v>2078</v>
      </c>
      <c r="B1297" s="3">
        <v>45313</v>
      </c>
      <c r="C1297" t="s">
        <v>1495</v>
      </c>
      <c r="D1297" t="s">
        <v>148</v>
      </c>
      <c r="E1297" t="s">
        <v>72</v>
      </c>
      <c r="F1297">
        <v>3</v>
      </c>
      <c r="G1297" t="s">
        <v>33</v>
      </c>
      <c r="H1297" s="14">
        <v>0.05</v>
      </c>
      <c r="I1297" s="23">
        <v>543.49</v>
      </c>
      <c r="J1297" s="4">
        <v>1630.32</v>
      </c>
    </row>
    <row r="1298" spans="1:10">
      <c r="A1298" t="s">
        <v>2079</v>
      </c>
      <c r="B1298" s="3">
        <v>45221</v>
      </c>
      <c r="C1298" t="s">
        <v>290</v>
      </c>
      <c r="D1298" t="s">
        <v>645</v>
      </c>
      <c r="E1298" t="s">
        <v>179</v>
      </c>
      <c r="F1298">
        <v>4</v>
      </c>
      <c r="G1298" t="s">
        <v>50</v>
      </c>
      <c r="H1298" s="14">
        <v>0.1</v>
      </c>
      <c r="I1298" s="23">
        <v>547.21</v>
      </c>
      <c r="J1298" s="4">
        <v>2188.44</v>
      </c>
    </row>
    <row r="1299" spans="1:10">
      <c r="A1299" t="s">
        <v>2080</v>
      </c>
      <c r="B1299" s="3">
        <v>45619</v>
      </c>
      <c r="C1299" t="s">
        <v>926</v>
      </c>
      <c r="D1299" t="s">
        <v>134</v>
      </c>
      <c r="E1299" t="s">
        <v>105</v>
      </c>
      <c r="F1299">
        <v>2</v>
      </c>
      <c r="G1299" t="s">
        <v>33</v>
      </c>
      <c r="H1299" s="14">
        <v>7.0000000000000007E-2</v>
      </c>
      <c r="I1299" s="23">
        <v>892.46</v>
      </c>
      <c r="J1299" s="4">
        <v>1784.78</v>
      </c>
    </row>
    <row r="1300" spans="1:10">
      <c r="A1300" t="s">
        <v>2081</v>
      </c>
      <c r="B1300" s="3">
        <v>45286</v>
      </c>
      <c r="C1300" t="s">
        <v>1442</v>
      </c>
      <c r="D1300" t="s">
        <v>246</v>
      </c>
      <c r="E1300" t="s">
        <v>43</v>
      </c>
      <c r="F1300">
        <v>2</v>
      </c>
      <c r="G1300" t="s">
        <v>23</v>
      </c>
      <c r="H1300" s="14">
        <v>0.25</v>
      </c>
      <c r="I1300" s="23">
        <v>853.41</v>
      </c>
      <c r="J1300" s="4">
        <v>1706.32</v>
      </c>
    </row>
    <row r="1301" spans="1:10">
      <c r="A1301" t="s">
        <v>2082</v>
      </c>
      <c r="B1301" s="3">
        <v>45451</v>
      </c>
      <c r="C1301" t="s">
        <v>1528</v>
      </c>
      <c r="D1301" t="s">
        <v>542</v>
      </c>
      <c r="E1301" t="s">
        <v>66</v>
      </c>
      <c r="F1301">
        <v>1</v>
      </c>
      <c r="G1301" t="s">
        <v>33</v>
      </c>
      <c r="H1301" s="14">
        <v>7.0000000000000007E-2</v>
      </c>
      <c r="I1301" s="23">
        <v>162.13999999999999</v>
      </c>
      <c r="J1301" s="4">
        <v>162.07</v>
      </c>
    </row>
    <row r="1302" spans="1:10">
      <c r="A1302" t="s">
        <v>2083</v>
      </c>
      <c r="B1302" s="3">
        <v>45478</v>
      </c>
      <c r="C1302" t="s">
        <v>1256</v>
      </c>
      <c r="D1302" t="s">
        <v>1259</v>
      </c>
      <c r="E1302" t="s">
        <v>117</v>
      </c>
      <c r="F1302">
        <v>1</v>
      </c>
      <c r="G1302" t="s">
        <v>23</v>
      </c>
      <c r="H1302" s="14">
        <v>0.09</v>
      </c>
      <c r="I1302" s="23">
        <v>893.14</v>
      </c>
      <c r="J1302" s="4">
        <v>893.05</v>
      </c>
    </row>
    <row r="1303" spans="1:10">
      <c r="A1303" t="s">
        <v>2084</v>
      </c>
      <c r="B1303" s="3">
        <v>45528</v>
      </c>
      <c r="C1303" t="s">
        <v>765</v>
      </c>
      <c r="D1303" t="s">
        <v>116</v>
      </c>
      <c r="E1303" t="s">
        <v>43</v>
      </c>
      <c r="F1303">
        <v>4</v>
      </c>
      <c r="G1303" t="s">
        <v>23</v>
      </c>
      <c r="H1303" s="14">
        <v>0.28000000000000003</v>
      </c>
      <c r="I1303" s="23">
        <v>349.07</v>
      </c>
      <c r="J1303" s="4">
        <v>1395.16</v>
      </c>
    </row>
    <row r="1304" spans="1:10">
      <c r="A1304" t="s">
        <v>2085</v>
      </c>
      <c r="B1304" s="3">
        <v>45418</v>
      </c>
      <c r="C1304" t="s">
        <v>1567</v>
      </c>
      <c r="D1304" t="s">
        <v>630</v>
      </c>
      <c r="E1304" t="s">
        <v>149</v>
      </c>
      <c r="F1304">
        <v>1</v>
      </c>
      <c r="G1304" t="s">
        <v>50</v>
      </c>
      <c r="H1304" s="14">
        <v>0.21</v>
      </c>
      <c r="I1304" s="23">
        <v>747.9</v>
      </c>
      <c r="J1304" s="4">
        <v>747.69</v>
      </c>
    </row>
    <row r="1305" spans="1:10">
      <c r="A1305" t="s">
        <v>2086</v>
      </c>
      <c r="B1305" s="3">
        <v>45478</v>
      </c>
      <c r="C1305" t="s">
        <v>727</v>
      </c>
      <c r="D1305" t="s">
        <v>630</v>
      </c>
      <c r="E1305" t="s">
        <v>179</v>
      </c>
      <c r="F1305">
        <v>3</v>
      </c>
      <c r="G1305" t="s">
        <v>23</v>
      </c>
      <c r="H1305" s="14">
        <v>0.21</v>
      </c>
      <c r="I1305" s="23">
        <v>438.92</v>
      </c>
      <c r="J1305" s="4">
        <v>1316.13</v>
      </c>
    </row>
    <row r="1306" spans="1:10">
      <c r="A1306" t="s">
        <v>2087</v>
      </c>
      <c r="B1306" s="3">
        <v>45232</v>
      </c>
      <c r="C1306" t="s">
        <v>1201</v>
      </c>
      <c r="D1306" t="s">
        <v>192</v>
      </c>
      <c r="E1306" t="s">
        <v>72</v>
      </c>
      <c r="F1306">
        <v>4</v>
      </c>
      <c r="G1306" t="s">
        <v>23</v>
      </c>
      <c r="H1306" s="14">
        <v>0.18</v>
      </c>
      <c r="I1306" s="23">
        <v>665.38</v>
      </c>
      <c r="J1306" s="4">
        <v>2660.8</v>
      </c>
    </row>
    <row r="1307" spans="1:10">
      <c r="A1307" t="s">
        <v>2088</v>
      </c>
      <c r="B1307" s="3">
        <v>45616</v>
      </c>
      <c r="C1307" t="s">
        <v>2059</v>
      </c>
      <c r="D1307" t="s">
        <v>148</v>
      </c>
      <c r="E1307" t="s">
        <v>160</v>
      </c>
      <c r="F1307">
        <v>1</v>
      </c>
      <c r="G1307" t="s">
        <v>23</v>
      </c>
      <c r="H1307" s="14">
        <v>0.28000000000000003</v>
      </c>
      <c r="I1307" s="23">
        <v>146.49</v>
      </c>
      <c r="J1307" s="4">
        <v>146.21</v>
      </c>
    </row>
    <row r="1308" spans="1:10">
      <c r="A1308" t="s">
        <v>2089</v>
      </c>
      <c r="B1308" s="3">
        <v>45774</v>
      </c>
      <c r="C1308" t="s">
        <v>1400</v>
      </c>
      <c r="D1308" t="s">
        <v>340</v>
      </c>
      <c r="E1308" t="s">
        <v>122</v>
      </c>
      <c r="F1308">
        <v>2</v>
      </c>
      <c r="G1308" t="s">
        <v>50</v>
      </c>
      <c r="H1308" s="14">
        <v>0.27</v>
      </c>
      <c r="I1308" s="23">
        <v>235.39</v>
      </c>
      <c r="J1308" s="4">
        <v>470.24</v>
      </c>
    </row>
    <row r="1309" spans="1:10">
      <c r="A1309" t="s">
        <v>2090</v>
      </c>
      <c r="B1309" s="3">
        <v>45651</v>
      </c>
      <c r="C1309" t="s">
        <v>203</v>
      </c>
      <c r="D1309" t="s">
        <v>698</v>
      </c>
      <c r="E1309" t="s">
        <v>58</v>
      </c>
      <c r="F1309">
        <v>3</v>
      </c>
      <c r="G1309" t="s">
        <v>33</v>
      </c>
      <c r="H1309" s="14">
        <v>0.09</v>
      </c>
      <c r="I1309" s="23">
        <v>38.07</v>
      </c>
      <c r="J1309" s="4">
        <v>113.94</v>
      </c>
    </row>
    <row r="1310" spans="1:10">
      <c r="A1310" t="s">
        <v>2091</v>
      </c>
      <c r="B1310" s="3">
        <v>45902</v>
      </c>
      <c r="C1310" t="s">
        <v>376</v>
      </c>
      <c r="D1310" t="s">
        <v>116</v>
      </c>
      <c r="E1310" t="s">
        <v>72</v>
      </c>
      <c r="F1310">
        <v>2</v>
      </c>
      <c r="G1310" t="s">
        <v>50</v>
      </c>
      <c r="H1310" s="14">
        <v>0.12</v>
      </c>
      <c r="I1310" s="23">
        <v>511.7</v>
      </c>
      <c r="J1310" s="4">
        <v>1023.16</v>
      </c>
    </row>
    <row r="1311" spans="1:10">
      <c r="A1311" t="s">
        <v>2092</v>
      </c>
      <c r="B1311" s="3">
        <v>45401</v>
      </c>
      <c r="C1311" t="s">
        <v>1175</v>
      </c>
      <c r="D1311" t="s">
        <v>213</v>
      </c>
      <c r="E1311" t="s">
        <v>43</v>
      </c>
      <c r="F1311">
        <v>4</v>
      </c>
      <c r="G1311" t="s">
        <v>33</v>
      </c>
      <c r="H1311" s="14">
        <v>0.23</v>
      </c>
      <c r="I1311" s="23">
        <v>488.72</v>
      </c>
      <c r="J1311" s="4">
        <v>1953.96</v>
      </c>
    </row>
    <row r="1312" spans="1:10">
      <c r="A1312" t="s">
        <v>2093</v>
      </c>
      <c r="B1312" s="3">
        <v>45717</v>
      </c>
      <c r="C1312" t="s">
        <v>1007</v>
      </c>
      <c r="D1312" t="s">
        <v>409</v>
      </c>
      <c r="E1312" t="s">
        <v>208</v>
      </c>
      <c r="F1312">
        <v>2</v>
      </c>
      <c r="G1312" t="s">
        <v>50</v>
      </c>
      <c r="H1312" s="14">
        <v>0.11</v>
      </c>
      <c r="I1312" s="23">
        <v>520.45000000000005</v>
      </c>
      <c r="J1312" s="4">
        <v>1040.68</v>
      </c>
    </row>
    <row r="1313" spans="1:10">
      <c r="A1313" t="s">
        <v>2094</v>
      </c>
      <c r="B1313" s="3">
        <v>45376</v>
      </c>
      <c r="C1313" t="s">
        <v>1919</v>
      </c>
      <c r="D1313" t="s">
        <v>505</v>
      </c>
      <c r="E1313" t="s">
        <v>58</v>
      </c>
      <c r="F1313">
        <v>1</v>
      </c>
      <c r="G1313" t="s">
        <v>23</v>
      </c>
      <c r="H1313" s="14">
        <v>0.28999999999999998</v>
      </c>
      <c r="I1313" s="23">
        <v>340.9</v>
      </c>
      <c r="J1313" s="4">
        <v>340.61</v>
      </c>
    </row>
    <row r="1314" spans="1:10">
      <c r="A1314" t="s">
        <v>2095</v>
      </c>
      <c r="B1314" s="3">
        <v>45576</v>
      </c>
      <c r="C1314" t="s">
        <v>48</v>
      </c>
      <c r="D1314" t="s">
        <v>311</v>
      </c>
      <c r="E1314" t="s">
        <v>43</v>
      </c>
      <c r="F1314">
        <v>3</v>
      </c>
      <c r="G1314" t="s">
        <v>50</v>
      </c>
      <c r="H1314" s="14">
        <v>0.17</v>
      </c>
      <c r="I1314" s="23">
        <v>653.59</v>
      </c>
      <c r="J1314" s="4">
        <v>1960.26</v>
      </c>
    </row>
    <row r="1315" spans="1:10">
      <c r="A1315" t="s">
        <v>2096</v>
      </c>
      <c r="B1315" s="3">
        <v>45906</v>
      </c>
      <c r="C1315" t="s">
        <v>2097</v>
      </c>
      <c r="D1315" t="s">
        <v>246</v>
      </c>
      <c r="E1315" t="s">
        <v>160</v>
      </c>
      <c r="F1315">
        <v>1</v>
      </c>
      <c r="G1315" t="s">
        <v>50</v>
      </c>
      <c r="H1315" s="14">
        <v>0.23</v>
      </c>
      <c r="I1315" s="23">
        <v>179.77</v>
      </c>
      <c r="J1315" s="4">
        <v>179.54</v>
      </c>
    </row>
    <row r="1316" spans="1:10">
      <c r="A1316" t="s">
        <v>2098</v>
      </c>
      <c r="B1316" s="3">
        <v>45523</v>
      </c>
      <c r="C1316" t="s">
        <v>270</v>
      </c>
      <c r="D1316" t="s">
        <v>768</v>
      </c>
      <c r="E1316" t="s">
        <v>127</v>
      </c>
      <c r="F1316">
        <v>2</v>
      </c>
      <c r="G1316" t="s">
        <v>23</v>
      </c>
      <c r="H1316" s="14">
        <v>0.06</v>
      </c>
      <c r="I1316" s="23">
        <v>943.8</v>
      </c>
      <c r="J1316" s="4">
        <v>1887.48</v>
      </c>
    </row>
    <row r="1317" spans="1:10">
      <c r="A1317" t="s">
        <v>2099</v>
      </c>
      <c r="B1317" s="3">
        <v>45234</v>
      </c>
      <c r="C1317" t="s">
        <v>20</v>
      </c>
      <c r="D1317" t="s">
        <v>368</v>
      </c>
      <c r="E1317" t="s">
        <v>122</v>
      </c>
      <c r="F1317">
        <v>2</v>
      </c>
      <c r="G1317" t="s">
        <v>23</v>
      </c>
      <c r="H1317" s="14">
        <v>0.25</v>
      </c>
      <c r="I1317" s="23">
        <v>985</v>
      </c>
      <c r="J1317" s="4">
        <v>1969.5</v>
      </c>
    </row>
    <row r="1318" spans="1:10">
      <c r="A1318" t="s">
        <v>2100</v>
      </c>
      <c r="B1318" s="3">
        <v>45405</v>
      </c>
      <c r="C1318" t="s">
        <v>598</v>
      </c>
      <c r="D1318" t="s">
        <v>110</v>
      </c>
      <c r="E1318" t="s">
        <v>168</v>
      </c>
      <c r="F1318">
        <v>4</v>
      </c>
      <c r="G1318" t="s">
        <v>23</v>
      </c>
      <c r="H1318" s="14">
        <v>0.28999999999999998</v>
      </c>
      <c r="I1318" s="23">
        <v>216.81</v>
      </c>
      <c r="J1318" s="4">
        <v>866.08</v>
      </c>
    </row>
    <row r="1319" spans="1:10">
      <c r="A1319" t="s">
        <v>2101</v>
      </c>
      <c r="B1319" s="3">
        <v>45223</v>
      </c>
      <c r="C1319" t="s">
        <v>1299</v>
      </c>
      <c r="D1319" t="s">
        <v>779</v>
      </c>
      <c r="E1319" t="s">
        <v>198</v>
      </c>
      <c r="F1319">
        <v>4</v>
      </c>
      <c r="G1319" t="s">
        <v>50</v>
      </c>
      <c r="H1319" s="14">
        <v>0.27</v>
      </c>
      <c r="I1319" s="23">
        <v>950.21</v>
      </c>
      <c r="J1319" s="4">
        <v>3799.76</v>
      </c>
    </row>
    <row r="1320" spans="1:10">
      <c r="A1320" t="s">
        <v>2102</v>
      </c>
      <c r="B1320" s="3">
        <v>45838</v>
      </c>
      <c r="C1320" t="s">
        <v>593</v>
      </c>
      <c r="D1320" t="s">
        <v>505</v>
      </c>
      <c r="E1320" t="s">
        <v>66</v>
      </c>
      <c r="F1320">
        <v>2</v>
      </c>
      <c r="G1320" t="s">
        <v>33</v>
      </c>
      <c r="H1320" s="14">
        <v>0.17</v>
      </c>
      <c r="I1320" s="23">
        <v>271.39999999999998</v>
      </c>
      <c r="J1320" s="4">
        <v>542.46</v>
      </c>
    </row>
    <row r="1321" spans="1:10">
      <c r="A1321" t="s">
        <v>2103</v>
      </c>
      <c r="B1321" s="3">
        <v>45883</v>
      </c>
      <c r="C1321" t="s">
        <v>338</v>
      </c>
      <c r="D1321" t="s">
        <v>104</v>
      </c>
      <c r="E1321" t="s">
        <v>43</v>
      </c>
      <c r="F1321">
        <v>4</v>
      </c>
      <c r="G1321" t="s">
        <v>33</v>
      </c>
      <c r="H1321" s="14">
        <v>0.1</v>
      </c>
      <c r="I1321" s="23">
        <v>708.19</v>
      </c>
      <c r="J1321" s="4">
        <v>2832.36</v>
      </c>
    </row>
    <row r="1322" spans="1:10">
      <c r="A1322" t="s">
        <v>2104</v>
      </c>
      <c r="B1322" s="3">
        <v>45788</v>
      </c>
      <c r="C1322" t="s">
        <v>1731</v>
      </c>
      <c r="D1322" t="s">
        <v>420</v>
      </c>
      <c r="E1322" t="s">
        <v>22</v>
      </c>
      <c r="F1322">
        <v>3</v>
      </c>
      <c r="G1322" t="s">
        <v>33</v>
      </c>
      <c r="H1322" s="14">
        <v>0.05</v>
      </c>
      <c r="I1322" s="23">
        <v>477.05</v>
      </c>
      <c r="J1322" s="4">
        <v>1431</v>
      </c>
    </row>
    <row r="1323" spans="1:10">
      <c r="A1323" t="s">
        <v>2105</v>
      </c>
      <c r="B1323" s="3">
        <v>45383</v>
      </c>
      <c r="C1323" t="s">
        <v>560</v>
      </c>
      <c r="D1323" t="s">
        <v>31</v>
      </c>
      <c r="E1323" t="s">
        <v>127</v>
      </c>
      <c r="F1323">
        <v>3</v>
      </c>
      <c r="G1323" t="s">
        <v>50</v>
      </c>
      <c r="H1323" s="14">
        <v>0.27</v>
      </c>
      <c r="I1323" s="23">
        <v>627.29</v>
      </c>
      <c r="J1323" s="4">
        <v>1881.06</v>
      </c>
    </row>
    <row r="1324" spans="1:10">
      <c r="A1324" t="s">
        <v>2106</v>
      </c>
      <c r="B1324" s="3">
        <v>45335</v>
      </c>
      <c r="C1324" t="s">
        <v>861</v>
      </c>
      <c r="D1324" t="s">
        <v>242</v>
      </c>
      <c r="E1324" t="s">
        <v>272</v>
      </c>
      <c r="F1324">
        <v>3</v>
      </c>
      <c r="G1324" t="s">
        <v>33</v>
      </c>
      <c r="H1324" s="14">
        <v>0.19</v>
      </c>
      <c r="I1324" s="23">
        <v>206.84</v>
      </c>
      <c r="J1324" s="4">
        <v>619.95000000000005</v>
      </c>
    </row>
    <row r="1325" spans="1:10">
      <c r="A1325" t="s">
        <v>2107</v>
      </c>
      <c r="B1325" s="3">
        <v>45304</v>
      </c>
      <c r="C1325" t="s">
        <v>890</v>
      </c>
      <c r="D1325" t="s">
        <v>271</v>
      </c>
      <c r="E1325" t="s">
        <v>105</v>
      </c>
      <c r="F1325">
        <v>4</v>
      </c>
      <c r="G1325" t="s">
        <v>23</v>
      </c>
      <c r="H1325" s="14">
        <v>0.26</v>
      </c>
      <c r="I1325" s="23">
        <v>629.04999999999995</v>
      </c>
      <c r="J1325" s="4">
        <v>2515.16</v>
      </c>
    </row>
    <row r="1326" spans="1:10">
      <c r="A1326" t="s">
        <v>2108</v>
      </c>
      <c r="B1326" s="3">
        <v>45543</v>
      </c>
      <c r="C1326" t="s">
        <v>878</v>
      </c>
      <c r="D1326" t="s">
        <v>31</v>
      </c>
      <c r="E1326" t="s">
        <v>32</v>
      </c>
      <c r="F1326">
        <v>4</v>
      </c>
      <c r="G1326" t="s">
        <v>33</v>
      </c>
      <c r="H1326" s="14">
        <v>0.1</v>
      </c>
      <c r="I1326" s="23">
        <v>529.04</v>
      </c>
      <c r="J1326" s="4">
        <v>2115.7600000000002</v>
      </c>
    </row>
    <row r="1327" spans="1:10">
      <c r="A1327" t="s">
        <v>2109</v>
      </c>
      <c r="B1327" s="3">
        <v>45326</v>
      </c>
      <c r="C1327" t="s">
        <v>519</v>
      </c>
      <c r="D1327" t="s">
        <v>271</v>
      </c>
      <c r="E1327" t="s">
        <v>32</v>
      </c>
      <c r="F1327">
        <v>1</v>
      </c>
      <c r="G1327" t="s">
        <v>33</v>
      </c>
      <c r="H1327" s="14">
        <v>0.22</v>
      </c>
      <c r="I1327" s="23">
        <v>350.67</v>
      </c>
      <c r="J1327" s="4">
        <v>350.45</v>
      </c>
    </row>
    <row r="1328" spans="1:10">
      <c r="A1328" t="s">
        <v>2110</v>
      </c>
      <c r="B1328" s="3">
        <v>45498</v>
      </c>
      <c r="C1328" t="s">
        <v>674</v>
      </c>
      <c r="D1328" t="s">
        <v>1126</v>
      </c>
      <c r="E1328" t="s">
        <v>105</v>
      </c>
      <c r="F1328">
        <v>1</v>
      </c>
      <c r="G1328" t="s">
        <v>23</v>
      </c>
      <c r="H1328" s="14">
        <v>0.26</v>
      </c>
      <c r="I1328" s="23">
        <v>128.93</v>
      </c>
      <c r="J1328" s="4">
        <v>128.66999999999999</v>
      </c>
    </row>
    <row r="1329" spans="1:10">
      <c r="A1329" t="s">
        <v>2111</v>
      </c>
      <c r="B1329" s="3">
        <v>45544</v>
      </c>
      <c r="C1329" t="s">
        <v>1024</v>
      </c>
      <c r="D1329" t="s">
        <v>400</v>
      </c>
      <c r="E1329" t="s">
        <v>122</v>
      </c>
      <c r="F1329">
        <v>2</v>
      </c>
      <c r="G1329" t="s">
        <v>23</v>
      </c>
      <c r="H1329" s="14">
        <v>0.09</v>
      </c>
      <c r="I1329" s="23">
        <v>384.92</v>
      </c>
      <c r="J1329" s="4">
        <v>769.66</v>
      </c>
    </row>
    <row r="1330" spans="1:10">
      <c r="A1330" t="s">
        <v>2112</v>
      </c>
      <c r="B1330" s="3">
        <v>45268</v>
      </c>
      <c r="C1330" t="s">
        <v>639</v>
      </c>
      <c r="D1330" t="s">
        <v>183</v>
      </c>
      <c r="E1330" t="s">
        <v>43</v>
      </c>
      <c r="F1330">
        <v>3</v>
      </c>
      <c r="G1330" t="s">
        <v>33</v>
      </c>
      <c r="H1330" s="14">
        <v>0.28999999999999998</v>
      </c>
      <c r="I1330" s="23">
        <v>120.77</v>
      </c>
      <c r="J1330" s="4">
        <v>361.44</v>
      </c>
    </row>
    <row r="1331" spans="1:10">
      <c r="A1331" t="s">
        <v>2113</v>
      </c>
      <c r="B1331" s="3">
        <v>45824</v>
      </c>
      <c r="C1331" t="s">
        <v>904</v>
      </c>
      <c r="D1331" t="s">
        <v>49</v>
      </c>
      <c r="E1331" t="s">
        <v>32</v>
      </c>
      <c r="F1331">
        <v>4</v>
      </c>
      <c r="G1331" t="s">
        <v>23</v>
      </c>
      <c r="H1331" s="14">
        <v>7.0000000000000007E-2</v>
      </c>
      <c r="I1331" s="23">
        <v>661.39</v>
      </c>
      <c r="J1331" s="4">
        <v>2645.28</v>
      </c>
    </row>
    <row r="1332" spans="1:10">
      <c r="A1332" t="s">
        <v>2114</v>
      </c>
      <c r="B1332" s="3">
        <v>45261</v>
      </c>
      <c r="C1332" t="s">
        <v>748</v>
      </c>
      <c r="D1332" t="s">
        <v>661</v>
      </c>
      <c r="E1332" t="s">
        <v>198</v>
      </c>
      <c r="F1332">
        <v>1</v>
      </c>
      <c r="G1332" t="s">
        <v>33</v>
      </c>
      <c r="H1332" s="14">
        <v>0.27</v>
      </c>
      <c r="I1332" s="23">
        <v>195.24</v>
      </c>
      <c r="J1332" s="4">
        <v>194.97</v>
      </c>
    </row>
    <row r="1333" spans="1:10">
      <c r="A1333" t="s">
        <v>2115</v>
      </c>
      <c r="B1333" s="3">
        <v>45233</v>
      </c>
      <c r="C1333" t="s">
        <v>1747</v>
      </c>
      <c r="D1333" t="s">
        <v>603</v>
      </c>
      <c r="E1333" t="s">
        <v>160</v>
      </c>
      <c r="F1333">
        <v>2</v>
      </c>
      <c r="G1333" t="s">
        <v>33</v>
      </c>
      <c r="H1333" s="14">
        <v>0.19</v>
      </c>
      <c r="I1333" s="23">
        <v>177.4</v>
      </c>
      <c r="J1333" s="4">
        <v>354.42</v>
      </c>
    </row>
    <row r="1334" spans="1:10">
      <c r="A1334" t="s">
        <v>2116</v>
      </c>
      <c r="B1334" s="3">
        <v>45673</v>
      </c>
      <c r="C1334" t="s">
        <v>1208</v>
      </c>
      <c r="D1334" t="s">
        <v>187</v>
      </c>
      <c r="E1334" t="s">
        <v>272</v>
      </c>
      <c r="F1334">
        <v>4</v>
      </c>
      <c r="G1334" t="s">
        <v>33</v>
      </c>
      <c r="H1334" s="14">
        <v>0.2</v>
      </c>
      <c r="I1334" s="23">
        <v>862.67</v>
      </c>
      <c r="J1334" s="4">
        <v>3449.88</v>
      </c>
    </row>
    <row r="1335" spans="1:10">
      <c r="A1335" t="s">
        <v>2117</v>
      </c>
      <c r="B1335" s="3">
        <v>45565</v>
      </c>
      <c r="C1335" t="s">
        <v>1731</v>
      </c>
      <c r="D1335" t="s">
        <v>377</v>
      </c>
      <c r="E1335" t="s">
        <v>179</v>
      </c>
      <c r="F1335">
        <v>1</v>
      </c>
      <c r="G1335" t="s">
        <v>50</v>
      </c>
      <c r="H1335" s="14">
        <v>0.01</v>
      </c>
      <c r="I1335" s="23">
        <v>55.04</v>
      </c>
      <c r="J1335" s="4">
        <v>55.03</v>
      </c>
    </row>
    <row r="1336" spans="1:10">
      <c r="A1336" t="s">
        <v>2118</v>
      </c>
      <c r="B1336" s="3">
        <v>45646</v>
      </c>
      <c r="C1336" t="s">
        <v>710</v>
      </c>
      <c r="D1336" t="s">
        <v>344</v>
      </c>
      <c r="E1336" t="s">
        <v>90</v>
      </c>
      <c r="F1336">
        <v>2</v>
      </c>
      <c r="G1336" t="s">
        <v>50</v>
      </c>
      <c r="H1336" s="14">
        <v>0.2</v>
      </c>
      <c r="I1336" s="23">
        <v>905.47</v>
      </c>
      <c r="J1336" s="4">
        <v>1810.54</v>
      </c>
    </row>
    <row r="1337" spans="1:10">
      <c r="A1337" t="s">
        <v>2119</v>
      </c>
      <c r="B1337" s="3">
        <v>45539</v>
      </c>
      <c r="C1337" t="s">
        <v>1235</v>
      </c>
      <c r="D1337" t="s">
        <v>625</v>
      </c>
      <c r="E1337" t="s">
        <v>149</v>
      </c>
      <c r="F1337">
        <v>3</v>
      </c>
      <c r="G1337" t="s">
        <v>23</v>
      </c>
      <c r="H1337" s="14">
        <v>0.28000000000000003</v>
      </c>
      <c r="I1337" s="23">
        <v>217.13</v>
      </c>
      <c r="J1337" s="4">
        <v>650.54999999999995</v>
      </c>
    </row>
    <row r="1338" spans="1:10">
      <c r="A1338" t="s">
        <v>2120</v>
      </c>
      <c r="B1338" s="3">
        <v>45936</v>
      </c>
      <c r="C1338" t="s">
        <v>1218</v>
      </c>
      <c r="D1338" t="s">
        <v>213</v>
      </c>
      <c r="E1338" t="s">
        <v>90</v>
      </c>
      <c r="F1338">
        <v>3</v>
      </c>
      <c r="G1338" t="s">
        <v>33</v>
      </c>
      <c r="H1338" s="14">
        <v>0</v>
      </c>
      <c r="I1338" s="23">
        <v>580.45000000000005</v>
      </c>
      <c r="J1338" s="4">
        <v>1741.35</v>
      </c>
    </row>
    <row r="1339" spans="1:10">
      <c r="A1339" t="s">
        <v>2121</v>
      </c>
      <c r="B1339" s="3">
        <v>45854</v>
      </c>
      <c r="C1339" t="s">
        <v>765</v>
      </c>
      <c r="D1339" t="s">
        <v>634</v>
      </c>
      <c r="E1339" t="s">
        <v>32</v>
      </c>
      <c r="F1339">
        <v>2</v>
      </c>
      <c r="G1339" t="s">
        <v>33</v>
      </c>
      <c r="H1339" s="14">
        <v>0.17</v>
      </c>
      <c r="I1339" s="23">
        <v>892.88</v>
      </c>
      <c r="J1339" s="4">
        <v>1785.42</v>
      </c>
    </row>
    <row r="1340" spans="1:10">
      <c r="A1340" t="s">
        <v>2122</v>
      </c>
      <c r="B1340" s="3">
        <v>45936</v>
      </c>
      <c r="C1340" t="s">
        <v>637</v>
      </c>
      <c r="D1340" t="s">
        <v>295</v>
      </c>
      <c r="E1340" t="s">
        <v>160</v>
      </c>
      <c r="F1340">
        <v>2</v>
      </c>
      <c r="G1340" t="s">
        <v>50</v>
      </c>
      <c r="H1340" s="14">
        <v>0.11</v>
      </c>
      <c r="I1340" s="23">
        <v>356.28</v>
      </c>
      <c r="J1340" s="4">
        <v>712.34</v>
      </c>
    </row>
    <row r="1341" spans="1:10">
      <c r="A1341" t="s">
        <v>2123</v>
      </c>
      <c r="B1341" s="3">
        <v>45921</v>
      </c>
      <c r="C1341" t="s">
        <v>1097</v>
      </c>
      <c r="D1341" t="s">
        <v>429</v>
      </c>
      <c r="E1341" t="s">
        <v>198</v>
      </c>
      <c r="F1341">
        <v>4</v>
      </c>
      <c r="G1341" t="s">
        <v>23</v>
      </c>
      <c r="H1341" s="14">
        <v>0.06</v>
      </c>
      <c r="I1341" s="23">
        <v>806.99</v>
      </c>
      <c r="J1341" s="4">
        <v>3227.72</v>
      </c>
    </row>
    <row r="1342" spans="1:10">
      <c r="A1342" t="s">
        <v>2124</v>
      </c>
      <c r="B1342" s="3">
        <v>45855</v>
      </c>
      <c r="C1342" t="s">
        <v>2125</v>
      </c>
      <c r="D1342" t="s">
        <v>291</v>
      </c>
      <c r="E1342" t="s">
        <v>105</v>
      </c>
      <c r="F1342">
        <v>3</v>
      </c>
      <c r="G1342" t="s">
        <v>23</v>
      </c>
      <c r="H1342" s="14">
        <v>0.09</v>
      </c>
      <c r="I1342" s="23">
        <v>684.22</v>
      </c>
      <c r="J1342" s="4">
        <v>2052.39</v>
      </c>
    </row>
    <row r="1343" spans="1:10">
      <c r="A1343" t="s">
        <v>2126</v>
      </c>
      <c r="B1343" s="3">
        <v>45837</v>
      </c>
      <c r="C1343" t="s">
        <v>115</v>
      </c>
      <c r="D1343" t="s">
        <v>317</v>
      </c>
      <c r="E1343" t="s">
        <v>66</v>
      </c>
      <c r="F1343">
        <v>4</v>
      </c>
      <c r="G1343" t="s">
        <v>33</v>
      </c>
      <c r="H1343" s="14">
        <v>7.0000000000000007E-2</v>
      </c>
      <c r="I1343" s="23">
        <v>763.34</v>
      </c>
      <c r="J1343" s="4">
        <v>3053.08</v>
      </c>
    </row>
    <row r="1344" spans="1:10">
      <c r="A1344" t="s">
        <v>2127</v>
      </c>
      <c r="B1344" s="3">
        <v>45738</v>
      </c>
      <c r="C1344" t="s">
        <v>1895</v>
      </c>
      <c r="D1344" t="s">
        <v>409</v>
      </c>
      <c r="E1344" t="s">
        <v>22</v>
      </c>
      <c r="F1344">
        <v>3</v>
      </c>
      <c r="G1344" t="s">
        <v>23</v>
      </c>
      <c r="H1344" s="14">
        <v>0.26</v>
      </c>
      <c r="I1344" s="23">
        <v>721.94</v>
      </c>
      <c r="J1344" s="4">
        <v>2165.04</v>
      </c>
    </row>
    <row r="1345" spans="1:10">
      <c r="A1345" t="s">
        <v>2128</v>
      </c>
      <c r="B1345" s="3">
        <v>45323</v>
      </c>
      <c r="C1345" t="s">
        <v>398</v>
      </c>
      <c r="D1345" t="s">
        <v>21</v>
      </c>
      <c r="E1345" t="s">
        <v>105</v>
      </c>
      <c r="F1345">
        <v>3</v>
      </c>
      <c r="G1345" t="s">
        <v>50</v>
      </c>
      <c r="H1345" s="14">
        <v>0</v>
      </c>
      <c r="I1345" s="23">
        <v>760.38</v>
      </c>
      <c r="J1345" s="4">
        <v>2281.14</v>
      </c>
    </row>
    <row r="1346" spans="1:10">
      <c r="A1346" t="s">
        <v>2129</v>
      </c>
      <c r="B1346" s="3">
        <v>45362</v>
      </c>
      <c r="C1346" t="s">
        <v>404</v>
      </c>
      <c r="D1346" t="s">
        <v>21</v>
      </c>
      <c r="E1346" t="s">
        <v>179</v>
      </c>
      <c r="F1346">
        <v>3</v>
      </c>
      <c r="G1346" t="s">
        <v>50</v>
      </c>
      <c r="H1346" s="14">
        <v>0.21</v>
      </c>
      <c r="I1346" s="23">
        <v>612.53</v>
      </c>
      <c r="J1346" s="4">
        <v>1836.96</v>
      </c>
    </row>
    <row r="1347" spans="1:10">
      <c r="A1347" t="s">
        <v>2130</v>
      </c>
      <c r="B1347" s="3">
        <v>45544</v>
      </c>
      <c r="C1347" t="s">
        <v>442</v>
      </c>
      <c r="D1347" t="s">
        <v>625</v>
      </c>
      <c r="E1347" t="s">
        <v>117</v>
      </c>
      <c r="F1347">
        <v>3</v>
      </c>
      <c r="G1347" t="s">
        <v>33</v>
      </c>
      <c r="H1347" s="14">
        <v>0.28999999999999998</v>
      </c>
      <c r="I1347" s="23">
        <v>841.37</v>
      </c>
      <c r="J1347" s="4">
        <v>2523.2399999999998</v>
      </c>
    </row>
    <row r="1348" spans="1:10">
      <c r="A1348" t="s">
        <v>2131</v>
      </c>
      <c r="B1348" s="3">
        <v>45249</v>
      </c>
      <c r="C1348" t="s">
        <v>1165</v>
      </c>
      <c r="D1348" t="s">
        <v>505</v>
      </c>
      <c r="E1348" t="s">
        <v>127</v>
      </c>
      <c r="F1348">
        <v>2</v>
      </c>
      <c r="G1348" t="s">
        <v>23</v>
      </c>
      <c r="H1348" s="14">
        <v>0.25</v>
      </c>
      <c r="I1348" s="23">
        <v>636.51</v>
      </c>
      <c r="J1348" s="4">
        <v>1272.52</v>
      </c>
    </row>
    <row r="1349" spans="1:10">
      <c r="A1349" t="s">
        <v>2132</v>
      </c>
      <c r="B1349" s="3">
        <v>45659</v>
      </c>
      <c r="C1349" t="s">
        <v>637</v>
      </c>
      <c r="D1349" t="s">
        <v>344</v>
      </c>
      <c r="E1349" t="s">
        <v>43</v>
      </c>
      <c r="F1349">
        <v>2</v>
      </c>
      <c r="G1349" t="s">
        <v>50</v>
      </c>
      <c r="H1349" s="14">
        <v>0.22</v>
      </c>
      <c r="I1349" s="23">
        <v>732.37</v>
      </c>
      <c r="J1349" s="4">
        <v>1464.3</v>
      </c>
    </row>
    <row r="1350" spans="1:10">
      <c r="A1350" t="s">
        <v>2133</v>
      </c>
      <c r="B1350" s="3">
        <v>45927</v>
      </c>
      <c r="C1350" t="s">
        <v>504</v>
      </c>
      <c r="D1350" t="s">
        <v>420</v>
      </c>
      <c r="E1350" t="s">
        <v>117</v>
      </c>
      <c r="F1350">
        <v>3</v>
      </c>
      <c r="G1350" t="s">
        <v>50</v>
      </c>
      <c r="H1350" s="14">
        <v>0.28000000000000003</v>
      </c>
      <c r="I1350" s="23">
        <v>183.44</v>
      </c>
      <c r="J1350" s="4">
        <v>549.48</v>
      </c>
    </row>
    <row r="1351" spans="1:10">
      <c r="A1351" t="s">
        <v>2134</v>
      </c>
      <c r="B1351" s="3">
        <v>45373</v>
      </c>
      <c r="C1351" t="s">
        <v>96</v>
      </c>
      <c r="D1351" t="s">
        <v>555</v>
      </c>
      <c r="E1351" t="s">
        <v>149</v>
      </c>
      <c r="F1351">
        <v>4</v>
      </c>
      <c r="G1351" t="s">
        <v>33</v>
      </c>
      <c r="H1351" s="14">
        <v>0.16</v>
      </c>
      <c r="I1351" s="23">
        <v>898.58</v>
      </c>
      <c r="J1351" s="4">
        <v>3593.68</v>
      </c>
    </row>
    <row r="1352" spans="1:10">
      <c r="A1352" t="s">
        <v>2135</v>
      </c>
      <c r="B1352" s="3">
        <v>45529</v>
      </c>
      <c r="C1352" t="s">
        <v>1322</v>
      </c>
      <c r="D1352" t="s">
        <v>250</v>
      </c>
      <c r="E1352" t="s">
        <v>198</v>
      </c>
      <c r="F1352">
        <v>3</v>
      </c>
      <c r="G1352" t="s">
        <v>23</v>
      </c>
      <c r="H1352" s="14">
        <v>0.25</v>
      </c>
      <c r="I1352" s="23">
        <v>152.41</v>
      </c>
      <c r="J1352" s="4">
        <v>456.48</v>
      </c>
    </row>
    <row r="1353" spans="1:10">
      <c r="A1353" t="s">
        <v>2136</v>
      </c>
      <c r="B1353" s="3">
        <v>45872</v>
      </c>
      <c r="C1353" t="s">
        <v>1118</v>
      </c>
      <c r="D1353" t="s">
        <v>603</v>
      </c>
      <c r="E1353" t="s">
        <v>98</v>
      </c>
      <c r="F1353">
        <v>3</v>
      </c>
      <c r="G1353" t="s">
        <v>50</v>
      </c>
      <c r="H1353" s="14">
        <v>0.28000000000000003</v>
      </c>
      <c r="I1353" s="23">
        <v>972.58</v>
      </c>
      <c r="J1353" s="4">
        <v>2916.9</v>
      </c>
    </row>
    <row r="1354" spans="1:10">
      <c r="A1354" t="s">
        <v>2137</v>
      </c>
      <c r="B1354" s="3">
        <v>45267</v>
      </c>
      <c r="C1354" t="s">
        <v>819</v>
      </c>
      <c r="D1354" t="s">
        <v>167</v>
      </c>
      <c r="E1354" t="s">
        <v>272</v>
      </c>
      <c r="F1354">
        <v>4</v>
      </c>
      <c r="G1354" t="s">
        <v>50</v>
      </c>
      <c r="H1354" s="14">
        <v>0.04</v>
      </c>
      <c r="I1354" s="23">
        <v>136.4</v>
      </c>
      <c r="J1354" s="4">
        <v>545.44000000000005</v>
      </c>
    </row>
    <row r="1355" spans="1:10">
      <c r="A1355" t="s">
        <v>2138</v>
      </c>
      <c r="B1355" s="3">
        <v>45894</v>
      </c>
      <c r="C1355" t="s">
        <v>1982</v>
      </c>
      <c r="D1355" t="s">
        <v>242</v>
      </c>
      <c r="E1355" t="s">
        <v>122</v>
      </c>
      <c r="F1355">
        <v>1</v>
      </c>
      <c r="G1355" t="s">
        <v>50</v>
      </c>
      <c r="H1355" s="14">
        <v>0.27</v>
      </c>
      <c r="I1355" s="23">
        <v>509.63</v>
      </c>
      <c r="J1355" s="4">
        <v>509.36</v>
      </c>
    </row>
    <row r="1356" spans="1:10">
      <c r="A1356" t="s">
        <v>2139</v>
      </c>
      <c r="B1356" s="3">
        <v>45331</v>
      </c>
      <c r="C1356" t="s">
        <v>2059</v>
      </c>
      <c r="D1356" t="s">
        <v>21</v>
      </c>
      <c r="E1356" t="s">
        <v>22</v>
      </c>
      <c r="F1356">
        <v>4</v>
      </c>
      <c r="G1356" t="s">
        <v>50</v>
      </c>
      <c r="H1356" s="14">
        <v>0.09</v>
      </c>
      <c r="I1356" s="23">
        <v>360.28</v>
      </c>
      <c r="J1356" s="4">
        <v>1440.76</v>
      </c>
    </row>
    <row r="1357" spans="1:10">
      <c r="A1357" t="s">
        <v>2140</v>
      </c>
      <c r="B1357" s="3">
        <v>45910</v>
      </c>
      <c r="C1357" t="s">
        <v>300</v>
      </c>
      <c r="D1357" t="s">
        <v>287</v>
      </c>
      <c r="E1357" t="s">
        <v>122</v>
      </c>
      <c r="F1357">
        <v>3</v>
      </c>
      <c r="G1357" t="s">
        <v>33</v>
      </c>
      <c r="H1357" s="14">
        <v>0.06</v>
      </c>
      <c r="I1357" s="23">
        <v>882.05</v>
      </c>
      <c r="J1357" s="4">
        <v>2645.97</v>
      </c>
    </row>
    <row r="1358" spans="1:10">
      <c r="A1358" t="s">
        <v>2141</v>
      </c>
      <c r="B1358" s="3">
        <v>45564</v>
      </c>
      <c r="C1358" t="s">
        <v>1618</v>
      </c>
      <c r="D1358" t="s">
        <v>221</v>
      </c>
      <c r="E1358" t="s">
        <v>43</v>
      </c>
      <c r="F1358">
        <v>3</v>
      </c>
      <c r="G1358" t="s">
        <v>33</v>
      </c>
      <c r="H1358" s="14">
        <v>0.12</v>
      </c>
      <c r="I1358" s="23">
        <v>141.54</v>
      </c>
      <c r="J1358" s="4">
        <v>424.26</v>
      </c>
    </row>
    <row r="1359" spans="1:10">
      <c r="A1359" t="s">
        <v>2142</v>
      </c>
      <c r="B1359" s="3">
        <v>45461</v>
      </c>
      <c r="C1359" t="s">
        <v>1009</v>
      </c>
      <c r="D1359" t="s">
        <v>65</v>
      </c>
      <c r="E1359" t="s">
        <v>72</v>
      </c>
      <c r="F1359">
        <v>3</v>
      </c>
      <c r="G1359" t="s">
        <v>50</v>
      </c>
      <c r="H1359" s="14">
        <v>0.23</v>
      </c>
      <c r="I1359" s="23">
        <v>83.5</v>
      </c>
      <c r="J1359" s="4">
        <v>249.81</v>
      </c>
    </row>
    <row r="1360" spans="1:10">
      <c r="A1360" t="s">
        <v>2143</v>
      </c>
      <c r="B1360" s="3">
        <v>45258</v>
      </c>
      <c r="C1360" t="s">
        <v>1201</v>
      </c>
      <c r="D1360" t="s">
        <v>480</v>
      </c>
      <c r="E1360" t="s">
        <v>179</v>
      </c>
      <c r="F1360">
        <v>2</v>
      </c>
      <c r="G1360" t="s">
        <v>33</v>
      </c>
      <c r="H1360" s="14">
        <v>7.0000000000000007E-2</v>
      </c>
      <c r="I1360" s="23">
        <v>629.73</v>
      </c>
      <c r="J1360" s="4">
        <v>1259.32</v>
      </c>
    </row>
    <row r="1361" spans="1:10">
      <c r="A1361" t="s">
        <v>2144</v>
      </c>
      <c r="B1361" s="3">
        <v>45228</v>
      </c>
      <c r="C1361" t="s">
        <v>677</v>
      </c>
      <c r="D1361" t="s">
        <v>89</v>
      </c>
      <c r="E1361" t="s">
        <v>179</v>
      </c>
      <c r="F1361">
        <v>2</v>
      </c>
      <c r="G1361" t="s">
        <v>50</v>
      </c>
      <c r="H1361" s="14">
        <v>0.2</v>
      </c>
      <c r="I1361" s="23">
        <v>159.93</v>
      </c>
      <c r="J1361" s="4">
        <v>319.45999999999998</v>
      </c>
    </row>
    <row r="1362" spans="1:10">
      <c r="A1362" t="s">
        <v>2145</v>
      </c>
      <c r="B1362" s="3">
        <v>45858</v>
      </c>
      <c r="C1362" t="s">
        <v>677</v>
      </c>
      <c r="D1362" t="s">
        <v>344</v>
      </c>
      <c r="E1362" t="s">
        <v>160</v>
      </c>
      <c r="F1362">
        <v>1</v>
      </c>
      <c r="G1362" t="s">
        <v>50</v>
      </c>
      <c r="H1362" s="14">
        <v>0.18</v>
      </c>
      <c r="I1362" s="23">
        <v>459.89</v>
      </c>
      <c r="J1362" s="4">
        <v>459.71</v>
      </c>
    </row>
    <row r="1363" spans="1:10">
      <c r="A1363" t="s">
        <v>2146</v>
      </c>
      <c r="B1363" s="3">
        <v>45532</v>
      </c>
      <c r="C1363" t="s">
        <v>1220</v>
      </c>
      <c r="D1363" t="s">
        <v>89</v>
      </c>
      <c r="E1363" t="s">
        <v>135</v>
      </c>
      <c r="F1363">
        <v>4</v>
      </c>
      <c r="G1363" t="s">
        <v>23</v>
      </c>
      <c r="H1363" s="14">
        <v>0.27</v>
      </c>
      <c r="I1363" s="23">
        <v>885.57</v>
      </c>
      <c r="J1363" s="4">
        <v>3541.2</v>
      </c>
    </row>
    <row r="1364" spans="1:10">
      <c r="A1364" t="s">
        <v>2147</v>
      </c>
      <c r="B1364" s="3">
        <v>45454</v>
      </c>
      <c r="C1364" t="s">
        <v>1336</v>
      </c>
      <c r="D1364" t="s">
        <v>420</v>
      </c>
      <c r="E1364" t="s">
        <v>122</v>
      </c>
      <c r="F1364">
        <v>3</v>
      </c>
      <c r="G1364" t="s">
        <v>33</v>
      </c>
      <c r="H1364" s="14">
        <v>0</v>
      </c>
      <c r="I1364" s="23">
        <v>789.05</v>
      </c>
      <c r="J1364" s="4">
        <v>2367.15</v>
      </c>
    </row>
    <row r="1365" spans="1:10">
      <c r="A1365" t="s">
        <v>2148</v>
      </c>
      <c r="B1365" s="3">
        <v>45244</v>
      </c>
      <c r="C1365" t="s">
        <v>1706</v>
      </c>
      <c r="D1365" t="s">
        <v>532</v>
      </c>
      <c r="E1365" t="s">
        <v>90</v>
      </c>
      <c r="F1365">
        <v>1</v>
      </c>
      <c r="G1365" t="s">
        <v>33</v>
      </c>
      <c r="H1365" s="14">
        <v>0</v>
      </c>
      <c r="I1365" s="23">
        <v>570.52</v>
      </c>
      <c r="J1365" s="4">
        <v>570.52</v>
      </c>
    </row>
    <row r="1366" spans="1:10">
      <c r="A1366" t="s">
        <v>2149</v>
      </c>
      <c r="B1366" s="3">
        <v>45322</v>
      </c>
      <c r="C1366" t="s">
        <v>1913</v>
      </c>
      <c r="D1366" t="s">
        <v>139</v>
      </c>
      <c r="E1366" t="s">
        <v>117</v>
      </c>
      <c r="F1366">
        <v>4</v>
      </c>
      <c r="G1366" t="s">
        <v>50</v>
      </c>
      <c r="H1366" s="14">
        <v>0.22</v>
      </c>
      <c r="I1366" s="23">
        <v>310.79000000000002</v>
      </c>
      <c r="J1366" s="4">
        <v>1242.28</v>
      </c>
    </row>
    <row r="1367" spans="1:10">
      <c r="A1367" t="s">
        <v>2150</v>
      </c>
      <c r="B1367" s="3">
        <v>45757</v>
      </c>
      <c r="C1367" t="s">
        <v>1208</v>
      </c>
      <c r="D1367" t="s">
        <v>741</v>
      </c>
      <c r="E1367" t="s">
        <v>32</v>
      </c>
      <c r="F1367">
        <v>4</v>
      </c>
      <c r="G1367" t="s">
        <v>23</v>
      </c>
      <c r="H1367" s="14">
        <v>0.17</v>
      </c>
      <c r="I1367" s="23">
        <v>255.67</v>
      </c>
      <c r="J1367" s="4">
        <v>1022</v>
      </c>
    </row>
    <row r="1368" spans="1:10">
      <c r="A1368" t="s">
        <v>2151</v>
      </c>
      <c r="B1368" s="3">
        <v>45397</v>
      </c>
      <c r="C1368" t="s">
        <v>1079</v>
      </c>
      <c r="D1368" t="s">
        <v>139</v>
      </c>
      <c r="E1368" t="s">
        <v>117</v>
      </c>
      <c r="F1368">
        <v>2</v>
      </c>
      <c r="G1368" t="s">
        <v>50</v>
      </c>
      <c r="H1368" s="14">
        <v>0.1</v>
      </c>
      <c r="I1368" s="23">
        <v>270.66000000000003</v>
      </c>
      <c r="J1368" s="4">
        <v>541.12</v>
      </c>
    </row>
    <row r="1369" spans="1:10">
      <c r="A1369" t="s">
        <v>2152</v>
      </c>
      <c r="B1369" s="3">
        <v>45914</v>
      </c>
      <c r="C1369" t="s">
        <v>2153</v>
      </c>
      <c r="D1369" t="s">
        <v>250</v>
      </c>
      <c r="E1369" t="s">
        <v>32</v>
      </c>
      <c r="F1369">
        <v>3</v>
      </c>
      <c r="G1369" t="s">
        <v>50</v>
      </c>
      <c r="H1369" s="14">
        <v>0.2</v>
      </c>
      <c r="I1369" s="23">
        <v>373.35</v>
      </c>
      <c r="J1369" s="4">
        <v>1119.45</v>
      </c>
    </row>
    <row r="1370" spans="1:10">
      <c r="A1370" t="s">
        <v>2154</v>
      </c>
      <c r="B1370" s="3">
        <v>45432</v>
      </c>
      <c r="C1370" t="s">
        <v>1303</v>
      </c>
      <c r="D1370" t="s">
        <v>57</v>
      </c>
      <c r="E1370" t="s">
        <v>272</v>
      </c>
      <c r="F1370">
        <v>2</v>
      </c>
      <c r="G1370" t="s">
        <v>33</v>
      </c>
      <c r="H1370" s="14">
        <v>0.02</v>
      </c>
      <c r="I1370" s="23">
        <v>23.58</v>
      </c>
      <c r="J1370" s="4">
        <v>47.12</v>
      </c>
    </row>
    <row r="1371" spans="1:10">
      <c r="A1371" t="s">
        <v>2155</v>
      </c>
      <c r="B1371" s="3">
        <v>45798</v>
      </c>
      <c r="C1371" t="s">
        <v>1483</v>
      </c>
      <c r="D1371" t="s">
        <v>487</v>
      </c>
      <c r="E1371" t="s">
        <v>66</v>
      </c>
      <c r="F1371">
        <v>4</v>
      </c>
      <c r="G1371" t="s">
        <v>33</v>
      </c>
      <c r="H1371" s="14">
        <v>0.21</v>
      </c>
      <c r="I1371" s="23">
        <v>185.67</v>
      </c>
      <c r="J1371" s="4">
        <v>741.84</v>
      </c>
    </row>
    <row r="1372" spans="1:10">
      <c r="A1372" t="s">
        <v>2156</v>
      </c>
      <c r="B1372" s="3">
        <v>45396</v>
      </c>
      <c r="C1372" t="s">
        <v>959</v>
      </c>
      <c r="D1372" t="s">
        <v>928</v>
      </c>
      <c r="E1372" t="s">
        <v>149</v>
      </c>
      <c r="F1372">
        <v>3</v>
      </c>
      <c r="G1372" t="s">
        <v>33</v>
      </c>
      <c r="H1372" s="14">
        <v>0.27</v>
      </c>
      <c r="I1372" s="23">
        <v>928.74</v>
      </c>
      <c r="J1372" s="4">
        <v>2785.41</v>
      </c>
    </row>
    <row r="1373" spans="1:10">
      <c r="A1373" t="s">
        <v>2157</v>
      </c>
      <c r="B1373" s="3">
        <v>45235</v>
      </c>
      <c r="C1373" t="s">
        <v>434</v>
      </c>
      <c r="D1373" t="s">
        <v>814</v>
      </c>
      <c r="E1373" t="s">
        <v>58</v>
      </c>
      <c r="F1373">
        <v>3</v>
      </c>
      <c r="G1373" t="s">
        <v>50</v>
      </c>
      <c r="H1373" s="14">
        <v>7.0000000000000007E-2</v>
      </c>
      <c r="I1373" s="23">
        <v>923.38</v>
      </c>
      <c r="J1373" s="4">
        <v>2769.93</v>
      </c>
    </row>
    <row r="1374" spans="1:10">
      <c r="A1374" t="s">
        <v>2158</v>
      </c>
      <c r="B1374" s="3">
        <v>45499</v>
      </c>
      <c r="C1374" t="s">
        <v>617</v>
      </c>
      <c r="D1374" t="s">
        <v>634</v>
      </c>
      <c r="E1374" t="s">
        <v>127</v>
      </c>
      <c r="F1374">
        <v>2</v>
      </c>
      <c r="G1374" t="s">
        <v>33</v>
      </c>
      <c r="H1374" s="14">
        <v>0.1</v>
      </c>
      <c r="I1374" s="23">
        <v>409.26</v>
      </c>
      <c r="J1374" s="4">
        <v>818.32</v>
      </c>
    </row>
    <row r="1375" spans="1:10">
      <c r="A1375" t="s">
        <v>2159</v>
      </c>
      <c r="B1375" s="3">
        <v>45272</v>
      </c>
      <c r="C1375" t="s">
        <v>2160</v>
      </c>
      <c r="D1375" t="s">
        <v>250</v>
      </c>
      <c r="E1375" t="s">
        <v>66</v>
      </c>
      <c r="F1375">
        <v>2</v>
      </c>
      <c r="G1375" t="s">
        <v>23</v>
      </c>
      <c r="H1375" s="14">
        <v>0.16</v>
      </c>
      <c r="I1375" s="23">
        <v>608.46</v>
      </c>
      <c r="J1375" s="4">
        <v>1216.5999999999999</v>
      </c>
    </row>
    <row r="1376" spans="1:10">
      <c r="A1376" t="s">
        <v>2161</v>
      </c>
      <c r="B1376" s="3">
        <v>45785</v>
      </c>
      <c r="C1376" t="s">
        <v>1143</v>
      </c>
      <c r="D1376" t="s">
        <v>449</v>
      </c>
      <c r="E1376" t="s">
        <v>135</v>
      </c>
      <c r="F1376">
        <v>4</v>
      </c>
      <c r="G1376" t="s">
        <v>23</v>
      </c>
      <c r="H1376" s="14">
        <v>0.09</v>
      </c>
      <c r="I1376" s="23">
        <v>150.47999999999999</v>
      </c>
      <c r="J1376" s="4">
        <v>601.55999999999995</v>
      </c>
    </row>
    <row r="1377" spans="1:10">
      <c r="A1377" t="s">
        <v>2162</v>
      </c>
      <c r="B1377" s="3">
        <v>45534</v>
      </c>
      <c r="C1377" t="s">
        <v>1685</v>
      </c>
      <c r="D1377" t="s">
        <v>741</v>
      </c>
      <c r="E1377" t="s">
        <v>98</v>
      </c>
      <c r="F1377">
        <v>4</v>
      </c>
      <c r="G1377" t="s">
        <v>23</v>
      </c>
      <c r="H1377" s="14">
        <v>0.02</v>
      </c>
      <c r="I1377" s="23">
        <v>207.41</v>
      </c>
      <c r="J1377" s="4">
        <v>829.56</v>
      </c>
    </row>
    <row r="1378" spans="1:10">
      <c r="A1378" t="s">
        <v>2163</v>
      </c>
      <c r="B1378" s="3">
        <v>45803</v>
      </c>
      <c r="C1378" t="s">
        <v>1463</v>
      </c>
      <c r="D1378" t="s">
        <v>555</v>
      </c>
      <c r="E1378" t="s">
        <v>179</v>
      </c>
      <c r="F1378">
        <v>1</v>
      </c>
      <c r="G1378" t="s">
        <v>33</v>
      </c>
      <c r="H1378" s="14">
        <v>0.15</v>
      </c>
      <c r="I1378" s="23">
        <v>56.59</v>
      </c>
      <c r="J1378" s="4">
        <v>56.44</v>
      </c>
    </row>
    <row r="1379" spans="1:10">
      <c r="A1379" t="s">
        <v>2164</v>
      </c>
      <c r="B1379" s="3">
        <v>45667</v>
      </c>
      <c r="C1379" t="s">
        <v>558</v>
      </c>
      <c r="D1379" t="s">
        <v>104</v>
      </c>
      <c r="E1379" t="s">
        <v>72</v>
      </c>
      <c r="F1379">
        <v>4</v>
      </c>
      <c r="G1379" t="s">
        <v>23</v>
      </c>
      <c r="H1379" s="14">
        <v>0.27</v>
      </c>
      <c r="I1379" s="23">
        <v>995.4</v>
      </c>
      <c r="J1379" s="4">
        <v>3980.52</v>
      </c>
    </row>
    <row r="1380" spans="1:10">
      <c r="A1380" t="s">
        <v>2165</v>
      </c>
      <c r="B1380" s="3">
        <v>45656</v>
      </c>
      <c r="C1380" t="s">
        <v>2166</v>
      </c>
      <c r="D1380" t="s">
        <v>302</v>
      </c>
      <c r="E1380" t="s">
        <v>208</v>
      </c>
      <c r="F1380">
        <v>2</v>
      </c>
      <c r="G1380" t="s">
        <v>23</v>
      </c>
      <c r="H1380" s="14">
        <v>0.24</v>
      </c>
      <c r="I1380" s="23">
        <v>591.33000000000004</v>
      </c>
      <c r="J1380" s="4">
        <v>1182.18</v>
      </c>
    </row>
    <row r="1381" spans="1:10">
      <c r="A1381" t="s">
        <v>2167</v>
      </c>
      <c r="B1381" s="3">
        <v>45869</v>
      </c>
      <c r="C1381" t="s">
        <v>371</v>
      </c>
      <c r="D1381" t="s">
        <v>505</v>
      </c>
      <c r="E1381" t="s">
        <v>32</v>
      </c>
      <c r="F1381">
        <v>2</v>
      </c>
      <c r="G1381" t="s">
        <v>23</v>
      </c>
      <c r="H1381" s="14">
        <v>0.24</v>
      </c>
      <c r="I1381" s="23">
        <v>204.89</v>
      </c>
      <c r="J1381" s="4">
        <v>409.3</v>
      </c>
    </row>
    <row r="1382" spans="1:10">
      <c r="A1382" t="s">
        <v>2168</v>
      </c>
      <c r="B1382" s="3">
        <v>45549</v>
      </c>
      <c r="C1382" t="s">
        <v>2169</v>
      </c>
      <c r="D1382" t="s">
        <v>134</v>
      </c>
      <c r="E1382" t="s">
        <v>98</v>
      </c>
      <c r="F1382">
        <v>2</v>
      </c>
      <c r="G1382" t="s">
        <v>50</v>
      </c>
      <c r="H1382" s="14">
        <v>0.08</v>
      </c>
      <c r="I1382" s="23">
        <v>546.41</v>
      </c>
      <c r="J1382" s="4">
        <v>1092.6600000000001</v>
      </c>
    </row>
    <row r="1383" spans="1:10">
      <c r="A1383" t="s">
        <v>2170</v>
      </c>
      <c r="B1383" s="3">
        <v>45409</v>
      </c>
      <c r="C1383" t="s">
        <v>41</v>
      </c>
      <c r="D1383" t="s">
        <v>928</v>
      </c>
      <c r="E1383" t="s">
        <v>208</v>
      </c>
      <c r="F1383">
        <v>4</v>
      </c>
      <c r="G1383" t="s">
        <v>23</v>
      </c>
      <c r="H1383" s="14">
        <v>0.17</v>
      </c>
      <c r="I1383" s="23">
        <v>455.49</v>
      </c>
      <c r="J1383" s="4">
        <v>1821.28</v>
      </c>
    </row>
    <row r="1384" spans="1:10">
      <c r="A1384" t="s">
        <v>2171</v>
      </c>
      <c r="B1384" s="3">
        <v>45374</v>
      </c>
      <c r="C1384" t="s">
        <v>1064</v>
      </c>
      <c r="D1384" t="s">
        <v>234</v>
      </c>
      <c r="E1384" t="s">
        <v>117</v>
      </c>
      <c r="F1384">
        <v>2</v>
      </c>
      <c r="G1384" t="s">
        <v>23</v>
      </c>
      <c r="H1384" s="14">
        <v>0.16</v>
      </c>
      <c r="I1384" s="23">
        <v>700.27</v>
      </c>
      <c r="J1384" s="4">
        <v>1400.22</v>
      </c>
    </row>
    <row r="1385" spans="1:10">
      <c r="A1385" t="s">
        <v>2172</v>
      </c>
      <c r="B1385" s="3">
        <v>45282</v>
      </c>
      <c r="C1385" t="s">
        <v>1055</v>
      </c>
      <c r="D1385" t="s">
        <v>542</v>
      </c>
      <c r="E1385" t="s">
        <v>32</v>
      </c>
      <c r="F1385">
        <v>2</v>
      </c>
      <c r="G1385" t="s">
        <v>23</v>
      </c>
      <c r="H1385" s="14">
        <v>0.09</v>
      </c>
      <c r="I1385" s="23">
        <v>160.21</v>
      </c>
      <c r="J1385" s="4">
        <v>320.24</v>
      </c>
    </row>
    <row r="1386" spans="1:10">
      <c r="A1386" t="s">
        <v>2173</v>
      </c>
      <c r="B1386" s="3">
        <v>45742</v>
      </c>
      <c r="C1386" t="s">
        <v>727</v>
      </c>
      <c r="D1386" t="s">
        <v>302</v>
      </c>
      <c r="E1386" t="s">
        <v>272</v>
      </c>
      <c r="F1386">
        <v>1</v>
      </c>
      <c r="G1386" t="s">
        <v>50</v>
      </c>
      <c r="H1386" s="14">
        <v>0.28000000000000003</v>
      </c>
      <c r="I1386" s="23">
        <v>713.63</v>
      </c>
      <c r="J1386" s="4">
        <v>713.35</v>
      </c>
    </row>
    <row r="1387" spans="1:10">
      <c r="A1387" t="s">
        <v>2174</v>
      </c>
      <c r="B1387" s="3">
        <v>45447</v>
      </c>
      <c r="C1387" t="s">
        <v>2175</v>
      </c>
      <c r="D1387" t="s">
        <v>317</v>
      </c>
      <c r="E1387" t="s">
        <v>66</v>
      </c>
      <c r="F1387">
        <v>2</v>
      </c>
      <c r="G1387" t="s">
        <v>50</v>
      </c>
      <c r="H1387" s="14">
        <v>0.2</v>
      </c>
      <c r="I1387" s="23">
        <v>224.69</v>
      </c>
      <c r="J1387" s="4">
        <v>448.98</v>
      </c>
    </row>
    <row r="1388" spans="1:10">
      <c r="A1388" t="s">
        <v>2176</v>
      </c>
      <c r="B1388" s="3">
        <v>45733</v>
      </c>
      <c r="C1388" t="s">
        <v>217</v>
      </c>
      <c r="D1388" t="s">
        <v>291</v>
      </c>
      <c r="E1388" t="s">
        <v>98</v>
      </c>
      <c r="F1388">
        <v>2</v>
      </c>
      <c r="G1388" t="s">
        <v>23</v>
      </c>
      <c r="H1388" s="14">
        <v>0.06</v>
      </c>
      <c r="I1388" s="23">
        <v>740.57</v>
      </c>
      <c r="J1388" s="4">
        <v>1481.02</v>
      </c>
    </row>
    <row r="1389" spans="1:10">
      <c r="A1389" t="s">
        <v>2177</v>
      </c>
      <c r="B1389" s="3">
        <v>45373</v>
      </c>
      <c r="C1389" t="s">
        <v>285</v>
      </c>
      <c r="D1389" t="s">
        <v>555</v>
      </c>
      <c r="E1389" t="s">
        <v>22</v>
      </c>
      <c r="F1389">
        <v>3</v>
      </c>
      <c r="G1389" t="s">
        <v>33</v>
      </c>
      <c r="H1389" s="14">
        <v>0.23</v>
      </c>
      <c r="I1389" s="23">
        <v>250.14</v>
      </c>
      <c r="J1389" s="4">
        <v>749.73</v>
      </c>
    </row>
    <row r="1390" spans="1:10">
      <c r="A1390" t="s">
        <v>2178</v>
      </c>
      <c r="B1390" s="3">
        <v>45655</v>
      </c>
      <c r="C1390" t="s">
        <v>572</v>
      </c>
      <c r="D1390" t="s">
        <v>187</v>
      </c>
      <c r="E1390" t="s">
        <v>135</v>
      </c>
      <c r="F1390">
        <v>3</v>
      </c>
      <c r="G1390" t="s">
        <v>23</v>
      </c>
      <c r="H1390" s="14">
        <v>0.01</v>
      </c>
      <c r="I1390" s="23">
        <v>34.97</v>
      </c>
      <c r="J1390" s="4">
        <v>104.88</v>
      </c>
    </row>
    <row r="1391" spans="1:10">
      <c r="A1391" t="s">
        <v>2179</v>
      </c>
      <c r="B1391" s="3">
        <v>45868</v>
      </c>
      <c r="C1391" t="s">
        <v>861</v>
      </c>
      <c r="D1391" t="s">
        <v>449</v>
      </c>
      <c r="E1391" t="s">
        <v>117</v>
      </c>
      <c r="F1391">
        <v>1</v>
      </c>
      <c r="G1391" t="s">
        <v>33</v>
      </c>
      <c r="H1391" s="14">
        <v>0.3</v>
      </c>
      <c r="I1391" s="23">
        <v>653.91</v>
      </c>
      <c r="J1391" s="4">
        <v>653.61</v>
      </c>
    </row>
    <row r="1392" spans="1:10">
      <c r="A1392" t="s">
        <v>2180</v>
      </c>
      <c r="B1392" s="3">
        <v>45338</v>
      </c>
      <c r="C1392" t="s">
        <v>1503</v>
      </c>
      <c r="D1392" t="s">
        <v>532</v>
      </c>
      <c r="E1392" t="s">
        <v>22</v>
      </c>
      <c r="F1392">
        <v>1</v>
      </c>
      <c r="G1392" t="s">
        <v>23</v>
      </c>
      <c r="H1392" s="14">
        <v>0.24</v>
      </c>
      <c r="I1392" s="23">
        <v>997.87</v>
      </c>
      <c r="J1392" s="4">
        <v>997.63</v>
      </c>
    </row>
    <row r="1393" spans="1:10">
      <c r="A1393" t="s">
        <v>2181</v>
      </c>
      <c r="B1393" s="3">
        <v>45349</v>
      </c>
      <c r="C1393" t="s">
        <v>968</v>
      </c>
      <c r="D1393" t="s">
        <v>287</v>
      </c>
      <c r="E1393" t="s">
        <v>98</v>
      </c>
      <c r="F1393">
        <v>1</v>
      </c>
      <c r="G1393" t="s">
        <v>50</v>
      </c>
      <c r="H1393" s="14">
        <v>0.27</v>
      </c>
      <c r="I1393" s="23">
        <v>174.27</v>
      </c>
      <c r="J1393" s="4">
        <v>174</v>
      </c>
    </row>
    <row r="1394" spans="1:10">
      <c r="A1394" t="s">
        <v>2182</v>
      </c>
      <c r="B1394" s="3">
        <v>45368</v>
      </c>
      <c r="C1394" t="s">
        <v>363</v>
      </c>
      <c r="D1394" t="s">
        <v>42</v>
      </c>
      <c r="E1394" t="s">
        <v>66</v>
      </c>
      <c r="F1394">
        <v>3</v>
      </c>
      <c r="G1394" t="s">
        <v>23</v>
      </c>
      <c r="H1394" s="14">
        <v>0.17</v>
      </c>
      <c r="I1394" s="23">
        <v>847.44</v>
      </c>
      <c r="J1394" s="4">
        <v>2541.81</v>
      </c>
    </row>
    <row r="1395" spans="1:10">
      <c r="A1395" t="s">
        <v>2183</v>
      </c>
      <c r="B1395" s="3">
        <v>45243</v>
      </c>
      <c r="C1395" t="s">
        <v>624</v>
      </c>
      <c r="D1395" t="s">
        <v>868</v>
      </c>
      <c r="E1395" t="s">
        <v>198</v>
      </c>
      <c r="F1395">
        <v>1</v>
      </c>
      <c r="G1395" t="s">
        <v>23</v>
      </c>
      <c r="H1395" s="14">
        <v>0.09</v>
      </c>
      <c r="I1395" s="23">
        <v>493.45</v>
      </c>
      <c r="J1395" s="4">
        <v>493.36</v>
      </c>
    </row>
    <row r="1396" spans="1:10">
      <c r="A1396" t="s">
        <v>2184</v>
      </c>
      <c r="B1396" s="3">
        <v>45577</v>
      </c>
      <c r="C1396" t="s">
        <v>1125</v>
      </c>
      <c r="D1396" t="s">
        <v>661</v>
      </c>
      <c r="E1396" t="s">
        <v>198</v>
      </c>
      <c r="F1396">
        <v>4</v>
      </c>
      <c r="G1396" t="s">
        <v>23</v>
      </c>
      <c r="H1396" s="14">
        <v>0.14000000000000001</v>
      </c>
      <c r="I1396" s="23">
        <v>111.66</v>
      </c>
      <c r="J1396" s="4">
        <v>446.08</v>
      </c>
    </row>
    <row r="1397" spans="1:10">
      <c r="A1397" t="s">
        <v>2185</v>
      </c>
      <c r="B1397" s="3">
        <v>45343</v>
      </c>
      <c r="C1397" t="s">
        <v>1212</v>
      </c>
      <c r="D1397" t="s">
        <v>453</v>
      </c>
      <c r="E1397" t="s">
        <v>272</v>
      </c>
      <c r="F1397">
        <v>1</v>
      </c>
      <c r="G1397" t="s">
        <v>50</v>
      </c>
      <c r="H1397" s="14">
        <v>0.1</v>
      </c>
      <c r="I1397" s="23">
        <v>413.65</v>
      </c>
      <c r="J1397" s="4">
        <v>413.55</v>
      </c>
    </row>
    <row r="1398" spans="1:10">
      <c r="A1398" t="s">
        <v>2186</v>
      </c>
      <c r="B1398" s="3">
        <v>45744</v>
      </c>
      <c r="C1398" t="s">
        <v>1517</v>
      </c>
      <c r="D1398" t="s">
        <v>287</v>
      </c>
      <c r="E1398" t="s">
        <v>127</v>
      </c>
      <c r="F1398">
        <v>1</v>
      </c>
      <c r="G1398" t="s">
        <v>50</v>
      </c>
      <c r="H1398" s="14">
        <v>0.24</v>
      </c>
      <c r="I1398" s="23">
        <v>317.14999999999998</v>
      </c>
      <c r="J1398" s="4">
        <v>316.91000000000003</v>
      </c>
    </row>
    <row r="1399" spans="1:10">
      <c r="A1399" t="s">
        <v>2187</v>
      </c>
      <c r="B1399" s="3">
        <v>45873</v>
      </c>
      <c r="C1399" t="s">
        <v>1908</v>
      </c>
      <c r="D1399" t="s">
        <v>110</v>
      </c>
      <c r="E1399" t="s">
        <v>105</v>
      </c>
      <c r="F1399">
        <v>3</v>
      </c>
      <c r="G1399" t="s">
        <v>50</v>
      </c>
      <c r="H1399" s="14">
        <v>0.05</v>
      </c>
      <c r="I1399" s="23">
        <v>642.94000000000005</v>
      </c>
      <c r="J1399" s="4">
        <v>1928.67</v>
      </c>
    </row>
    <row r="1400" spans="1:10">
      <c r="A1400" t="s">
        <v>2188</v>
      </c>
      <c r="B1400" s="3">
        <v>45601</v>
      </c>
      <c r="C1400" t="s">
        <v>893</v>
      </c>
      <c r="D1400" t="s">
        <v>509</v>
      </c>
      <c r="E1400" t="s">
        <v>168</v>
      </c>
      <c r="F1400">
        <v>4</v>
      </c>
      <c r="G1400" t="s">
        <v>50</v>
      </c>
      <c r="H1400" s="14">
        <v>0.19</v>
      </c>
      <c r="I1400" s="23">
        <v>559.59</v>
      </c>
      <c r="J1400" s="4">
        <v>2237.6</v>
      </c>
    </row>
    <row r="1401" spans="1:10">
      <c r="A1401" t="s">
        <v>2189</v>
      </c>
      <c r="B1401" s="3">
        <v>45458</v>
      </c>
      <c r="C1401" t="s">
        <v>1037</v>
      </c>
      <c r="D1401" t="s">
        <v>255</v>
      </c>
      <c r="E1401" t="s">
        <v>160</v>
      </c>
      <c r="F1401">
        <v>1</v>
      </c>
      <c r="G1401" t="s">
        <v>33</v>
      </c>
      <c r="H1401" s="14">
        <v>0.28999999999999998</v>
      </c>
      <c r="I1401" s="23">
        <v>758.54</v>
      </c>
      <c r="J1401" s="4">
        <v>758.25</v>
      </c>
    </row>
    <row r="1402" spans="1:10">
      <c r="A1402" t="s">
        <v>2190</v>
      </c>
      <c r="B1402" s="3">
        <v>45649</v>
      </c>
      <c r="C1402" t="s">
        <v>617</v>
      </c>
      <c r="D1402" t="s">
        <v>429</v>
      </c>
      <c r="E1402" t="s">
        <v>122</v>
      </c>
      <c r="F1402">
        <v>4</v>
      </c>
      <c r="G1402" t="s">
        <v>33</v>
      </c>
      <c r="H1402" s="14">
        <v>0.16</v>
      </c>
      <c r="I1402" s="23">
        <v>643.96</v>
      </c>
      <c r="J1402" s="4">
        <v>2575.1999999999998</v>
      </c>
    </row>
    <row r="1403" spans="1:10">
      <c r="A1403" t="s">
        <v>2191</v>
      </c>
      <c r="B1403" s="3">
        <v>45653</v>
      </c>
      <c r="C1403" t="s">
        <v>552</v>
      </c>
      <c r="D1403" t="s">
        <v>97</v>
      </c>
      <c r="E1403" t="s">
        <v>127</v>
      </c>
      <c r="F1403">
        <v>1</v>
      </c>
      <c r="G1403" t="s">
        <v>23</v>
      </c>
      <c r="H1403" s="14">
        <v>0.1</v>
      </c>
      <c r="I1403" s="23">
        <v>882.73</v>
      </c>
      <c r="J1403" s="4">
        <v>882.63</v>
      </c>
    </row>
    <row r="1404" spans="1:10">
      <c r="A1404" t="s">
        <v>2192</v>
      </c>
      <c r="B1404" s="3">
        <v>45378</v>
      </c>
      <c r="C1404" t="s">
        <v>419</v>
      </c>
      <c r="D1404" t="s">
        <v>372</v>
      </c>
      <c r="E1404" t="s">
        <v>135</v>
      </c>
      <c r="F1404">
        <v>2</v>
      </c>
      <c r="G1404" t="s">
        <v>33</v>
      </c>
      <c r="H1404" s="14">
        <v>0.26</v>
      </c>
      <c r="I1404" s="23">
        <v>600.03</v>
      </c>
      <c r="J1404" s="4">
        <v>1199.54</v>
      </c>
    </row>
    <row r="1405" spans="1:10">
      <c r="A1405" t="s">
        <v>2193</v>
      </c>
      <c r="B1405" s="3">
        <v>45638</v>
      </c>
      <c r="C1405" t="s">
        <v>1203</v>
      </c>
      <c r="D1405" t="s">
        <v>420</v>
      </c>
      <c r="E1405" t="s">
        <v>58</v>
      </c>
      <c r="F1405">
        <v>2</v>
      </c>
      <c r="G1405" t="s">
        <v>33</v>
      </c>
      <c r="H1405" s="14">
        <v>7.0000000000000007E-2</v>
      </c>
      <c r="I1405" s="23">
        <v>628.83000000000004</v>
      </c>
      <c r="J1405" s="4">
        <v>1257.52</v>
      </c>
    </row>
    <row r="1406" spans="1:10">
      <c r="A1406" t="s">
        <v>2194</v>
      </c>
      <c r="B1406" s="3">
        <v>45277</v>
      </c>
      <c r="C1406" t="s">
        <v>595</v>
      </c>
      <c r="D1406" t="s">
        <v>630</v>
      </c>
      <c r="E1406" t="s">
        <v>127</v>
      </c>
      <c r="F1406">
        <v>3</v>
      </c>
      <c r="G1406" t="s">
        <v>50</v>
      </c>
      <c r="H1406" s="14">
        <v>0.21</v>
      </c>
      <c r="I1406" s="23">
        <v>113.87</v>
      </c>
      <c r="J1406" s="4">
        <v>340.98</v>
      </c>
    </row>
    <row r="1407" spans="1:10">
      <c r="A1407" t="s">
        <v>2195</v>
      </c>
      <c r="B1407" s="3">
        <v>45351</v>
      </c>
      <c r="C1407" t="s">
        <v>1116</v>
      </c>
      <c r="D1407" t="s">
        <v>155</v>
      </c>
      <c r="E1407" t="s">
        <v>66</v>
      </c>
      <c r="F1407">
        <v>4</v>
      </c>
      <c r="G1407" t="s">
        <v>33</v>
      </c>
      <c r="H1407" s="14">
        <v>0.18</v>
      </c>
      <c r="I1407" s="23">
        <v>282.07</v>
      </c>
      <c r="J1407" s="4">
        <v>1127.56</v>
      </c>
    </row>
    <row r="1408" spans="1:10">
      <c r="A1408" t="s">
        <v>2196</v>
      </c>
      <c r="B1408" s="3">
        <v>45290</v>
      </c>
      <c r="C1408" t="s">
        <v>1120</v>
      </c>
      <c r="D1408" t="s">
        <v>420</v>
      </c>
      <c r="E1408" t="s">
        <v>179</v>
      </c>
      <c r="F1408">
        <v>3</v>
      </c>
      <c r="G1408" t="s">
        <v>33</v>
      </c>
      <c r="H1408" s="14">
        <v>0.17</v>
      </c>
      <c r="I1408" s="23">
        <v>676.77</v>
      </c>
      <c r="J1408" s="4">
        <v>2029.8</v>
      </c>
    </row>
    <row r="1409" spans="1:10">
      <c r="A1409" t="s">
        <v>2197</v>
      </c>
      <c r="B1409" s="3">
        <v>45638</v>
      </c>
      <c r="C1409" t="s">
        <v>855</v>
      </c>
      <c r="D1409" t="s">
        <v>645</v>
      </c>
      <c r="E1409" t="s">
        <v>117</v>
      </c>
      <c r="F1409">
        <v>2</v>
      </c>
      <c r="G1409" t="s">
        <v>23</v>
      </c>
      <c r="H1409" s="14">
        <v>0.09</v>
      </c>
      <c r="I1409" s="23">
        <v>362.7</v>
      </c>
      <c r="J1409" s="4">
        <v>725.22</v>
      </c>
    </row>
    <row r="1410" spans="1:10">
      <c r="A1410" t="s">
        <v>2198</v>
      </c>
      <c r="B1410" s="3">
        <v>45679</v>
      </c>
      <c r="C1410" t="s">
        <v>652</v>
      </c>
      <c r="D1410" t="s">
        <v>197</v>
      </c>
      <c r="E1410" t="s">
        <v>198</v>
      </c>
      <c r="F1410">
        <v>1</v>
      </c>
      <c r="G1410" t="s">
        <v>50</v>
      </c>
      <c r="H1410" s="14">
        <v>0.2</v>
      </c>
      <c r="I1410" s="23">
        <v>908.5</v>
      </c>
      <c r="J1410" s="4">
        <v>908.3</v>
      </c>
    </row>
    <row r="1411" spans="1:10">
      <c r="A1411" t="s">
        <v>2199</v>
      </c>
      <c r="B1411" s="3">
        <v>45296</v>
      </c>
      <c r="C1411" t="s">
        <v>468</v>
      </c>
      <c r="D1411" t="s">
        <v>425</v>
      </c>
      <c r="E1411" t="s">
        <v>122</v>
      </c>
      <c r="F1411">
        <v>2</v>
      </c>
      <c r="G1411" t="s">
        <v>50</v>
      </c>
      <c r="H1411" s="14">
        <v>0.2</v>
      </c>
      <c r="I1411" s="23">
        <v>795.37</v>
      </c>
      <c r="J1411" s="4">
        <v>1590.34</v>
      </c>
    </row>
    <row r="1412" spans="1:10">
      <c r="A1412" t="s">
        <v>2200</v>
      </c>
      <c r="B1412" s="3">
        <v>45760</v>
      </c>
      <c r="C1412" t="s">
        <v>154</v>
      </c>
      <c r="D1412" t="s">
        <v>487</v>
      </c>
      <c r="E1412" t="s">
        <v>72</v>
      </c>
      <c r="F1412">
        <v>2</v>
      </c>
      <c r="G1412" t="s">
        <v>50</v>
      </c>
      <c r="H1412" s="14">
        <v>0.17</v>
      </c>
      <c r="I1412" s="23">
        <v>326.85000000000002</v>
      </c>
      <c r="J1412" s="4">
        <v>653.36</v>
      </c>
    </row>
    <row r="1413" spans="1:10">
      <c r="A1413" t="s">
        <v>2201</v>
      </c>
      <c r="B1413" s="3">
        <v>45603</v>
      </c>
      <c r="C1413" t="s">
        <v>1497</v>
      </c>
      <c r="D1413" t="s">
        <v>71</v>
      </c>
      <c r="E1413" t="s">
        <v>98</v>
      </c>
      <c r="F1413">
        <v>3</v>
      </c>
      <c r="G1413" t="s">
        <v>23</v>
      </c>
      <c r="H1413" s="14">
        <v>0.19</v>
      </c>
      <c r="I1413" s="23">
        <v>169.43</v>
      </c>
      <c r="J1413" s="4">
        <v>507.72</v>
      </c>
    </row>
    <row r="1414" spans="1:10">
      <c r="A1414" t="s">
        <v>2202</v>
      </c>
      <c r="B1414" s="3">
        <v>45413</v>
      </c>
      <c r="C1414" t="s">
        <v>1083</v>
      </c>
      <c r="D1414" t="s">
        <v>359</v>
      </c>
      <c r="E1414" t="s">
        <v>179</v>
      </c>
      <c r="F1414">
        <v>1</v>
      </c>
      <c r="G1414" t="s">
        <v>23</v>
      </c>
      <c r="H1414" s="14">
        <v>0.1</v>
      </c>
      <c r="I1414" s="23">
        <v>254.47</v>
      </c>
      <c r="J1414" s="4">
        <v>254.37</v>
      </c>
    </row>
    <row r="1415" spans="1:10">
      <c r="A1415" t="s">
        <v>2203</v>
      </c>
      <c r="B1415" s="3">
        <v>45506</v>
      </c>
      <c r="C1415" t="s">
        <v>1116</v>
      </c>
      <c r="D1415" t="s">
        <v>425</v>
      </c>
      <c r="E1415" t="s">
        <v>117</v>
      </c>
      <c r="F1415">
        <v>4</v>
      </c>
      <c r="G1415" t="s">
        <v>50</v>
      </c>
      <c r="H1415" s="14">
        <v>0.11</v>
      </c>
      <c r="I1415" s="23">
        <v>627.73</v>
      </c>
      <c r="J1415" s="4">
        <v>2510.48</v>
      </c>
    </row>
    <row r="1416" spans="1:10">
      <c r="A1416" t="s">
        <v>2204</v>
      </c>
      <c r="B1416" s="3">
        <v>45394</v>
      </c>
      <c r="C1416" t="s">
        <v>674</v>
      </c>
      <c r="D1416" t="s">
        <v>311</v>
      </c>
      <c r="E1416" t="s">
        <v>135</v>
      </c>
      <c r="F1416">
        <v>4</v>
      </c>
      <c r="G1416" t="s">
        <v>50</v>
      </c>
      <c r="H1416" s="14">
        <v>0.13</v>
      </c>
      <c r="I1416" s="23">
        <v>327.25</v>
      </c>
      <c r="J1416" s="4">
        <v>1308.48</v>
      </c>
    </row>
    <row r="1417" spans="1:10">
      <c r="A1417" t="s">
        <v>2205</v>
      </c>
      <c r="B1417" s="3">
        <v>45755</v>
      </c>
      <c r="C1417" t="s">
        <v>1024</v>
      </c>
      <c r="D1417" t="s">
        <v>57</v>
      </c>
      <c r="E1417" t="s">
        <v>272</v>
      </c>
      <c r="F1417">
        <v>4</v>
      </c>
      <c r="G1417" t="s">
        <v>50</v>
      </c>
      <c r="H1417" s="14">
        <v>0.18</v>
      </c>
      <c r="I1417" s="23">
        <v>511.43</v>
      </c>
      <c r="J1417" s="4">
        <v>2045</v>
      </c>
    </row>
    <row r="1418" spans="1:10">
      <c r="A1418" t="s">
        <v>2206</v>
      </c>
      <c r="B1418" s="3">
        <v>45473</v>
      </c>
      <c r="C1418" t="s">
        <v>931</v>
      </c>
      <c r="D1418" t="s">
        <v>625</v>
      </c>
      <c r="E1418" t="s">
        <v>32</v>
      </c>
      <c r="F1418">
        <v>4</v>
      </c>
      <c r="G1418" t="s">
        <v>33</v>
      </c>
      <c r="H1418" s="14">
        <v>0.23</v>
      </c>
      <c r="I1418" s="23">
        <v>194.67</v>
      </c>
      <c r="J1418" s="4">
        <v>777.76</v>
      </c>
    </row>
    <row r="1419" spans="1:10">
      <c r="A1419" t="s">
        <v>2207</v>
      </c>
      <c r="B1419" s="3">
        <v>45304</v>
      </c>
      <c r="C1419" t="s">
        <v>1306</v>
      </c>
      <c r="D1419" t="s">
        <v>250</v>
      </c>
      <c r="E1419" t="s">
        <v>105</v>
      </c>
      <c r="F1419">
        <v>2</v>
      </c>
      <c r="G1419" t="s">
        <v>23</v>
      </c>
      <c r="H1419" s="14">
        <v>7.0000000000000007E-2</v>
      </c>
      <c r="I1419" s="23">
        <v>54.51</v>
      </c>
      <c r="J1419" s="4">
        <v>108.88</v>
      </c>
    </row>
    <row r="1420" spans="1:10">
      <c r="A1420" t="s">
        <v>2208</v>
      </c>
      <c r="B1420" s="3">
        <v>45557</v>
      </c>
      <c r="C1420" t="s">
        <v>578</v>
      </c>
      <c r="D1420" t="s">
        <v>661</v>
      </c>
      <c r="E1420" t="s">
        <v>272</v>
      </c>
      <c r="F1420">
        <v>4</v>
      </c>
      <c r="G1420" t="s">
        <v>33</v>
      </c>
      <c r="H1420" s="14">
        <v>0.14000000000000001</v>
      </c>
      <c r="I1420" s="23">
        <v>964</v>
      </c>
      <c r="J1420" s="4">
        <v>3855.44</v>
      </c>
    </row>
    <row r="1421" spans="1:10">
      <c r="A1421" t="s">
        <v>2209</v>
      </c>
      <c r="B1421" s="3">
        <v>45527</v>
      </c>
      <c r="C1421" t="s">
        <v>1239</v>
      </c>
      <c r="D1421" t="s">
        <v>287</v>
      </c>
      <c r="E1421" t="s">
        <v>72</v>
      </c>
      <c r="F1421">
        <v>1</v>
      </c>
      <c r="G1421" t="s">
        <v>33</v>
      </c>
      <c r="H1421" s="14">
        <v>0.26</v>
      </c>
      <c r="I1421" s="23">
        <v>170.12</v>
      </c>
      <c r="J1421" s="4">
        <v>169.86</v>
      </c>
    </row>
    <row r="1422" spans="1:10">
      <c r="A1422" t="s">
        <v>2210</v>
      </c>
      <c r="B1422" s="3">
        <v>45875</v>
      </c>
      <c r="C1422" t="s">
        <v>78</v>
      </c>
      <c r="D1422" t="s">
        <v>207</v>
      </c>
      <c r="E1422" t="s">
        <v>135</v>
      </c>
      <c r="F1422">
        <v>2</v>
      </c>
      <c r="G1422" t="s">
        <v>23</v>
      </c>
      <c r="H1422" s="14">
        <v>0.23</v>
      </c>
      <c r="I1422" s="23">
        <v>664.5</v>
      </c>
      <c r="J1422" s="4">
        <v>1328.54</v>
      </c>
    </row>
    <row r="1423" spans="1:10">
      <c r="A1423" t="s">
        <v>2211</v>
      </c>
      <c r="B1423" s="3">
        <v>45936</v>
      </c>
      <c r="C1423" t="s">
        <v>674</v>
      </c>
      <c r="D1423" t="s">
        <v>344</v>
      </c>
      <c r="E1423" t="s">
        <v>168</v>
      </c>
      <c r="F1423">
        <v>4</v>
      </c>
      <c r="G1423" t="s">
        <v>23</v>
      </c>
      <c r="H1423" s="14">
        <v>0.11</v>
      </c>
      <c r="I1423" s="23">
        <v>557.51</v>
      </c>
      <c r="J1423" s="4">
        <v>2229.6</v>
      </c>
    </row>
    <row r="1424" spans="1:10">
      <c r="A1424" t="s">
        <v>2212</v>
      </c>
      <c r="B1424" s="3">
        <v>45807</v>
      </c>
      <c r="C1424" t="s">
        <v>493</v>
      </c>
      <c r="D1424" t="s">
        <v>453</v>
      </c>
      <c r="E1424" t="s">
        <v>105</v>
      </c>
      <c r="F1424">
        <v>2</v>
      </c>
      <c r="G1424" t="s">
        <v>50</v>
      </c>
      <c r="H1424" s="14">
        <v>0.13</v>
      </c>
      <c r="I1424" s="23">
        <v>410</v>
      </c>
      <c r="J1424" s="4">
        <v>819.74</v>
      </c>
    </row>
    <row r="1425" spans="1:10">
      <c r="A1425" t="s">
        <v>2213</v>
      </c>
      <c r="B1425" s="3">
        <v>45473</v>
      </c>
      <c r="C1425" t="s">
        <v>1536</v>
      </c>
      <c r="D1425" t="s">
        <v>359</v>
      </c>
      <c r="E1425" t="s">
        <v>58</v>
      </c>
      <c r="F1425">
        <v>2</v>
      </c>
      <c r="G1425" t="s">
        <v>50</v>
      </c>
      <c r="H1425" s="14">
        <v>0.28999999999999998</v>
      </c>
      <c r="I1425" s="23">
        <v>879.93</v>
      </c>
      <c r="J1425" s="4">
        <v>1759.28</v>
      </c>
    </row>
    <row r="1426" spans="1:10">
      <c r="A1426" t="s">
        <v>2214</v>
      </c>
      <c r="B1426" s="3">
        <v>45664</v>
      </c>
      <c r="C1426" t="s">
        <v>355</v>
      </c>
      <c r="D1426" t="s">
        <v>197</v>
      </c>
      <c r="E1426" t="s">
        <v>160</v>
      </c>
      <c r="F1426">
        <v>1</v>
      </c>
      <c r="G1426" t="s">
        <v>50</v>
      </c>
      <c r="H1426" s="14">
        <v>0.03</v>
      </c>
      <c r="I1426" s="23">
        <v>350.58</v>
      </c>
      <c r="J1426" s="4">
        <v>350.55</v>
      </c>
    </row>
    <row r="1427" spans="1:10">
      <c r="A1427" t="s">
        <v>2215</v>
      </c>
      <c r="B1427" s="3">
        <v>45633</v>
      </c>
      <c r="C1427" t="s">
        <v>1497</v>
      </c>
      <c r="D1427" t="s">
        <v>714</v>
      </c>
      <c r="E1427" t="s">
        <v>22</v>
      </c>
      <c r="F1427">
        <v>4</v>
      </c>
      <c r="G1427" t="s">
        <v>23</v>
      </c>
      <c r="H1427" s="14">
        <v>0.16</v>
      </c>
      <c r="I1427" s="23">
        <v>348.58</v>
      </c>
      <c r="J1427" s="4">
        <v>1393.68</v>
      </c>
    </row>
    <row r="1428" spans="1:10">
      <c r="A1428" t="s">
        <v>2216</v>
      </c>
      <c r="B1428" s="3">
        <v>45548</v>
      </c>
      <c r="C1428" t="s">
        <v>538</v>
      </c>
      <c r="D1428" t="s">
        <v>425</v>
      </c>
      <c r="E1428" t="s">
        <v>22</v>
      </c>
      <c r="F1428">
        <v>3</v>
      </c>
      <c r="G1428" t="s">
        <v>50</v>
      </c>
      <c r="H1428" s="14">
        <v>0.02</v>
      </c>
      <c r="I1428" s="23">
        <v>247.66</v>
      </c>
      <c r="J1428" s="4">
        <v>742.92</v>
      </c>
    </row>
    <row r="1429" spans="1:10">
      <c r="A1429" t="s">
        <v>2217</v>
      </c>
      <c r="B1429" s="3">
        <v>45244</v>
      </c>
      <c r="C1429" t="s">
        <v>1187</v>
      </c>
      <c r="D1429" t="s">
        <v>104</v>
      </c>
      <c r="E1429" t="s">
        <v>122</v>
      </c>
      <c r="F1429">
        <v>3</v>
      </c>
      <c r="G1429" t="s">
        <v>23</v>
      </c>
      <c r="H1429" s="14">
        <v>0.16</v>
      </c>
      <c r="I1429" s="23">
        <v>836.27</v>
      </c>
      <c r="J1429" s="4">
        <v>2508.33</v>
      </c>
    </row>
    <row r="1430" spans="1:10">
      <c r="A1430" t="s">
        <v>2218</v>
      </c>
      <c r="B1430" s="3">
        <v>45753</v>
      </c>
      <c r="C1430" t="s">
        <v>1618</v>
      </c>
      <c r="D1430" t="s">
        <v>480</v>
      </c>
      <c r="E1430" t="s">
        <v>168</v>
      </c>
      <c r="F1430">
        <v>3</v>
      </c>
      <c r="G1430" t="s">
        <v>50</v>
      </c>
      <c r="H1430" s="14">
        <v>0.13</v>
      </c>
      <c r="I1430" s="23">
        <v>696.74</v>
      </c>
      <c r="J1430" s="4">
        <v>2089.83</v>
      </c>
    </row>
    <row r="1431" spans="1:10">
      <c r="A1431" t="s">
        <v>2219</v>
      </c>
      <c r="B1431" s="3">
        <v>45804</v>
      </c>
      <c r="C1431" t="s">
        <v>1685</v>
      </c>
      <c r="D1431" t="s">
        <v>242</v>
      </c>
      <c r="E1431" t="s">
        <v>149</v>
      </c>
      <c r="F1431">
        <v>2</v>
      </c>
      <c r="G1431" t="s">
        <v>33</v>
      </c>
      <c r="H1431" s="14">
        <v>0.22</v>
      </c>
      <c r="I1431" s="23">
        <v>822.59</v>
      </c>
      <c r="J1431" s="4">
        <v>1644.74</v>
      </c>
    </row>
    <row r="1432" spans="1:10">
      <c r="A1432" t="s">
        <v>2220</v>
      </c>
      <c r="B1432" s="3">
        <v>45263</v>
      </c>
      <c r="C1432" t="s">
        <v>904</v>
      </c>
      <c r="D1432" t="s">
        <v>221</v>
      </c>
      <c r="E1432" t="s">
        <v>198</v>
      </c>
      <c r="F1432">
        <v>1</v>
      </c>
      <c r="G1432" t="s">
        <v>33</v>
      </c>
      <c r="H1432" s="14">
        <v>0.3</v>
      </c>
      <c r="I1432" s="23">
        <v>462.23</v>
      </c>
      <c r="J1432" s="4">
        <v>461.93</v>
      </c>
    </row>
    <row r="1433" spans="1:10">
      <c r="A1433" t="s">
        <v>2221</v>
      </c>
      <c r="B1433" s="3">
        <v>45906</v>
      </c>
      <c r="C1433" t="s">
        <v>2222</v>
      </c>
      <c r="D1433" t="s">
        <v>449</v>
      </c>
      <c r="E1433" t="s">
        <v>32</v>
      </c>
      <c r="F1433">
        <v>1</v>
      </c>
      <c r="G1433" t="s">
        <v>33</v>
      </c>
      <c r="H1433" s="14">
        <v>0.06</v>
      </c>
      <c r="I1433" s="23">
        <v>361.09</v>
      </c>
      <c r="J1433" s="4">
        <v>361.03</v>
      </c>
    </row>
    <row r="1434" spans="1:10">
      <c r="A1434" t="s">
        <v>2223</v>
      </c>
      <c r="B1434" s="3">
        <v>45243</v>
      </c>
      <c r="C1434" t="s">
        <v>1017</v>
      </c>
      <c r="D1434" t="s">
        <v>575</v>
      </c>
      <c r="E1434" t="s">
        <v>135</v>
      </c>
      <c r="F1434">
        <v>3</v>
      </c>
      <c r="G1434" t="s">
        <v>33</v>
      </c>
      <c r="H1434" s="14">
        <v>0.03</v>
      </c>
      <c r="I1434" s="23">
        <v>59.37</v>
      </c>
      <c r="J1434" s="4">
        <v>178.02</v>
      </c>
    </row>
    <row r="1435" spans="1:10">
      <c r="A1435" t="s">
        <v>2224</v>
      </c>
      <c r="B1435" s="3">
        <v>45686</v>
      </c>
      <c r="C1435" t="s">
        <v>1303</v>
      </c>
      <c r="D1435" t="s">
        <v>295</v>
      </c>
      <c r="E1435" t="s">
        <v>105</v>
      </c>
      <c r="F1435">
        <v>3</v>
      </c>
      <c r="G1435" t="s">
        <v>50</v>
      </c>
      <c r="H1435" s="14">
        <v>0.14000000000000001</v>
      </c>
      <c r="I1435" s="23">
        <v>765.21</v>
      </c>
      <c r="J1435" s="4">
        <v>2295.21</v>
      </c>
    </row>
    <row r="1436" spans="1:10">
      <c r="A1436" t="s">
        <v>2225</v>
      </c>
      <c r="B1436" s="3">
        <v>45472</v>
      </c>
      <c r="C1436" t="s">
        <v>552</v>
      </c>
      <c r="D1436" t="s">
        <v>579</v>
      </c>
      <c r="E1436" t="s">
        <v>208</v>
      </c>
      <c r="F1436">
        <v>4</v>
      </c>
      <c r="G1436" t="s">
        <v>50</v>
      </c>
      <c r="H1436" s="14">
        <v>0.2</v>
      </c>
      <c r="I1436" s="23">
        <v>303.56</v>
      </c>
      <c r="J1436" s="4">
        <v>1213.44</v>
      </c>
    </row>
    <row r="1437" spans="1:10">
      <c r="A1437" t="s">
        <v>2226</v>
      </c>
      <c r="B1437" s="3">
        <v>45779</v>
      </c>
      <c r="C1437" t="s">
        <v>115</v>
      </c>
      <c r="D1437" t="s">
        <v>139</v>
      </c>
      <c r="E1437" t="s">
        <v>90</v>
      </c>
      <c r="F1437">
        <v>1</v>
      </c>
      <c r="G1437" t="s">
        <v>33</v>
      </c>
      <c r="H1437" s="14">
        <v>0.19</v>
      </c>
      <c r="I1437" s="23">
        <v>640.92999999999995</v>
      </c>
      <c r="J1437" s="4">
        <v>640.74</v>
      </c>
    </row>
    <row r="1438" spans="1:10">
      <c r="A1438" t="s">
        <v>2227</v>
      </c>
      <c r="B1438" s="3">
        <v>45830</v>
      </c>
      <c r="C1438" t="s">
        <v>2228</v>
      </c>
      <c r="D1438" t="s">
        <v>400</v>
      </c>
      <c r="E1438" t="s">
        <v>168</v>
      </c>
      <c r="F1438">
        <v>2</v>
      </c>
      <c r="G1438" t="s">
        <v>23</v>
      </c>
      <c r="H1438" s="14">
        <v>0.22</v>
      </c>
      <c r="I1438" s="23">
        <v>611.25</v>
      </c>
      <c r="J1438" s="4">
        <v>1222.06</v>
      </c>
    </row>
    <row r="1439" spans="1:10">
      <c r="A1439" t="s">
        <v>2229</v>
      </c>
      <c r="B1439" s="3">
        <v>45756</v>
      </c>
      <c r="C1439" t="s">
        <v>1235</v>
      </c>
      <c r="D1439" t="s">
        <v>532</v>
      </c>
      <c r="E1439" t="s">
        <v>105</v>
      </c>
      <c r="F1439">
        <v>1</v>
      </c>
      <c r="G1439" t="s">
        <v>23</v>
      </c>
      <c r="H1439" s="14">
        <v>0.21</v>
      </c>
      <c r="I1439" s="23">
        <v>209.93</v>
      </c>
      <c r="J1439" s="4">
        <v>209.72</v>
      </c>
    </row>
    <row r="1440" spans="1:10">
      <c r="A1440" t="s">
        <v>2230</v>
      </c>
      <c r="B1440" s="3">
        <v>45847</v>
      </c>
      <c r="C1440" t="s">
        <v>1528</v>
      </c>
      <c r="D1440" t="s">
        <v>85</v>
      </c>
      <c r="E1440" t="s">
        <v>168</v>
      </c>
      <c r="F1440">
        <v>3</v>
      </c>
      <c r="G1440" t="s">
        <v>33</v>
      </c>
      <c r="H1440" s="14">
        <v>0.24</v>
      </c>
      <c r="I1440" s="23">
        <v>130.38999999999999</v>
      </c>
      <c r="J1440" s="4">
        <v>390.45</v>
      </c>
    </row>
    <row r="1441" spans="1:10">
      <c r="A1441" t="s">
        <v>2231</v>
      </c>
      <c r="B1441" s="3">
        <v>45322</v>
      </c>
      <c r="C1441" t="s">
        <v>2232</v>
      </c>
      <c r="D1441" t="s">
        <v>317</v>
      </c>
      <c r="E1441" t="s">
        <v>66</v>
      </c>
      <c r="F1441">
        <v>2</v>
      </c>
      <c r="G1441" t="s">
        <v>50</v>
      </c>
      <c r="H1441" s="14">
        <v>0.1</v>
      </c>
      <c r="I1441" s="23">
        <v>846.18</v>
      </c>
      <c r="J1441" s="4">
        <v>1692.16</v>
      </c>
    </row>
    <row r="1442" spans="1:10">
      <c r="A1442" t="s">
        <v>2233</v>
      </c>
      <c r="B1442" s="3">
        <v>45829</v>
      </c>
      <c r="C1442" t="s">
        <v>1354</v>
      </c>
      <c r="D1442" t="s">
        <v>79</v>
      </c>
      <c r="E1442" t="s">
        <v>98</v>
      </c>
      <c r="F1442">
        <v>2</v>
      </c>
      <c r="G1442" t="s">
        <v>50</v>
      </c>
      <c r="H1442" s="14">
        <v>0.14000000000000001</v>
      </c>
      <c r="I1442" s="23">
        <v>424.53</v>
      </c>
      <c r="J1442" s="4">
        <v>848.78</v>
      </c>
    </row>
    <row r="1443" spans="1:10">
      <c r="A1443" t="s">
        <v>2234</v>
      </c>
      <c r="B1443" s="3">
        <v>45539</v>
      </c>
      <c r="C1443" t="s">
        <v>2235</v>
      </c>
      <c r="D1443" t="s">
        <v>110</v>
      </c>
      <c r="E1443" t="s">
        <v>98</v>
      </c>
      <c r="F1443">
        <v>4</v>
      </c>
      <c r="G1443" t="s">
        <v>50</v>
      </c>
      <c r="H1443" s="14">
        <v>0.08</v>
      </c>
      <c r="I1443" s="23">
        <v>450.42</v>
      </c>
      <c r="J1443" s="4">
        <v>1801.36</v>
      </c>
    </row>
    <row r="1444" spans="1:10">
      <c r="A1444" t="s">
        <v>2236</v>
      </c>
      <c r="B1444" s="3">
        <v>45893</v>
      </c>
      <c r="C1444" t="s">
        <v>1120</v>
      </c>
      <c r="D1444" t="s">
        <v>246</v>
      </c>
      <c r="E1444" t="s">
        <v>127</v>
      </c>
      <c r="F1444">
        <v>4</v>
      </c>
      <c r="G1444" t="s">
        <v>23</v>
      </c>
      <c r="H1444" s="14">
        <v>0.1</v>
      </c>
      <c r="I1444" s="23">
        <v>896.91</v>
      </c>
      <c r="J1444" s="4">
        <v>3587.24</v>
      </c>
    </row>
    <row r="1445" spans="1:10">
      <c r="A1445" t="s">
        <v>2237</v>
      </c>
      <c r="B1445" s="3">
        <v>45814</v>
      </c>
      <c r="C1445" t="s">
        <v>598</v>
      </c>
      <c r="D1445" t="s">
        <v>21</v>
      </c>
      <c r="E1445" t="s">
        <v>168</v>
      </c>
      <c r="F1445">
        <v>3</v>
      </c>
      <c r="G1445" t="s">
        <v>50</v>
      </c>
      <c r="H1445" s="14">
        <v>0.3</v>
      </c>
      <c r="I1445" s="23">
        <v>679.38</v>
      </c>
      <c r="J1445" s="4">
        <v>2037.24</v>
      </c>
    </row>
    <row r="1446" spans="1:10">
      <c r="A1446" t="s">
        <v>2238</v>
      </c>
      <c r="B1446" s="3">
        <v>45571</v>
      </c>
      <c r="C1446" t="s">
        <v>70</v>
      </c>
      <c r="D1446" t="s">
        <v>429</v>
      </c>
      <c r="E1446" t="s">
        <v>117</v>
      </c>
      <c r="F1446">
        <v>3</v>
      </c>
      <c r="G1446" t="s">
        <v>23</v>
      </c>
      <c r="H1446" s="14">
        <v>0</v>
      </c>
      <c r="I1446" s="23">
        <v>483.63</v>
      </c>
      <c r="J1446" s="4">
        <v>1450.89</v>
      </c>
    </row>
    <row r="1447" spans="1:10">
      <c r="A1447" t="s">
        <v>2239</v>
      </c>
      <c r="B1447" s="3">
        <v>45542</v>
      </c>
      <c r="C1447" t="s">
        <v>1997</v>
      </c>
      <c r="D1447" t="s">
        <v>104</v>
      </c>
      <c r="E1447" t="s">
        <v>90</v>
      </c>
      <c r="F1447">
        <v>3</v>
      </c>
      <c r="G1447" t="s">
        <v>50</v>
      </c>
      <c r="H1447" s="14">
        <v>0.24</v>
      </c>
      <c r="I1447" s="23">
        <v>158.27000000000001</v>
      </c>
      <c r="J1447" s="4">
        <v>474.09</v>
      </c>
    </row>
    <row r="1448" spans="1:10">
      <c r="A1448" t="s">
        <v>2240</v>
      </c>
      <c r="B1448" s="3">
        <v>45758</v>
      </c>
      <c r="C1448" t="s">
        <v>363</v>
      </c>
      <c r="D1448" t="s">
        <v>868</v>
      </c>
      <c r="E1448" t="s">
        <v>122</v>
      </c>
      <c r="F1448">
        <v>4</v>
      </c>
      <c r="G1448" t="s">
        <v>23</v>
      </c>
      <c r="H1448" s="14">
        <v>0.18</v>
      </c>
      <c r="I1448" s="23">
        <v>601.5</v>
      </c>
      <c r="J1448" s="4">
        <v>2405.2800000000002</v>
      </c>
    </row>
    <row r="1449" spans="1:10">
      <c r="A1449" t="s">
        <v>2241</v>
      </c>
      <c r="B1449" s="3">
        <v>45709</v>
      </c>
      <c r="C1449" t="s">
        <v>703</v>
      </c>
      <c r="D1449" t="s">
        <v>311</v>
      </c>
      <c r="E1449" t="s">
        <v>160</v>
      </c>
      <c r="F1449">
        <v>2</v>
      </c>
      <c r="G1449" t="s">
        <v>23</v>
      </c>
      <c r="H1449" s="14">
        <v>7.0000000000000007E-2</v>
      </c>
      <c r="I1449" s="23">
        <v>46.39</v>
      </c>
      <c r="J1449" s="4">
        <v>92.64</v>
      </c>
    </row>
    <row r="1450" spans="1:10">
      <c r="A1450" t="s">
        <v>2242</v>
      </c>
      <c r="B1450" s="3">
        <v>45587</v>
      </c>
      <c r="C1450" t="s">
        <v>452</v>
      </c>
      <c r="D1450" t="s">
        <v>542</v>
      </c>
      <c r="E1450" t="s">
        <v>43</v>
      </c>
      <c r="F1450">
        <v>4</v>
      </c>
      <c r="G1450" t="s">
        <v>23</v>
      </c>
      <c r="H1450" s="14">
        <v>0.23</v>
      </c>
      <c r="I1450" s="23">
        <v>892.28</v>
      </c>
      <c r="J1450" s="4">
        <v>3568.2</v>
      </c>
    </row>
    <row r="1451" spans="1:10">
      <c r="A1451" t="s">
        <v>2243</v>
      </c>
      <c r="B1451" s="3">
        <v>45494</v>
      </c>
      <c r="C1451" t="s">
        <v>358</v>
      </c>
      <c r="D1451" t="s">
        <v>234</v>
      </c>
      <c r="E1451" t="s">
        <v>66</v>
      </c>
      <c r="F1451">
        <v>2</v>
      </c>
      <c r="G1451" t="s">
        <v>23</v>
      </c>
      <c r="H1451" s="14">
        <v>0.17</v>
      </c>
      <c r="I1451" s="23">
        <v>164.23</v>
      </c>
      <c r="J1451" s="4">
        <v>328.12</v>
      </c>
    </row>
    <row r="1452" spans="1:10">
      <c r="A1452" t="s">
        <v>2244</v>
      </c>
      <c r="B1452" s="3">
        <v>45305</v>
      </c>
      <c r="C1452" t="s">
        <v>1226</v>
      </c>
      <c r="D1452" t="s">
        <v>810</v>
      </c>
      <c r="E1452" t="s">
        <v>66</v>
      </c>
      <c r="F1452">
        <v>1</v>
      </c>
      <c r="G1452" t="s">
        <v>50</v>
      </c>
      <c r="H1452" s="14">
        <v>0.12</v>
      </c>
      <c r="I1452" s="23">
        <v>484.23</v>
      </c>
      <c r="J1452" s="4">
        <v>484.11</v>
      </c>
    </row>
    <row r="1453" spans="1:10">
      <c r="A1453" t="s">
        <v>2245</v>
      </c>
      <c r="B1453" s="3">
        <v>45383</v>
      </c>
      <c r="C1453" t="s">
        <v>1483</v>
      </c>
      <c r="D1453" t="s">
        <v>487</v>
      </c>
      <c r="E1453" t="s">
        <v>160</v>
      </c>
      <c r="F1453">
        <v>3</v>
      </c>
      <c r="G1453" t="s">
        <v>50</v>
      </c>
      <c r="H1453" s="14">
        <v>0.22</v>
      </c>
      <c r="I1453" s="23">
        <v>341.51</v>
      </c>
      <c r="J1453" s="4">
        <v>1023.87</v>
      </c>
    </row>
    <row r="1454" spans="1:10">
      <c r="A1454" t="s">
        <v>2246</v>
      </c>
      <c r="B1454" s="3">
        <v>45788</v>
      </c>
      <c r="C1454" t="s">
        <v>1653</v>
      </c>
      <c r="D1454" t="s">
        <v>187</v>
      </c>
      <c r="E1454" t="s">
        <v>149</v>
      </c>
      <c r="F1454">
        <v>3</v>
      </c>
      <c r="G1454" t="s">
        <v>33</v>
      </c>
      <c r="H1454" s="14">
        <v>0.11</v>
      </c>
      <c r="I1454" s="23">
        <v>758.87</v>
      </c>
      <c r="J1454" s="4">
        <v>2276.2800000000002</v>
      </c>
    </row>
    <row r="1455" spans="1:10">
      <c r="A1455" t="s">
        <v>2247</v>
      </c>
      <c r="B1455" s="3">
        <v>45855</v>
      </c>
      <c r="C1455" t="s">
        <v>264</v>
      </c>
      <c r="D1455" t="s">
        <v>71</v>
      </c>
      <c r="E1455" t="s">
        <v>208</v>
      </c>
      <c r="F1455">
        <v>3</v>
      </c>
      <c r="G1455" t="s">
        <v>23</v>
      </c>
      <c r="H1455" s="14">
        <v>0.17</v>
      </c>
      <c r="I1455" s="23">
        <v>560.52</v>
      </c>
      <c r="J1455" s="4">
        <v>1681.05</v>
      </c>
    </row>
    <row r="1456" spans="1:10">
      <c r="A1456" t="s">
        <v>2248</v>
      </c>
      <c r="B1456" s="3">
        <v>45533</v>
      </c>
      <c r="C1456" t="s">
        <v>1397</v>
      </c>
      <c r="D1456" t="s">
        <v>1259</v>
      </c>
      <c r="E1456" t="s">
        <v>32</v>
      </c>
      <c r="F1456">
        <v>2</v>
      </c>
      <c r="G1456" t="s">
        <v>23</v>
      </c>
      <c r="H1456" s="14">
        <v>0.19</v>
      </c>
      <c r="I1456" s="23">
        <v>977.18</v>
      </c>
      <c r="J1456" s="4">
        <v>1953.98</v>
      </c>
    </row>
    <row r="1457" spans="1:10">
      <c r="A1457" t="s">
        <v>2249</v>
      </c>
      <c r="B1457" s="3">
        <v>45763</v>
      </c>
      <c r="C1457" t="s">
        <v>2250</v>
      </c>
      <c r="D1457" t="s">
        <v>226</v>
      </c>
      <c r="E1457" t="s">
        <v>98</v>
      </c>
      <c r="F1457">
        <v>4</v>
      </c>
      <c r="G1457" t="s">
        <v>23</v>
      </c>
      <c r="H1457" s="14">
        <v>0.08</v>
      </c>
      <c r="I1457" s="23">
        <v>761.35</v>
      </c>
      <c r="J1457" s="4">
        <v>3045.08</v>
      </c>
    </row>
    <row r="1458" spans="1:10">
      <c r="A1458" t="s">
        <v>2251</v>
      </c>
      <c r="B1458" s="3">
        <v>45900</v>
      </c>
      <c r="C1458" t="s">
        <v>1913</v>
      </c>
      <c r="D1458" t="s">
        <v>178</v>
      </c>
      <c r="E1458" t="s">
        <v>160</v>
      </c>
      <c r="F1458">
        <v>2</v>
      </c>
      <c r="G1458" t="s">
        <v>50</v>
      </c>
      <c r="H1458" s="14">
        <v>0.02</v>
      </c>
      <c r="I1458" s="23">
        <v>947.56</v>
      </c>
      <c r="J1458" s="4">
        <v>1895.08</v>
      </c>
    </row>
    <row r="1459" spans="1:10">
      <c r="A1459" t="s">
        <v>2252</v>
      </c>
      <c r="B1459" s="3">
        <v>45943</v>
      </c>
      <c r="C1459" t="s">
        <v>2253</v>
      </c>
      <c r="D1459" t="s">
        <v>159</v>
      </c>
      <c r="E1459" t="s">
        <v>160</v>
      </c>
      <c r="F1459">
        <v>4</v>
      </c>
      <c r="G1459" t="s">
        <v>23</v>
      </c>
      <c r="H1459" s="14">
        <v>0.04</v>
      </c>
      <c r="I1459" s="23">
        <v>975.47</v>
      </c>
      <c r="J1459" s="4">
        <v>3901.72</v>
      </c>
    </row>
    <row r="1460" spans="1:10">
      <c r="A1460" t="s">
        <v>2254</v>
      </c>
      <c r="B1460" s="3">
        <v>45448</v>
      </c>
      <c r="C1460" t="s">
        <v>1062</v>
      </c>
      <c r="D1460" t="s">
        <v>197</v>
      </c>
      <c r="E1460" t="s">
        <v>127</v>
      </c>
      <c r="F1460">
        <v>3</v>
      </c>
      <c r="G1460" t="s">
        <v>50</v>
      </c>
      <c r="H1460" s="14">
        <v>0.23</v>
      </c>
      <c r="I1460" s="23">
        <v>769.06</v>
      </c>
      <c r="J1460" s="4">
        <v>2306.4899999999998</v>
      </c>
    </row>
    <row r="1461" spans="1:10">
      <c r="A1461" t="s">
        <v>2255</v>
      </c>
      <c r="B1461" s="3">
        <v>45929</v>
      </c>
      <c r="C1461" t="s">
        <v>1367</v>
      </c>
      <c r="D1461" t="s">
        <v>104</v>
      </c>
      <c r="E1461" t="s">
        <v>198</v>
      </c>
      <c r="F1461">
        <v>3</v>
      </c>
      <c r="G1461" t="s">
        <v>23</v>
      </c>
      <c r="H1461" s="14">
        <v>0.23</v>
      </c>
      <c r="I1461" s="23">
        <v>824.75</v>
      </c>
      <c r="J1461" s="4">
        <v>2473.56</v>
      </c>
    </row>
    <row r="1462" spans="1:10">
      <c r="A1462" t="s">
        <v>2256</v>
      </c>
      <c r="B1462" s="3">
        <v>45478</v>
      </c>
      <c r="C1462" t="s">
        <v>535</v>
      </c>
      <c r="D1462" t="s">
        <v>741</v>
      </c>
      <c r="E1462" t="s">
        <v>72</v>
      </c>
      <c r="F1462">
        <v>2</v>
      </c>
      <c r="G1462" t="s">
        <v>33</v>
      </c>
      <c r="H1462" s="14">
        <v>0.11</v>
      </c>
      <c r="I1462" s="23">
        <v>821.35</v>
      </c>
      <c r="J1462" s="4">
        <v>1642.48</v>
      </c>
    </row>
    <row r="1463" spans="1:10">
      <c r="A1463" t="s">
        <v>2257</v>
      </c>
      <c r="B1463" s="3">
        <v>45723</v>
      </c>
      <c r="C1463" t="s">
        <v>558</v>
      </c>
      <c r="D1463" t="s">
        <v>197</v>
      </c>
      <c r="E1463" t="s">
        <v>168</v>
      </c>
      <c r="F1463">
        <v>1</v>
      </c>
      <c r="G1463" t="s">
        <v>33</v>
      </c>
      <c r="H1463" s="14">
        <v>0.06</v>
      </c>
      <c r="I1463" s="23">
        <v>120.57</v>
      </c>
      <c r="J1463" s="4">
        <v>120.51</v>
      </c>
    </row>
    <row r="1464" spans="1:10">
      <c r="A1464" t="s">
        <v>2258</v>
      </c>
      <c r="B1464" s="3">
        <v>45240</v>
      </c>
      <c r="C1464" t="s">
        <v>254</v>
      </c>
      <c r="D1464" t="s">
        <v>287</v>
      </c>
      <c r="E1464" t="s">
        <v>105</v>
      </c>
      <c r="F1464">
        <v>1</v>
      </c>
      <c r="G1464" t="s">
        <v>33</v>
      </c>
      <c r="H1464" s="14">
        <v>0.26</v>
      </c>
      <c r="I1464" s="23">
        <v>122.27</v>
      </c>
      <c r="J1464" s="4">
        <v>122.01</v>
      </c>
    </row>
    <row r="1465" spans="1:10">
      <c r="A1465" t="s">
        <v>2259</v>
      </c>
      <c r="B1465" s="3">
        <v>45890</v>
      </c>
      <c r="C1465" t="s">
        <v>658</v>
      </c>
      <c r="D1465" t="s">
        <v>246</v>
      </c>
      <c r="E1465" t="s">
        <v>198</v>
      </c>
      <c r="F1465">
        <v>2</v>
      </c>
      <c r="G1465" t="s">
        <v>23</v>
      </c>
      <c r="H1465" s="14">
        <v>0.11</v>
      </c>
      <c r="I1465" s="23">
        <v>182.89</v>
      </c>
      <c r="J1465" s="4">
        <v>365.56</v>
      </c>
    </row>
    <row r="1466" spans="1:10">
      <c r="A1466" t="s">
        <v>2260</v>
      </c>
      <c r="B1466" s="3">
        <v>45796</v>
      </c>
      <c r="C1466" t="s">
        <v>674</v>
      </c>
      <c r="D1466" t="s">
        <v>381</v>
      </c>
      <c r="E1466" t="s">
        <v>72</v>
      </c>
      <c r="F1466">
        <v>1</v>
      </c>
      <c r="G1466" t="s">
        <v>33</v>
      </c>
      <c r="H1466" s="14">
        <v>0.23</v>
      </c>
      <c r="I1466" s="23">
        <v>695.26</v>
      </c>
      <c r="J1466" s="4">
        <v>695.03</v>
      </c>
    </row>
    <row r="1467" spans="1:10">
      <c r="A1467" t="s">
        <v>2261</v>
      </c>
      <c r="B1467" s="3">
        <v>45895</v>
      </c>
      <c r="C1467" t="s">
        <v>910</v>
      </c>
      <c r="D1467" t="s">
        <v>255</v>
      </c>
      <c r="E1467" t="s">
        <v>179</v>
      </c>
      <c r="F1467">
        <v>2</v>
      </c>
      <c r="G1467" t="s">
        <v>50</v>
      </c>
      <c r="H1467" s="14">
        <v>0.17</v>
      </c>
      <c r="I1467" s="23">
        <v>408.8</v>
      </c>
      <c r="J1467" s="4">
        <v>817.26</v>
      </c>
    </row>
    <row r="1468" spans="1:10">
      <c r="A1468" t="s">
        <v>2262</v>
      </c>
      <c r="B1468" s="3">
        <v>45676</v>
      </c>
      <c r="C1468" t="s">
        <v>2263</v>
      </c>
      <c r="D1468" t="s">
        <v>42</v>
      </c>
      <c r="E1468" t="s">
        <v>43</v>
      </c>
      <c r="F1468">
        <v>3</v>
      </c>
      <c r="G1468" t="s">
        <v>23</v>
      </c>
      <c r="H1468" s="14">
        <v>0.12</v>
      </c>
      <c r="I1468" s="23">
        <v>512.15</v>
      </c>
      <c r="J1468" s="4">
        <v>1536.09</v>
      </c>
    </row>
    <row r="1469" spans="1:10">
      <c r="A1469" t="s">
        <v>2264</v>
      </c>
      <c r="B1469" s="3">
        <v>45568</v>
      </c>
      <c r="C1469" t="s">
        <v>20</v>
      </c>
      <c r="D1469" t="s">
        <v>810</v>
      </c>
      <c r="E1469" t="s">
        <v>43</v>
      </c>
      <c r="F1469">
        <v>3</v>
      </c>
      <c r="G1469" t="s">
        <v>33</v>
      </c>
      <c r="H1469" s="14">
        <v>0.15</v>
      </c>
      <c r="I1469" s="23">
        <v>136.4</v>
      </c>
      <c r="J1469" s="4">
        <v>408.75</v>
      </c>
    </row>
    <row r="1470" spans="1:10">
      <c r="A1470" t="s">
        <v>2265</v>
      </c>
      <c r="B1470" s="3">
        <v>45272</v>
      </c>
      <c r="C1470" t="s">
        <v>595</v>
      </c>
      <c r="D1470" t="s">
        <v>887</v>
      </c>
      <c r="E1470" t="s">
        <v>22</v>
      </c>
      <c r="F1470">
        <v>2</v>
      </c>
      <c r="G1470" t="s">
        <v>50</v>
      </c>
      <c r="H1470" s="14">
        <v>0.04</v>
      </c>
      <c r="I1470" s="23">
        <v>42.51</v>
      </c>
      <c r="J1470" s="4">
        <v>84.94</v>
      </c>
    </row>
    <row r="1471" spans="1:10">
      <c r="A1471" t="s">
        <v>2266</v>
      </c>
      <c r="B1471" s="3">
        <v>45718</v>
      </c>
      <c r="C1471" t="s">
        <v>1908</v>
      </c>
      <c r="D1471" t="s">
        <v>213</v>
      </c>
      <c r="E1471" t="s">
        <v>66</v>
      </c>
      <c r="F1471">
        <v>3</v>
      </c>
      <c r="G1471" t="s">
        <v>33</v>
      </c>
      <c r="H1471" s="14">
        <v>0.12</v>
      </c>
      <c r="I1471" s="23">
        <v>582.1</v>
      </c>
      <c r="J1471" s="4">
        <v>1745.94</v>
      </c>
    </row>
    <row r="1472" spans="1:10">
      <c r="A1472" t="s">
        <v>2267</v>
      </c>
      <c r="B1472" s="3">
        <v>45356</v>
      </c>
      <c r="C1472" t="s">
        <v>785</v>
      </c>
      <c r="D1472" t="s">
        <v>542</v>
      </c>
      <c r="E1472" t="s">
        <v>32</v>
      </c>
      <c r="F1472">
        <v>4</v>
      </c>
      <c r="G1472" t="s">
        <v>50</v>
      </c>
      <c r="H1472" s="14">
        <v>0</v>
      </c>
      <c r="I1472" s="23">
        <v>461.52</v>
      </c>
      <c r="J1472" s="4">
        <v>1846.08</v>
      </c>
    </row>
    <row r="1473" spans="1:10">
      <c r="A1473" t="s">
        <v>2268</v>
      </c>
      <c r="B1473" s="3">
        <v>45552</v>
      </c>
      <c r="C1473" t="s">
        <v>500</v>
      </c>
      <c r="D1473" t="s">
        <v>226</v>
      </c>
      <c r="E1473" t="s">
        <v>272</v>
      </c>
      <c r="F1473">
        <v>1</v>
      </c>
      <c r="G1473" t="s">
        <v>23</v>
      </c>
      <c r="H1473" s="14">
        <v>0.03</v>
      </c>
      <c r="I1473" s="23">
        <v>558.41999999999996</v>
      </c>
      <c r="J1473" s="4">
        <v>558.39</v>
      </c>
    </row>
    <row r="1474" spans="1:10">
      <c r="A1474" t="s">
        <v>2269</v>
      </c>
      <c r="B1474" s="3">
        <v>45288</v>
      </c>
      <c r="C1474" t="s">
        <v>823</v>
      </c>
      <c r="D1474" t="s">
        <v>173</v>
      </c>
      <c r="E1474" t="s">
        <v>160</v>
      </c>
      <c r="F1474">
        <v>4</v>
      </c>
      <c r="G1474" t="s">
        <v>33</v>
      </c>
      <c r="H1474" s="14">
        <v>0.12</v>
      </c>
      <c r="I1474" s="23">
        <v>700.98</v>
      </c>
      <c r="J1474" s="4">
        <v>2803.44</v>
      </c>
    </row>
    <row r="1475" spans="1:10">
      <c r="A1475" t="s">
        <v>2270</v>
      </c>
      <c r="B1475" s="3">
        <v>45605</v>
      </c>
      <c r="C1475" t="s">
        <v>558</v>
      </c>
      <c r="D1475" t="s">
        <v>462</v>
      </c>
      <c r="E1475" t="s">
        <v>160</v>
      </c>
      <c r="F1475">
        <v>2</v>
      </c>
      <c r="G1475" t="s">
        <v>50</v>
      </c>
      <c r="H1475" s="14">
        <v>0.08</v>
      </c>
      <c r="I1475" s="23">
        <v>227.97</v>
      </c>
      <c r="J1475" s="4">
        <v>455.78</v>
      </c>
    </row>
    <row r="1476" spans="1:10">
      <c r="A1476" t="s">
        <v>2271</v>
      </c>
      <c r="B1476" s="3">
        <v>45516</v>
      </c>
      <c r="C1476" t="s">
        <v>1510</v>
      </c>
      <c r="D1476" t="s">
        <v>104</v>
      </c>
      <c r="E1476" t="s">
        <v>272</v>
      </c>
      <c r="F1476">
        <v>4</v>
      </c>
      <c r="G1476" t="s">
        <v>33</v>
      </c>
      <c r="H1476" s="14">
        <v>0.2</v>
      </c>
      <c r="I1476" s="23">
        <v>278.70999999999998</v>
      </c>
      <c r="J1476" s="4">
        <v>1114.04</v>
      </c>
    </row>
    <row r="1477" spans="1:10">
      <c r="A1477" t="s">
        <v>2272</v>
      </c>
      <c r="B1477" s="3">
        <v>45379</v>
      </c>
      <c r="C1477" t="s">
        <v>1591</v>
      </c>
      <c r="D1477" t="s">
        <v>85</v>
      </c>
      <c r="E1477" t="s">
        <v>43</v>
      </c>
      <c r="F1477">
        <v>2</v>
      </c>
      <c r="G1477" t="s">
        <v>33</v>
      </c>
      <c r="H1477" s="14">
        <v>0.05</v>
      </c>
      <c r="I1477" s="23">
        <v>916.12</v>
      </c>
      <c r="J1477" s="4">
        <v>1832.14</v>
      </c>
    </row>
    <row r="1478" spans="1:10">
      <c r="A1478" t="s">
        <v>2273</v>
      </c>
      <c r="B1478" s="3">
        <v>45567</v>
      </c>
      <c r="C1478" t="s">
        <v>893</v>
      </c>
      <c r="D1478" t="s">
        <v>234</v>
      </c>
      <c r="E1478" t="s">
        <v>208</v>
      </c>
      <c r="F1478">
        <v>4</v>
      </c>
      <c r="G1478" t="s">
        <v>33</v>
      </c>
      <c r="H1478" s="14">
        <v>0.22</v>
      </c>
      <c r="I1478" s="23">
        <v>228.98</v>
      </c>
      <c r="J1478" s="4">
        <v>915.04</v>
      </c>
    </row>
    <row r="1479" spans="1:10">
      <c r="A1479" t="s">
        <v>2274</v>
      </c>
      <c r="B1479" s="3">
        <v>45510</v>
      </c>
      <c r="C1479" t="s">
        <v>880</v>
      </c>
      <c r="D1479" t="s">
        <v>287</v>
      </c>
      <c r="E1479" t="s">
        <v>122</v>
      </c>
      <c r="F1479">
        <v>4</v>
      </c>
      <c r="G1479" t="s">
        <v>33</v>
      </c>
      <c r="H1479" s="14">
        <v>0.09</v>
      </c>
      <c r="I1479" s="23">
        <v>904.82</v>
      </c>
      <c r="J1479" s="4">
        <v>3618.92</v>
      </c>
    </row>
    <row r="1480" spans="1:10">
      <c r="A1480" t="s">
        <v>2275</v>
      </c>
      <c r="B1480" s="3">
        <v>45806</v>
      </c>
      <c r="C1480" t="s">
        <v>613</v>
      </c>
      <c r="D1480" t="s">
        <v>250</v>
      </c>
      <c r="E1480" t="s">
        <v>272</v>
      </c>
      <c r="F1480">
        <v>1</v>
      </c>
      <c r="G1480" t="s">
        <v>33</v>
      </c>
      <c r="H1480" s="14">
        <v>0.1</v>
      </c>
      <c r="I1480" s="23">
        <v>588.61</v>
      </c>
      <c r="J1480" s="4">
        <v>588.51</v>
      </c>
    </row>
    <row r="1481" spans="1:10">
      <c r="A1481" t="s">
        <v>2276</v>
      </c>
      <c r="B1481" s="3">
        <v>45240</v>
      </c>
      <c r="C1481" t="s">
        <v>529</v>
      </c>
      <c r="D1481" t="s">
        <v>89</v>
      </c>
      <c r="E1481" t="s">
        <v>22</v>
      </c>
      <c r="F1481">
        <v>4</v>
      </c>
      <c r="G1481" t="s">
        <v>23</v>
      </c>
      <c r="H1481" s="14">
        <v>0.02</v>
      </c>
      <c r="I1481" s="23">
        <v>695.97</v>
      </c>
      <c r="J1481" s="4">
        <v>2783.8</v>
      </c>
    </row>
    <row r="1482" spans="1:10">
      <c r="A1482" t="s">
        <v>2277</v>
      </c>
      <c r="B1482" s="3">
        <v>45309</v>
      </c>
      <c r="C1482" t="s">
        <v>1842</v>
      </c>
      <c r="D1482" t="s">
        <v>21</v>
      </c>
      <c r="E1482" t="s">
        <v>272</v>
      </c>
      <c r="F1482">
        <v>2</v>
      </c>
      <c r="G1482" t="s">
        <v>33</v>
      </c>
      <c r="H1482" s="14">
        <v>0.08</v>
      </c>
      <c r="I1482" s="23">
        <v>181.42</v>
      </c>
      <c r="J1482" s="4">
        <v>362.68</v>
      </c>
    </row>
    <row r="1483" spans="1:10">
      <c r="A1483" t="s">
        <v>2278</v>
      </c>
      <c r="B1483" s="3">
        <v>45375</v>
      </c>
      <c r="C1483" t="s">
        <v>740</v>
      </c>
      <c r="D1483" t="s">
        <v>21</v>
      </c>
      <c r="E1483" t="s">
        <v>149</v>
      </c>
      <c r="F1483">
        <v>1</v>
      </c>
      <c r="G1483" t="s">
        <v>50</v>
      </c>
      <c r="H1483" s="14">
        <v>0.28999999999999998</v>
      </c>
      <c r="I1483" s="23">
        <v>439.55</v>
      </c>
      <c r="J1483" s="4">
        <v>439.26</v>
      </c>
    </row>
    <row r="1484" spans="1:10">
      <c r="A1484" t="s">
        <v>2279</v>
      </c>
      <c r="B1484" s="3">
        <v>45733</v>
      </c>
      <c r="C1484" t="s">
        <v>1037</v>
      </c>
      <c r="D1484" t="s">
        <v>564</v>
      </c>
      <c r="E1484" t="s">
        <v>160</v>
      </c>
      <c r="F1484">
        <v>3</v>
      </c>
      <c r="G1484" t="s">
        <v>50</v>
      </c>
      <c r="H1484" s="14">
        <v>0.27</v>
      </c>
      <c r="I1484" s="23">
        <v>471.27</v>
      </c>
      <c r="J1484" s="4">
        <v>1413</v>
      </c>
    </row>
    <row r="1485" spans="1:10">
      <c r="A1485" t="s">
        <v>2280</v>
      </c>
      <c r="B1485" s="3">
        <v>45435</v>
      </c>
      <c r="C1485" t="s">
        <v>754</v>
      </c>
      <c r="D1485" t="s">
        <v>57</v>
      </c>
      <c r="E1485" t="s">
        <v>208</v>
      </c>
      <c r="F1485">
        <v>1</v>
      </c>
      <c r="G1485" t="s">
        <v>23</v>
      </c>
      <c r="H1485" s="14">
        <v>0.1</v>
      </c>
      <c r="I1485" s="23">
        <v>758.89</v>
      </c>
      <c r="J1485" s="4">
        <v>758.79</v>
      </c>
    </row>
    <row r="1486" spans="1:10">
      <c r="A1486" t="s">
        <v>2281</v>
      </c>
      <c r="B1486" s="3">
        <v>45864</v>
      </c>
      <c r="C1486" t="s">
        <v>598</v>
      </c>
      <c r="D1486" t="s">
        <v>1126</v>
      </c>
      <c r="E1486" t="s">
        <v>122</v>
      </c>
      <c r="F1486">
        <v>4</v>
      </c>
      <c r="G1486" t="s">
        <v>50</v>
      </c>
      <c r="H1486" s="14">
        <v>0.19</v>
      </c>
      <c r="I1486" s="23">
        <v>918.1</v>
      </c>
      <c r="J1486" s="4">
        <v>3671.64</v>
      </c>
    </row>
    <row r="1487" spans="1:10">
      <c r="A1487" t="s">
        <v>2282</v>
      </c>
      <c r="B1487" s="3">
        <v>45569</v>
      </c>
      <c r="C1487" t="s">
        <v>1591</v>
      </c>
      <c r="D1487" t="s">
        <v>242</v>
      </c>
      <c r="E1487" t="s">
        <v>272</v>
      </c>
      <c r="F1487">
        <v>1</v>
      </c>
      <c r="G1487" t="s">
        <v>50</v>
      </c>
      <c r="H1487" s="14">
        <v>0.05</v>
      </c>
      <c r="I1487" s="23">
        <v>861.5</v>
      </c>
      <c r="J1487" s="4">
        <v>861.45</v>
      </c>
    </row>
    <row r="1488" spans="1:10">
      <c r="A1488" t="s">
        <v>2283</v>
      </c>
      <c r="B1488" s="3">
        <v>45664</v>
      </c>
      <c r="C1488" t="s">
        <v>617</v>
      </c>
      <c r="D1488" t="s">
        <v>443</v>
      </c>
      <c r="E1488" t="s">
        <v>98</v>
      </c>
      <c r="F1488">
        <v>1</v>
      </c>
      <c r="G1488" t="s">
        <v>50</v>
      </c>
      <c r="H1488" s="14">
        <v>0.26</v>
      </c>
      <c r="I1488" s="23">
        <v>588.29999999999995</v>
      </c>
      <c r="J1488" s="4">
        <v>588.04</v>
      </c>
    </row>
    <row r="1489" spans="1:10">
      <c r="A1489" t="s">
        <v>2284</v>
      </c>
      <c r="B1489" s="3">
        <v>45645</v>
      </c>
      <c r="C1489" t="s">
        <v>617</v>
      </c>
      <c r="D1489" t="s">
        <v>564</v>
      </c>
      <c r="E1489" t="s">
        <v>66</v>
      </c>
      <c r="F1489">
        <v>1</v>
      </c>
      <c r="G1489" t="s">
        <v>33</v>
      </c>
      <c r="H1489" s="14">
        <v>0.05</v>
      </c>
      <c r="I1489" s="23">
        <v>917.26</v>
      </c>
      <c r="J1489" s="4">
        <v>917.21</v>
      </c>
    </row>
    <row r="1490" spans="1:10">
      <c r="A1490" t="s">
        <v>2285</v>
      </c>
      <c r="B1490" s="3">
        <v>45449</v>
      </c>
      <c r="C1490" t="s">
        <v>1161</v>
      </c>
      <c r="D1490" t="s">
        <v>887</v>
      </c>
      <c r="E1490" t="s">
        <v>160</v>
      </c>
      <c r="F1490">
        <v>4</v>
      </c>
      <c r="G1490" t="s">
        <v>33</v>
      </c>
      <c r="H1490" s="14">
        <v>0.11</v>
      </c>
      <c r="I1490" s="23">
        <v>96.78</v>
      </c>
      <c r="J1490" s="4">
        <v>386.68</v>
      </c>
    </row>
    <row r="1491" spans="1:10">
      <c r="A1491" t="s">
        <v>2286</v>
      </c>
      <c r="B1491" s="3">
        <v>45629</v>
      </c>
      <c r="C1491" t="s">
        <v>615</v>
      </c>
      <c r="D1491" t="s">
        <v>567</v>
      </c>
      <c r="E1491" t="s">
        <v>72</v>
      </c>
      <c r="F1491">
        <v>3</v>
      </c>
      <c r="G1491" t="s">
        <v>50</v>
      </c>
      <c r="H1491" s="14">
        <v>0.16</v>
      </c>
      <c r="I1491" s="23">
        <v>199.41</v>
      </c>
      <c r="J1491" s="4">
        <v>597.75</v>
      </c>
    </row>
    <row r="1492" spans="1:10">
      <c r="A1492" t="s">
        <v>2287</v>
      </c>
      <c r="B1492" s="3">
        <v>45739</v>
      </c>
      <c r="C1492" t="s">
        <v>353</v>
      </c>
      <c r="D1492" t="s">
        <v>420</v>
      </c>
      <c r="E1492" t="s">
        <v>127</v>
      </c>
      <c r="F1492">
        <v>1</v>
      </c>
      <c r="G1492" t="s">
        <v>23</v>
      </c>
      <c r="H1492" s="14">
        <v>0.25</v>
      </c>
      <c r="I1492" s="23">
        <v>687.91</v>
      </c>
      <c r="J1492" s="4">
        <v>687.66</v>
      </c>
    </row>
    <row r="1493" spans="1:10">
      <c r="A1493" t="s">
        <v>2288</v>
      </c>
      <c r="B1493" s="3">
        <v>45849</v>
      </c>
      <c r="C1493" t="s">
        <v>1004</v>
      </c>
      <c r="D1493" t="s">
        <v>368</v>
      </c>
      <c r="E1493" t="s">
        <v>198</v>
      </c>
      <c r="F1493">
        <v>3</v>
      </c>
      <c r="G1493" t="s">
        <v>33</v>
      </c>
      <c r="H1493" s="14">
        <v>0.09</v>
      </c>
      <c r="I1493" s="23">
        <v>769.62</v>
      </c>
      <c r="J1493" s="4">
        <v>2308.59</v>
      </c>
    </row>
    <row r="1494" spans="1:10">
      <c r="A1494" t="s">
        <v>2289</v>
      </c>
      <c r="B1494" s="3">
        <v>45230</v>
      </c>
      <c r="C1494" t="s">
        <v>855</v>
      </c>
      <c r="D1494" t="s">
        <v>634</v>
      </c>
      <c r="E1494" t="s">
        <v>22</v>
      </c>
      <c r="F1494">
        <v>1</v>
      </c>
      <c r="G1494" t="s">
        <v>23</v>
      </c>
      <c r="H1494" s="14">
        <v>0.27</v>
      </c>
      <c r="I1494" s="23">
        <v>492.05</v>
      </c>
      <c r="J1494" s="4">
        <v>491.78</v>
      </c>
    </row>
    <row r="1495" spans="1:10">
      <c r="A1495" t="s">
        <v>2290</v>
      </c>
      <c r="B1495" s="3">
        <v>45292</v>
      </c>
      <c r="C1495" t="s">
        <v>923</v>
      </c>
      <c r="D1495" t="s">
        <v>377</v>
      </c>
      <c r="E1495" t="s">
        <v>208</v>
      </c>
      <c r="F1495">
        <v>2</v>
      </c>
      <c r="G1495" t="s">
        <v>33</v>
      </c>
      <c r="H1495" s="14">
        <v>0</v>
      </c>
      <c r="I1495" s="23">
        <v>428.55</v>
      </c>
      <c r="J1495" s="4">
        <v>857.1</v>
      </c>
    </row>
    <row r="1496" spans="1:10">
      <c r="A1496" t="s">
        <v>2291</v>
      </c>
      <c r="B1496" s="3">
        <v>45251</v>
      </c>
      <c r="C1496" t="s">
        <v>1073</v>
      </c>
      <c r="D1496" t="s">
        <v>234</v>
      </c>
      <c r="E1496" t="s">
        <v>122</v>
      </c>
      <c r="F1496">
        <v>4</v>
      </c>
      <c r="G1496" t="s">
        <v>23</v>
      </c>
      <c r="H1496" s="14">
        <v>0.12</v>
      </c>
      <c r="I1496" s="23">
        <v>316.18</v>
      </c>
      <c r="J1496" s="4">
        <v>1264.24</v>
      </c>
    </row>
    <row r="1497" spans="1:10">
      <c r="A1497" t="s">
        <v>2292</v>
      </c>
      <c r="B1497" s="3">
        <v>45555</v>
      </c>
      <c r="C1497" t="s">
        <v>355</v>
      </c>
      <c r="D1497" t="s">
        <v>197</v>
      </c>
      <c r="E1497" t="s">
        <v>22</v>
      </c>
      <c r="F1497">
        <v>3</v>
      </c>
      <c r="G1497" t="s">
        <v>33</v>
      </c>
      <c r="H1497" s="14">
        <v>0.15</v>
      </c>
      <c r="I1497" s="23">
        <v>162.16999999999999</v>
      </c>
      <c r="J1497" s="4">
        <v>486.06</v>
      </c>
    </row>
    <row r="1498" spans="1:10">
      <c r="A1498" t="s">
        <v>2293</v>
      </c>
      <c r="B1498" s="3">
        <v>45385</v>
      </c>
      <c r="C1498" t="s">
        <v>2294</v>
      </c>
      <c r="D1498" t="s">
        <v>634</v>
      </c>
      <c r="E1498" t="s">
        <v>22</v>
      </c>
      <c r="F1498">
        <v>3</v>
      </c>
      <c r="G1498" t="s">
        <v>33</v>
      </c>
      <c r="H1498" s="14">
        <v>0.04</v>
      </c>
      <c r="I1498" s="23">
        <v>698.14</v>
      </c>
      <c r="J1498" s="4">
        <v>2094.3000000000002</v>
      </c>
    </row>
    <row r="1499" spans="1:10">
      <c r="A1499" t="s">
        <v>2295</v>
      </c>
      <c r="B1499" s="3">
        <v>45787</v>
      </c>
      <c r="C1499" t="s">
        <v>1806</v>
      </c>
      <c r="D1499" t="s">
        <v>31</v>
      </c>
      <c r="E1499" t="s">
        <v>160</v>
      </c>
      <c r="F1499">
        <v>1</v>
      </c>
      <c r="G1499" t="s">
        <v>50</v>
      </c>
      <c r="H1499" s="14">
        <v>7.0000000000000007E-2</v>
      </c>
      <c r="I1499" s="23">
        <v>478.08</v>
      </c>
      <c r="J1499" s="4">
        <v>478.01</v>
      </c>
    </row>
    <row r="1500" spans="1:10">
      <c r="A1500" t="s">
        <v>2296</v>
      </c>
      <c r="B1500" s="3">
        <v>45822</v>
      </c>
      <c r="C1500" t="s">
        <v>968</v>
      </c>
      <c r="D1500" t="s">
        <v>57</v>
      </c>
      <c r="E1500" t="s">
        <v>66</v>
      </c>
      <c r="F1500">
        <v>2</v>
      </c>
      <c r="G1500" t="s">
        <v>33</v>
      </c>
      <c r="H1500" s="14">
        <v>0.2</v>
      </c>
      <c r="I1500" s="23">
        <v>958.64</v>
      </c>
      <c r="J1500" s="4">
        <v>1916.88</v>
      </c>
    </row>
    <row r="1501" spans="1:10">
      <c r="A1501" t="s">
        <v>2297</v>
      </c>
      <c r="B1501" s="3">
        <v>45590</v>
      </c>
      <c r="C1501" t="s">
        <v>88</v>
      </c>
      <c r="D1501" t="s">
        <v>745</v>
      </c>
      <c r="E1501" t="s">
        <v>208</v>
      </c>
      <c r="F1501">
        <v>2</v>
      </c>
      <c r="G1501" t="s">
        <v>50</v>
      </c>
      <c r="H1501" s="14">
        <v>7.0000000000000007E-2</v>
      </c>
      <c r="I1501" s="23">
        <v>581.19000000000005</v>
      </c>
      <c r="J1501" s="4">
        <v>1162.24</v>
      </c>
    </row>
    <row r="1502" spans="1:10">
      <c r="A1502" t="s">
        <v>2298</v>
      </c>
      <c r="B1502" s="3">
        <v>45618</v>
      </c>
      <c r="C1502" t="s">
        <v>2075</v>
      </c>
      <c r="D1502" t="s">
        <v>85</v>
      </c>
      <c r="E1502" t="s">
        <v>272</v>
      </c>
      <c r="F1502">
        <v>1</v>
      </c>
      <c r="G1502" t="s">
        <v>33</v>
      </c>
      <c r="H1502" s="14">
        <v>0.16</v>
      </c>
      <c r="I1502" s="23">
        <v>736.54</v>
      </c>
      <c r="J1502" s="4">
        <v>736.38</v>
      </c>
    </row>
    <row r="1503" spans="1:10">
      <c r="A1503" t="s">
        <v>2299</v>
      </c>
      <c r="B1503" s="3">
        <v>45586</v>
      </c>
      <c r="C1503" t="s">
        <v>535</v>
      </c>
      <c r="D1503" t="s">
        <v>134</v>
      </c>
      <c r="E1503" t="s">
        <v>122</v>
      </c>
      <c r="F1503">
        <v>1</v>
      </c>
      <c r="G1503" t="s">
        <v>23</v>
      </c>
      <c r="H1503" s="14">
        <v>0.28000000000000003</v>
      </c>
      <c r="I1503" s="23">
        <v>524</v>
      </c>
      <c r="J1503" s="4">
        <v>523.72</v>
      </c>
    </row>
    <row r="1504" spans="1:10">
      <c r="A1504" t="s">
        <v>2300</v>
      </c>
      <c r="B1504" s="3">
        <v>45548</v>
      </c>
      <c r="C1504" t="s">
        <v>1199</v>
      </c>
      <c r="D1504" t="s">
        <v>567</v>
      </c>
      <c r="E1504" t="s">
        <v>22</v>
      </c>
      <c r="F1504">
        <v>4</v>
      </c>
      <c r="G1504" t="s">
        <v>50</v>
      </c>
      <c r="H1504" s="14">
        <v>0.28000000000000003</v>
      </c>
      <c r="I1504" s="23">
        <v>566.09</v>
      </c>
      <c r="J1504" s="4">
        <v>2263.2399999999998</v>
      </c>
    </row>
    <row r="1505" spans="1:10">
      <c r="A1505" t="s">
        <v>2301</v>
      </c>
      <c r="B1505" s="3">
        <v>45772</v>
      </c>
      <c r="C1505" t="s">
        <v>1591</v>
      </c>
      <c r="D1505" t="s">
        <v>279</v>
      </c>
      <c r="E1505" t="s">
        <v>168</v>
      </c>
      <c r="F1505">
        <v>1</v>
      </c>
      <c r="G1505" t="s">
        <v>23</v>
      </c>
      <c r="H1505" s="14">
        <v>0.09</v>
      </c>
      <c r="I1505" s="23">
        <v>251.99</v>
      </c>
      <c r="J1505" s="4">
        <v>251.9</v>
      </c>
    </row>
    <row r="1506" spans="1:10">
      <c r="A1506" t="s">
        <v>2302</v>
      </c>
      <c r="B1506" s="3">
        <v>45361</v>
      </c>
      <c r="C1506" t="s">
        <v>358</v>
      </c>
      <c r="D1506" t="s">
        <v>377</v>
      </c>
      <c r="E1506" t="s">
        <v>135</v>
      </c>
      <c r="F1506">
        <v>1</v>
      </c>
      <c r="G1506" t="s">
        <v>50</v>
      </c>
      <c r="H1506" s="14">
        <v>0.27</v>
      </c>
      <c r="I1506" s="23">
        <v>259.2</v>
      </c>
      <c r="J1506" s="4">
        <v>258.93</v>
      </c>
    </row>
    <row r="1507" spans="1:10">
      <c r="A1507" t="s">
        <v>2303</v>
      </c>
      <c r="B1507" s="3">
        <v>45235</v>
      </c>
      <c r="C1507" t="s">
        <v>1416</v>
      </c>
      <c r="D1507" t="s">
        <v>57</v>
      </c>
      <c r="E1507" t="s">
        <v>122</v>
      </c>
      <c r="F1507">
        <v>1</v>
      </c>
      <c r="G1507" t="s">
        <v>33</v>
      </c>
      <c r="H1507" s="14">
        <v>0.26</v>
      </c>
      <c r="I1507" s="23">
        <v>935.66</v>
      </c>
      <c r="J1507" s="4">
        <v>935.4</v>
      </c>
    </row>
    <row r="1508" spans="1:10">
      <c r="A1508" t="s">
        <v>2304</v>
      </c>
      <c r="B1508" s="3">
        <v>45864</v>
      </c>
      <c r="C1508" t="s">
        <v>956</v>
      </c>
      <c r="D1508" t="s">
        <v>487</v>
      </c>
      <c r="E1508" t="s">
        <v>43</v>
      </c>
      <c r="F1508">
        <v>4</v>
      </c>
      <c r="G1508" t="s">
        <v>23</v>
      </c>
      <c r="H1508" s="14">
        <v>0.02</v>
      </c>
      <c r="I1508" s="23">
        <v>480.75</v>
      </c>
      <c r="J1508" s="4">
        <v>1922.92</v>
      </c>
    </row>
    <row r="1509" spans="1:10">
      <c r="A1509" t="s">
        <v>2305</v>
      </c>
      <c r="B1509" s="3">
        <v>45681</v>
      </c>
      <c r="C1509" t="s">
        <v>423</v>
      </c>
      <c r="D1509" t="s">
        <v>630</v>
      </c>
      <c r="E1509" t="s">
        <v>122</v>
      </c>
      <c r="F1509">
        <v>2</v>
      </c>
      <c r="G1509" t="s">
        <v>50</v>
      </c>
      <c r="H1509" s="14">
        <v>0.01</v>
      </c>
      <c r="I1509" s="23">
        <v>457.83</v>
      </c>
      <c r="J1509" s="4">
        <v>915.64</v>
      </c>
    </row>
    <row r="1510" spans="1:10">
      <c r="A1510" t="s">
        <v>2306</v>
      </c>
      <c r="B1510" s="3">
        <v>45905</v>
      </c>
      <c r="C1510" t="s">
        <v>504</v>
      </c>
      <c r="D1510" t="s">
        <v>505</v>
      </c>
      <c r="E1510" t="s">
        <v>98</v>
      </c>
      <c r="F1510">
        <v>1</v>
      </c>
      <c r="G1510" t="s">
        <v>23</v>
      </c>
      <c r="H1510" s="14">
        <v>0.28000000000000003</v>
      </c>
      <c r="I1510" s="23">
        <v>994.63</v>
      </c>
      <c r="J1510" s="4">
        <v>994.35</v>
      </c>
    </row>
    <row r="1511" spans="1:10">
      <c r="A1511" t="s">
        <v>2307</v>
      </c>
      <c r="B1511" s="3">
        <v>45765</v>
      </c>
      <c r="C1511" t="s">
        <v>1685</v>
      </c>
      <c r="D1511" t="s">
        <v>453</v>
      </c>
      <c r="E1511" t="s">
        <v>90</v>
      </c>
      <c r="F1511">
        <v>3</v>
      </c>
      <c r="G1511" t="s">
        <v>50</v>
      </c>
      <c r="H1511" s="14">
        <v>0.3</v>
      </c>
      <c r="I1511" s="23">
        <v>65.569999999999993</v>
      </c>
      <c r="J1511" s="4">
        <v>195.81</v>
      </c>
    </row>
    <row r="1512" spans="1:10">
      <c r="A1512" t="s">
        <v>2308</v>
      </c>
      <c r="B1512" s="3">
        <v>45821</v>
      </c>
      <c r="C1512" t="s">
        <v>1155</v>
      </c>
      <c r="D1512" t="s">
        <v>714</v>
      </c>
      <c r="E1512" t="s">
        <v>32</v>
      </c>
      <c r="F1512">
        <v>3</v>
      </c>
      <c r="G1512" t="s">
        <v>33</v>
      </c>
      <c r="H1512" s="14">
        <v>0.28000000000000003</v>
      </c>
      <c r="I1512" s="23">
        <v>622.98</v>
      </c>
      <c r="J1512" s="4">
        <v>1868.1</v>
      </c>
    </row>
    <row r="1513" spans="1:10">
      <c r="A1513" t="s">
        <v>2309</v>
      </c>
      <c r="B1513" s="3">
        <v>45691</v>
      </c>
      <c r="C1513" t="s">
        <v>2310</v>
      </c>
      <c r="D1513" t="s">
        <v>564</v>
      </c>
      <c r="E1513" t="s">
        <v>149</v>
      </c>
      <c r="F1513">
        <v>1</v>
      </c>
      <c r="G1513" t="s">
        <v>33</v>
      </c>
      <c r="H1513" s="14">
        <v>0.13</v>
      </c>
      <c r="I1513" s="23">
        <v>170.68</v>
      </c>
      <c r="J1513" s="4">
        <v>170.55</v>
      </c>
    </row>
    <row r="1514" spans="1:10">
      <c r="A1514" t="s">
        <v>2311</v>
      </c>
      <c r="B1514" s="3">
        <v>45860</v>
      </c>
      <c r="C1514" t="s">
        <v>701</v>
      </c>
      <c r="D1514" t="s">
        <v>645</v>
      </c>
      <c r="E1514" t="s">
        <v>43</v>
      </c>
      <c r="F1514">
        <v>4</v>
      </c>
      <c r="G1514" t="s">
        <v>23</v>
      </c>
      <c r="H1514" s="14">
        <v>0.08</v>
      </c>
      <c r="I1514" s="23">
        <v>797.83</v>
      </c>
      <c r="J1514" s="4">
        <v>3191</v>
      </c>
    </row>
    <row r="1515" spans="1:10">
      <c r="A1515" t="s">
        <v>2312</v>
      </c>
      <c r="B1515" s="3">
        <v>45922</v>
      </c>
      <c r="C1515" t="s">
        <v>1047</v>
      </c>
      <c r="D1515" t="s">
        <v>868</v>
      </c>
      <c r="E1515" t="s">
        <v>117</v>
      </c>
      <c r="F1515">
        <v>1</v>
      </c>
      <c r="G1515" t="s">
        <v>23</v>
      </c>
      <c r="H1515" s="14">
        <v>0.12</v>
      </c>
      <c r="I1515" s="23">
        <v>372.75</v>
      </c>
      <c r="J1515" s="4">
        <v>372.63</v>
      </c>
    </row>
    <row r="1516" spans="1:10">
      <c r="A1516" t="s">
        <v>2313</v>
      </c>
      <c r="B1516" s="3">
        <v>45477</v>
      </c>
      <c r="C1516" t="s">
        <v>158</v>
      </c>
      <c r="D1516" t="s">
        <v>698</v>
      </c>
      <c r="E1516" t="s">
        <v>72</v>
      </c>
      <c r="F1516">
        <v>1</v>
      </c>
      <c r="G1516" t="s">
        <v>33</v>
      </c>
      <c r="H1516" s="14">
        <v>0.05</v>
      </c>
      <c r="I1516" s="23">
        <v>994.18</v>
      </c>
      <c r="J1516" s="4">
        <v>994.13</v>
      </c>
    </row>
    <row r="1517" spans="1:10">
      <c r="A1517" t="s">
        <v>2314</v>
      </c>
      <c r="B1517" s="3">
        <v>45504</v>
      </c>
      <c r="C1517" t="s">
        <v>1064</v>
      </c>
      <c r="D1517" t="s">
        <v>291</v>
      </c>
      <c r="E1517" t="s">
        <v>149</v>
      </c>
      <c r="F1517">
        <v>1</v>
      </c>
      <c r="G1517" t="s">
        <v>23</v>
      </c>
      <c r="H1517" s="14">
        <v>7.0000000000000007E-2</v>
      </c>
      <c r="I1517" s="23">
        <v>136.12</v>
      </c>
      <c r="J1517" s="4">
        <v>136.05000000000001</v>
      </c>
    </row>
    <row r="1518" spans="1:10">
      <c r="A1518" t="s">
        <v>2315</v>
      </c>
      <c r="B1518" s="3">
        <v>45862</v>
      </c>
      <c r="C1518" t="s">
        <v>1997</v>
      </c>
      <c r="D1518" t="s">
        <v>282</v>
      </c>
      <c r="E1518" t="s">
        <v>160</v>
      </c>
      <c r="F1518">
        <v>3</v>
      </c>
      <c r="G1518" t="s">
        <v>33</v>
      </c>
      <c r="H1518" s="14">
        <v>0.17</v>
      </c>
      <c r="I1518" s="23">
        <v>634.45000000000005</v>
      </c>
      <c r="J1518" s="4">
        <v>1902.84</v>
      </c>
    </row>
    <row r="1519" spans="1:10">
      <c r="A1519" t="s">
        <v>2316</v>
      </c>
      <c r="B1519" s="3">
        <v>45579</v>
      </c>
      <c r="C1519" t="s">
        <v>508</v>
      </c>
      <c r="D1519" t="s">
        <v>779</v>
      </c>
      <c r="E1519" t="s">
        <v>90</v>
      </c>
      <c r="F1519">
        <v>4</v>
      </c>
      <c r="G1519" t="s">
        <v>23</v>
      </c>
      <c r="H1519" s="14">
        <v>0.05</v>
      </c>
      <c r="I1519" s="23">
        <v>179.62</v>
      </c>
      <c r="J1519" s="4">
        <v>718.28</v>
      </c>
    </row>
    <row r="1520" spans="1:10">
      <c r="A1520" t="s">
        <v>2317</v>
      </c>
      <c r="B1520" s="3">
        <v>45658</v>
      </c>
      <c r="C1520" t="s">
        <v>541</v>
      </c>
      <c r="D1520" t="s">
        <v>291</v>
      </c>
      <c r="E1520" t="s">
        <v>160</v>
      </c>
      <c r="F1520">
        <v>4</v>
      </c>
      <c r="G1520" t="s">
        <v>33</v>
      </c>
      <c r="H1520" s="14">
        <v>0.16</v>
      </c>
      <c r="I1520" s="23">
        <v>558.83000000000004</v>
      </c>
      <c r="J1520" s="4">
        <v>2234.6799999999998</v>
      </c>
    </row>
    <row r="1521" spans="1:10">
      <c r="A1521" t="s">
        <v>2318</v>
      </c>
      <c r="B1521" s="3">
        <v>45664</v>
      </c>
      <c r="C1521" t="s">
        <v>527</v>
      </c>
      <c r="D1521" t="s">
        <v>242</v>
      </c>
      <c r="E1521" t="s">
        <v>179</v>
      </c>
      <c r="F1521">
        <v>2</v>
      </c>
      <c r="G1521" t="s">
        <v>50</v>
      </c>
      <c r="H1521" s="14">
        <v>0.25</v>
      </c>
      <c r="I1521" s="23">
        <v>859.74</v>
      </c>
      <c r="J1521" s="4">
        <v>1718.98</v>
      </c>
    </row>
    <row r="1522" spans="1:10">
      <c r="A1522" t="s">
        <v>2319</v>
      </c>
      <c r="B1522" s="3">
        <v>45936</v>
      </c>
      <c r="C1522" t="s">
        <v>2320</v>
      </c>
      <c r="D1522" t="s">
        <v>134</v>
      </c>
      <c r="E1522" t="s">
        <v>117</v>
      </c>
      <c r="F1522">
        <v>3</v>
      </c>
      <c r="G1522" t="s">
        <v>50</v>
      </c>
      <c r="H1522" s="14">
        <v>0.06</v>
      </c>
      <c r="I1522" s="23">
        <v>578.47</v>
      </c>
      <c r="J1522" s="4">
        <v>1735.23</v>
      </c>
    </row>
    <row r="1523" spans="1:10">
      <c r="A1523" t="s">
        <v>2321</v>
      </c>
      <c r="B1523" s="3">
        <v>45344</v>
      </c>
      <c r="C1523" t="s">
        <v>1348</v>
      </c>
      <c r="D1523" t="s">
        <v>279</v>
      </c>
      <c r="E1523" t="s">
        <v>208</v>
      </c>
      <c r="F1523">
        <v>1</v>
      </c>
      <c r="G1523" t="s">
        <v>50</v>
      </c>
      <c r="H1523" s="14">
        <v>0.11</v>
      </c>
      <c r="I1523" s="23">
        <v>440.48</v>
      </c>
      <c r="J1523" s="4">
        <v>440.37</v>
      </c>
    </row>
    <row r="1524" spans="1:10">
      <c r="A1524" t="s">
        <v>2322</v>
      </c>
      <c r="B1524" s="3">
        <v>45329</v>
      </c>
      <c r="C1524" t="s">
        <v>70</v>
      </c>
      <c r="D1524" t="s">
        <v>226</v>
      </c>
      <c r="E1524" t="s">
        <v>135</v>
      </c>
      <c r="F1524">
        <v>2</v>
      </c>
      <c r="G1524" t="s">
        <v>33</v>
      </c>
      <c r="H1524" s="14">
        <v>0.05</v>
      </c>
      <c r="I1524" s="23">
        <v>303.67</v>
      </c>
      <c r="J1524" s="4">
        <v>607.24</v>
      </c>
    </row>
    <row r="1525" spans="1:10">
      <c r="A1525" t="s">
        <v>2323</v>
      </c>
      <c r="B1525" s="3">
        <v>45895</v>
      </c>
      <c r="C1525" t="s">
        <v>1324</v>
      </c>
      <c r="D1525" t="s">
        <v>31</v>
      </c>
      <c r="E1525" t="s">
        <v>98</v>
      </c>
      <c r="F1525">
        <v>2</v>
      </c>
      <c r="G1525" t="s">
        <v>50</v>
      </c>
      <c r="H1525" s="14">
        <v>0.22</v>
      </c>
      <c r="I1525" s="23">
        <v>611.21</v>
      </c>
      <c r="J1525" s="4">
        <v>1221.98</v>
      </c>
    </row>
    <row r="1526" spans="1:10">
      <c r="A1526" t="s">
        <v>2324</v>
      </c>
      <c r="B1526" s="3">
        <v>45239</v>
      </c>
      <c r="C1526" t="s">
        <v>1269</v>
      </c>
      <c r="D1526" t="s">
        <v>104</v>
      </c>
      <c r="E1526" t="s">
        <v>122</v>
      </c>
      <c r="F1526">
        <v>2</v>
      </c>
      <c r="G1526" t="s">
        <v>33</v>
      </c>
      <c r="H1526" s="14">
        <v>0.26</v>
      </c>
      <c r="I1526" s="23">
        <v>768.08</v>
      </c>
      <c r="J1526" s="4">
        <v>1535.64</v>
      </c>
    </row>
    <row r="1527" spans="1:10">
      <c r="A1527" t="s">
        <v>2325</v>
      </c>
      <c r="B1527" s="3">
        <v>45296</v>
      </c>
      <c r="C1527" t="s">
        <v>994</v>
      </c>
      <c r="D1527" t="s">
        <v>250</v>
      </c>
      <c r="E1527" t="s">
        <v>160</v>
      </c>
      <c r="F1527">
        <v>1</v>
      </c>
      <c r="G1527" t="s">
        <v>23</v>
      </c>
      <c r="H1527" s="14">
        <v>0.24</v>
      </c>
      <c r="I1527" s="23">
        <v>616.82000000000005</v>
      </c>
      <c r="J1527" s="4">
        <v>616.58000000000004</v>
      </c>
    </row>
    <row r="1528" spans="1:10">
      <c r="A1528" t="s">
        <v>2326</v>
      </c>
      <c r="B1528" s="3">
        <v>45672</v>
      </c>
      <c r="C1528" t="s">
        <v>392</v>
      </c>
      <c r="D1528" t="s">
        <v>295</v>
      </c>
      <c r="E1528" t="s">
        <v>160</v>
      </c>
      <c r="F1528">
        <v>1</v>
      </c>
      <c r="G1528" t="s">
        <v>50</v>
      </c>
      <c r="H1528" s="14">
        <v>0.18</v>
      </c>
      <c r="I1528" s="23">
        <v>470.34</v>
      </c>
      <c r="J1528" s="4">
        <v>470.16</v>
      </c>
    </row>
    <row r="1529" spans="1:10">
      <c r="A1529" t="s">
        <v>2327</v>
      </c>
      <c r="B1529" s="3">
        <v>45499</v>
      </c>
      <c r="C1529" t="s">
        <v>785</v>
      </c>
      <c r="D1529" t="s">
        <v>207</v>
      </c>
      <c r="E1529" t="s">
        <v>43</v>
      </c>
      <c r="F1529">
        <v>2</v>
      </c>
      <c r="G1529" t="s">
        <v>33</v>
      </c>
      <c r="H1529" s="14">
        <v>0.12</v>
      </c>
      <c r="I1529" s="23">
        <v>616.36</v>
      </c>
      <c r="J1529" s="4">
        <v>1232.48</v>
      </c>
    </row>
    <row r="1530" spans="1:10">
      <c r="A1530" t="s">
        <v>2328</v>
      </c>
      <c r="B1530" s="3">
        <v>45434</v>
      </c>
      <c r="C1530" t="s">
        <v>752</v>
      </c>
      <c r="D1530" t="s">
        <v>414</v>
      </c>
      <c r="E1530" t="s">
        <v>127</v>
      </c>
      <c r="F1530">
        <v>3</v>
      </c>
      <c r="G1530" t="s">
        <v>33</v>
      </c>
      <c r="H1530" s="14">
        <v>0.18</v>
      </c>
      <c r="I1530" s="23">
        <v>657.24</v>
      </c>
      <c r="J1530" s="4">
        <v>1971.18</v>
      </c>
    </row>
    <row r="1531" spans="1:10">
      <c r="A1531" t="s">
        <v>2329</v>
      </c>
      <c r="B1531" s="3">
        <v>45893</v>
      </c>
      <c r="C1531" t="s">
        <v>900</v>
      </c>
      <c r="D1531" t="s">
        <v>745</v>
      </c>
      <c r="E1531" t="s">
        <v>135</v>
      </c>
      <c r="F1531">
        <v>2</v>
      </c>
      <c r="G1531" t="s">
        <v>33</v>
      </c>
      <c r="H1531" s="14">
        <v>0.04</v>
      </c>
      <c r="I1531" s="23">
        <v>392.45</v>
      </c>
      <c r="J1531" s="4">
        <v>784.82</v>
      </c>
    </row>
    <row r="1532" spans="1:10">
      <c r="A1532" t="s">
        <v>2330</v>
      </c>
      <c r="B1532" s="3">
        <v>45346</v>
      </c>
      <c r="C1532" t="s">
        <v>1685</v>
      </c>
      <c r="D1532" t="s">
        <v>295</v>
      </c>
      <c r="E1532" t="s">
        <v>98</v>
      </c>
      <c r="F1532">
        <v>3</v>
      </c>
      <c r="G1532" t="s">
        <v>50</v>
      </c>
      <c r="H1532" s="14">
        <v>0.01</v>
      </c>
      <c r="I1532" s="23">
        <v>62.03</v>
      </c>
      <c r="J1532" s="4">
        <v>186.06</v>
      </c>
    </row>
    <row r="1533" spans="1:10">
      <c r="A1533" t="s">
        <v>2331</v>
      </c>
      <c r="B1533" s="3">
        <v>45613</v>
      </c>
      <c r="C1533" t="s">
        <v>1175</v>
      </c>
      <c r="D1533" t="s">
        <v>1259</v>
      </c>
      <c r="E1533" t="s">
        <v>22</v>
      </c>
      <c r="F1533">
        <v>4</v>
      </c>
      <c r="G1533" t="s">
        <v>33</v>
      </c>
      <c r="H1533" s="14">
        <v>0.25</v>
      </c>
      <c r="I1533" s="23">
        <v>933.73</v>
      </c>
      <c r="J1533" s="4">
        <v>3733.92</v>
      </c>
    </row>
    <row r="1534" spans="1:10">
      <c r="A1534" t="s">
        <v>2332</v>
      </c>
      <c r="B1534" s="3">
        <v>45928</v>
      </c>
      <c r="C1534" t="s">
        <v>1803</v>
      </c>
      <c r="D1534" t="s">
        <v>462</v>
      </c>
      <c r="E1534" t="s">
        <v>117</v>
      </c>
      <c r="F1534">
        <v>3</v>
      </c>
      <c r="G1534" t="s">
        <v>33</v>
      </c>
      <c r="H1534" s="14">
        <v>0.14000000000000001</v>
      </c>
      <c r="I1534" s="23">
        <v>615.30999999999995</v>
      </c>
      <c r="J1534" s="4">
        <v>1845.51</v>
      </c>
    </row>
    <row r="1535" spans="1:10">
      <c r="A1535" t="s">
        <v>2333</v>
      </c>
      <c r="B1535" s="3">
        <v>45619</v>
      </c>
      <c r="C1535" t="s">
        <v>591</v>
      </c>
      <c r="D1535" t="s">
        <v>57</v>
      </c>
      <c r="E1535" t="s">
        <v>160</v>
      </c>
      <c r="F1535">
        <v>4</v>
      </c>
      <c r="G1535" t="s">
        <v>50</v>
      </c>
      <c r="H1535" s="14">
        <v>0.22</v>
      </c>
      <c r="I1535" s="23">
        <v>790.38</v>
      </c>
      <c r="J1535" s="4">
        <v>3160.64</v>
      </c>
    </row>
    <row r="1536" spans="1:10">
      <c r="A1536" t="s">
        <v>2334</v>
      </c>
      <c r="B1536" s="3">
        <v>45533</v>
      </c>
      <c r="C1536" t="s">
        <v>326</v>
      </c>
      <c r="D1536" t="s">
        <v>57</v>
      </c>
      <c r="E1536" t="s">
        <v>32</v>
      </c>
      <c r="F1536">
        <v>2</v>
      </c>
      <c r="G1536" t="s">
        <v>33</v>
      </c>
      <c r="H1536" s="14">
        <v>0.08</v>
      </c>
      <c r="I1536" s="23">
        <v>102.85</v>
      </c>
      <c r="J1536" s="4">
        <v>205.54</v>
      </c>
    </row>
    <row r="1537" spans="1:10">
      <c r="A1537" t="s">
        <v>2335</v>
      </c>
      <c r="B1537" s="3">
        <v>45781</v>
      </c>
      <c r="C1537" t="s">
        <v>1004</v>
      </c>
      <c r="D1537" t="s">
        <v>555</v>
      </c>
      <c r="E1537" t="s">
        <v>117</v>
      </c>
      <c r="F1537">
        <v>3</v>
      </c>
      <c r="G1537" t="s">
        <v>33</v>
      </c>
      <c r="H1537" s="14">
        <v>0.27</v>
      </c>
      <c r="I1537" s="23">
        <v>866.78</v>
      </c>
      <c r="J1537" s="4">
        <v>2599.5300000000002</v>
      </c>
    </row>
    <row r="1538" spans="1:10">
      <c r="A1538" t="s">
        <v>2336</v>
      </c>
      <c r="B1538" s="3">
        <v>45378</v>
      </c>
      <c r="C1538" t="s">
        <v>968</v>
      </c>
      <c r="D1538" t="s">
        <v>267</v>
      </c>
      <c r="E1538" t="s">
        <v>117</v>
      </c>
      <c r="F1538">
        <v>3</v>
      </c>
      <c r="G1538" t="s">
        <v>33</v>
      </c>
      <c r="H1538" s="14">
        <v>0.27</v>
      </c>
      <c r="I1538" s="23">
        <v>392.84</v>
      </c>
      <c r="J1538" s="4">
        <v>1177.71</v>
      </c>
    </row>
    <row r="1539" spans="1:10">
      <c r="A1539" t="s">
        <v>2337</v>
      </c>
      <c r="B1539" s="3">
        <v>45688</v>
      </c>
      <c r="C1539" t="s">
        <v>648</v>
      </c>
      <c r="D1539" t="s">
        <v>810</v>
      </c>
      <c r="E1539" t="s">
        <v>58</v>
      </c>
      <c r="F1539">
        <v>2</v>
      </c>
      <c r="G1539" t="s">
        <v>33</v>
      </c>
      <c r="H1539" s="14">
        <v>0.19</v>
      </c>
      <c r="I1539" s="23">
        <v>753.1</v>
      </c>
      <c r="J1539" s="4">
        <v>1505.82</v>
      </c>
    </row>
    <row r="1540" spans="1:10">
      <c r="A1540" t="s">
        <v>2338</v>
      </c>
      <c r="B1540" s="3">
        <v>45927</v>
      </c>
      <c r="C1540" t="s">
        <v>355</v>
      </c>
      <c r="D1540" t="s">
        <v>420</v>
      </c>
      <c r="E1540" t="s">
        <v>32</v>
      </c>
      <c r="F1540">
        <v>2</v>
      </c>
      <c r="G1540" t="s">
        <v>33</v>
      </c>
      <c r="H1540" s="14">
        <v>0.1</v>
      </c>
      <c r="I1540" s="23">
        <v>700.91</v>
      </c>
      <c r="J1540" s="4">
        <v>1401.62</v>
      </c>
    </row>
    <row r="1541" spans="1:10">
      <c r="A1541" t="s">
        <v>2339</v>
      </c>
      <c r="B1541" s="3">
        <v>45775</v>
      </c>
      <c r="C1541" t="s">
        <v>245</v>
      </c>
      <c r="D1541" t="s">
        <v>65</v>
      </c>
      <c r="E1541" t="s">
        <v>208</v>
      </c>
      <c r="F1541">
        <v>4</v>
      </c>
      <c r="G1541" t="s">
        <v>33</v>
      </c>
      <c r="H1541" s="14">
        <v>0.11</v>
      </c>
      <c r="I1541" s="23">
        <v>935.98</v>
      </c>
      <c r="J1541" s="4">
        <v>3743.48</v>
      </c>
    </row>
    <row r="1542" spans="1:10">
      <c r="A1542" t="s">
        <v>2340</v>
      </c>
      <c r="B1542" s="3">
        <v>45849</v>
      </c>
      <c r="C1542" t="s">
        <v>598</v>
      </c>
      <c r="D1542" t="s">
        <v>49</v>
      </c>
      <c r="E1542" t="s">
        <v>117</v>
      </c>
      <c r="F1542">
        <v>1</v>
      </c>
      <c r="G1542" t="s">
        <v>23</v>
      </c>
      <c r="H1542" s="14">
        <v>7.0000000000000007E-2</v>
      </c>
      <c r="I1542" s="23">
        <v>539.9</v>
      </c>
      <c r="J1542" s="4">
        <v>539.83000000000004</v>
      </c>
    </row>
    <row r="1543" spans="1:10">
      <c r="A1543" t="s">
        <v>2341</v>
      </c>
      <c r="B1543" s="3">
        <v>45573</v>
      </c>
      <c r="C1543" t="s">
        <v>527</v>
      </c>
      <c r="D1543" t="s">
        <v>295</v>
      </c>
      <c r="E1543" t="s">
        <v>179</v>
      </c>
      <c r="F1543">
        <v>1</v>
      </c>
      <c r="G1543" t="s">
        <v>33</v>
      </c>
      <c r="H1543" s="14">
        <v>0.14000000000000001</v>
      </c>
      <c r="I1543" s="23">
        <v>312.81</v>
      </c>
      <c r="J1543" s="4">
        <v>312.67</v>
      </c>
    </row>
    <row r="1544" spans="1:10">
      <c r="A1544" t="s">
        <v>2342</v>
      </c>
      <c r="B1544" s="3">
        <v>45356</v>
      </c>
      <c r="C1544" t="s">
        <v>1734</v>
      </c>
      <c r="D1544" t="s">
        <v>505</v>
      </c>
      <c r="E1544" t="s">
        <v>66</v>
      </c>
      <c r="F1544">
        <v>3</v>
      </c>
      <c r="G1544" t="s">
        <v>50</v>
      </c>
      <c r="H1544" s="14">
        <v>0.28999999999999998</v>
      </c>
      <c r="I1544" s="23">
        <v>855.96</v>
      </c>
      <c r="J1544" s="4">
        <v>2567.0100000000002</v>
      </c>
    </row>
    <row r="1545" spans="1:10">
      <c r="A1545" t="s">
        <v>2343</v>
      </c>
      <c r="B1545" s="3">
        <v>45326</v>
      </c>
      <c r="C1545" t="s">
        <v>1453</v>
      </c>
      <c r="D1545" t="s">
        <v>389</v>
      </c>
      <c r="E1545" t="s">
        <v>272</v>
      </c>
      <c r="F1545">
        <v>3</v>
      </c>
      <c r="G1545" t="s">
        <v>50</v>
      </c>
      <c r="H1545" s="14">
        <v>0.01</v>
      </c>
      <c r="I1545" s="23">
        <v>305</v>
      </c>
      <c r="J1545" s="4">
        <v>914.97</v>
      </c>
    </row>
    <row r="1546" spans="1:10">
      <c r="A1546" t="s">
        <v>2344</v>
      </c>
      <c r="B1546" s="3">
        <v>45361</v>
      </c>
      <c r="C1546" t="s">
        <v>843</v>
      </c>
      <c r="D1546" t="s">
        <v>85</v>
      </c>
      <c r="E1546" t="s">
        <v>208</v>
      </c>
      <c r="F1546">
        <v>3</v>
      </c>
      <c r="G1546" t="s">
        <v>23</v>
      </c>
      <c r="H1546" s="14">
        <v>0.19</v>
      </c>
      <c r="I1546" s="23">
        <v>831.15</v>
      </c>
      <c r="J1546" s="4">
        <v>2492.88</v>
      </c>
    </row>
    <row r="1547" spans="1:10">
      <c r="A1547" t="s">
        <v>2345</v>
      </c>
      <c r="B1547" s="3">
        <v>45926</v>
      </c>
      <c r="C1547" t="s">
        <v>2346</v>
      </c>
      <c r="D1547" t="s">
        <v>1259</v>
      </c>
      <c r="E1547" t="s">
        <v>22</v>
      </c>
      <c r="F1547">
        <v>2</v>
      </c>
      <c r="G1547" t="s">
        <v>50</v>
      </c>
      <c r="H1547" s="14">
        <v>0.24</v>
      </c>
      <c r="I1547" s="23">
        <v>644.97</v>
      </c>
      <c r="J1547" s="4">
        <v>1289.46</v>
      </c>
    </row>
    <row r="1548" spans="1:10">
      <c r="A1548" t="s">
        <v>2347</v>
      </c>
      <c r="B1548" s="3">
        <v>45839</v>
      </c>
      <c r="C1548" t="s">
        <v>294</v>
      </c>
      <c r="D1548" t="s">
        <v>110</v>
      </c>
      <c r="E1548" t="s">
        <v>105</v>
      </c>
      <c r="F1548">
        <v>1</v>
      </c>
      <c r="G1548" t="s">
        <v>23</v>
      </c>
      <c r="H1548" s="14">
        <v>0.09</v>
      </c>
      <c r="I1548" s="23">
        <v>149.56</v>
      </c>
      <c r="J1548" s="4">
        <v>149.47</v>
      </c>
    </row>
    <row r="1549" spans="1:10">
      <c r="A1549" t="s">
        <v>2348</v>
      </c>
      <c r="B1549" s="3">
        <v>45434</v>
      </c>
      <c r="C1549" t="s">
        <v>2349</v>
      </c>
      <c r="D1549" t="s">
        <v>159</v>
      </c>
      <c r="E1549" t="s">
        <v>135</v>
      </c>
      <c r="F1549">
        <v>1</v>
      </c>
      <c r="G1549" t="s">
        <v>33</v>
      </c>
      <c r="H1549" s="14">
        <v>0.03</v>
      </c>
      <c r="I1549" s="23">
        <v>661.77</v>
      </c>
      <c r="J1549" s="4">
        <v>661.74</v>
      </c>
    </row>
    <row r="1550" spans="1:10">
      <c r="A1550" t="s">
        <v>2350</v>
      </c>
      <c r="B1550" s="3">
        <v>45819</v>
      </c>
      <c r="C1550" t="s">
        <v>589</v>
      </c>
      <c r="D1550" t="s">
        <v>242</v>
      </c>
      <c r="E1550" t="s">
        <v>66</v>
      </c>
      <c r="F1550">
        <v>3</v>
      </c>
      <c r="G1550" t="s">
        <v>23</v>
      </c>
      <c r="H1550" s="14">
        <v>0.17</v>
      </c>
      <c r="I1550" s="23">
        <v>99.67</v>
      </c>
      <c r="J1550" s="4">
        <v>298.5</v>
      </c>
    </row>
    <row r="1551" spans="1:10">
      <c r="A1551" t="s">
        <v>2351</v>
      </c>
      <c r="B1551" s="3">
        <v>45553</v>
      </c>
      <c r="C1551" t="s">
        <v>358</v>
      </c>
      <c r="D1551" t="s">
        <v>661</v>
      </c>
      <c r="E1551" t="s">
        <v>105</v>
      </c>
      <c r="F1551">
        <v>3</v>
      </c>
      <c r="G1551" t="s">
        <v>50</v>
      </c>
      <c r="H1551" s="14">
        <v>0.26</v>
      </c>
      <c r="I1551" s="23">
        <v>103.66</v>
      </c>
      <c r="J1551" s="4">
        <v>310.2</v>
      </c>
    </row>
    <row r="1552" spans="1:10">
      <c r="A1552" t="s">
        <v>2352</v>
      </c>
      <c r="B1552" s="3">
        <v>45258</v>
      </c>
      <c r="C1552" t="s">
        <v>1790</v>
      </c>
      <c r="D1552" t="s">
        <v>295</v>
      </c>
      <c r="E1552" t="s">
        <v>198</v>
      </c>
      <c r="F1552">
        <v>4</v>
      </c>
      <c r="G1552" t="s">
        <v>23</v>
      </c>
      <c r="H1552" s="14">
        <v>0.22</v>
      </c>
      <c r="I1552" s="23">
        <v>54.4</v>
      </c>
      <c r="J1552" s="4">
        <v>216.72</v>
      </c>
    </row>
    <row r="1553" spans="1:10">
      <c r="A1553" t="s">
        <v>2353</v>
      </c>
      <c r="B1553" s="3">
        <v>45435</v>
      </c>
      <c r="C1553" t="s">
        <v>806</v>
      </c>
      <c r="D1553" t="s">
        <v>814</v>
      </c>
      <c r="E1553" t="s">
        <v>98</v>
      </c>
      <c r="F1553">
        <v>1</v>
      </c>
      <c r="G1553" t="s">
        <v>23</v>
      </c>
      <c r="H1553" s="14">
        <v>0.2</v>
      </c>
      <c r="I1553" s="23">
        <v>46.66</v>
      </c>
      <c r="J1553" s="4">
        <v>46.46</v>
      </c>
    </row>
    <row r="1554" spans="1:10">
      <c r="A1554" t="s">
        <v>2354</v>
      </c>
      <c r="B1554" s="3">
        <v>45447</v>
      </c>
      <c r="C1554" t="s">
        <v>355</v>
      </c>
      <c r="D1554" t="s">
        <v>575</v>
      </c>
      <c r="E1554" t="s">
        <v>272</v>
      </c>
      <c r="F1554">
        <v>4</v>
      </c>
      <c r="G1554" t="s">
        <v>23</v>
      </c>
      <c r="H1554" s="14">
        <v>0.28999999999999998</v>
      </c>
      <c r="I1554" s="23">
        <v>871.2</v>
      </c>
      <c r="J1554" s="4">
        <v>3483.64</v>
      </c>
    </row>
    <row r="1555" spans="1:10">
      <c r="A1555" t="s">
        <v>2355</v>
      </c>
      <c r="B1555" s="3">
        <v>45724</v>
      </c>
      <c r="C1555" t="s">
        <v>997</v>
      </c>
      <c r="D1555" t="s">
        <v>928</v>
      </c>
      <c r="E1555" t="s">
        <v>98</v>
      </c>
      <c r="F1555">
        <v>4</v>
      </c>
      <c r="G1555" t="s">
        <v>33</v>
      </c>
      <c r="H1555" s="14">
        <v>0.16</v>
      </c>
      <c r="I1555" s="23">
        <v>317.11</v>
      </c>
      <c r="J1555" s="4">
        <v>1267.8</v>
      </c>
    </row>
    <row r="1556" spans="1:10">
      <c r="A1556" t="s">
        <v>2356</v>
      </c>
      <c r="B1556" s="3">
        <v>45338</v>
      </c>
      <c r="C1556" t="s">
        <v>2235</v>
      </c>
      <c r="D1556" t="s">
        <v>425</v>
      </c>
      <c r="E1556" t="s">
        <v>149</v>
      </c>
      <c r="F1556">
        <v>2</v>
      </c>
      <c r="G1556" t="s">
        <v>33</v>
      </c>
      <c r="H1556" s="14">
        <v>0.09</v>
      </c>
      <c r="I1556" s="23">
        <v>388.34</v>
      </c>
      <c r="J1556" s="4">
        <v>776.5</v>
      </c>
    </row>
    <row r="1557" spans="1:10">
      <c r="A1557" t="s">
        <v>2357</v>
      </c>
      <c r="B1557" s="3">
        <v>45252</v>
      </c>
      <c r="C1557" t="s">
        <v>562</v>
      </c>
      <c r="D1557" t="s">
        <v>271</v>
      </c>
      <c r="E1557" t="s">
        <v>179</v>
      </c>
      <c r="F1557">
        <v>4</v>
      </c>
      <c r="G1557" t="s">
        <v>23</v>
      </c>
      <c r="H1557" s="14">
        <v>0.15</v>
      </c>
      <c r="I1557" s="23">
        <v>998.2</v>
      </c>
      <c r="J1557" s="4">
        <v>3992.2</v>
      </c>
    </row>
    <row r="1558" spans="1:10">
      <c r="A1558" t="s">
        <v>2358</v>
      </c>
      <c r="B1558" s="3">
        <v>45606</v>
      </c>
      <c r="C1558" t="s">
        <v>56</v>
      </c>
      <c r="D1558" t="s">
        <v>126</v>
      </c>
      <c r="E1558" t="s">
        <v>90</v>
      </c>
      <c r="F1558">
        <v>1</v>
      </c>
      <c r="G1558" t="s">
        <v>50</v>
      </c>
      <c r="H1558" s="14">
        <v>0.01</v>
      </c>
      <c r="I1558" s="23">
        <v>887.38</v>
      </c>
      <c r="J1558" s="4">
        <v>887.37</v>
      </c>
    </row>
    <row r="1559" spans="1:10">
      <c r="A1559" t="s">
        <v>2359</v>
      </c>
      <c r="B1559" s="3">
        <v>45524</v>
      </c>
      <c r="C1559" t="s">
        <v>794</v>
      </c>
      <c r="D1559" t="s">
        <v>786</v>
      </c>
      <c r="E1559" t="s">
        <v>208</v>
      </c>
      <c r="F1559">
        <v>4</v>
      </c>
      <c r="G1559" t="s">
        <v>23</v>
      </c>
      <c r="H1559" s="14">
        <v>0.28000000000000003</v>
      </c>
      <c r="I1559" s="23">
        <v>332.97</v>
      </c>
      <c r="J1559" s="4">
        <v>1330.76</v>
      </c>
    </row>
    <row r="1560" spans="1:10">
      <c r="A1560" t="s">
        <v>2360</v>
      </c>
      <c r="B1560" s="3">
        <v>45934</v>
      </c>
      <c r="C1560" t="s">
        <v>2097</v>
      </c>
      <c r="D1560" t="s">
        <v>381</v>
      </c>
      <c r="E1560" t="s">
        <v>90</v>
      </c>
      <c r="F1560">
        <v>2</v>
      </c>
      <c r="G1560" t="s">
        <v>50</v>
      </c>
      <c r="H1560" s="14">
        <v>0.09</v>
      </c>
      <c r="I1560" s="23">
        <v>157.91</v>
      </c>
      <c r="J1560" s="4">
        <v>315.64</v>
      </c>
    </row>
    <row r="1561" spans="1:10">
      <c r="A1561" t="s">
        <v>2361</v>
      </c>
      <c r="B1561" s="3">
        <v>45539</v>
      </c>
      <c r="C1561" t="s">
        <v>1564</v>
      </c>
      <c r="D1561" t="s">
        <v>173</v>
      </c>
      <c r="E1561" t="s">
        <v>160</v>
      </c>
      <c r="F1561">
        <v>1</v>
      </c>
      <c r="G1561" t="s">
        <v>23</v>
      </c>
      <c r="H1561" s="14">
        <v>0.11</v>
      </c>
      <c r="I1561" s="23">
        <v>548.15</v>
      </c>
      <c r="J1561" s="4">
        <v>548.04</v>
      </c>
    </row>
    <row r="1562" spans="1:10">
      <c r="A1562" t="s">
        <v>2362</v>
      </c>
      <c r="B1562" s="3">
        <v>45555</v>
      </c>
      <c r="C1562" t="s">
        <v>771</v>
      </c>
      <c r="D1562" t="s">
        <v>505</v>
      </c>
      <c r="E1562" t="s">
        <v>122</v>
      </c>
      <c r="F1562">
        <v>1</v>
      </c>
      <c r="G1562" t="s">
        <v>23</v>
      </c>
      <c r="H1562" s="14">
        <v>0.04</v>
      </c>
      <c r="I1562" s="23">
        <v>135.13</v>
      </c>
      <c r="J1562" s="4">
        <v>135.09</v>
      </c>
    </row>
    <row r="1563" spans="1:10">
      <c r="A1563" t="s">
        <v>2363</v>
      </c>
      <c r="B1563" s="3">
        <v>45281</v>
      </c>
      <c r="C1563" t="s">
        <v>785</v>
      </c>
      <c r="D1563" t="s">
        <v>71</v>
      </c>
      <c r="E1563" t="s">
        <v>22</v>
      </c>
      <c r="F1563">
        <v>3</v>
      </c>
      <c r="G1563" t="s">
        <v>23</v>
      </c>
      <c r="H1563" s="14">
        <v>0.19</v>
      </c>
      <c r="I1563" s="23">
        <v>579.26</v>
      </c>
      <c r="J1563" s="4">
        <v>1737.21</v>
      </c>
    </row>
    <row r="1564" spans="1:10">
      <c r="A1564" t="s">
        <v>2364</v>
      </c>
      <c r="B1564" s="3">
        <v>45582</v>
      </c>
      <c r="C1564" t="s">
        <v>1218</v>
      </c>
      <c r="D1564" t="s">
        <v>377</v>
      </c>
      <c r="E1564" t="s">
        <v>90</v>
      </c>
      <c r="F1564">
        <v>1</v>
      </c>
      <c r="G1564" t="s">
        <v>23</v>
      </c>
      <c r="H1564" s="14">
        <v>0.25</v>
      </c>
      <c r="I1564" s="23">
        <v>465.63</v>
      </c>
      <c r="J1564" s="4">
        <v>465.38</v>
      </c>
    </row>
    <row r="1565" spans="1:10">
      <c r="A1565" t="s">
        <v>2365</v>
      </c>
      <c r="B1565" s="3">
        <v>45372</v>
      </c>
      <c r="C1565" t="s">
        <v>857</v>
      </c>
      <c r="D1565" t="s">
        <v>49</v>
      </c>
      <c r="E1565" t="s">
        <v>117</v>
      </c>
      <c r="F1565">
        <v>2</v>
      </c>
      <c r="G1565" t="s">
        <v>50</v>
      </c>
      <c r="H1565" s="14">
        <v>0.08</v>
      </c>
      <c r="I1565" s="23">
        <v>675.61</v>
      </c>
      <c r="J1565" s="4">
        <v>1351.06</v>
      </c>
    </row>
    <row r="1566" spans="1:10">
      <c r="A1566" t="s">
        <v>2366</v>
      </c>
      <c r="B1566" s="3">
        <v>45458</v>
      </c>
      <c r="C1566" t="s">
        <v>298</v>
      </c>
      <c r="D1566" t="s">
        <v>89</v>
      </c>
      <c r="E1566" t="s">
        <v>179</v>
      </c>
      <c r="F1566">
        <v>1</v>
      </c>
      <c r="G1566" t="s">
        <v>33</v>
      </c>
      <c r="H1566" s="14">
        <v>0.08</v>
      </c>
      <c r="I1566" s="23">
        <v>718.99</v>
      </c>
      <c r="J1566" s="4">
        <v>718.91</v>
      </c>
    </row>
    <row r="1567" spans="1:10">
      <c r="A1567" t="s">
        <v>2367</v>
      </c>
      <c r="B1567" s="3">
        <v>45943</v>
      </c>
      <c r="C1567" t="s">
        <v>1343</v>
      </c>
      <c r="D1567" t="s">
        <v>480</v>
      </c>
      <c r="E1567" t="s">
        <v>168</v>
      </c>
      <c r="F1567">
        <v>2</v>
      </c>
      <c r="G1567" t="s">
        <v>50</v>
      </c>
      <c r="H1567" s="14">
        <v>0.2</v>
      </c>
      <c r="I1567" s="23">
        <v>675.65</v>
      </c>
      <c r="J1567" s="4">
        <v>1350.9</v>
      </c>
    </row>
    <row r="1568" spans="1:10">
      <c r="A1568" t="s">
        <v>2368</v>
      </c>
      <c r="B1568" s="3">
        <v>45374</v>
      </c>
      <c r="C1568" t="s">
        <v>1324</v>
      </c>
      <c r="D1568" t="s">
        <v>1126</v>
      </c>
      <c r="E1568" t="s">
        <v>122</v>
      </c>
      <c r="F1568">
        <v>4</v>
      </c>
      <c r="G1568" t="s">
        <v>23</v>
      </c>
      <c r="H1568" s="14">
        <v>0.1</v>
      </c>
      <c r="I1568" s="23">
        <v>284.24</v>
      </c>
      <c r="J1568" s="4">
        <v>1136.56</v>
      </c>
    </row>
    <row r="1569" spans="1:10">
      <c r="A1569" t="s">
        <v>2369</v>
      </c>
      <c r="B1569" s="3">
        <v>45374</v>
      </c>
      <c r="C1569" t="s">
        <v>186</v>
      </c>
      <c r="D1569" t="s">
        <v>389</v>
      </c>
      <c r="E1569" t="s">
        <v>22</v>
      </c>
      <c r="F1569">
        <v>1</v>
      </c>
      <c r="G1569" t="s">
        <v>33</v>
      </c>
      <c r="H1569" s="14">
        <v>0.18</v>
      </c>
      <c r="I1569" s="23">
        <v>94.26</v>
      </c>
      <c r="J1569" s="4">
        <v>94.08</v>
      </c>
    </row>
    <row r="1570" spans="1:10">
      <c r="A1570" t="s">
        <v>2370</v>
      </c>
      <c r="B1570" s="3">
        <v>45789</v>
      </c>
      <c r="C1570" t="s">
        <v>298</v>
      </c>
      <c r="D1570" t="s">
        <v>887</v>
      </c>
      <c r="E1570" t="s">
        <v>168</v>
      </c>
      <c r="F1570">
        <v>4</v>
      </c>
      <c r="G1570" t="s">
        <v>50</v>
      </c>
      <c r="H1570" s="14">
        <v>0.28999999999999998</v>
      </c>
      <c r="I1570" s="23">
        <v>458.58</v>
      </c>
      <c r="J1570" s="4">
        <v>1833.16</v>
      </c>
    </row>
    <row r="1571" spans="1:10">
      <c r="A1571" t="s">
        <v>2371</v>
      </c>
      <c r="B1571" s="3">
        <v>45452</v>
      </c>
      <c r="C1571" t="s">
        <v>529</v>
      </c>
      <c r="D1571" t="s">
        <v>134</v>
      </c>
      <c r="E1571" t="s">
        <v>168</v>
      </c>
      <c r="F1571">
        <v>4</v>
      </c>
      <c r="G1571" t="s">
        <v>50</v>
      </c>
      <c r="H1571" s="14">
        <v>0.05</v>
      </c>
      <c r="I1571" s="23">
        <v>704.49</v>
      </c>
      <c r="J1571" s="4">
        <v>2817.76</v>
      </c>
    </row>
    <row r="1572" spans="1:10">
      <c r="A1572" t="s">
        <v>2372</v>
      </c>
      <c r="B1572" s="3">
        <v>45284</v>
      </c>
      <c r="C1572" t="s">
        <v>1183</v>
      </c>
      <c r="D1572" t="s">
        <v>139</v>
      </c>
      <c r="E1572" t="s">
        <v>135</v>
      </c>
      <c r="F1572">
        <v>4</v>
      </c>
      <c r="G1572" t="s">
        <v>33</v>
      </c>
      <c r="H1572" s="14">
        <v>0.26</v>
      </c>
      <c r="I1572" s="23">
        <v>822.32</v>
      </c>
      <c r="J1572" s="4">
        <v>3288.24</v>
      </c>
    </row>
    <row r="1573" spans="1:10">
      <c r="A1573" t="s">
        <v>2373</v>
      </c>
      <c r="B1573" s="3">
        <v>45325</v>
      </c>
      <c r="C1573" t="s">
        <v>1685</v>
      </c>
      <c r="D1573" t="s">
        <v>414</v>
      </c>
      <c r="E1573" t="s">
        <v>149</v>
      </c>
      <c r="F1573">
        <v>4</v>
      </c>
      <c r="G1573" t="s">
        <v>50</v>
      </c>
      <c r="H1573" s="14">
        <v>0.13</v>
      </c>
      <c r="I1573" s="23">
        <v>785.41</v>
      </c>
      <c r="J1573" s="4">
        <v>3141.12</v>
      </c>
    </row>
    <row r="1574" spans="1:10">
      <c r="A1574" t="s">
        <v>2374</v>
      </c>
      <c r="B1574" s="3">
        <v>45465</v>
      </c>
      <c r="C1574" t="s">
        <v>727</v>
      </c>
      <c r="D1574" t="s">
        <v>104</v>
      </c>
      <c r="E1574" t="s">
        <v>98</v>
      </c>
      <c r="F1574">
        <v>1</v>
      </c>
      <c r="G1574" t="s">
        <v>33</v>
      </c>
      <c r="H1574" s="14">
        <v>0.11</v>
      </c>
      <c r="I1574" s="23">
        <v>405.8</v>
      </c>
      <c r="J1574" s="4">
        <v>405.69</v>
      </c>
    </row>
    <row r="1575" spans="1:10">
      <c r="A1575" t="s">
        <v>2375</v>
      </c>
      <c r="B1575" s="3">
        <v>45612</v>
      </c>
      <c r="C1575" t="s">
        <v>778</v>
      </c>
      <c r="D1575" t="s">
        <v>372</v>
      </c>
      <c r="E1575" t="s">
        <v>127</v>
      </c>
      <c r="F1575">
        <v>2</v>
      </c>
      <c r="G1575" t="s">
        <v>33</v>
      </c>
      <c r="H1575" s="14">
        <v>0.1</v>
      </c>
      <c r="I1575" s="23">
        <v>976.83</v>
      </c>
      <c r="J1575" s="4">
        <v>1953.46</v>
      </c>
    </row>
    <row r="1576" spans="1:10">
      <c r="A1576" t="s">
        <v>2376</v>
      </c>
      <c r="B1576" s="3">
        <v>45472</v>
      </c>
      <c r="C1576" t="s">
        <v>349</v>
      </c>
      <c r="D1576" t="s">
        <v>779</v>
      </c>
      <c r="E1576" t="s">
        <v>198</v>
      </c>
      <c r="F1576">
        <v>1</v>
      </c>
      <c r="G1576" t="s">
        <v>23</v>
      </c>
      <c r="H1576" s="14">
        <v>0.06</v>
      </c>
      <c r="I1576" s="23">
        <v>644.15</v>
      </c>
      <c r="J1576" s="4">
        <v>644.09</v>
      </c>
    </row>
    <row r="1577" spans="1:10">
      <c r="A1577" t="s">
        <v>2377</v>
      </c>
      <c r="B1577" s="3">
        <v>45897</v>
      </c>
      <c r="C1577" t="s">
        <v>525</v>
      </c>
      <c r="D1577" t="s">
        <v>178</v>
      </c>
      <c r="E1577" t="s">
        <v>149</v>
      </c>
      <c r="F1577">
        <v>1</v>
      </c>
      <c r="G1577" t="s">
        <v>33</v>
      </c>
      <c r="H1577" s="14">
        <v>0.23</v>
      </c>
      <c r="I1577" s="23">
        <v>470.55</v>
      </c>
      <c r="J1577" s="4">
        <v>470.32</v>
      </c>
    </row>
    <row r="1578" spans="1:10">
      <c r="A1578" t="s">
        <v>2378</v>
      </c>
      <c r="B1578" s="3">
        <v>45241</v>
      </c>
      <c r="C1578" t="s">
        <v>615</v>
      </c>
      <c r="D1578" t="s">
        <v>645</v>
      </c>
      <c r="E1578" t="s">
        <v>179</v>
      </c>
      <c r="F1578">
        <v>3</v>
      </c>
      <c r="G1578" t="s">
        <v>50</v>
      </c>
      <c r="H1578" s="14">
        <v>0.19</v>
      </c>
      <c r="I1578" s="23">
        <v>598.82000000000005</v>
      </c>
      <c r="J1578" s="4">
        <v>1795.89</v>
      </c>
    </row>
    <row r="1579" spans="1:10">
      <c r="A1579" t="s">
        <v>2379</v>
      </c>
      <c r="B1579" s="3">
        <v>45851</v>
      </c>
      <c r="C1579" t="s">
        <v>789</v>
      </c>
      <c r="D1579" t="s">
        <v>291</v>
      </c>
      <c r="E1579" t="s">
        <v>208</v>
      </c>
      <c r="F1579">
        <v>4</v>
      </c>
      <c r="G1579" t="s">
        <v>23</v>
      </c>
      <c r="H1579" s="14">
        <v>0.12</v>
      </c>
      <c r="I1579" s="23">
        <v>659.17</v>
      </c>
      <c r="J1579" s="4">
        <v>2636.2</v>
      </c>
    </row>
    <row r="1580" spans="1:10">
      <c r="A1580" t="s">
        <v>2380</v>
      </c>
      <c r="B1580" s="3">
        <v>45572</v>
      </c>
      <c r="C1580" t="s">
        <v>923</v>
      </c>
      <c r="D1580" t="s">
        <v>381</v>
      </c>
      <c r="E1580" t="s">
        <v>105</v>
      </c>
      <c r="F1580">
        <v>2</v>
      </c>
      <c r="G1580" t="s">
        <v>23</v>
      </c>
      <c r="H1580" s="14">
        <v>0.25</v>
      </c>
      <c r="I1580" s="23">
        <v>216.02</v>
      </c>
      <c r="J1580" s="4">
        <v>431.54</v>
      </c>
    </row>
    <row r="1581" spans="1:10">
      <c r="A1581" t="s">
        <v>2381</v>
      </c>
      <c r="B1581" s="3">
        <v>45774</v>
      </c>
      <c r="C1581" t="s">
        <v>1997</v>
      </c>
      <c r="D1581" t="s">
        <v>311</v>
      </c>
      <c r="E1581" t="s">
        <v>168</v>
      </c>
      <c r="F1581">
        <v>2</v>
      </c>
      <c r="G1581" t="s">
        <v>33</v>
      </c>
      <c r="H1581" s="14">
        <v>0.02</v>
      </c>
      <c r="I1581" s="23">
        <v>613.47</v>
      </c>
      <c r="J1581" s="4">
        <v>1226.9000000000001</v>
      </c>
    </row>
    <row r="1582" spans="1:10">
      <c r="A1582" t="s">
        <v>2382</v>
      </c>
      <c r="B1582" s="3">
        <v>45921</v>
      </c>
      <c r="C1582" t="s">
        <v>1047</v>
      </c>
      <c r="D1582" t="s">
        <v>714</v>
      </c>
      <c r="E1582" t="s">
        <v>208</v>
      </c>
      <c r="F1582">
        <v>2</v>
      </c>
      <c r="G1582" t="s">
        <v>33</v>
      </c>
      <c r="H1582" s="14">
        <v>0.11</v>
      </c>
      <c r="I1582" s="23">
        <v>485.17</v>
      </c>
      <c r="J1582" s="4">
        <v>970.12</v>
      </c>
    </row>
    <row r="1583" spans="1:10">
      <c r="A1583" t="s">
        <v>2383</v>
      </c>
      <c r="B1583" s="3">
        <v>45268</v>
      </c>
      <c r="C1583" t="s">
        <v>560</v>
      </c>
      <c r="D1583" t="s">
        <v>381</v>
      </c>
      <c r="E1583" t="s">
        <v>168</v>
      </c>
      <c r="F1583">
        <v>1</v>
      </c>
      <c r="G1583" t="s">
        <v>33</v>
      </c>
      <c r="H1583" s="14">
        <v>0.2</v>
      </c>
      <c r="I1583" s="23">
        <v>209.7</v>
      </c>
      <c r="J1583" s="4">
        <v>209.5</v>
      </c>
    </row>
    <row r="1584" spans="1:10">
      <c r="A1584" t="s">
        <v>2384</v>
      </c>
      <c r="B1584" s="3">
        <v>45402</v>
      </c>
      <c r="C1584" t="s">
        <v>803</v>
      </c>
      <c r="D1584" t="s">
        <v>603</v>
      </c>
      <c r="E1584" t="s">
        <v>90</v>
      </c>
      <c r="F1584">
        <v>1</v>
      </c>
      <c r="G1584" t="s">
        <v>23</v>
      </c>
      <c r="H1584" s="14">
        <v>0.15</v>
      </c>
      <c r="I1584" s="23">
        <v>681.47</v>
      </c>
      <c r="J1584" s="4">
        <v>681.32</v>
      </c>
    </row>
    <row r="1585" spans="1:10">
      <c r="A1585" t="s">
        <v>2385</v>
      </c>
      <c r="B1585" s="3">
        <v>45667</v>
      </c>
      <c r="C1585" t="s">
        <v>1341</v>
      </c>
      <c r="D1585" t="s">
        <v>49</v>
      </c>
      <c r="E1585" t="s">
        <v>32</v>
      </c>
      <c r="F1585">
        <v>2</v>
      </c>
      <c r="G1585" t="s">
        <v>23</v>
      </c>
      <c r="H1585" s="14">
        <v>0.1</v>
      </c>
      <c r="I1585" s="23">
        <v>877.21</v>
      </c>
      <c r="J1585" s="4">
        <v>1754.22</v>
      </c>
    </row>
    <row r="1586" spans="1:10">
      <c r="A1586" t="s">
        <v>2386</v>
      </c>
      <c r="B1586" s="3">
        <v>45902</v>
      </c>
      <c r="C1586" t="s">
        <v>2387</v>
      </c>
      <c r="D1586" t="s">
        <v>267</v>
      </c>
      <c r="E1586" t="s">
        <v>58</v>
      </c>
      <c r="F1586">
        <v>2</v>
      </c>
      <c r="G1586" t="s">
        <v>33</v>
      </c>
      <c r="H1586" s="14">
        <v>0.21</v>
      </c>
      <c r="I1586" s="23">
        <v>479.77</v>
      </c>
      <c r="J1586" s="4">
        <v>959.12</v>
      </c>
    </row>
    <row r="1587" spans="1:10">
      <c r="A1587" t="s">
        <v>2388</v>
      </c>
      <c r="B1587" s="3">
        <v>45589</v>
      </c>
      <c r="C1587" t="s">
        <v>886</v>
      </c>
      <c r="D1587" t="s">
        <v>359</v>
      </c>
      <c r="E1587" t="s">
        <v>122</v>
      </c>
      <c r="F1587">
        <v>1</v>
      </c>
      <c r="G1587" t="s">
        <v>50</v>
      </c>
      <c r="H1587" s="14">
        <v>0</v>
      </c>
      <c r="I1587" s="23">
        <v>140.72</v>
      </c>
      <c r="J1587" s="4">
        <v>140.72</v>
      </c>
    </row>
    <row r="1588" spans="1:10">
      <c r="A1588" t="s">
        <v>2389</v>
      </c>
      <c r="B1588" s="3">
        <v>45668</v>
      </c>
      <c r="C1588" t="s">
        <v>910</v>
      </c>
      <c r="D1588" t="s">
        <v>314</v>
      </c>
      <c r="E1588" t="s">
        <v>179</v>
      </c>
      <c r="F1588">
        <v>2</v>
      </c>
      <c r="G1588" t="s">
        <v>33</v>
      </c>
      <c r="H1588" s="14">
        <v>0.23</v>
      </c>
      <c r="I1588" s="23">
        <v>764.25</v>
      </c>
      <c r="J1588" s="4">
        <v>1528.04</v>
      </c>
    </row>
    <row r="1589" spans="1:10">
      <c r="A1589" t="s">
        <v>2390</v>
      </c>
      <c r="B1589" s="3">
        <v>45300</v>
      </c>
      <c r="C1589" t="s">
        <v>904</v>
      </c>
      <c r="D1589" t="s">
        <v>359</v>
      </c>
      <c r="E1589" t="s">
        <v>58</v>
      </c>
      <c r="F1589">
        <v>3</v>
      </c>
      <c r="G1589" t="s">
        <v>33</v>
      </c>
      <c r="H1589" s="14">
        <v>0.28999999999999998</v>
      </c>
      <c r="I1589" s="23">
        <v>107.8</v>
      </c>
      <c r="J1589" s="4">
        <v>322.52999999999997</v>
      </c>
    </row>
    <row r="1590" spans="1:10">
      <c r="A1590" t="s">
        <v>2391</v>
      </c>
      <c r="B1590" s="3">
        <v>45757</v>
      </c>
      <c r="C1590" t="s">
        <v>1256</v>
      </c>
      <c r="D1590" t="s">
        <v>443</v>
      </c>
      <c r="E1590" t="s">
        <v>43</v>
      </c>
      <c r="F1590">
        <v>4</v>
      </c>
      <c r="G1590" t="s">
        <v>33</v>
      </c>
      <c r="H1590" s="14">
        <v>7.0000000000000007E-2</v>
      </c>
      <c r="I1590" s="23">
        <v>565.37</v>
      </c>
      <c r="J1590" s="4">
        <v>2261.1999999999998</v>
      </c>
    </row>
    <row r="1591" spans="1:10">
      <c r="A1591" t="s">
        <v>2392</v>
      </c>
      <c r="B1591" s="3">
        <v>45235</v>
      </c>
      <c r="C1591" t="s">
        <v>900</v>
      </c>
      <c r="D1591" t="s">
        <v>126</v>
      </c>
      <c r="E1591" t="s">
        <v>72</v>
      </c>
      <c r="F1591">
        <v>3</v>
      </c>
      <c r="G1591" t="s">
        <v>23</v>
      </c>
      <c r="H1591" s="14">
        <v>0.26</v>
      </c>
      <c r="I1591" s="23">
        <v>811.45</v>
      </c>
      <c r="J1591" s="4">
        <v>2433.5700000000002</v>
      </c>
    </row>
    <row r="1592" spans="1:10">
      <c r="A1592" t="s">
        <v>2393</v>
      </c>
      <c r="B1592" s="3">
        <v>45749</v>
      </c>
      <c r="C1592" t="s">
        <v>1326</v>
      </c>
      <c r="D1592" t="s">
        <v>89</v>
      </c>
      <c r="E1592" t="s">
        <v>135</v>
      </c>
      <c r="F1592">
        <v>4</v>
      </c>
      <c r="G1592" t="s">
        <v>33</v>
      </c>
      <c r="H1592" s="14">
        <v>0.11</v>
      </c>
      <c r="I1592" s="23">
        <v>62.25</v>
      </c>
      <c r="J1592" s="4">
        <v>248.56</v>
      </c>
    </row>
    <row r="1593" spans="1:10">
      <c r="A1593" t="s">
        <v>2394</v>
      </c>
      <c r="B1593" s="3">
        <v>45807</v>
      </c>
      <c r="C1593" t="s">
        <v>2395</v>
      </c>
      <c r="D1593" t="s">
        <v>1126</v>
      </c>
      <c r="E1593" t="s">
        <v>168</v>
      </c>
      <c r="F1593">
        <v>1</v>
      </c>
      <c r="G1593" t="s">
        <v>23</v>
      </c>
      <c r="H1593" s="14">
        <v>0.03</v>
      </c>
      <c r="I1593" s="23">
        <v>749.78</v>
      </c>
      <c r="J1593" s="4">
        <v>749.75</v>
      </c>
    </row>
    <row r="1594" spans="1:10">
      <c r="A1594" t="s">
        <v>2396</v>
      </c>
      <c r="B1594" s="3">
        <v>45496</v>
      </c>
      <c r="C1594" t="s">
        <v>1497</v>
      </c>
      <c r="D1594" t="s">
        <v>57</v>
      </c>
      <c r="E1594" t="s">
        <v>58</v>
      </c>
      <c r="F1594">
        <v>3</v>
      </c>
      <c r="G1594" t="s">
        <v>50</v>
      </c>
      <c r="H1594" s="14">
        <v>7.0000000000000007E-2</v>
      </c>
      <c r="I1594" s="23">
        <v>630.28</v>
      </c>
      <c r="J1594" s="4">
        <v>1890.63</v>
      </c>
    </row>
    <row r="1595" spans="1:10">
      <c r="A1595" t="s">
        <v>2397</v>
      </c>
      <c r="B1595" s="3">
        <v>45355</v>
      </c>
      <c r="C1595" t="s">
        <v>394</v>
      </c>
      <c r="D1595" t="s">
        <v>271</v>
      </c>
      <c r="E1595" t="s">
        <v>117</v>
      </c>
      <c r="F1595">
        <v>1</v>
      </c>
      <c r="G1595" t="s">
        <v>23</v>
      </c>
      <c r="H1595" s="14">
        <v>0.17</v>
      </c>
      <c r="I1595" s="23">
        <v>101.84</v>
      </c>
      <c r="J1595" s="4">
        <v>101.67</v>
      </c>
    </row>
    <row r="1596" spans="1:10">
      <c r="A1596" t="s">
        <v>2398</v>
      </c>
      <c r="B1596" s="3">
        <v>45256</v>
      </c>
      <c r="C1596" t="s">
        <v>1348</v>
      </c>
      <c r="D1596" t="s">
        <v>97</v>
      </c>
      <c r="E1596" t="s">
        <v>160</v>
      </c>
      <c r="F1596">
        <v>4</v>
      </c>
      <c r="G1596" t="s">
        <v>50</v>
      </c>
      <c r="H1596" s="14">
        <v>0.16</v>
      </c>
      <c r="I1596" s="23">
        <v>641.45000000000005</v>
      </c>
      <c r="J1596" s="4">
        <v>2565.16</v>
      </c>
    </row>
    <row r="1597" spans="1:10">
      <c r="A1597" t="s">
        <v>2399</v>
      </c>
      <c r="B1597" s="3">
        <v>45849</v>
      </c>
      <c r="C1597" t="s">
        <v>756</v>
      </c>
      <c r="D1597" t="s">
        <v>159</v>
      </c>
      <c r="E1597" t="s">
        <v>105</v>
      </c>
      <c r="F1597">
        <v>1</v>
      </c>
      <c r="G1597" t="s">
        <v>33</v>
      </c>
      <c r="H1597" s="14">
        <v>0.23</v>
      </c>
      <c r="I1597" s="23">
        <v>135.87</v>
      </c>
      <c r="J1597" s="4">
        <v>135.63999999999999</v>
      </c>
    </row>
    <row r="1598" spans="1:10">
      <c r="A1598" t="s">
        <v>2400</v>
      </c>
      <c r="B1598" s="3">
        <v>45344</v>
      </c>
      <c r="C1598" t="s">
        <v>294</v>
      </c>
      <c r="D1598" t="s">
        <v>279</v>
      </c>
      <c r="E1598" t="s">
        <v>179</v>
      </c>
      <c r="F1598">
        <v>1</v>
      </c>
      <c r="G1598" t="s">
        <v>33</v>
      </c>
      <c r="H1598" s="14">
        <v>0.01</v>
      </c>
      <c r="I1598" s="23">
        <v>388.35</v>
      </c>
      <c r="J1598" s="4">
        <v>388.34</v>
      </c>
    </row>
    <row r="1599" spans="1:10">
      <c r="A1599" t="s">
        <v>2401</v>
      </c>
      <c r="B1599" s="3">
        <v>45367</v>
      </c>
      <c r="C1599" t="s">
        <v>1367</v>
      </c>
      <c r="D1599" t="s">
        <v>340</v>
      </c>
      <c r="E1599" t="s">
        <v>127</v>
      </c>
      <c r="F1599">
        <v>2</v>
      </c>
      <c r="G1599" t="s">
        <v>33</v>
      </c>
      <c r="H1599" s="14">
        <v>0.3</v>
      </c>
      <c r="I1599" s="23">
        <v>999.08</v>
      </c>
      <c r="J1599" s="4">
        <v>1997.56</v>
      </c>
    </row>
    <row r="1600" spans="1:10">
      <c r="A1600" t="s">
        <v>2402</v>
      </c>
      <c r="B1600" s="3">
        <v>45887</v>
      </c>
      <c r="C1600" t="s">
        <v>658</v>
      </c>
      <c r="D1600" t="s">
        <v>340</v>
      </c>
      <c r="E1600" t="s">
        <v>32</v>
      </c>
      <c r="F1600">
        <v>3</v>
      </c>
      <c r="G1600" t="s">
        <v>50</v>
      </c>
      <c r="H1600" s="14">
        <v>0.08</v>
      </c>
      <c r="I1600" s="23">
        <v>453.19</v>
      </c>
      <c r="J1600" s="4">
        <v>1359.33</v>
      </c>
    </row>
    <row r="1601" spans="1:10">
      <c r="A1601" t="s">
        <v>2403</v>
      </c>
      <c r="B1601" s="3">
        <v>45567</v>
      </c>
      <c r="C1601" t="s">
        <v>1190</v>
      </c>
      <c r="D1601" t="s">
        <v>429</v>
      </c>
      <c r="E1601" t="s">
        <v>168</v>
      </c>
      <c r="F1601">
        <v>2</v>
      </c>
      <c r="G1601" t="s">
        <v>50</v>
      </c>
      <c r="H1601" s="14">
        <v>0.15</v>
      </c>
      <c r="I1601" s="23">
        <v>61.31</v>
      </c>
      <c r="J1601" s="4">
        <v>122.32</v>
      </c>
    </row>
    <row r="1602" spans="1:10">
      <c r="A1602" t="s">
        <v>2404</v>
      </c>
      <c r="B1602" s="3">
        <v>45223</v>
      </c>
      <c r="C1602" t="s">
        <v>1455</v>
      </c>
      <c r="D1602" t="s">
        <v>630</v>
      </c>
      <c r="E1602" t="s">
        <v>168</v>
      </c>
      <c r="F1602">
        <v>2</v>
      </c>
      <c r="G1602" t="s">
        <v>23</v>
      </c>
      <c r="H1602" s="14">
        <v>0.23</v>
      </c>
      <c r="I1602" s="23">
        <v>870.13</v>
      </c>
      <c r="J1602" s="4">
        <v>1739.8</v>
      </c>
    </row>
    <row r="1603" spans="1:10">
      <c r="A1603" t="s">
        <v>2405</v>
      </c>
      <c r="B1603" s="3">
        <v>45664</v>
      </c>
      <c r="C1603" t="s">
        <v>468</v>
      </c>
      <c r="D1603" t="s">
        <v>65</v>
      </c>
      <c r="E1603" t="s">
        <v>135</v>
      </c>
      <c r="F1603">
        <v>1</v>
      </c>
      <c r="G1603" t="s">
        <v>33</v>
      </c>
      <c r="H1603" s="14">
        <v>0.11</v>
      </c>
      <c r="I1603" s="23">
        <v>336.51</v>
      </c>
      <c r="J1603" s="4">
        <v>336.4</v>
      </c>
    </row>
    <row r="1604" spans="1:10">
      <c r="A1604" t="s">
        <v>2406</v>
      </c>
      <c r="B1604" s="3">
        <v>45313</v>
      </c>
      <c r="C1604" t="s">
        <v>1029</v>
      </c>
      <c r="D1604" t="s">
        <v>178</v>
      </c>
      <c r="E1604" t="s">
        <v>90</v>
      </c>
      <c r="F1604">
        <v>1</v>
      </c>
      <c r="G1604" t="s">
        <v>50</v>
      </c>
      <c r="H1604" s="14">
        <v>0.26</v>
      </c>
      <c r="I1604" s="23">
        <v>305.70999999999998</v>
      </c>
      <c r="J1604" s="4">
        <v>305.45</v>
      </c>
    </row>
    <row r="1605" spans="1:10">
      <c r="A1605" t="s">
        <v>2407</v>
      </c>
      <c r="B1605" s="3">
        <v>45224</v>
      </c>
      <c r="C1605" t="s">
        <v>1609</v>
      </c>
      <c r="D1605" t="s">
        <v>234</v>
      </c>
      <c r="E1605" t="s">
        <v>160</v>
      </c>
      <c r="F1605">
        <v>2</v>
      </c>
      <c r="G1605" t="s">
        <v>50</v>
      </c>
      <c r="H1605" s="14">
        <v>0.28999999999999998</v>
      </c>
      <c r="I1605" s="23">
        <v>635.39</v>
      </c>
      <c r="J1605" s="4">
        <v>1270.2</v>
      </c>
    </row>
    <row r="1606" spans="1:10">
      <c r="A1606" t="s">
        <v>2408</v>
      </c>
      <c r="B1606" s="3">
        <v>45491</v>
      </c>
      <c r="C1606" t="s">
        <v>64</v>
      </c>
      <c r="D1606" t="s">
        <v>603</v>
      </c>
      <c r="E1606" t="s">
        <v>135</v>
      </c>
      <c r="F1606">
        <v>2</v>
      </c>
      <c r="G1606" t="s">
        <v>50</v>
      </c>
      <c r="H1606" s="14">
        <v>0.23</v>
      </c>
      <c r="I1606" s="23">
        <v>253.87</v>
      </c>
      <c r="J1606" s="4">
        <v>507.28</v>
      </c>
    </row>
    <row r="1607" spans="1:10">
      <c r="A1607" t="s">
        <v>2409</v>
      </c>
      <c r="B1607" s="3">
        <v>45472</v>
      </c>
      <c r="C1607" t="s">
        <v>799</v>
      </c>
      <c r="D1607" t="s">
        <v>49</v>
      </c>
      <c r="E1607" t="s">
        <v>32</v>
      </c>
      <c r="F1607">
        <v>3</v>
      </c>
      <c r="G1607" t="s">
        <v>50</v>
      </c>
      <c r="H1607" s="14">
        <v>0.17</v>
      </c>
      <c r="I1607" s="23">
        <v>915.81</v>
      </c>
      <c r="J1607" s="4">
        <v>2746.92</v>
      </c>
    </row>
    <row r="1608" spans="1:10">
      <c r="A1608" t="s">
        <v>2410</v>
      </c>
      <c r="B1608" s="3">
        <v>45795</v>
      </c>
      <c r="C1608" t="s">
        <v>771</v>
      </c>
      <c r="D1608" t="s">
        <v>449</v>
      </c>
      <c r="E1608" t="s">
        <v>43</v>
      </c>
      <c r="F1608">
        <v>3</v>
      </c>
      <c r="G1608" t="s">
        <v>23</v>
      </c>
      <c r="H1608" s="14">
        <v>0.02</v>
      </c>
      <c r="I1608" s="23">
        <v>779.5</v>
      </c>
      <c r="J1608" s="4">
        <v>2338.44</v>
      </c>
    </row>
    <row r="1609" spans="1:10">
      <c r="A1609" t="s">
        <v>2411</v>
      </c>
      <c r="B1609" s="3">
        <v>45470</v>
      </c>
      <c r="C1609" t="s">
        <v>956</v>
      </c>
      <c r="D1609" t="s">
        <v>698</v>
      </c>
      <c r="E1609" t="s">
        <v>117</v>
      </c>
      <c r="F1609">
        <v>2</v>
      </c>
      <c r="G1609" t="s">
        <v>23</v>
      </c>
      <c r="H1609" s="14">
        <v>0.26</v>
      </c>
      <c r="I1609" s="23">
        <v>780.57</v>
      </c>
      <c r="J1609" s="4">
        <v>1560.62</v>
      </c>
    </row>
    <row r="1610" spans="1:10">
      <c r="A1610" t="s">
        <v>2412</v>
      </c>
      <c r="B1610" s="3">
        <v>45390</v>
      </c>
      <c r="C1610" t="s">
        <v>1017</v>
      </c>
      <c r="D1610" t="s">
        <v>1126</v>
      </c>
      <c r="E1610" t="s">
        <v>135</v>
      </c>
      <c r="F1610">
        <v>1</v>
      </c>
      <c r="G1610" t="s">
        <v>23</v>
      </c>
      <c r="H1610" s="14">
        <v>0</v>
      </c>
      <c r="I1610" s="23">
        <v>511.35</v>
      </c>
      <c r="J1610" s="4">
        <v>511.35</v>
      </c>
    </row>
    <row r="1611" spans="1:10">
      <c r="A1611" t="s">
        <v>2413</v>
      </c>
      <c r="B1611" s="3">
        <v>45803</v>
      </c>
      <c r="C1611" t="s">
        <v>70</v>
      </c>
      <c r="D1611" t="s">
        <v>21</v>
      </c>
      <c r="E1611" t="s">
        <v>22</v>
      </c>
      <c r="F1611">
        <v>4</v>
      </c>
      <c r="G1611" t="s">
        <v>50</v>
      </c>
      <c r="H1611" s="14">
        <v>0.28999999999999998</v>
      </c>
      <c r="I1611" s="23">
        <v>44.07</v>
      </c>
      <c r="J1611" s="4">
        <v>175.12</v>
      </c>
    </row>
    <row r="1612" spans="1:10">
      <c r="A1612" t="s">
        <v>2414</v>
      </c>
      <c r="B1612" s="3">
        <v>45320</v>
      </c>
      <c r="C1612" t="s">
        <v>1095</v>
      </c>
      <c r="D1612" t="s">
        <v>167</v>
      </c>
      <c r="E1612" t="s">
        <v>272</v>
      </c>
      <c r="F1612">
        <v>2</v>
      </c>
      <c r="G1612" t="s">
        <v>23</v>
      </c>
      <c r="H1612" s="14">
        <v>0.15</v>
      </c>
      <c r="I1612" s="23">
        <v>895.92</v>
      </c>
      <c r="J1612" s="4">
        <v>1791.54</v>
      </c>
    </row>
    <row r="1613" spans="1:10">
      <c r="A1613" t="s">
        <v>2415</v>
      </c>
      <c r="B1613" s="3">
        <v>45619</v>
      </c>
      <c r="C1613" t="s">
        <v>1691</v>
      </c>
      <c r="D1613" t="s">
        <v>207</v>
      </c>
      <c r="E1613" t="s">
        <v>198</v>
      </c>
      <c r="F1613">
        <v>4</v>
      </c>
      <c r="G1613" t="s">
        <v>50</v>
      </c>
      <c r="H1613" s="14">
        <v>0.22</v>
      </c>
      <c r="I1613" s="23">
        <v>456.32</v>
      </c>
      <c r="J1613" s="4">
        <v>1824.4</v>
      </c>
    </row>
    <row r="1614" spans="1:10">
      <c r="A1614" t="s">
        <v>2416</v>
      </c>
      <c r="B1614" s="3">
        <v>45777</v>
      </c>
      <c r="C1614" t="s">
        <v>278</v>
      </c>
      <c r="D1614" t="s">
        <v>116</v>
      </c>
      <c r="E1614" t="s">
        <v>90</v>
      </c>
      <c r="F1614">
        <v>1</v>
      </c>
      <c r="G1614" t="s">
        <v>50</v>
      </c>
      <c r="H1614" s="14">
        <v>0.28999999999999998</v>
      </c>
      <c r="I1614" s="23">
        <v>905.5</v>
      </c>
      <c r="J1614" s="4">
        <v>905.21</v>
      </c>
    </row>
    <row r="1615" spans="1:10">
      <c r="A1615" t="s">
        <v>2417</v>
      </c>
      <c r="B1615" s="3">
        <v>45523</v>
      </c>
      <c r="C1615" t="s">
        <v>1193</v>
      </c>
      <c r="D1615" t="s">
        <v>226</v>
      </c>
      <c r="E1615" t="s">
        <v>149</v>
      </c>
      <c r="F1615">
        <v>3</v>
      </c>
      <c r="G1615" t="s">
        <v>23</v>
      </c>
      <c r="H1615" s="14">
        <v>0.08</v>
      </c>
      <c r="I1615" s="23">
        <v>63.19</v>
      </c>
      <c r="J1615" s="4">
        <v>189.33</v>
      </c>
    </row>
    <row r="1616" spans="1:10">
      <c r="A1616" t="s">
        <v>2418</v>
      </c>
      <c r="B1616" s="3">
        <v>45628</v>
      </c>
      <c r="C1616" t="s">
        <v>1000</v>
      </c>
      <c r="D1616" t="s">
        <v>79</v>
      </c>
      <c r="E1616" t="s">
        <v>66</v>
      </c>
      <c r="F1616">
        <v>3</v>
      </c>
      <c r="G1616" t="s">
        <v>33</v>
      </c>
      <c r="H1616" s="14">
        <v>0.06</v>
      </c>
      <c r="I1616" s="23">
        <v>687.66</v>
      </c>
      <c r="J1616" s="4">
        <v>2062.8000000000002</v>
      </c>
    </row>
    <row r="1617" spans="1:10">
      <c r="A1617" t="s">
        <v>2419</v>
      </c>
      <c r="B1617" s="3">
        <v>45742</v>
      </c>
      <c r="C1617" t="s">
        <v>785</v>
      </c>
      <c r="D1617" t="s">
        <v>159</v>
      </c>
      <c r="E1617" t="s">
        <v>127</v>
      </c>
      <c r="F1617">
        <v>4</v>
      </c>
      <c r="G1617" t="s">
        <v>33</v>
      </c>
      <c r="H1617" s="14">
        <v>0.12</v>
      </c>
      <c r="I1617" s="23">
        <v>639.05999999999995</v>
      </c>
      <c r="J1617" s="4">
        <v>2555.7600000000002</v>
      </c>
    </row>
    <row r="1618" spans="1:10">
      <c r="A1618" t="s">
        <v>2420</v>
      </c>
      <c r="B1618" s="3">
        <v>45456</v>
      </c>
      <c r="C1618" t="s">
        <v>468</v>
      </c>
      <c r="D1618" t="s">
        <v>368</v>
      </c>
      <c r="E1618" t="s">
        <v>66</v>
      </c>
      <c r="F1618">
        <v>1</v>
      </c>
      <c r="G1618" t="s">
        <v>50</v>
      </c>
      <c r="H1618" s="14">
        <v>0.04</v>
      </c>
      <c r="I1618" s="23">
        <v>475.15</v>
      </c>
      <c r="J1618" s="4">
        <v>475.11</v>
      </c>
    </row>
    <row r="1619" spans="1:10">
      <c r="A1619" t="s">
        <v>2421</v>
      </c>
      <c r="B1619" s="3">
        <v>45534</v>
      </c>
      <c r="C1619" t="s">
        <v>1551</v>
      </c>
      <c r="D1619" t="s">
        <v>275</v>
      </c>
      <c r="E1619" t="s">
        <v>179</v>
      </c>
      <c r="F1619">
        <v>1</v>
      </c>
      <c r="G1619" t="s">
        <v>50</v>
      </c>
      <c r="H1619" s="14">
        <v>0.08</v>
      </c>
      <c r="I1619" s="23">
        <v>62.38</v>
      </c>
      <c r="J1619" s="4">
        <v>62.3</v>
      </c>
    </row>
    <row r="1620" spans="1:10">
      <c r="A1620" t="s">
        <v>2422</v>
      </c>
      <c r="B1620" s="3">
        <v>45375</v>
      </c>
      <c r="C1620" t="s">
        <v>1354</v>
      </c>
      <c r="D1620" t="s">
        <v>65</v>
      </c>
      <c r="E1620" t="s">
        <v>66</v>
      </c>
      <c r="F1620">
        <v>1</v>
      </c>
      <c r="G1620" t="s">
        <v>50</v>
      </c>
      <c r="H1620" s="14">
        <v>0.2</v>
      </c>
      <c r="I1620" s="23">
        <v>977.02</v>
      </c>
      <c r="J1620" s="4">
        <v>976.82</v>
      </c>
    </row>
    <row r="1621" spans="1:10">
      <c r="A1621" t="s">
        <v>2423</v>
      </c>
      <c r="B1621" s="3">
        <v>45546</v>
      </c>
      <c r="C1621" t="s">
        <v>2424</v>
      </c>
      <c r="D1621" t="s">
        <v>359</v>
      </c>
      <c r="E1621" t="s">
        <v>72</v>
      </c>
      <c r="F1621">
        <v>2</v>
      </c>
      <c r="G1621" t="s">
        <v>23</v>
      </c>
      <c r="H1621" s="14">
        <v>0.25</v>
      </c>
      <c r="I1621" s="23">
        <v>898.81</v>
      </c>
      <c r="J1621" s="4">
        <v>1797.12</v>
      </c>
    </row>
    <row r="1622" spans="1:10">
      <c r="A1622" t="s">
        <v>2425</v>
      </c>
      <c r="B1622" s="3">
        <v>45769</v>
      </c>
      <c r="C1622" t="s">
        <v>1397</v>
      </c>
      <c r="D1622" t="s">
        <v>509</v>
      </c>
      <c r="E1622" t="s">
        <v>22</v>
      </c>
      <c r="F1622">
        <v>2</v>
      </c>
      <c r="G1622" t="s">
        <v>23</v>
      </c>
      <c r="H1622" s="14">
        <v>0.28000000000000003</v>
      </c>
      <c r="I1622" s="23">
        <v>422.13</v>
      </c>
      <c r="J1622" s="4">
        <v>843.7</v>
      </c>
    </row>
    <row r="1623" spans="1:10">
      <c r="A1623" t="s">
        <v>2426</v>
      </c>
      <c r="B1623" s="3">
        <v>45524</v>
      </c>
      <c r="C1623" t="s">
        <v>1000</v>
      </c>
      <c r="D1623" t="s">
        <v>116</v>
      </c>
      <c r="E1623" t="s">
        <v>272</v>
      </c>
      <c r="F1623">
        <v>1</v>
      </c>
      <c r="G1623" t="s">
        <v>50</v>
      </c>
      <c r="H1623" s="14">
        <v>0.03</v>
      </c>
      <c r="I1623" s="23">
        <v>324.56</v>
      </c>
      <c r="J1623" s="4">
        <v>324.52999999999997</v>
      </c>
    </row>
    <row r="1624" spans="1:10">
      <c r="A1624" t="s">
        <v>2427</v>
      </c>
      <c r="B1624" s="3">
        <v>45531</v>
      </c>
      <c r="C1624" t="s">
        <v>843</v>
      </c>
      <c r="D1624" t="s">
        <v>564</v>
      </c>
      <c r="E1624" t="s">
        <v>117</v>
      </c>
      <c r="F1624">
        <v>4</v>
      </c>
      <c r="G1624" t="s">
        <v>33</v>
      </c>
      <c r="H1624" s="14">
        <v>0.26</v>
      </c>
      <c r="I1624" s="23">
        <v>570.38</v>
      </c>
      <c r="J1624" s="4">
        <v>2280.48</v>
      </c>
    </row>
    <row r="1625" spans="1:10">
      <c r="A1625" t="s">
        <v>2428</v>
      </c>
      <c r="B1625" s="3">
        <v>45479</v>
      </c>
      <c r="C1625" t="s">
        <v>570</v>
      </c>
      <c r="D1625" t="s">
        <v>116</v>
      </c>
      <c r="E1625" t="s">
        <v>122</v>
      </c>
      <c r="F1625">
        <v>2</v>
      </c>
      <c r="G1625" t="s">
        <v>33</v>
      </c>
      <c r="H1625" s="14">
        <v>0.11</v>
      </c>
      <c r="I1625" s="23">
        <v>223.73</v>
      </c>
      <c r="J1625" s="4">
        <v>447.24</v>
      </c>
    </row>
    <row r="1626" spans="1:10">
      <c r="A1626" t="s">
        <v>2429</v>
      </c>
      <c r="B1626" s="3">
        <v>45868</v>
      </c>
      <c r="C1626" t="s">
        <v>1397</v>
      </c>
      <c r="D1626" t="s">
        <v>400</v>
      </c>
      <c r="E1626" t="s">
        <v>117</v>
      </c>
      <c r="F1626">
        <v>4</v>
      </c>
      <c r="G1626" t="s">
        <v>23</v>
      </c>
      <c r="H1626" s="14">
        <v>0.11</v>
      </c>
      <c r="I1626" s="23">
        <v>164.93</v>
      </c>
      <c r="J1626" s="4">
        <v>659.28</v>
      </c>
    </row>
    <row r="1627" spans="1:10">
      <c r="A1627" t="s">
        <v>2430</v>
      </c>
      <c r="B1627" s="3">
        <v>45569</v>
      </c>
      <c r="C1627" t="s">
        <v>1734</v>
      </c>
      <c r="D1627" t="s">
        <v>65</v>
      </c>
      <c r="E1627" t="s">
        <v>66</v>
      </c>
      <c r="F1627">
        <v>3</v>
      </c>
      <c r="G1627" t="s">
        <v>50</v>
      </c>
      <c r="H1627" s="14">
        <v>0.28000000000000003</v>
      </c>
      <c r="I1627" s="23">
        <v>326.66000000000003</v>
      </c>
      <c r="J1627" s="4">
        <v>979.14</v>
      </c>
    </row>
    <row r="1628" spans="1:10">
      <c r="A1628" t="s">
        <v>2431</v>
      </c>
      <c r="B1628" s="3">
        <v>45382</v>
      </c>
      <c r="C1628" t="s">
        <v>432</v>
      </c>
      <c r="D1628" t="s">
        <v>389</v>
      </c>
      <c r="E1628" t="s">
        <v>122</v>
      </c>
      <c r="F1628">
        <v>2</v>
      </c>
      <c r="G1628" t="s">
        <v>33</v>
      </c>
      <c r="H1628" s="14">
        <v>0.17</v>
      </c>
      <c r="I1628" s="23">
        <v>462.93</v>
      </c>
      <c r="J1628" s="4">
        <v>925.52</v>
      </c>
    </row>
    <row r="1629" spans="1:10">
      <c r="A1629" t="s">
        <v>2432</v>
      </c>
      <c r="B1629" s="3">
        <v>45885</v>
      </c>
      <c r="C1629" t="s">
        <v>1256</v>
      </c>
      <c r="D1629" t="s">
        <v>768</v>
      </c>
      <c r="E1629" t="s">
        <v>117</v>
      </c>
      <c r="F1629">
        <v>3</v>
      </c>
      <c r="G1629" t="s">
        <v>23</v>
      </c>
      <c r="H1629" s="14">
        <v>0.04</v>
      </c>
      <c r="I1629" s="23">
        <v>60.26</v>
      </c>
      <c r="J1629" s="4">
        <v>180.66</v>
      </c>
    </row>
    <row r="1630" spans="1:10">
      <c r="A1630" t="s">
        <v>2433</v>
      </c>
      <c r="B1630" s="3">
        <v>45829</v>
      </c>
      <c r="C1630" t="s">
        <v>1060</v>
      </c>
      <c r="D1630" t="s">
        <v>116</v>
      </c>
      <c r="E1630" t="s">
        <v>127</v>
      </c>
      <c r="F1630">
        <v>3</v>
      </c>
      <c r="G1630" t="s">
        <v>50</v>
      </c>
      <c r="H1630" s="14">
        <v>0.06</v>
      </c>
      <c r="I1630" s="23">
        <v>109.5</v>
      </c>
      <c r="J1630" s="4">
        <v>328.32</v>
      </c>
    </row>
    <row r="1631" spans="1:10">
      <c r="A1631" t="s">
        <v>2434</v>
      </c>
      <c r="B1631" s="3">
        <v>45721</v>
      </c>
      <c r="C1631" t="s">
        <v>633</v>
      </c>
      <c r="D1631" t="s">
        <v>79</v>
      </c>
      <c r="E1631" t="s">
        <v>117</v>
      </c>
      <c r="F1631">
        <v>1</v>
      </c>
      <c r="G1631" t="s">
        <v>50</v>
      </c>
      <c r="H1631" s="14">
        <v>0.14000000000000001</v>
      </c>
      <c r="I1631" s="23">
        <v>505.83</v>
      </c>
      <c r="J1631" s="4">
        <v>505.69</v>
      </c>
    </row>
    <row r="1632" spans="1:10">
      <c r="A1632" t="s">
        <v>2435</v>
      </c>
      <c r="B1632" s="3">
        <v>45511</v>
      </c>
      <c r="C1632" t="s">
        <v>1083</v>
      </c>
      <c r="D1632" t="s">
        <v>187</v>
      </c>
      <c r="E1632" t="s">
        <v>168</v>
      </c>
      <c r="F1632">
        <v>2</v>
      </c>
      <c r="G1632" t="s">
        <v>33</v>
      </c>
      <c r="H1632" s="14">
        <v>0.27</v>
      </c>
      <c r="I1632" s="23">
        <v>443.15</v>
      </c>
      <c r="J1632" s="4">
        <v>885.76</v>
      </c>
    </row>
    <row r="1633" spans="1:10">
      <c r="A1633" t="s">
        <v>2436</v>
      </c>
      <c r="B1633" s="3">
        <v>45739</v>
      </c>
      <c r="C1633" t="s">
        <v>1430</v>
      </c>
      <c r="D1633" t="s">
        <v>645</v>
      </c>
      <c r="E1633" t="s">
        <v>66</v>
      </c>
      <c r="F1633">
        <v>2</v>
      </c>
      <c r="G1633" t="s">
        <v>33</v>
      </c>
      <c r="H1633" s="14">
        <v>0.23</v>
      </c>
      <c r="I1633" s="23">
        <v>784.26</v>
      </c>
      <c r="J1633" s="4">
        <v>1568.06</v>
      </c>
    </row>
    <row r="1634" spans="1:10">
      <c r="A1634" t="s">
        <v>2437</v>
      </c>
      <c r="B1634" s="3">
        <v>45533</v>
      </c>
      <c r="C1634" t="s">
        <v>961</v>
      </c>
      <c r="D1634" t="s">
        <v>104</v>
      </c>
      <c r="E1634" t="s">
        <v>272</v>
      </c>
      <c r="F1634">
        <v>3</v>
      </c>
      <c r="G1634" t="s">
        <v>33</v>
      </c>
      <c r="H1634" s="14">
        <v>0.17</v>
      </c>
      <c r="I1634" s="23">
        <v>590.30999999999995</v>
      </c>
      <c r="J1634" s="4">
        <v>1770.42</v>
      </c>
    </row>
    <row r="1635" spans="1:10">
      <c r="A1635" t="s">
        <v>2438</v>
      </c>
      <c r="B1635" s="3">
        <v>45553</v>
      </c>
      <c r="C1635" t="s">
        <v>959</v>
      </c>
      <c r="D1635" t="s">
        <v>167</v>
      </c>
      <c r="E1635" t="s">
        <v>117</v>
      </c>
      <c r="F1635">
        <v>1</v>
      </c>
      <c r="G1635" t="s">
        <v>50</v>
      </c>
      <c r="H1635" s="14">
        <v>0.06</v>
      </c>
      <c r="I1635" s="23">
        <v>696.13</v>
      </c>
      <c r="J1635" s="4">
        <v>696.07</v>
      </c>
    </row>
    <row r="1636" spans="1:10">
      <c r="A1636" t="s">
        <v>2439</v>
      </c>
      <c r="B1636" s="3">
        <v>45341</v>
      </c>
      <c r="C1636" t="s">
        <v>923</v>
      </c>
      <c r="D1636" t="s">
        <v>501</v>
      </c>
      <c r="E1636" t="s">
        <v>179</v>
      </c>
      <c r="F1636">
        <v>4</v>
      </c>
      <c r="G1636" t="s">
        <v>23</v>
      </c>
      <c r="H1636" s="14">
        <v>0.25</v>
      </c>
      <c r="I1636" s="23">
        <v>194.39</v>
      </c>
      <c r="J1636" s="4">
        <v>776.56</v>
      </c>
    </row>
    <row r="1637" spans="1:10">
      <c r="A1637" t="s">
        <v>2440</v>
      </c>
      <c r="B1637" s="3">
        <v>45430</v>
      </c>
      <c r="C1637" t="s">
        <v>1450</v>
      </c>
      <c r="D1637" t="s">
        <v>89</v>
      </c>
      <c r="E1637" t="s">
        <v>105</v>
      </c>
      <c r="F1637">
        <v>1</v>
      </c>
      <c r="G1637" t="s">
        <v>23</v>
      </c>
      <c r="H1637" s="14">
        <v>0.1</v>
      </c>
      <c r="I1637" s="23">
        <v>339.7</v>
      </c>
      <c r="J1637" s="4">
        <v>339.6</v>
      </c>
    </row>
    <row r="1638" spans="1:10">
      <c r="A1638" t="s">
        <v>2441</v>
      </c>
      <c r="B1638" s="3">
        <v>45912</v>
      </c>
      <c r="C1638" t="s">
        <v>1358</v>
      </c>
      <c r="D1638" t="s">
        <v>741</v>
      </c>
      <c r="E1638" t="s">
        <v>149</v>
      </c>
      <c r="F1638">
        <v>4</v>
      </c>
      <c r="G1638" t="s">
        <v>33</v>
      </c>
      <c r="H1638" s="14">
        <v>0.27</v>
      </c>
      <c r="I1638" s="23">
        <v>463.16</v>
      </c>
      <c r="J1638" s="4">
        <v>1851.56</v>
      </c>
    </row>
    <row r="1639" spans="1:10">
      <c r="A1639" t="s">
        <v>2442</v>
      </c>
      <c r="B1639" s="3">
        <v>45709</v>
      </c>
      <c r="C1639" t="s">
        <v>707</v>
      </c>
      <c r="D1639" t="s">
        <v>183</v>
      </c>
      <c r="E1639" t="s">
        <v>168</v>
      </c>
      <c r="F1639">
        <v>2</v>
      </c>
      <c r="G1639" t="s">
        <v>23</v>
      </c>
      <c r="H1639" s="14">
        <v>0.09</v>
      </c>
      <c r="I1639" s="23">
        <v>824.91</v>
      </c>
      <c r="J1639" s="4">
        <v>1649.64</v>
      </c>
    </row>
    <row r="1640" spans="1:10">
      <c r="A1640" t="s">
        <v>2443</v>
      </c>
      <c r="B1640" s="3">
        <v>45520</v>
      </c>
      <c r="C1640" t="s">
        <v>266</v>
      </c>
      <c r="D1640" t="s">
        <v>183</v>
      </c>
      <c r="E1640" t="s">
        <v>198</v>
      </c>
      <c r="F1640">
        <v>4</v>
      </c>
      <c r="G1640" t="s">
        <v>23</v>
      </c>
      <c r="H1640" s="14">
        <v>0.17</v>
      </c>
      <c r="I1640" s="23">
        <v>796.89</v>
      </c>
      <c r="J1640" s="4">
        <v>3186.88</v>
      </c>
    </row>
    <row r="1641" spans="1:10">
      <c r="A1641" t="s">
        <v>2444</v>
      </c>
      <c r="B1641" s="3">
        <v>45478</v>
      </c>
      <c r="C1641" t="s">
        <v>750</v>
      </c>
      <c r="D1641" t="s">
        <v>246</v>
      </c>
      <c r="E1641" t="s">
        <v>32</v>
      </c>
      <c r="F1641">
        <v>3</v>
      </c>
      <c r="G1641" t="s">
        <v>50</v>
      </c>
      <c r="H1641" s="14">
        <v>0.3</v>
      </c>
      <c r="I1641" s="23">
        <v>543.92999999999995</v>
      </c>
      <c r="J1641" s="4">
        <v>1630.89</v>
      </c>
    </row>
    <row r="1642" spans="1:10">
      <c r="A1642" t="s">
        <v>2445</v>
      </c>
      <c r="B1642" s="3">
        <v>45496</v>
      </c>
      <c r="C1642" t="s">
        <v>1267</v>
      </c>
      <c r="D1642" t="s">
        <v>480</v>
      </c>
      <c r="E1642" t="s">
        <v>66</v>
      </c>
      <c r="F1642">
        <v>2</v>
      </c>
      <c r="G1642" t="s">
        <v>33</v>
      </c>
      <c r="H1642" s="14">
        <v>0.03</v>
      </c>
      <c r="I1642" s="23">
        <v>44.65</v>
      </c>
      <c r="J1642" s="4">
        <v>89.24</v>
      </c>
    </row>
    <row r="1643" spans="1:10">
      <c r="A1643" t="s">
        <v>2446</v>
      </c>
      <c r="B1643" s="3">
        <v>45742</v>
      </c>
      <c r="C1643" t="s">
        <v>2310</v>
      </c>
      <c r="D1643" t="s">
        <v>71</v>
      </c>
      <c r="E1643" t="s">
        <v>90</v>
      </c>
      <c r="F1643">
        <v>4</v>
      </c>
      <c r="G1643" t="s">
        <v>50</v>
      </c>
      <c r="H1643" s="14">
        <v>0.06</v>
      </c>
      <c r="I1643" s="23">
        <v>827.39</v>
      </c>
      <c r="J1643" s="4">
        <v>3309.32</v>
      </c>
    </row>
    <row r="1644" spans="1:10">
      <c r="A1644" t="s">
        <v>2447</v>
      </c>
      <c r="B1644" s="3">
        <v>45301</v>
      </c>
      <c r="C1644" t="s">
        <v>2448</v>
      </c>
      <c r="D1644" t="s">
        <v>480</v>
      </c>
      <c r="E1644" t="s">
        <v>208</v>
      </c>
      <c r="F1644">
        <v>2</v>
      </c>
      <c r="G1644" t="s">
        <v>33</v>
      </c>
      <c r="H1644" s="14">
        <v>0.21</v>
      </c>
      <c r="I1644" s="23">
        <v>403.2</v>
      </c>
      <c r="J1644" s="4">
        <v>805.98</v>
      </c>
    </row>
    <row r="1645" spans="1:10">
      <c r="A1645" t="s">
        <v>2449</v>
      </c>
      <c r="B1645" s="3">
        <v>45547</v>
      </c>
      <c r="C1645" t="s">
        <v>827</v>
      </c>
      <c r="D1645" t="s">
        <v>400</v>
      </c>
      <c r="E1645" t="s">
        <v>149</v>
      </c>
      <c r="F1645">
        <v>4</v>
      </c>
      <c r="G1645" t="s">
        <v>33</v>
      </c>
      <c r="H1645" s="14">
        <v>0.27</v>
      </c>
      <c r="I1645" s="23">
        <v>292.31</v>
      </c>
      <c r="J1645" s="4">
        <v>1168.1600000000001</v>
      </c>
    </row>
    <row r="1646" spans="1:10">
      <c r="A1646" t="s">
        <v>2450</v>
      </c>
      <c r="B1646" s="3">
        <v>45806</v>
      </c>
      <c r="C1646" t="s">
        <v>233</v>
      </c>
      <c r="D1646" t="s">
        <v>868</v>
      </c>
      <c r="E1646" t="s">
        <v>168</v>
      </c>
      <c r="F1646">
        <v>1</v>
      </c>
      <c r="G1646" t="s">
        <v>23</v>
      </c>
      <c r="H1646" s="14">
        <v>0.11</v>
      </c>
      <c r="I1646" s="23">
        <v>948.33</v>
      </c>
      <c r="J1646" s="4">
        <v>948.22</v>
      </c>
    </row>
    <row r="1647" spans="1:10">
      <c r="A1647" t="s">
        <v>2451</v>
      </c>
      <c r="B1647" s="3">
        <v>45294</v>
      </c>
      <c r="C1647" t="s">
        <v>497</v>
      </c>
      <c r="D1647" t="s">
        <v>104</v>
      </c>
      <c r="E1647" t="s">
        <v>58</v>
      </c>
      <c r="F1647">
        <v>1</v>
      </c>
      <c r="G1647" t="s">
        <v>50</v>
      </c>
      <c r="H1647" s="14">
        <v>0.17</v>
      </c>
      <c r="I1647" s="23">
        <v>702.27</v>
      </c>
      <c r="J1647" s="4">
        <v>702.1</v>
      </c>
    </row>
    <row r="1648" spans="1:10">
      <c r="A1648" t="s">
        <v>2452</v>
      </c>
      <c r="B1648" s="3">
        <v>45875</v>
      </c>
      <c r="C1648" t="s">
        <v>442</v>
      </c>
      <c r="D1648" t="s">
        <v>271</v>
      </c>
      <c r="E1648" t="s">
        <v>22</v>
      </c>
      <c r="F1648">
        <v>2</v>
      </c>
      <c r="G1648" t="s">
        <v>23</v>
      </c>
      <c r="H1648" s="14">
        <v>0.26</v>
      </c>
      <c r="I1648" s="23">
        <v>379.28</v>
      </c>
      <c r="J1648" s="4">
        <v>758.04</v>
      </c>
    </row>
    <row r="1649" spans="1:10">
      <c r="A1649" t="s">
        <v>2453</v>
      </c>
      <c r="B1649" s="3">
        <v>45669</v>
      </c>
      <c r="C1649" t="s">
        <v>2454</v>
      </c>
      <c r="D1649" t="s">
        <v>302</v>
      </c>
      <c r="E1649" t="s">
        <v>90</v>
      </c>
      <c r="F1649">
        <v>4</v>
      </c>
      <c r="G1649" t="s">
        <v>23</v>
      </c>
      <c r="H1649" s="14">
        <v>0.15</v>
      </c>
      <c r="I1649" s="23">
        <v>92.35</v>
      </c>
      <c r="J1649" s="4">
        <v>368.8</v>
      </c>
    </row>
    <row r="1650" spans="1:10">
      <c r="A1650" t="s">
        <v>2455</v>
      </c>
      <c r="B1650" s="3">
        <v>45606</v>
      </c>
      <c r="C1650" t="s">
        <v>785</v>
      </c>
      <c r="D1650" t="s">
        <v>104</v>
      </c>
      <c r="E1650" t="s">
        <v>208</v>
      </c>
      <c r="F1650">
        <v>4</v>
      </c>
      <c r="G1650" t="s">
        <v>23</v>
      </c>
      <c r="H1650" s="14">
        <v>0.21</v>
      </c>
      <c r="I1650" s="23">
        <v>721.54</v>
      </c>
      <c r="J1650" s="4">
        <v>2885.32</v>
      </c>
    </row>
    <row r="1651" spans="1:10">
      <c r="A1651" t="s">
        <v>2456</v>
      </c>
      <c r="B1651" s="3">
        <v>45787</v>
      </c>
      <c r="C1651" t="s">
        <v>1042</v>
      </c>
      <c r="D1651" t="s">
        <v>340</v>
      </c>
      <c r="E1651" t="s">
        <v>127</v>
      </c>
      <c r="F1651">
        <v>1</v>
      </c>
      <c r="G1651" t="s">
        <v>23</v>
      </c>
      <c r="H1651" s="14">
        <v>0.14000000000000001</v>
      </c>
      <c r="I1651" s="23">
        <v>228.69</v>
      </c>
      <c r="J1651" s="4">
        <v>228.55</v>
      </c>
    </row>
    <row r="1652" spans="1:10">
      <c r="A1652" t="s">
        <v>2457</v>
      </c>
      <c r="B1652" s="3">
        <v>45929</v>
      </c>
      <c r="C1652" t="s">
        <v>1453</v>
      </c>
      <c r="D1652" t="s">
        <v>207</v>
      </c>
      <c r="E1652" t="s">
        <v>168</v>
      </c>
      <c r="F1652">
        <v>1</v>
      </c>
      <c r="G1652" t="s">
        <v>33</v>
      </c>
      <c r="H1652" s="14">
        <v>0.2</v>
      </c>
      <c r="I1652" s="23">
        <v>899.09</v>
      </c>
      <c r="J1652" s="4">
        <v>898.89</v>
      </c>
    </row>
    <row r="1653" spans="1:10">
      <c r="A1653" t="s">
        <v>2458</v>
      </c>
      <c r="B1653" s="3">
        <v>45379</v>
      </c>
      <c r="C1653" t="s">
        <v>1097</v>
      </c>
      <c r="D1653" t="s">
        <v>484</v>
      </c>
      <c r="E1653" t="s">
        <v>43</v>
      </c>
      <c r="F1653">
        <v>4</v>
      </c>
      <c r="G1653" t="s">
        <v>23</v>
      </c>
      <c r="H1653" s="14">
        <v>0.17</v>
      </c>
      <c r="I1653" s="23">
        <v>195.75</v>
      </c>
      <c r="J1653" s="4">
        <v>782.32</v>
      </c>
    </row>
    <row r="1654" spans="1:10">
      <c r="A1654" t="s">
        <v>2459</v>
      </c>
      <c r="B1654" s="3">
        <v>45532</v>
      </c>
      <c r="C1654" t="s">
        <v>1770</v>
      </c>
      <c r="D1654" t="s">
        <v>317</v>
      </c>
      <c r="E1654" t="s">
        <v>122</v>
      </c>
      <c r="F1654">
        <v>3</v>
      </c>
      <c r="G1654" t="s">
        <v>23</v>
      </c>
      <c r="H1654" s="14">
        <v>0.24</v>
      </c>
      <c r="I1654" s="23">
        <v>199.13</v>
      </c>
      <c r="J1654" s="4">
        <v>596.66999999999996</v>
      </c>
    </row>
    <row r="1655" spans="1:10">
      <c r="A1655" t="s">
        <v>2460</v>
      </c>
      <c r="B1655" s="3">
        <v>45466</v>
      </c>
      <c r="C1655" t="s">
        <v>1155</v>
      </c>
      <c r="D1655" t="s">
        <v>443</v>
      </c>
      <c r="E1655" t="s">
        <v>98</v>
      </c>
      <c r="F1655">
        <v>2</v>
      </c>
      <c r="G1655" t="s">
        <v>23</v>
      </c>
      <c r="H1655" s="14">
        <v>0.18</v>
      </c>
      <c r="I1655" s="23">
        <v>833.62</v>
      </c>
      <c r="J1655" s="4">
        <v>1666.88</v>
      </c>
    </row>
    <row r="1656" spans="1:10">
      <c r="A1656" t="s">
        <v>2461</v>
      </c>
      <c r="B1656" s="3">
        <v>45395</v>
      </c>
      <c r="C1656" t="s">
        <v>799</v>
      </c>
      <c r="D1656" t="s">
        <v>213</v>
      </c>
      <c r="E1656" t="s">
        <v>90</v>
      </c>
      <c r="F1656">
        <v>1</v>
      </c>
      <c r="G1656" t="s">
        <v>23</v>
      </c>
      <c r="H1656" s="14">
        <v>0.14000000000000001</v>
      </c>
      <c r="I1656" s="23">
        <v>676.26</v>
      </c>
      <c r="J1656" s="4">
        <v>676.12</v>
      </c>
    </row>
    <row r="1657" spans="1:10">
      <c r="A1657" t="s">
        <v>2462</v>
      </c>
      <c r="B1657" s="3">
        <v>45708</v>
      </c>
      <c r="C1657" t="s">
        <v>1183</v>
      </c>
      <c r="D1657" t="s">
        <v>148</v>
      </c>
      <c r="E1657" t="s">
        <v>127</v>
      </c>
      <c r="F1657">
        <v>2</v>
      </c>
      <c r="G1657" t="s">
        <v>23</v>
      </c>
      <c r="H1657" s="14">
        <v>0.06</v>
      </c>
      <c r="I1657" s="23">
        <v>666.49</v>
      </c>
      <c r="J1657" s="4">
        <v>1332.86</v>
      </c>
    </row>
    <row r="1658" spans="1:10">
      <c r="A1658" t="s">
        <v>2463</v>
      </c>
      <c r="B1658" s="3">
        <v>45735</v>
      </c>
      <c r="C1658" t="s">
        <v>2464</v>
      </c>
      <c r="D1658" t="s">
        <v>65</v>
      </c>
      <c r="E1658" t="s">
        <v>72</v>
      </c>
      <c r="F1658">
        <v>3</v>
      </c>
      <c r="G1658" t="s">
        <v>50</v>
      </c>
      <c r="H1658" s="14">
        <v>0.28000000000000003</v>
      </c>
      <c r="I1658" s="23">
        <v>471.19</v>
      </c>
      <c r="J1658" s="4">
        <v>1412.73</v>
      </c>
    </row>
    <row r="1659" spans="1:10">
      <c r="A1659" t="s">
        <v>2465</v>
      </c>
      <c r="B1659" s="3">
        <v>45237</v>
      </c>
      <c r="C1659" t="s">
        <v>452</v>
      </c>
      <c r="D1659" t="s">
        <v>484</v>
      </c>
      <c r="E1659" t="s">
        <v>22</v>
      </c>
      <c r="F1659">
        <v>4</v>
      </c>
      <c r="G1659" t="s">
        <v>50</v>
      </c>
      <c r="H1659" s="14">
        <v>0.25</v>
      </c>
      <c r="I1659" s="23">
        <v>555.65</v>
      </c>
      <c r="J1659" s="4">
        <v>2221.6</v>
      </c>
    </row>
    <row r="1660" spans="1:10">
      <c r="A1660" t="s">
        <v>2466</v>
      </c>
      <c r="B1660" s="3">
        <v>45282</v>
      </c>
      <c r="C1660" t="s">
        <v>351</v>
      </c>
      <c r="D1660" t="s">
        <v>1126</v>
      </c>
      <c r="E1660" t="s">
        <v>98</v>
      </c>
      <c r="F1660">
        <v>2</v>
      </c>
      <c r="G1660" t="s">
        <v>23</v>
      </c>
      <c r="H1660" s="14">
        <v>0.06</v>
      </c>
      <c r="I1660" s="23">
        <v>100.42</v>
      </c>
      <c r="J1660" s="4">
        <v>200.72</v>
      </c>
    </row>
    <row r="1661" spans="1:10">
      <c r="A1661" t="s">
        <v>2467</v>
      </c>
      <c r="B1661" s="3">
        <v>45337</v>
      </c>
      <c r="C1661" t="s">
        <v>1000</v>
      </c>
      <c r="D1661" t="s">
        <v>187</v>
      </c>
      <c r="E1661" t="s">
        <v>160</v>
      </c>
      <c r="F1661">
        <v>3</v>
      </c>
      <c r="G1661" t="s">
        <v>50</v>
      </c>
      <c r="H1661" s="14">
        <v>0.05</v>
      </c>
      <c r="I1661" s="23">
        <v>981.69</v>
      </c>
      <c r="J1661" s="4">
        <v>2944.92</v>
      </c>
    </row>
    <row r="1662" spans="1:10">
      <c r="A1662" t="s">
        <v>2468</v>
      </c>
      <c r="B1662" s="3">
        <v>45310</v>
      </c>
      <c r="C1662" t="s">
        <v>388</v>
      </c>
      <c r="D1662" t="s">
        <v>234</v>
      </c>
      <c r="E1662" t="s">
        <v>117</v>
      </c>
      <c r="F1662">
        <v>2</v>
      </c>
      <c r="G1662" t="s">
        <v>50</v>
      </c>
      <c r="H1662" s="14">
        <v>0.09</v>
      </c>
      <c r="I1662" s="23">
        <v>848.87</v>
      </c>
      <c r="J1662" s="4">
        <v>1697.56</v>
      </c>
    </row>
    <row r="1663" spans="1:10">
      <c r="A1663" t="s">
        <v>2469</v>
      </c>
      <c r="B1663" s="3">
        <v>45230</v>
      </c>
      <c r="C1663" t="s">
        <v>1873</v>
      </c>
      <c r="D1663" t="s">
        <v>1259</v>
      </c>
      <c r="E1663" t="s">
        <v>168</v>
      </c>
      <c r="F1663">
        <v>3</v>
      </c>
      <c r="G1663" t="s">
        <v>33</v>
      </c>
      <c r="H1663" s="14">
        <v>0</v>
      </c>
      <c r="I1663" s="23">
        <v>582.32000000000005</v>
      </c>
      <c r="J1663" s="4">
        <v>1746.96</v>
      </c>
    </row>
    <row r="1664" spans="1:10">
      <c r="A1664" t="s">
        <v>2470</v>
      </c>
      <c r="B1664" s="3">
        <v>45341</v>
      </c>
      <c r="C1664" t="s">
        <v>527</v>
      </c>
      <c r="D1664" t="s">
        <v>42</v>
      </c>
      <c r="E1664" t="s">
        <v>32</v>
      </c>
      <c r="F1664">
        <v>2</v>
      </c>
      <c r="G1664" t="s">
        <v>50</v>
      </c>
      <c r="H1664" s="14">
        <v>0.24</v>
      </c>
      <c r="I1664" s="23">
        <v>869.43</v>
      </c>
      <c r="J1664" s="4">
        <v>1738.38</v>
      </c>
    </row>
    <row r="1665" spans="1:10">
      <c r="A1665" t="s">
        <v>2471</v>
      </c>
      <c r="B1665" s="3">
        <v>45440</v>
      </c>
      <c r="C1665" t="s">
        <v>2097</v>
      </c>
      <c r="D1665" t="s">
        <v>420</v>
      </c>
      <c r="E1665" t="s">
        <v>72</v>
      </c>
      <c r="F1665">
        <v>1</v>
      </c>
      <c r="G1665" t="s">
        <v>50</v>
      </c>
      <c r="H1665" s="14">
        <v>0.03</v>
      </c>
      <c r="I1665" s="23">
        <v>62.26</v>
      </c>
      <c r="J1665" s="4">
        <v>62.23</v>
      </c>
    </row>
    <row r="1666" spans="1:10">
      <c r="A1666" t="s">
        <v>2472</v>
      </c>
      <c r="B1666" s="3">
        <v>45798</v>
      </c>
      <c r="C1666" t="s">
        <v>78</v>
      </c>
      <c r="D1666" t="s">
        <v>104</v>
      </c>
      <c r="E1666" t="s">
        <v>98</v>
      </c>
      <c r="F1666">
        <v>3</v>
      </c>
      <c r="G1666" t="s">
        <v>50</v>
      </c>
      <c r="H1666" s="14">
        <v>0.04</v>
      </c>
      <c r="I1666" s="23">
        <v>343.97</v>
      </c>
      <c r="J1666" s="4">
        <v>1031.79</v>
      </c>
    </row>
    <row r="1667" spans="1:10">
      <c r="A1667" t="s">
        <v>2473</v>
      </c>
      <c r="B1667" s="3">
        <v>45293</v>
      </c>
      <c r="C1667" t="s">
        <v>386</v>
      </c>
      <c r="D1667" t="s">
        <v>97</v>
      </c>
      <c r="E1667" t="s">
        <v>208</v>
      </c>
      <c r="F1667">
        <v>3</v>
      </c>
      <c r="G1667" t="s">
        <v>23</v>
      </c>
      <c r="H1667" s="14">
        <v>0.11</v>
      </c>
      <c r="I1667" s="23">
        <v>304.67</v>
      </c>
      <c r="J1667" s="4">
        <v>913.68</v>
      </c>
    </row>
    <row r="1668" spans="1:10">
      <c r="A1668" t="s">
        <v>2474</v>
      </c>
      <c r="B1668" s="3">
        <v>45296</v>
      </c>
      <c r="C1668" t="s">
        <v>1152</v>
      </c>
      <c r="D1668" t="s">
        <v>139</v>
      </c>
      <c r="E1668" t="s">
        <v>127</v>
      </c>
      <c r="F1668">
        <v>4</v>
      </c>
      <c r="G1668" t="s">
        <v>33</v>
      </c>
      <c r="H1668" s="14">
        <v>0.01</v>
      </c>
      <c r="I1668" s="23">
        <v>208.34</v>
      </c>
      <c r="J1668" s="4">
        <v>833.32</v>
      </c>
    </row>
    <row r="1669" spans="1:10">
      <c r="A1669" t="s">
        <v>2475</v>
      </c>
      <c r="B1669" s="3">
        <v>45860</v>
      </c>
      <c r="C1669" t="s">
        <v>794</v>
      </c>
      <c r="D1669" t="s">
        <v>400</v>
      </c>
      <c r="E1669" t="s">
        <v>105</v>
      </c>
      <c r="F1669">
        <v>1</v>
      </c>
      <c r="G1669" t="s">
        <v>50</v>
      </c>
      <c r="H1669" s="14">
        <v>0.13</v>
      </c>
      <c r="I1669" s="23">
        <v>119.04</v>
      </c>
      <c r="J1669" s="4">
        <v>118.91</v>
      </c>
    </row>
    <row r="1670" spans="1:10">
      <c r="A1670" t="s">
        <v>2476</v>
      </c>
      <c r="B1670" s="3">
        <v>45843</v>
      </c>
      <c r="C1670" t="s">
        <v>406</v>
      </c>
      <c r="D1670" t="s">
        <v>275</v>
      </c>
      <c r="E1670" t="s">
        <v>127</v>
      </c>
      <c r="F1670">
        <v>4</v>
      </c>
      <c r="G1670" t="s">
        <v>50</v>
      </c>
      <c r="H1670" s="14">
        <v>0.06</v>
      </c>
      <c r="I1670" s="23">
        <v>791.65</v>
      </c>
      <c r="J1670" s="4">
        <v>3166.36</v>
      </c>
    </row>
    <row r="1671" spans="1:10">
      <c r="A1671" t="s">
        <v>2477</v>
      </c>
      <c r="B1671" s="3">
        <v>45862</v>
      </c>
      <c r="C1671" t="s">
        <v>1526</v>
      </c>
      <c r="D1671" t="s">
        <v>480</v>
      </c>
      <c r="E1671" t="s">
        <v>198</v>
      </c>
      <c r="F1671">
        <v>2</v>
      </c>
      <c r="G1671" t="s">
        <v>23</v>
      </c>
      <c r="H1671" s="14">
        <v>0.23</v>
      </c>
      <c r="I1671" s="23">
        <v>414.86</v>
      </c>
      <c r="J1671" s="4">
        <v>829.26</v>
      </c>
    </row>
    <row r="1672" spans="1:10">
      <c r="A1672" t="s">
        <v>2478</v>
      </c>
      <c r="B1672" s="3">
        <v>45385</v>
      </c>
      <c r="C1672" t="s">
        <v>615</v>
      </c>
      <c r="D1672" t="s">
        <v>340</v>
      </c>
      <c r="E1672" t="s">
        <v>208</v>
      </c>
      <c r="F1672">
        <v>2</v>
      </c>
      <c r="G1672" t="s">
        <v>33</v>
      </c>
      <c r="H1672" s="14">
        <v>0.28000000000000003</v>
      </c>
      <c r="I1672" s="23">
        <v>960.81</v>
      </c>
      <c r="J1672" s="4">
        <v>1921.06</v>
      </c>
    </row>
    <row r="1673" spans="1:10">
      <c r="A1673" t="s">
        <v>2479</v>
      </c>
      <c r="B1673" s="3">
        <v>45668</v>
      </c>
      <c r="C1673" t="s">
        <v>1143</v>
      </c>
      <c r="D1673" t="s">
        <v>409</v>
      </c>
      <c r="E1673" t="s">
        <v>72</v>
      </c>
      <c r="F1673">
        <v>4</v>
      </c>
      <c r="G1673" t="s">
        <v>33</v>
      </c>
      <c r="H1673" s="14">
        <v>0.18</v>
      </c>
      <c r="I1673" s="23">
        <v>943.36</v>
      </c>
      <c r="J1673" s="4">
        <v>3772.72</v>
      </c>
    </row>
    <row r="1674" spans="1:10">
      <c r="A1674" t="s">
        <v>2480</v>
      </c>
      <c r="B1674" s="3">
        <v>45561</v>
      </c>
      <c r="C1674" t="s">
        <v>186</v>
      </c>
      <c r="D1674" t="s">
        <v>414</v>
      </c>
      <c r="E1674" t="s">
        <v>149</v>
      </c>
      <c r="F1674">
        <v>1</v>
      </c>
      <c r="G1674" t="s">
        <v>50</v>
      </c>
      <c r="H1674" s="14">
        <v>0.26</v>
      </c>
      <c r="I1674" s="23">
        <v>830.42</v>
      </c>
      <c r="J1674" s="4">
        <v>830.16</v>
      </c>
    </row>
    <row r="1675" spans="1:10">
      <c r="A1675" t="s">
        <v>2481</v>
      </c>
      <c r="B1675" s="3">
        <v>45637</v>
      </c>
      <c r="C1675" t="s">
        <v>1301</v>
      </c>
      <c r="D1675" t="s">
        <v>178</v>
      </c>
      <c r="E1675" t="s">
        <v>32</v>
      </c>
      <c r="F1675">
        <v>1</v>
      </c>
      <c r="G1675" t="s">
        <v>23</v>
      </c>
      <c r="H1675" s="14">
        <v>0.19</v>
      </c>
      <c r="I1675" s="23">
        <v>762.55</v>
      </c>
      <c r="J1675" s="4">
        <v>762.36</v>
      </c>
    </row>
    <row r="1676" spans="1:10">
      <c r="A1676" t="s">
        <v>2482</v>
      </c>
      <c r="B1676" s="3">
        <v>45839</v>
      </c>
      <c r="C1676" t="s">
        <v>497</v>
      </c>
      <c r="D1676" t="s">
        <v>31</v>
      </c>
      <c r="E1676" t="s">
        <v>160</v>
      </c>
      <c r="F1676">
        <v>2</v>
      </c>
      <c r="G1676" t="s">
        <v>50</v>
      </c>
      <c r="H1676" s="14">
        <v>0.24</v>
      </c>
      <c r="I1676" s="23">
        <v>464.43</v>
      </c>
      <c r="J1676" s="4">
        <v>928.38</v>
      </c>
    </row>
    <row r="1677" spans="1:10">
      <c r="A1677" t="s">
        <v>2483</v>
      </c>
      <c r="B1677" s="3">
        <v>45851</v>
      </c>
      <c r="C1677" t="s">
        <v>70</v>
      </c>
      <c r="D1677" t="s">
        <v>779</v>
      </c>
      <c r="E1677" t="s">
        <v>160</v>
      </c>
      <c r="F1677">
        <v>1</v>
      </c>
      <c r="G1677" t="s">
        <v>33</v>
      </c>
      <c r="H1677" s="14">
        <v>0.24</v>
      </c>
      <c r="I1677" s="23">
        <v>711.08</v>
      </c>
      <c r="J1677" s="4">
        <v>710.84</v>
      </c>
    </row>
    <row r="1678" spans="1:10">
      <c r="A1678" t="s">
        <v>2484</v>
      </c>
      <c r="B1678" s="3">
        <v>45656</v>
      </c>
      <c r="C1678" t="s">
        <v>890</v>
      </c>
      <c r="D1678" t="s">
        <v>344</v>
      </c>
      <c r="E1678" t="s">
        <v>98</v>
      </c>
      <c r="F1678">
        <v>2</v>
      </c>
      <c r="G1678" t="s">
        <v>33</v>
      </c>
      <c r="H1678" s="14">
        <v>0.16</v>
      </c>
      <c r="I1678" s="23">
        <v>984.96</v>
      </c>
      <c r="J1678" s="4">
        <v>1969.6</v>
      </c>
    </row>
    <row r="1679" spans="1:10">
      <c r="A1679" t="s">
        <v>2485</v>
      </c>
      <c r="B1679" s="3">
        <v>45759</v>
      </c>
      <c r="C1679" t="s">
        <v>497</v>
      </c>
      <c r="D1679" t="s">
        <v>340</v>
      </c>
      <c r="E1679" t="s">
        <v>208</v>
      </c>
      <c r="F1679">
        <v>1</v>
      </c>
      <c r="G1679" t="s">
        <v>50</v>
      </c>
      <c r="H1679" s="14">
        <v>0.06</v>
      </c>
      <c r="I1679" s="23">
        <v>21.14</v>
      </c>
      <c r="J1679" s="4">
        <v>21.08</v>
      </c>
    </row>
    <row r="1680" spans="1:10">
      <c r="A1680" t="s">
        <v>2486</v>
      </c>
      <c r="B1680" s="3">
        <v>45679</v>
      </c>
      <c r="C1680" t="s">
        <v>2320</v>
      </c>
      <c r="D1680" t="s">
        <v>187</v>
      </c>
      <c r="E1680" t="s">
        <v>43</v>
      </c>
      <c r="F1680">
        <v>1</v>
      </c>
      <c r="G1680" t="s">
        <v>23</v>
      </c>
      <c r="H1680" s="14">
        <v>0.16</v>
      </c>
      <c r="I1680" s="23">
        <v>343.03</v>
      </c>
      <c r="J1680" s="4">
        <v>342.87</v>
      </c>
    </row>
    <row r="1681" spans="1:10">
      <c r="A1681" t="s">
        <v>2487</v>
      </c>
      <c r="B1681" s="3">
        <v>45237</v>
      </c>
      <c r="C1681" t="s">
        <v>1495</v>
      </c>
      <c r="D1681" t="s">
        <v>291</v>
      </c>
      <c r="E1681" t="s">
        <v>160</v>
      </c>
      <c r="F1681">
        <v>3</v>
      </c>
      <c r="G1681" t="s">
        <v>50</v>
      </c>
      <c r="H1681" s="14">
        <v>0.16</v>
      </c>
      <c r="I1681" s="23">
        <v>94.83</v>
      </c>
      <c r="J1681" s="4">
        <v>284.01</v>
      </c>
    </row>
    <row r="1682" spans="1:10">
      <c r="A1682" t="s">
        <v>2488</v>
      </c>
      <c r="B1682" s="3">
        <v>45790</v>
      </c>
      <c r="C1682" t="s">
        <v>2010</v>
      </c>
      <c r="D1682" t="s">
        <v>167</v>
      </c>
      <c r="E1682" t="s">
        <v>135</v>
      </c>
      <c r="F1682">
        <v>3</v>
      </c>
      <c r="G1682" t="s">
        <v>33</v>
      </c>
      <c r="H1682" s="14">
        <v>0.03</v>
      </c>
      <c r="I1682" s="23">
        <v>74.66</v>
      </c>
      <c r="J1682" s="4">
        <v>223.89</v>
      </c>
    </row>
    <row r="1683" spans="1:10">
      <c r="A1683" t="s">
        <v>2489</v>
      </c>
      <c r="B1683" s="3">
        <v>45268</v>
      </c>
      <c r="C1683" t="s">
        <v>760</v>
      </c>
      <c r="D1683" t="s">
        <v>786</v>
      </c>
      <c r="E1683" t="s">
        <v>122</v>
      </c>
      <c r="F1683">
        <v>3</v>
      </c>
      <c r="G1683" t="s">
        <v>50</v>
      </c>
      <c r="H1683" s="14">
        <v>0.01</v>
      </c>
      <c r="I1683" s="23">
        <v>281.95999999999998</v>
      </c>
      <c r="J1683" s="4">
        <v>845.85</v>
      </c>
    </row>
    <row r="1684" spans="1:10">
      <c r="A1684" t="s">
        <v>2490</v>
      </c>
      <c r="B1684" s="3">
        <v>45664</v>
      </c>
      <c r="C1684" t="s">
        <v>2250</v>
      </c>
      <c r="D1684" t="s">
        <v>368</v>
      </c>
      <c r="E1684" t="s">
        <v>160</v>
      </c>
      <c r="F1684">
        <v>4</v>
      </c>
      <c r="G1684" t="s">
        <v>33</v>
      </c>
      <c r="H1684" s="14">
        <v>0.02</v>
      </c>
      <c r="I1684" s="23">
        <v>622.27</v>
      </c>
      <c r="J1684" s="4">
        <v>2489</v>
      </c>
    </row>
    <row r="1685" spans="1:10">
      <c r="A1685" t="s">
        <v>2491</v>
      </c>
      <c r="B1685" s="3">
        <v>45475</v>
      </c>
      <c r="C1685" t="s">
        <v>938</v>
      </c>
      <c r="D1685" t="s">
        <v>786</v>
      </c>
      <c r="E1685" t="s">
        <v>66</v>
      </c>
      <c r="F1685">
        <v>2</v>
      </c>
      <c r="G1685" t="s">
        <v>50</v>
      </c>
      <c r="H1685" s="14">
        <v>0.28999999999999998</v>
      </c>
      <c r="I1685" s="23">
        <v>78.27</v>
      </c>
      <c r="J1685" s="4">
        <v>155.96</v>
      </c>
    </row>
    <row r="1686" spans="1:10">
      <c r="A1686" t="s">
        <v>2492</v>
      </c>
      <c r="B1686" s="3">
        <v>45845</v>
      </c>
      <c r="C1686" t="s">
        <v>677</v>
      </c>
      <c r="D1686" t="s">
        <v>661</v>
      </c>
      <c r="E1686" t="s">
        <v>149</v>
      </c>
      <c r="F1686">
        <v>4</v>
      </c>
      <c r="G1686" t="s">
        <v>50</v>
      </c>
      <c r="H1686" s="14">
        <v>0.23</v>
      </c>
      <c r="I1686" s="23">
        <v>676.58</v>
      </c>
      <c r="J1686" s="4">
        <v>2705.4</v>
      </c>
    </row>
    <row r="1687" spans="1:10">
      <c r="A1687" t="s">
        <v>2493</v>
      </c>
      <c r="B1687" s="3">
        <v>45446</v>
      </c>
      <c r="C1687" t="s">
        <v>1367</v>
      </c>
      <c r="D1687" t="s">
        <v>311</v>
      </c>
      <c r="E1687" t="s">
        <v>105</v>
      </c>
      <c r="F1687">
        <v>2</v>
      </c>
      <c r="G1687" t="s">
        <v>33</v>
      </c>
      <c r="H1687" s="14">
        <v>0.04</v>
      </c>
      <c r="I1687" s="23">
        <v>938.6</v>
      </c>
      <c r="J1687" s="4">
        <v>1877.12</v>
      </c>
    </row>
    <row r="1688" spans="1:10">
      <c r="A1688" t="s">
        <v>2494</v>
      </c>
      <c r="B1688" s="3">
        <v>45761</v>
      </c>
      <c r="C1688" t="s">
        <v>1453</v>
      </c>
      <c r="D1688" t="s">
        <v>197</v>
      </c>
      <c r="E1688" t="s">
        <v>98</v>
      </c>
      <c r="F1688">
        <v>2</v>
      </c>
      <c r="G1688" t="s">
        <v>23</v>
      </c>
      <c r="H1688" s="14">
        <v>0.01</v>
      </c>
      <c r="I1688" s="23">
        <v>859.47</v>
      </c>
      <c r="J1688" s="4">
        <v>1718.92</v>
      </c>
    </row>
    <row r="1689" spans="1:10">
      <c r="A1689" t="s">
        <v>2495</v>
      </c>
      <c r="B1689" s="3">
        <v>45363</v>
      </c>
      <c r="C1689" t="s">
        <v>1208</v>
      </c>
      <c r="D1689" t="s">
        <v>139</v>
      </c>
      <c r="E1689" t="s">
        <v>98</v>
      </c>
      <c r="F1689">
        <v>3</v>
      </c>
      <c r="G1689" t="s">
        <v>33</v>
      </c>
      <c r="H1689" s="14">
        <v>0.23</v>
      </c>
      <c r="I1689" s="23">
        <v>672.98</v>
      </c>
      <c r="J1689" s="4">
        <v>2018.25</v>
      </c>
    </row>
    <row r="1690" spans="1:10">
      <c r="A1690" t="s">
        <v>2496</v>
      </c>
      <c r="B1690" s="3">
        <v>45420</v>
      </c>
      <c r="C1690" t="s">
        <v>989</v>
      </c>
      <c r="D1690" t="s">
        <v>71</v>
      </c>
      <c r="E1690" t="s">
        <v>160</v>
      </c>
      <c r="F1690">
        <v>1</v>
      </c>
      <c r="G1690" t="s">
        <v>33</v>
      </c>
      <c r="H1690" s="14">
        <v>0.28999999999999998</v>
      </c>
      <c r="I1690" s="23">
        <v>75.8</v>
      </c>
      <c r="J1690" s="4">
        <v>75.510000000000005</v>
      </c>
    </row>
    <row r="1691" spans="1:10">
      <c r="A1691" t="s">
        <v>2497</v>
      </c>
      <c r="B1691" s="3">
        <v>45536</v>
      </c>
      <c r="C1691" t="s">
        <v>900</v>
      </c>
      <c r="D1691" t="s">
        <v>377</v>
      </c>
      <c r="E1691" t="s">
        <v>122</v>
      </c>
      <c r="F1691">
        <v>4</v>
      </c>
      <c r="G1691" t="s">
        <v>50</v>
      </c>
      <c r="H1691" s="14">
        <v>0.1</v>
      </c>
      <c r="I1691" s="23">
        <v>742.15</v>
      </c>
      <c r="J1691" s="4">
        <v>2968.2</v>
      </c>
    </row>
    <row r="1692" spans="1:10">
      <c r="A1692" t="s">
        <v>2498</v>
      </c>
      <c r="B1692" s="3">
        <v>45445</v>
      </c>
      <c r="C1692" t="s">
        <v>245</v>
      </c>
      <c r="D1692" t="s">
        <v>271</v>
      </c>
      <c r="E1692" t="s">
        <v>66</v>
      </c>
      <c r="F1692">
        <v>1</v>
      </c>
      <c r="G1692" t="s">
        <v>33</v>
      </c>
      <c r="H1692" s="14">
        <v>0.22</v>
      </c>
      <c r="I1692" s="23">
        <v>637.39</v>
      </c>
      <c r="J1692" s="4">
        <v>637.16999999999996</v>
      </c>
    </row>
    <row r="1693" spans="1:10">
      <c r="A1693" t="s">
        <v>2499</v>
      </c>
      <c r="B1693" s="3">
        <v>45230</v>
      </c>
      <c r="C1693" t="s">
        <v>1007</v>
      </c>
      <c r="D1693" t="s">
        <v>887</v>
      </c>
      <c r="E1693" t="s">
        <v>32</v>
      </c>
      <c r="F1693">
        <v>1</v>
      </c>
      <c r="G1693" t="s">
        <v>23</v>
      </c>
      <c r="H1693" s="14">
        <v>0.04</v>
      </c>
      <c r="I1693" s="23">
        <v>631</v>
      </c>
      <c r="J1693" s="4">
        <v>630.96</v>
      </c>
    </row>
    <row r="1694" spans="1:10">
      <c r="A1694" t="s">
        <v>2500</v>
      </c>
      <c r="B1694" s="3">
        <v>45916</v>
      </c>
      <c r="C1694" t="s">
        <v>2501</v>
      </c>
      <c r="D1694" t="s">
        <v>429</v>
      </c>
      <c r="E1694" t="s">
        <v>22</v>
      </c>
      <c r="F1694">
        <v>4</v>
      </c>
      <c r="G1694" t="s">
        <v>50</v>
      </c>
      <c r="H1694" s="14">
        <v>0.11</v>
      </c>
      <c r="I1694" s="23">
        <v>983.98</v>
      </c>
      <c r="J1694" s="4">
        <v>3935.48</v>
      </c>
    </row>
    <row r="1695" spans="1:10">
      <c r="A1695" t="s">
        <v>2502</v>
      </c>
      <c r="B1695" s="3">
        <v>45353</v>
      </c>
      <c r="C1695" t="s">
        <v>384</v>
      </c>
      <c r="D1695" t="s">
        <v>564</v>
      </c>
      <c r="E1695" t="s">
        <v>272</v>
      </c>
      <c r="F1695">
        <v>4</v>
      </c>
      <c r="G1695" t="s">
        <v>23</v>
      </c>
      <c r="H1695" s="14">
        <v>0.08</v>
      </c>
      <c r="I1695" s="23">
        <v>73.69</v>
      </c>
      <c r="J1695" s="4">
        <v>294.44</v>
      </c>
    </row>
    <row r="1696" spans="1:10">
      <c r="A1696" t="s">
        <v>2503</v>
      </c>
      <c r="B1696" s="3">
        <v>45490</v>
      </c>
      <c r="C1696" t="s">
        <v>778</v>
      </c>
      <c r="D1696" t="s">
        <v>555</v>
      </c>
      <c r="E1696" t="s">
        <v>66</v>
      </c>
      <c r="F1696">
        <v>3</v>
      </c>
      <c r="G1696" t="s">
        <v>23</v>
      </c>
      <c r="H1696" s="14">
        <v>0.21</v>
      </c>
      <c r="I1696" s="23">
        <v>110.99</v>
      </c>
      <c r="J1696" s="4">
        <v>332.34</v>
      </c>
    </row>
    <row r="1697" spans="1:10">
      <c r="A1697" t="s">
        <v>2504</v>
      </c>
      <c r="B1697" s="3">
        <v>45850</v>
      </c>
      <c r="C1697" t="s">
        <v>738</v>
      </c>
      <c r="D1697" t="s">
        <v>234</v>
      </c>
      <c r="E1697" t="s">
        <v>66</v>
      </c>
      <c r="F1697">
        <v>1</v>
      </c>
      <c r="G1697" t="s">
        <v>50</v>
      </c>
      <c r="H1697" s="14">
        <v>0.22</v>
      </c>
      <c r="I1697" s="23">
        <v>66.86</v>
      </c>
      <c r="J1697" s="4">
        <v>66.64</v>
      </c>
    </row>
    <row r="1698" spans="1:10">
      <c r="A1698" t="s">
        <v>2505</v>
      </c>
      <c r="B1698" s="3">
        <v>45515</v>
      </c>
      <c r="C1698" t="s">
        <v>825</v>
      </c>
      <c r="D1698" t="s">
        <v>178</v>
      </c>
      <c r="E1698" t="s">
        <v>160</v>
      </c>
      <c r="F1698">
        <v>1</v>
      </c>
      <c r="G1698" t="s">
        <v>33</v>
      </c>
      <c r="H1698" s="14">
        <v>0.14000000000000001</v>
      </c>
      <c r="I1698" s="23">
        <v>980.26</v>
      </c>
      <c r="J1698" s="4">
        <v>980.12</v>
      </c>
    </row>
    <row r="1699" spans="1:10">
      <c r="A1699" t="s">
        <v>2506</v>
      </c>
      <c r="B1699" s="3">
        <v>45322</v>
      </c>
      <c r="C1699" t="s">
        <v>343</v>
      </c>
      <c r="D1699" t="s">
        <v>928</v>
      </c>
      <c r="E1699" t="s">
        <v>160</v>
      </c>
      <c r="F1699">
        <v>1</v>
      </c>
      <c r="G1699" t="s">
        <v>33</v>
      </c>
      <c r="H1699" s="14">
        <v>0.05</v>
      </c>
      <c r="I1699" s="23">
        <v>235.28</v>
      </c>
      <c r="J1699" s="4">
        <v>235.23</v>
      </c>
    </row>
    <row r="1700" spans="1:10">
      <c r="A1700" t="s">
        <v>2507</v>
      </c>
      <c r="B1700" s="3">
        <v>45542</v>
      </c>
      <c r="C1700" t="s">
        <v>298</v>
      </c>
      <c r="D1700" t="s">
        <v>768</v>
      </c>
      <c r="E1700" t="s">
        <v>122</v>
      </c>
      <c r="F1700">
        <v>3</v>
      </c>
      <c r="G1700" t="s">
        <v>33</v>
      </c>
      <c r="H1700" s="14">
        <v>0.08</v>
      </c>
      <c r="I1700" s="23">
        <v>407.39</v>
      </c>
      <c r="J1700" s="4">
        <v>1221.93</v>
      </c>
    </row>
    <row r="1701" spans="1:10">
      <c r="A1701" t="s">
        <v>2508</v>
      </c>
      <c r="B1701" s="3">
        <v>45675</v>
      </c>
      <c r="C1701" t="s">
        <v>548</v>
      </c>
      <c r="D1701" t="s">
        <v>139</v>
      </c>
      <c r="E1701" t="s">
        <v>98</v>
      </c>
      <c r="F1701">
        <v>4</v>
      </c>
      <c r="G1701" t="s">
        <v>50</v>
      </c>
      <c r="H1701" s="14">
        <v>0.12</v>
      </c>
      <c r="I1701" s="23">
        <v>459.83</v>
      </c>
      <c r="J1701" s="4">
        <v>1838.84</v>
      </c>
    </row>
    <row r="1702" spans="1:10">
      <c r="A1702" t="s">
        <v>2509</v>
      </c>
      <c r="B1702" s="3">
        <v>45333</v>
      </c>
      <c r="C1702" t="s">
        <v>1256</v>
      </c>
      <c r="D1702" t="s">
        <v>317</v>
      </c>
      <c r="E1702" t="s">
        <v>72</v>
      </c>
      <c r="F1702">
        <v>3</v>
      </c>
      <c r="G1702" t="s">
        <v>33</v>
      </c>
      <c r="H1702" s="14">
        <v>0.17</v>
      </c>
      <c r="I1702" s="23">
        <v>706.6</v>
      </c>
      <c r="J1702" s="4">
        <v>2119.29</v>
      </c>
    </row>
    <row r="1703" spans="1:10">
      <c r="A1703" t="s">
        <v>2510</v>
      </c>
      <c r="B1703" s="3">
        <v>45819</v>
      </c>
      <c r="C1703" t="s">
        <v>617</v>
      </c>
      <c r="D1703" t="s">
        <v>372</v>
      </c>
      <c r="E1703" t="s">
        <v>135</v>
      </c>
      <c r="F1703">
        <v>3</v>
      </c>
      <c r="G1703" t="s">
        <v>50</v>
      </c>
      <c r="H1703" s="14">
        <v>0.1</v>
      </c>
      <c r="I1703" s="23">
        <v>811.16</v>
      </c>
      <c r="J1703" s="4">
        <v>2433.1799999999998</v>
      </c>
    </row>
    <row r="1704" spans="1:10">
      <c r="A1704" t="s">
        <v>2511</v>
      </c>
      <c r="B1704" s="3">
        <v>45268</v>
      </c>
      <c r="C1704" t="s">
        <v>2349</v>
      </c>
      <c r="D1704" t="s">
        <v>786</v>
      </c>
      <c r="E1704" t="s">
        <v>66</v>
      </c>
      <c r="F1704">
        <v>2</v>
      </c>
      <c r="G1704" t="s">
        <v>33</v>
      </c>
      <c r="H1704" s="14">
        <v>0.04</v>
      </c>
      <c r="I1704" s="23">
        <v>985.79</v>
      </c>
      <c r="J1704" s="4">
        <v>1971.5</v>
      </c>
    </row>
    <row r="1705" spans="1:10">
      <c r="A1705" t="s">
        <v>2512</v>
      </c>
      <c r="B1705" s="3">
        <v>45521</v>
      </c>
      <c r="C1705" t="s">
        <v>84</v>
      </c>
      <c r="D1705" t="s">
        <v>89</v>
      </c>
      <c r="E1705" t="s">
        <v>98</v>
      </c>
      <c r="F1705">
        <v>1</v>
      </c>
      <c r="G1705" t="s">
        <v>23</v>
      </c>
      <c r="H1705" s="14">
        <v>0.3</v>
      </c>
      <c r="I1705" s="23">
        <v>255.02</v>
      </c>
      <c r="J1705" s="4">
        <v>254.72</v>
      </c>
    </row>
    <row r="1706" spans="1:10">
      <c r="A1706" t="s">
        <v>2513</v>
      </c>
      <c r="B1706" s="3">
        <v>45693</v>
      </c>
      <c r="C1706" t="s">
        <v>294</v>
      </c>
      <c r="D1706" t="s">
        <v>314</v>
      </c>
      <c r="E1706" t="s">
        <v>43</v>
      </c>
      <c r="F1706">
        <v>1</v>
      </c>
      <c r="G1706" t="s">
        <v>33</v>
      </c>
      <c r="H1706" s="14">
        <v>0.01</v>
      </c>
      <c r="I1706" s="23">
        <v>153.57</v>
      </c>
      <c r="J1706" s="4">
        <v>153.56</v>
      </c>
    </row>
    <row r="1707" spans="1:10">
      <c r="A1707" t="s">
        <v>2514</v>
      </c>
      <c r="B1707" s="3">
        <v>45734</v>
      </c>
      <c r="C1707" t="s">
        <v>367</v>
      </c>
      <c r="D1707" t="s">
        <v>159</v>
      </c>
      <c r="E1707" t="s">
        <v>160</v>
      </c>
      <c r="F1707">
        <v>3</v>
      </c>
      <c r="G1707" t="s">
        <v>23</v>
      </c>
      <c r="H1707" s="14">
        <v>0.21</v>
      </c>
      <c r="I1707" s="23">
        <v>962.98</v>
      </c>
      <c r="J1707" s="4">
        <v>2888.31</v>
      </c>
    </row>
    <row r="1708" spans="1:10">
      <c r="A1708" t="s">
        <v>2515</v>
      </c>
      <c r="B1708" s="3">
        <v>45377</v>
      </c>
      <c r="C1708" t="s">
        <v>1208</v>
      </c>
      <c r="D1708" t="s">
        <v>275</v>
      </c>
      <c r="E1708" t="s">
        <v>43</v>
      </c>
      <c r="F1708">
        <v>3</v>
      </c>
      <c r="G1708" t="s">
        <v>23</v>
      </c>
      <c r="H1708" s="14">
        <v>0.25</v>
      </c>
      <c r="I1708" s="23">
        <v>884.46</v>
      </c>
      <c r="J1708" s="4">
        <v>2652.63</v>
      </c>
    </row>
    <row r="1709" spans="1:10">
      <c r="A1709" t="s">
        <v>2516</v>
      </c>
      <c r="B1709" s="3">
        <v>45778</v>
      </c>
      <c r="C1709" t="s">
        <v>667</v>
      </c>
      <c r="D1709" t="s">
        <v>178</v>
      </c>
      <c r="E1709" t="s">
        <v>168</v>
      </c>
      <c r="F1709">
        <v>4</v>
      </c>
      <c r="G1709" t="s">
        <v>33</v>
      </c>
      <c r="H1709" s="14">
        <v>0.05</v>
      </c>
      <c r="I1709" s="23">
        <v>359.71</v>
      </c>
      <c r="J1709" s="4">
        <v>1438.64</v>
      </c>
    </row>
    <row r="1710" spans="1:10">
      <c r="A1710" t="s">
        <v>2517</v>
      </c>
      <c r="B1710" s="3">
        <v>45715</v>
      </c>
      <c r="C1710" t="s">
        <v>1361</v>
      </c>
      <c r="D1710" t="s">
        <v>409</v>
      </c>
      <c r="E1710" t="s">
        <v>72</v>
      </c>
      <c r="F1710">
        <v>3</v>
      </c>
      <c r="G1710" t="s">
        <v>23</v>
      </c>
      <c r="H1710" s="14">
        <v>0.18</v>
      </c>
      <c r="I1710" s="23">
        <v>766.47</v>
      </c>
      <c r="J1710" s="4">
        <v>2298.87</v>
      </c>
    </row>
    <row r="1711" spans="1:10">
      <c r="A1711" t="s">
        <v>2518</v>
      </c>
      <c r="B1711" s="3">
        <v>45492</v>
      </c>
      <c r="C1711" t="s">
        <v>1118</v>
      </c>
      <c r="D1711" t="s">
        <v>71</v>
      </c>
      <c r="E1711" t="s">
        <v>160</v>
      </c>
      <c r="F1711">
        <v>1</v>
      </c>
      <c r="G1711" t="s">
        <v>33</v>
      </c>
      <c r="H1711" s="14">
        <v>0.26</v>
      </c>
      <c r="I1711" s="23">
        <v>772.07</v>
      </c>
      <c r="J1711" s="4">
        <v>771.81</v>
      </c>
    </row>
    <row r="1712" spans="1:10">
      <c r="A1712" t="s">
        <v>2519</v>
      </c>
      <c r="B1712" s="3">
        <v>45292</v>
      </c>
      <c r="C1712" t="s">
        <v>490</v>
      </c>
      <c r="D1712" t="s">
        <v>314</v>
      </c>
      <c r="E1712" t="s">
        <v>58</v>
      </c>
      <c r="F1712">
        <v>3</v>
      </c>
      <c r="G1712" t="s">
        <v>50</v>
      </c>
      <c r="H1712" s="14">
        <v>0.26</v>
      </c>
      <c r="I1712" s="23">
        <v>108.31</v>
      </c>
      <c r="J1712" s="4">
        <v>324.14999999999998</v>
      </c>
    </row>
    <row r="1713" spans="1:10">
      <c r="A1713" t="s">
        <v>2520</v>
      </c>
      <c r="B1713" s="3">
        <v>45316</v>
      </c>
      <c r="C1713" t="s">
        <v>225</v>
      </c>
      <c r="D1713" t="s">
        <v>221</v>
      </c>
      <c r="E1713" t="s">
        <v>179</v>
      </c>
      <c r="F1713">
        <v>1</v>
      </c>
      <c r="G1713" t="s">
        <v>33</v>
      </c>
      <c r="H1713" s="14">
        <v>0</v>
      </c>
      <c r="I1713" s="23">
        <v>502.53</v>
      </c>
      <c r="J1713" s="4">
        <v>502.53</v>
      </c>
    </row>
    <row r="1714" spans="1:10">
      <c r="A1714" t="s">
        <v>2521</v>
      </c>
      <c r="B1714" s="3">
        <v>45548</v>
      </c>
      <c r="C1714" t="s">
        <v>578</v>
      </c>
      <c r="D1714" t="s">
        <v>389</v>
      </c>
      <c r="E1714" t="s">
        <v>117</v>
      </c>
      <c r="F1714">
        <v>2</v>
      </c>
      <c r="G1714" t="s">
        <v>50</v>
      </c>
      <c r="H1714" s="14">
        <v>0.11</v>
      </c>
      <c r="I1714" s="23">
        <v>508.52</v>
      </c>
      <c r="J1714" s="4">
        <v>1016.82</v>
      </c>
    </row>
    <row r="1715" spans="1:10">
      <c r="A1715" t="s">
        <v>2522</v>
      </c>
      <c r="B1715" s="3">
        <v>45572</v>
      </c>
      <c r="C1715" t="s">
        <v>843</v>
      </c>
      <c r="D1715" t="s">
        <v>31</v>
      </c>
      <c r="E1715" t="s">
        <v>22</v>
      </c>
      <c r="F1715">
        <v>1</v>
      </c>
      <c r="G1715" t="s">
        <v>33</v>
      </c>
      <c r="H1715" s="14">
        <v>0.26</v>
      </c>
      <c r="I1715" s="23">
        <v>492</v>
      </c>
      <c r="J1715" s="4">
        <v>491.74</v>
      </c>
    </row>
    <row r="1716" spans="1:10">
      <c r="A1716" t="s">
        <v>2523</v>
      </c>
      <c r="B1716" s="3">
        <v>45347</v>
      </c>
      <c r="C1716" t="s">
        <v>598</v>
      </c>
      <c r="D1716" t="s">
        <v>786</v>
      </c>
      <c r="E1716" t="s">
        <v>98</v>
      </c>
      <c r="F1716">
        <v>4</v>
      </c>
      <c r="G1716" t="s">
        <v>23</v>
      </c>
      <c r="H1716" s="14">
        <v>0.02</v>
      </c>
      <c r="I1716" s="23">
        <v>746.36</v>
      </c>
      <c r="J1716" s="4">
        <v>2985.36</v>
      </c>
    </row>
    <row r="1717" spans="1:10">
      <c r="A1717" t="s">
        <v>2524</v>
      </c>
      <c r="B1717" s="3">
        <v>45823</v>
      </c>
      <c r="C1717" t="s">
        <v>778</v>
      </c>
      <c r="D1717" t="s">
        <v>173</v>
      </c>
      <c r="E1717" t="s">
        <v>105</v>
      </c>
      <c r="F1717">
        <v>1</v>
      </c>
      <c r="G1717" t="s">
        <v>23</v>
      </c>
      <c r="H1717" s="14">
        <v>0.08</v>
      </c>
      <c r="I1717" s="23">
        <v>120.83</v>
      </c>
      <c r="J1717" s="4">
        <v>120.75</v>
      </c>
    </row>
    <row r="1718" spans="1:10">
      <c r="A1718" t="s">
        <v>2525</v>
      </c>
      <c r="B1718" s="3">
        <v>45394</v>
      </c>
      <c r="C1718" t="s">
        <v>531</v>
      </c>
      <c r="D1718" t="s">
        <v>192</v>
      </c>
      <c r="E1718" t="s">
        <v>160</v>
      </c>
      <c r="F1718">
        <v>2</v>
      </c>
      <c r="G1718" t="s">
        <v>50</v>
      </c>
      <c r="H1718" s="14">
        <v>0.28999999999999998</v>
      </c>
      <c r="I1718" s="23">
        <v>68.31</v>
      </c>
      <c r="J1718" s="4">
        <v>136.04</v>
      </c>
    </row>
    <row r="1719" spans="1:10">
      <c r="A1719" t="s">
        <v>2526</v>
      </c>
      <c r="B1719" s="3">
        <v>45265</v>
      </c>
      <c r="C1719" t="s">
        <v>1215</v>
      </c>
      <c r="D1719" t="s">
        <v>443</v>
      </c>
      <c r="E1719" t="s">
        <v>160</v>
      </c>
      <c r="F1719">
        <v>2</v>
      </c>
      <c r="G1719" t="s">
        <v>33</v>
      </c>
      <c r="H1719" s="14">
        <v>0.02</v>
      </c>
      <c r="I1719" s="23">
        <v>761.71</v>
      </c>
      <c r="J1719" s="4">
        <v>1523.38</v>
      </c>
    </row>
    <row r="1720" spans="1:10">
      <c r="A1720" t="s">
        <v>2527</v>
      </c>
      <c r="B1720" s="3">
        <v>45261</v>
      </c>
      <c r="C1720" t="s">
        <v>611</v>
      </c>
      <c r="D1720" t="s">
        <v>267</v>
      </c>
      <c r="E1720" t="s">
        <v>22</v>
      </c>
      <c r="F1720">
        <v>4</v>
      </c>
      <c r="G1720" t="s">
        <v>50</v>
      </c>
      <c r="H1720" s="14">
        <v>0.18</v>
      </c>
      <c r="I1720" s="23">
        <v>346.37</v>
      </c>
      <c r="J1720" s="4">
        <v>1384.76</v>
      </c>
    </row>
    <row r="1721" spans="1:10">
      <c r="A1721" t="s">
        <v>2528</v>
      </c>
      <c r="B1721" s="3">
        <v>45702</v>
      </c>
      <c r="C1721" t="s">
        <v>355</v>
      </c>
      <c r="D1721" t="s">
        <v>564</v>
      </c>
      <c r="E1721" t="s">
        <v>208</v>
      </c>
      <c r="F1721">
        <v>1</v>
      </c>
      <c r="G1721" t="s">
        <v>33</v>
      </c>
      <c r="H1721" s="14">
        <v>0.14000000000000001</v>
      </c>
      <c r="I1721" s="23">
        <v>846.3</v>
      </c>
      <c r="J1721" s="4">
        <v>846.16</v>
      </c>
    </row>
    <row r="1722" spans="1:10">
      <c r="A1722" t="s">
        <v>2529</v>
      </c>
      <c r="B1722" s="3">
        <v>45624</v>
      </c>
      <c r="C1722" t="s">
        <v>1919</v>
      </c>
      <c r="D1722" t="s">
        <v>768</v>
      </c>
      <c r="E1722" t="s">
        <v>135</v>
      </c>
      <c r="F1722">
        <v>1</v>
      </c>
      <c r="G1722" t="s">
        <v>33</v>
      </c>
      <c r="H1722" s="14">
        <v>0.1</v>
      </c>
      <c r="I1722" s="23">
        <v>458.97</v>
      </c>
      <c r="J1722" s="4">
        <v>458.87</v>
      </c>
    </row>
    <row r="1723" spans="1:10">
      <c r="A1723" t="s">
        <v>2530</v>
      </c>
      <c r="B1723" s="3">
        <v>45736</v>
      </c>
      <c r="C1723" t="s">
        <v>2531</v>
      </c>
      <c r="D1723" t="s">
        <v>159</v>
      </c>
      <c r="E1723" t="s">
        <v>66</v>
      </c>
      <c r="F1723">
        <v>2</v>
      </c>
      <c r="G1723" t="s">
        <v>23</v>
      </c>
      <c r="H1723" s="14">
        <v>0.14000000000000001</v>
      </c>
      <c r="I1723" s="23">
        <v>536.61</v>
      </c>
      <c r="J1723" s="4">
        <v>1072.94</v>
      </c>
    </row>
    <row r="1724" spans="1:10">
      <c r="A1724" t="s">
        <v>2532</v>
      </c>
      <c r="B1724" s="3">
        <v>45709</v>
      </c>
      <c r="C1724" t="s">
        <v>278</v>
      </c>
      <c r="D1724" t="s">
        <v>714</v>
      </c>
      <c r="E1724" t="s">
        <v>90</v>
      </c>
      <c r="F1724">
        <v>3</v>
      </c>
      <c r="G1724" t="s">
        <v>33</v>
      </c>
      <c r="H1724" s="14">
        <v>0.14000000000000001</v>
      </c>
      <c r="I1724" s="23">
        <v>130.41</v>
      </c>
      <c r="J1724" s="4">
        <v>390.81</v>
      </c>
    </row>
    <row r="1725" spans="1:10">
      <c r="A1725" t="s">
        <v>2533</v>
      </c>
      <c r="B1725" s="3">
        <v>45738</v>
      </c>
      <c r="C1725" t="s">
        <v>500</v>
      </c>
      <c r="D1725" t="s">
        <v>287</v>
      </c>
      <c r="E1725" t="s">
        <v>208</v>
      </c>
      <c r="F1725">
        <v>4</v>
      </c>
      <c r="G1725" t="s">
        <v>23</v>
      </c>
      <c r="H1725" s="14">
        <v>0.01</v>
      </c>
      <c r="I1725" s="23">
        <v>706.67</v>
      </c>
      <c r="J1725" s="4">
        <v>2826.64</v>
      </c>
    </row>
    <row r="1726" spans="1:10">
      <c r="A1726" t="s">
        <v>2534</v>
      </c>
      <c r="B1726" s="3">
        <v>45685</v>
      </c>
      <c r="C1726" t="s">
        <v>1651</v>
      </c>
      <c r="D1726" t="s">
        <v>139</v>
      </c>
      <c r="E1726" t="s">
        <v>22</v>
      </c>
      <c r="F1726">
        <v>3</v>
      </c>
      <c r="G1726" t="s">
        <v>23</v>
      </c>
      <c r="H1726" s="14">
        <v>0.17</v>
      </c>
      <c r="I1726" s="23">
        <v>523.45000000000005</v>
      </c>
      <c r="J1726" s="4">
        <v>1569.84</v>
      </c>
    </row>
    <row r="1727" spans="1:10">
      <c r="A1727" t="s">
        <v>2535</v>
      </c>
      <c r="B1727" s="3">
        <v>45701</v>
      </c>
      <c r="C1727" t="s">
        <v>1825</v>
      </c>
      <c r="D1727" t="s">
        <v>372</v>
      </c>
      <c r="E1727" t="s">
        <v>160</v>
      </c>
      <c r="F1727">
        <v>3</v>
      </c>
      <c r="G1727" t="s">
        <v>50</v>
      </c>
      <c r="H1727" s="14">
        <v>0.23</v>
      </c>
      <c r="I1727" s="23">
        <v>482.2</v>
      </c>
      <c r="J1727" s="4">
        <v>1445.91</v>
      </c>
    </row>
    <row r="1728" spans="1:10">
      <c r="A1728" t="s">
        <v>2536</v>
      </c>
      <c r="B1728" s="3">
        <v>45745</v>
      </c>
      <c r="C1728" t="s">
        <v>1392</v>
      </c>
      <c r="D1728" t="s">
        <v>625</v>
      </c>
      <c r="E1728" t="s">
        <v>58</v>
      </c>
      <c r="F1728">
        <v>4</v>
      </c>
      <c r="G1728" t="s">
        <v>50</v>
      </c>
      <c r="H1728" s="14">
        <v>0.02</v>
      </c>
      <c r="I1728" s="23">
        <v>688.86</v>
      </c>
      <c r="J1728" s="4">
        <v>2755.36</v>
      </c>
    </row>
    <row r="1729" spans="1:10">
      <c r="A1729" t="s">
        <v>2537</v>
      </c>
      <c r="B1729" s="3">
        <v>45214</v>
      </c>
      <c r="C1729" t="s">
        <v>740</v>
      </c>
      <c r="D1729" t="s">
        <v>173</v>
      </c>
      <c r="E1729" t="s">
        <v>90</v>
      </c>
      <c r="F1729">
        <v>1</v>
      </c>
      <c r="G1729" t="s">
        <v>50</v>
      </c>
      <c r="H1729" s="14">
        <v>0.1</v>
      </c>
      <c r="I1729" s="23">
        <v>145.47999999999999</v>
      </c>
      <c r="J1729" s="4">
        <v>145.38</v>
      </c>
    </row>
    <row r="1730" spans="1:10">
      <c r="A1730" t="s">
        <v>2538</v>
      </c>
      <c r="B1730" s="3">
        <v>45547</v>
      </c>
      <c r="C1730" t="s">
        <v>1526</v>
      </c>
      <c r="D1730" t="s">
        <v>311</v>
      </c>
      <c r="E1730" t="s">
        <v>272</v>
      </c>
      <c r="F1730">
        <v>4</v>
      </c>
      <c r="G1730" t="s">
        <v>33</v>
      </c>
      <c r="H1730" s="14">
        <v>0.28000000000000003</v>
      </c>
      <c r="I1730" s="23">
        <v>862.25</v>
      </c>
      <c r="J1730" s="4">
        <v>3447.88</v>
      </c>
    </row>
    <row r="1731" spans="1:10">
      <c r="A1731" t="s">
        <v>2539</v>
      </c>
      <c r="B1731" s="3">
        <v>45296</v>
      </c>
      <c r="C1731" t="s">
        <v>1514</v>
      </c>
      <c r="D1731" t="s">
        <v>389</v>
      </c>
      <c r="E1731" t="s">
        <v>98</v>
      </c>
      <c r="F1731">
        <v>4</v>
      </c>
      <c r="G1731" t="s">
        <v>50</v>
      </c>
      <c r="H1731" s="14">
        <v>0.12</v>
      </c>
      <c r="I1731" s="23">
        <v>146.12</v>
      </c>
      <c r="J1731" s="4">
        <v>584</v>
      </c>
    </row>
    <row r="1732" spans="1:10">
      <c r="A1732" t="s">
        <v>2540</v>
      </c>
      <c r="B1732" s="3">
        <v>45549</v>
      </c>
      <c r="C1732" t="s">
        <v>615</v>
      </c>
      <c r="D1732" t="s">
        <v>311</v>
      </c>
      <c r="E1732" t="s">
        <v>160</v>
      </c>
      <c r="F1732">
        <v>2</v>
      </c>
      <c r="G1732" t="s">
        <v>50</v>
      </c>
      <c r="H1732" s="14">
        <v>0.3</v>
      </c>
      <c r="I1732" s="23">
        <v>695.02</v>
      </c>
      <c r="J1732" s="4">
        <v>1389.44</v>
      </c>
    </row>
    <row r="1733" spans="1:10">
      <c r="A1733" t="s">
        <v>2541</v>
      </c>
      <c r="B1733" s="3">
        <v>45231</v>
      </c>
      <c r="C1733" t="s">
        <v>785</v>
      </c>
      <c r="D1733" t="s">
        <v>242</v>
      </c>
      <c r="E1733" t="s">
        <v>168</v>
      </c>
      <c r="F1733">
        <v>2</v>
      </c>
      <c r="G1733" t="s">
        <v>33</v>
      </c>
      <c r="H1733" s="14">
        <v>0.24</v>
      </c>
      <c r="I1733" s="23">
        <v>886.67</v>
      </c>
      <c r="J1733" s="4">
        <v>1772.86</v>
      </c>
    </row>
    <row r="1734" spans="1:10">
      <c r="A1734" t="s">
        <v>2542</v>
      </c>
      <c r="B1734" s="3">
        <v>45628</v>
      </c>
      <c r="C1734" t="s">
        <v>384</v>
      </c>
      <c r="D1734" t="s">
        <v>532</v>
      </c>
      <c r="E1734" t="s">
        <v>160</v>
      </c>
      <c r="F1734">
        <v>2</v>
      </c>
      <c r="G1734" t="s">
        <v>50</v>
      </c>
      <c r="H1734" s="14">
        <v>0.06</v>
      </c>
      <c r="I1734" s="23">
        <v>864.09</v>
      </c>
      <c r="J1734" s="4">
        <v>1728.06</v>
      </c>
    </row>
    <row r="1735" spans="1:10">
      <c r="A1735" t="s">
        <v>2543</v>
      </c>
      <c r="B1735" s="3">
        <v>45862</v>
      </c>
      <c r="C1735" t="s">
        <v>2059</v>
      </c>
      <c r="D1735" t="s">
        <v>173</v>
      </c>
      <c r="E1735" t="s">
        <v>127</v>
      </c>
      <c r="F1735">
        <v>1</v>
      </c>
      <c r="G1735" t="s">
        <v>33</v>
      </c>
      <c r="H1735" s="14">
        <v>0.02</v>
      </c>
      <c r="I1735" s="23">
        <v>437.65</v>
      </c>
      <c r="J1735" s="4">
        <v>437.63</v>
      </c>
    </row>
    <row r="1736" spans="1:10">
      <c r="A1736" t="s">
        <v>2544</v>
      </c>
      <c r="B1736" s="3">
        <v>45843</v>
      </c>
      <c r="C1736" t="s">
        <v>1269</v>
      </c>
      <c r="D1736" t="s">
        <v>126</v>
      </c>
      <c r="E1736" t="s">
        <v>149</v>
      </c>
      <c r="F1736">
        <v>2</v>
      </c>
      <c r="G1736" t="s">
        <v>23</v>
      </c>
      <c r="H1736" s="14">
        <v>0.27</v>
      </c>
      <c r="I1736" s="23">
        <v>208.09</v>
      </c>
      <c r="J1736" s="4">
        <v>415.64</v>
      </c>
    </row>
    <row r="1737" spans="1:10">
      <c r="A1737" t="s">
        <v>2545</v>
      </c>
      <c r="B1737" s="3">
        <v>45482</v>
      </c>
      <c r="C1737" t="s">
        <v>384</v>
      </c>
      <c r="D1737" t="s">
        <v>317</v>
      </c>
      <c r="E1737" t="s">
        <v>32</v>
      </c>
      <c r="F1737">
        <v>4</v>
      </c>
      <c r="G1737" t="s">
        <v>23</v>
      </c>
      <c r="H1737" s="14">
        <v>0.02</v>
      </c>
      <c r="I1737" s="23">
        <v>825.78</v>
      </c>
      <c r="J1737" s="4">
        <v>3303.04</v>
      </c>
    </row>
    <row r="1738" spans="1:10">
      <c r="A1738" t="s">
        <v>2546</v>
      </c>
      <c r="B1738" s="3">
        <v>45313</v>
      </c>
      <c r="C1738" t="s">
        <v>64</v>
      </c>
      <c r="D1738" t="s">
        <v>425</v>
      </c>
      <c r="E1738" t="s">
        <v>32</v>
      </c>
      <c r="F1738">
        <v>3</v>
      </c>
      <c r="G1738" t="s">
        <v>33</v>
      </c>
      <c r="H1738" s="14">
        <v>0.12</v>
      </c>
      <c r="I1738" s="23">
        <v>849.77</v>
      </c>
      <c r="J1738" s="4">
        <v>2548.9499999999998</v>
      </c>
    </row>
    <row r="1739" spans="1:10">
      <c r="A1739" t="s">
        <v>2547</v>
      </c>
      <c r="B1739" s="3">
        <v>45314</v>
      </c>
      <c r="C1739" t="s">
        <v>220</v>
      </c>
      <c r="D1739" t="s">
        <v>148</v>
      </c>
      <c r="E1739" t="s">
        <v>72</v>
      </c>
      <c r="F1739">
        <v>1</v>
      </c>
      <c r="G1739" t="s">
        <v>23</v>
      </c>
      <c r="H1739" s="14">
        <v>0.18</v>
      </c>
      <c r="I1739" s="23">
        <v>88.78</v>
      </c>
      <c r="J1739" s="4">
        <v>88.6</v>
      </c>
    </row>
    <row r="1740" spans="1:10">
      <c r="A1740" t="s">
        <v>2548</v>
      </c>
      <c r="B1740" s="3">
        <v>45526</v>
      </c>
      <c r="C1740" t="s">
        <v>836</v>
      </c>
      <c r="D1740" t="s">
        <v>267</v>
      </c>
      <c r="E1740" t="s">
        <v>72</v>
      </c>
      <c r="F1740">
        <v>4</v>
      </c>
      <c r="G1740" t="s">
        <v>33</v>
      </c>
      <c r="H1740" s="14">
        <v>0.14000000000000001</v>
      </c>
      <c r="I1740" s="23">
        <v>507.22</v>
      </c>
      <c r="J1740" s="4">
        <v>2028.32</v>
      </c>
    </row>
    <row r="1741" spans="1:10">
      <c r="A1741" t="s">
        <v>2549</v>
      </c>
      <c r="B1741" s="3">
        <v>45887</v>
      </c>
      <c r="C1741" t="s">
        <v>801</v>
      </c>
      <c r="D1741" t="s">
        <v>1259</v>
      </c>
      <c r="E1741" t="s">
        <v>90</v>
      </c>
      <c r="F1741">
        <v>3</v>
      </c>
      <c r="G1741" t="s">
        <v>23</v>
      </c>
      <c r="H1741" s="14">
        <v>0.11</v>
      </c>
      <c r="I1741" s="23">
        <v>330.98</v>
      </c>
      <c r="J1741" s="4">
        <v>992.61</v>
      </c>
    </row>
    <row r="1742" spans="1:10">
      <c r="A1742" t="s">
        <v>2550</v>
      </c>
      <c r="B1742" s="3">
        <v>45562</v>
      </c>
      <c r="C1742" t="s">
        <v>1361</v>
      </c>
      <c r="D1742" t="s">
        <v>786</v>
      </c>
      <c r="E1742" t="s">
        <v>135</v>
      </c>
      <c r="F1742">
        <v>4</v>
      </c>
      <c r="G1742" t="s">
        <v>23</v>
      </c>
      <c r="H1742" s="14">
        <v>0.08</v>
      </c>
      <c r="I1742" s="23">
        <v>442.87</v>
      </c>
      <c r="J1742" s="4">
        <v>1771.16</v>
      </c>
    </row>
    <row r="1743" spans="1:10">
      <c r="A1743" t="s">
        <v>2551</v>
      </c>
      <c r="B1743" s="3">
        <v>45880</v>
      </c>
      <c r="C1743" t="s">
        <v>1825</v>
      </c>
      <c r="D1743" t="s">
        <v>1259</v>
      </c>
      <c r="E1743" t="s">
        <v>198</v>
      </c>
      <c r="F1743">
        <v>2</v>
      </c>
      <c r="G1743" t="s">
        <v>33</v>
      </c>
      <c r="H1743" s="14">
        <v>0.14000000000000001</v>
      </c>
      <c r="I1743" s="23">
        <v>939.66</v>
      </c>
      <c r="J1743" s="4">
        <v>1879.04</v>
      </c>
    </row>
    <row r="1744" spans="1:10">
      <c r="A1744" t="s">
        <v>2552</v>
      </c>
      <c r="B1744" s="3">
        <v>45556</v>
      </c>
      <c r="C1744" t="s">
        <v>600</v>
      </c>
      <c r="D1744" t="s">
        <v>575</v>
      </c>
      <c r="E1744" t="s">
        <v>22</v>
      </c>
      <c r="F1744">
        <v>1</v>
      </c>
      <c r="G1744" t="s">
        <v>23</v>
      </c>
      <c r="H1744" s="14">
        <v>0</v>
      </c>
      <c r="I1744" s="23">
        <v>24.13</v>
      </c>
      <c r="J1744" s="4">
        <v>24.13</v>
      </c>
    </row>
    <row r="1745" spans="1:10">
      <c r="A1745" t="s">
        <v>2553</v>
      </c>
      <c r="B1745" s="3">
        <v>45355</v>
      </c>
      <c r="C1745" t="s">
        <v>731</v>
      </c>
      <c r="D1745" t="s">
        <v>745</v>
      </c>
      <c r="E1745" t="s">
        <v>22</v>
      </c>
      <c r="F1745">
        <v>3</v>
      </c>
      <c r="G1745" t="s">
        <v>50</v>
      </c>
      <c r="H1745" s="14">
        <v>0.28999999999999998</v>
      </c>
      <c r="I1745" s="23">
        <v>239.54</v>
      </c>
      <c r="J1745" s="4">
        <v>717.75</v>
      </c>
    </row>
    <row r="1746" spans="1:10">
      <c r="A1746" t="s">
        <v>2554</v>
      </c>
      <c r="B1746" s="3">
        <v>45244</v>
      </c>
      <c r="C1746" t="s">
        <v>1410</v>
      </c>
      <c r="D1746" t="s">
        <v>381</v>
      </c>
      <c r="E1746" t="s">
        <v>98</v>
      </c>
      <c r="F1746">
        <v>1</v>
      </c>
      <c r="G1746" t="s">
        <v>23</v>
      </c>
      <c r="H1746" s="14">
        <v>0.1</v>
      </c>
      <c r="I1746" s="23">
        <v>588.53</v>
      </c>
      <c r="J1746" s="4">
        <v>588.42999999999995</v>
      </c>
    </row>
    <row r="1747" spans="1:10">
      <c r="A1747" t="s">
        <v>2555</v>
      </c>
      <c r="B1747" s="3">
        <v>45863</v>
      </c>
      <c r="C1747" t="s">
        <v>1040</v>
      </c>
      <c r="D1747" t="s">
        <v>148</v>
      </c>
      <c r="E1747" t="s">
        <v>122</v>
      </c>
      <c r="F1747">
        <v>1</v>
      </c>
      <c r="G1747" t="s">
        <v>23</v>
      </c>
      <c r="H1747" s="14">
        <v>0.3</v>
      </c>
      <c r="I1747" s="23">
        <v>145.96</v>
      </c>
      <c r="J1747" s="4">
        <v>145.66</v>
      </c>
    </row>
    <row r="1748" spans="1:10">
      <c r="A1748" t="s">
        <v>2556</v>
      </c>
      <c r="B1748" s="3">
        <v>45573</v>
      </c>
      <c r="C1748" t="s">
        <v>789</v>
      </c>
      <c r="D1748" t="s">
        <v>79</v>
      </c>
      <c r="E1748" t="s">
        <v>72</v>
      </c>
      <c r="F1748">
        <v>4</v>
      </c>
      <c r="G1748" t="s">
        <v>23</v>
      </c>
      <c r="H1748" s="14">
        <v>0.06</v>
      </c>
      <c r="I1748" s="23">
        <v>640.91</v>
      </c>
      <c r="J1748" s="4">
        <v>2563.4</v>
      </c>
    </row>
    <row r="1749" spans="1:10">
      <c r="A1749" t="s">
        <v>2557</v>
      </c>
      <c r="B1749" s="3">
        <v>45792</v>
      </c>
      <c r="C1749" t="s">
        <v>846</v>
      </c>
      <c r="D1749" t="s">
        <v>779</v>
      </c>
      <c r="E1749" t="s">
        <v>272</v>
      </c>
      <c r="F1749">
        <v>3</v>
      </c>
      <c r="G1749" t="s">
        <v>23</v>
      </c>
      <c r="H1749" s="14">
        <v>0.22</v>
      </c>
      <c r="I1749" s="23">
        <v>773.86</v>
      </c>
      <c r="J1749" s="4">
        <v>2320.92</v>
      </c>
    </row>
    <row r="1750" spans="1:10">
      <c r="A1750" t="s">
        <v>2558</v>
      </c>
      <c r="B1750" s="3">
        <v>45744</v>
      </c>
      <c r="C1750" t="s">
        <v>734</v>
      </c>
      <c r="D1750" t="s">
        <v>311</v>
      </c>
      <c r="E1750" t="s">
        <v>122</v>
      </c>
      <c r="F1750">
        <v>2</v>
      </c>
      <c r="G1750" t="s">
        <v>50</v>
      </c>
      <c r="H1750" s="14">
        <v>0.2</v>
      </c>
      <c r="I1750" s="23">
        <v>31.28</v>
      </c>
      <c r="J1750" s="4">
        <v>62.16</v>
      </c>
    </row>
    <row r="1751" spans="1:10">
      <c r="A1751" t="s">
        <v>2559</v>
      </c>
      <c r="B1751" s="3">
        <v>45842</v>
      </c>
      <c r="C1751" t="s">
        <v>591</v>
      </c>
      <c r="D1751" t="s">
        <v>542</v>
      </c>
      <c r="E1751" t="s">
        <v>179</v>
      </c>
      <c r="F1751">
        <v>4</v>
      </c>
      <c r="G1751" t="s">
        <v>23</v>
      </c>
      <c r="H1751" s="14">
        <v>0.18</v>
      </c>
      <c r="I1751" s="23">
        <v>389.22</v>
      </c>
      <c r="J1751" s="4">
        <v>1556.16</v>
      </c>
    </row>
    <row r="1752" spans="1:10">
      <c r="A1752" t="s">
        <v>2560</v>
      </c>
      <c r="B1752" s="3">
        <v>45502</v>
      </c>
      <c r="C1752" t="s">
        <v>986</v>
      </c>
      <c r="D1752" t="s">
        <v>779</v>
      </c>
      <c r="E1752" t="s">
        <v>122</v>
      </c>
      <c r="F1752">
        <v>3</v>
      </c>
      <c r="G1752" t="s">
        <v>33</v>
      </c>
      <c r="H1752" s="14">
        <v>0.13</v>
      </c>
      <c r="I1752" s="23">
        <v>543.44000000000005</v>
      </c>
      <c r="J1752" s="4">
        <v>1629.93</v>
      </c>
    </row>
    <row r="1753" spans="1:10">
      <c r="A1753" t="s">
        <v>2561</v>
      </c>
      <c r="B1753" s="3">
        <v>45296</v>
      </c>
      <c r="C1753" t="s">
        <v>461</v>
      </c>
      <c r="D1753" t="s">
        <v>21</v>
      </c>
      <c r="E1753" t="s">
        <v>135</v>
      </c>
      <c r="F1753">
        <v>4</v>
      </c>
      <c r="G1753" t="s">
        <v>33</v>
      </c>
      <c r="H1753" s="14">
        <v>0.28999999999999998</v>
      </c>
      <c r="I1753" s="23">
        <v>715.42</v>
      </c>
      <c r="J1753" s="4">
        <v>2860.52</v>
      </c>
    </row>
    <row r="1754" spans="1:10">
      <c r="A1754" t="s">
        <v>2562</v>
      </c>
      <c r="B1754" s="3">
        <v>45886</v>
      </c>
      <c r="C1754" t="s">
        <v>1361</v>
      </c>
      <c r="D1754" t="s">
        <v>173</v>
      </c>
      <c r="E1754" t="s">
        <v>72</v>
      </c>
      <c r="F1754">
        <v>4</v>
      </c>
      <c r="G1754" t="s">
        <v>50</v>
      </c>
      <c r="H1754" s="14">
        <v>0.11</v>
      </c>
      <c r="I1754" s="23">
        <v>676.14</v>
      </c>
      <c r="J1754" s="4">
        <v>2704.12</v>
      </c>
    </row>
    <row r="1755" spans="1:10">
      <c r="A1755" t="s">
        <v>2563</v>
      </c>
      <c r="B1755" s="3">
        <v>45425</v>
      </c>
      <c r="C1755" t="s">
        <v>979</v>
      </c>
      <c r="D1755" t="s">
        <v>104</v>
      </c>
      <c r="E1755" t="s">
        <v>105</v>
      </c>
      <c r="F1755">
        <v>4</v>
      </c>
      <c r="G1755" t="s">
        <v>23</v>
      </c>
      <c r="H1755" s="14">
        <v>0.25</v>
      </c>
      <c r="I1755" s="23">
        <v>352.72</v>
      </c>
      <c r="J1755" s="4">
        <v>1409.88</v>
      </c>
    </row>
    <row r="1756" spans="1:10">
      <c r="A1756" t="s">
        <v>2564</v>
      </c>
      <c r="B1756" s="3">
        <v>45797</v>
      </c>
      <c r="C1756" t="s">
        <v>1267</v>
      </c>
      <c r="D1756" t="s">
        <v>555</v>
      </c>
      <c r="E1756" t="s">
        <v>208</v>
      </c>
      <c r="F1756">
        <v>1</v>
      </c>
      <c r="G1756" t="s">
        <v>33</v>
      </c>
      <c r="H1756" s="14">
        <v>0.19</v>
      </c>
      <c r="I1756" s="23">
        <v>470.18</v>
      </c>
      <c r="J1756" s="4">
        <v>469.99</v>
      </c>
    </row>
    <row r="1757" spans="1:10">
      <c r="A1757" t="s">
        <v>2565</v>
      </c>
      <c r="B1757" s="3">
        <v>45898</v>
      </c>
      <c r="C1757" t="s">
        <v>1545</v>
      </c>
      <c r="D1757" t="s">
        <v>532</v>
      </c>
      <c r="E1757" t="s">
        <v>272</v>
      </c>
      <c r="F1757">
        <v>1</v>
      </c>
      <c r="G1757" t="s">
        <v>23</v>
      </c>
      <c r="H1757" s="14">
        <v>0.03</v>
      </c>
      <c r="I1757" s="23">
        <v>891.79</v>
      </c>
      <c r="J1757" s="4">
        <v>891.76</v>
      </c>
    </row>
    <row r="1758" spans="1:10">
      <c r="A1758" t="s">
        <v>2566</v>
      </c>
      <c r="B1758" s="3">
        <v>45390</v>
      </c>
      <c r="C1758" t="s">
        <v>121</v>
      </c>
      <c r="D1758" t="s">
        <v>287</v>
      </c>
      <c r="E1758" t="s">
        <v>32</v>
      </c>
      <c r="F1758">
        <v>2</v>
      </c>
      <c r="G1758" t="s">
        <v>50</v>
      </c>
      <c r="H1758" s="14">
        <v>0.25</v>
      </c>
      <c r="I1758" s="23">
        <v>433.07</v>
      </c>
      <c r="J1758" s="4">
        <v>865.64</v>
      </c>
    </row>
    <row r="1759" spans="1:10">
      <c r="A1759" t="s">
        <v>2567</v>
      </c>
      <c r="B1759" s="3">
        <v>45355</v>
      </c>
      <c r="C1759" t="s">
        <v>677</v>
      </c>
      <c r="D1759" t="s">
        <v>532</v>
      </c>
      <c r="E1759" t="s">
        <v>135</v>
      </c>
      <c r="F1759">
        <v>3</v>
      </c>
      <c r="G1759" t="s">
        <v>50</v>
      </c>
      <c r="H1759" s="14">
        <v>7.0000000000000007E-2</v>
      </c>
      <c r="I1759" s="23">
        <v>626.71</v>
      </c>
      <c r="J1759" s="4">
        <v>1879.92</v>
      </c>
    </row>
    <row r="1760" spans="1:10">
      <c r="A1760" t="s">
        <v>2568</v>
      </c>
      <c r="B1760" s="3">
        <v>45916</v>
      </c>
      <c r="C1760" t="s">
        <v>578</v>
      </c>
      <c r="D1760" t="s">
        <v>126</v>
      </c>
      <c r="E1760" t="s">
        <v>90</v>
      </c>
      <c r="F1760">
        <v>2</v>
      </c>
      <c r="G1760" t="s">
        <v>50</v>
      </c>
      <c r="H1760" s="14">
        <v>0.06</v>
      </c>
      <c r="I1760" s="23">
        <v>324.18</v>
      </c>
      <c r="J1760" s="4">
        <v>648.24</v>
      </c>
    </row>
    <row r="1761" spans="1:10">
      <c r="A1761" t="s">
        <v>2569</v>
      </c>
      <c r="B1761" s="3">
        <v>45448</v>
      </c>
      <c r="C1761" t="s">
        <v>758</v>
      </c>
      <c r="D1761" t="s">
        <v>480</v>
      </c>
      <c r="E1761" t="s">
        <v>32</v>
      </c>
      <c r="F1761">
        <v>4</v>
      </c>
      <c r="G1761" t="s">
        <v>33</v>
      </c>
      <c r="H1761" s="14">
        <v>0.13</v>
      </c>
      <c r="I1761" s="23">
        <v>839.74</v>
      </c>
      <c r="J1761" s="4">
        <v>3358.44</v>
      </c>
    </row>
    <row r="1762" spans="1:10">
      <c r="A1762" t="s">
        <v>2570</v>
      </c>
      <c r="B1762" s="3">
        <v>45402</v>
      </c>
      <c r="C1762" t="s">
        <v>1120</v>
      </c>
      <c r="D1762" t="s">
        <v>661</v>
      </c>
      <c r="E1762" t="s">
        <v>122</v>
      </c>
      <c r="F1762">
        <v>3</v>
      </c>
      <c r="G1762" t="s">
        <v>23</v>
      </c>
      <c r="H1762" s="14">
        <v>0.28000000000000003</v>
      </c>
      <c r="I1762" s="23">
        <v>252.63</v>
      </c>
      <c r="J1762" s="4">
        <v>757.05</v>
      </c>
    </row>
    <row r="1763" spans="1:10">
      <c r="A1763" t="s">
        <v>2571</v>
      </c>
      <c r="B1763" s="3">
        <v>45581</v>
      </c>
      <c r="C1763" t="s">
        <v>322</v>
      </c>
      <c r="D1763" t="s">
        <v>221</v>
      </c>
      <c r="E1763" t="s">
        <v>135</v>
      </c>
      <c r="F1763">
        <v>2</v>
      </c>
      <c r="G1763" t="s">
        <v>23</v>
      </c>
      <c r="H1763" s="14">
        <v>0.18</v>
      </c>
      <c r="I1763" s="23">
        <v>60.53</v>
      </c>
      <c r="J1763" s="4">
        <v>120.7</v>
      </c>
    </row>
    <row r="1764" spans="1:10">
      <c r="A1764" t="s">
        <v>2572</v>
      </c>
      <c r="B1764" s="3">
        <v>45610</v>
      </c>
      <c r="C1764" t="s">
        <v>384</v>
      </c>
      <c r="D1764" t="s">
        <v>814</v>
      </c>
      <c r="E1764" t="s">
        <v>149</v>
      </c>
      <c r="F1764">
        <v>4</v>
      </c>
      <c r="G1764" t="s">
        <v>23</v>
      </c>
      <c r="H1764" s="14">
        <v>0.25</v>
      </c>
      <c r="I1764" s="23">
        <v>341.95</v>
      </c>
      <c r="J1764" s="4">
        <v>1366.8</v>
      </c>
    </row>
    <row r="1765" spans="1:10">
      <c r="A1765" t="s">
        <v>2573</v>
      </c>
      <c r="B1765" s="3">
        <v>45438</v>
      </c>
      <c r="C1765" t="s">
        <v>1567</v>
      </c>
      <c r="D1765" t="s">
        <v>443</v>
      </c>
      <c r="E1765" t="s">
        <v>117</v>
      </c>
      <c r="F1765">
        <v>4</v>
      </c>
      <c r="G1765" t="s">
        <v>33</v>
      </c>
      <c r="H1765" s="14">
        <v>0.05</v>
      </c>
      <c r="I1765" s="23">
        <v>300.12</v>
      </c>
      <c r="J1765" s="4">
        <v>1200.28</v>
      </c>
    </row>
    <row r="1766" spans="1:10">
      <c r="A1766" t="s">
        <v>2574</v>
      </c>
      <c r="B1766" s="3">
        <v>45705</v>
      </c>
      <c r="C1766" t="s">
        <v>363</v>
      </c>
      <c r="D1766" t="s">
        <v>567</v>
      </c>
      <c r="E1766" t="s">
        <v>32</v>
      </c>
      <c r="F1766">
        <v>2</v>
      </c>
      <c r="G1766" t="s">
        <v>50</v>
      </c>
      <c r="H1766" s="14">
        <v>0.12</v>
      </c>
      <c r="I1766" s="23">
        <v>289.14</v>
      </c>
      <c r="J1766" s="4">
        <v>578.04</v>
      </c>
    </row>
    <row r="1767" spans="1:10">
      <c r="A1767" t="s">
        <v>2575</v>
      </c>
      <c r="B1767" s="3">
        <v>45695</v>
      </c>
      <c r="C1767" t="s">
        <v>1844</v>
      </c>
      <c r="D1767" t="s">
        <v>425</v>
      </c>
      <c r="E1767" t="s">
        <v>90</v>
      </c>
      <c r="F1767">
        <v>2</v>
      </c>
      <c r="G1767" t="s">
        <v>33</v>
      </c>
      <c r="H1767" s="14">
        <v>0.01</v>
      </c>
      <c r="I1767" s="23">
        <v>596.84</v>
      </c>
      <c r="J1767" s="4">
        <v>1193.6600000000001</v>
      </c>
    </row>
    <row r="1768" spans="1:10">
      <c r="A1768" t="s">
        <v>2576</v>
      </c>
      <c r="B1768" s="3">
        <v>45571</v>
      </c>
      <c r="C1768" t="s">
        <v>1790</v>
      </c>
      <c r="D1768" t="s">
        <v>314</v>
      </c>
      <c r="E1768" t="s">
        <v>43</v>
      </c>
      <c r="F1768">
        <v>4</v>
      </c>
      <c r="G1768" t="s">
        <v>23</v>
      </c>
      <c r="H1768" s="14">
        <v>0.16</v>
      </c>
      <c r="I1768" s="23">
        <v>466.24</v>
      </c>
      <c r="J1768" s="4">
        <v>1864.32</v>
      </c>
    </row>
    <row r="1769" spans="1:10">
      <c r="A1769" t="s">
        <v>2577</v>
      </c>
      <c r="B1769" s="3">
        <v>45544</v>
      </c>
      <c r="C1769" t="s">
        <v>2578</v>
      </c>
      <c r="D1769" t="s">
        <v>197</v>
      </c>
      <c r="E1769" t="s">
        <v>117</v>
      </c>
      <c r="F1769">
        <v>2</v>
      </c>
      <c r="G1769" t="s">
        <v>23</v>
      </c>
      <c r="H1769" s="14">
        <v>0.14000000000000001</v>
      </c>
      <c r="I1769" s="23">
        <v>330.59</v>
      </c>
      <c r="J1769" s="4">
        <v>660.9</v>
      </c>
    </row>
    <row r="1770" spans="1:10">
      <c r="A1770" t="s">
        <v>2579</v>
      </c>
      <c r="B1770" s="3">
        <v>45654</v>
      </c>
      <c r="C1770" t="s">
        <v>56</v>
      </c>
      <c r="D1770" t="s">
        <v>443</v>
      </c>
      <c r="E1770" t="s">
        <v>179</v>
      </c>
      <c r="F1770">
        <v>2</v>
      </c>
      <c r="G1770" t="s">
        <v>50</v>
      </c>
      <c r="H1770" s="14">
        <v>0.02</v>
      </c>
      <c r="I1770" s="23">
        <v>616.42999999999995</v>
      </c>
      <c r="J1770" s="4">
        <v>1232.82</v>
      </c>
    </row>
    <row r="1771" spans="1:10">
      <c r="A1771" t="s">
        <v>2580</v>
      </c>
      <c r="B1771" s="3">
        <v>45589</v>
      </c>
      <c r="C1771" t="s">
        <v>376</v>
      </c>
      <c r="D1771" t="s">
        <v>625</v>
      </c>
      <c r="E1771" t="s">
        <v>179</v>
      </c>
      <c r="F1771">
        <v>3</v>
      </c>
      <c r="G1771" t="s">
        <v>33</v>
      </c>
      <c r="H1771" s="14">
        <v>0.16</v>
      </c>
      <c r="I1771" s="23">
        <v>195.89</v>
      </c>
      <c r="J1771" s="4">
        <v>587.19000000000005</v>
      </c>
    </row>
    <row r="1772" spans="1:10">
      <c r="A1772" t="s">
        <v>2581</v>
      </c>
      <c r="B1772" s="3">
        <v>45487</v>
      </c>
      <c r="C1772" t="s">
        <v>497</v>
      </c>
      <c r="D1772" t="s">
        <v>645</v>
      </c>
      <c r="E1772" t="s">
        <v>168</v>
      </c>
      <c r="F1772">
        <v>4</v>
      </c>
      <c r="G1772" t="s">
        <v>23</v>
      </c>
      <c r="H1772" s="14">
        <v>0.16</v>
      </c>
      <c r="I1772" s="23">
        <v>614.76</v>
      </c>
      <c r="J1772" s="4">
        <v>2458.4</v>
      </c>
    </row>
    <row r="1773" spans="1:10">
      <c r="A1773" t="s">
        <v>2582</v>
      </c>
      <c r="B1773" s="3">
        <v>45418</v>
      </c>
      <c r="C1773" t="s">
        <v>305</v>
      </c>
      <c r="D1773" t="s">
        <v>221</v>
      </c>
      <c r="E1773" t="s">
        <v>66</v>
      </c>
      <c r="F1773">
        <v>1</v>
      </c>
      <c r="G1773" t="s">
        <v>33</v>
      </c>
      <c r="H1773" s="14">
        <v>0.11</v>
      </c>
      <c r="I1773" s="23">
        <v>224.49</v>
      </c>
      <c r="J1773" s="4">
        <v>224.38</v>
      </c>
    </row>
    <row r="1774" spans="1:10">
      <c r="A1774" t="s">
        <v>2583</v>
      </c>
      <c r="B1774" s="3">
        <v>45338</v>
      </c>
      <c r="C1774" t="s">
        <v>1564</v>
      </c>
      <c r="D1774" t="s">
        <v>564</v>
      </c>
      <c r="E1774" t="s">
        <v>208</v>
      </c>
      <c r="F1774">
        <v>1</v>
      </c>
      <c r="G1774" t="s">
        <v>23</v>
      </c>
      <c r="H1774" s="14">
        <v>0.09</v>
      </c>
      <c r="I1774" s="23">
        <v>967.76</v>
      </c>
      <c r="J1774" s="4">
        <v>967.67</v>
      </c>
    </row>
    <row r="1775" spans="1:10">
      <c r="A1775" t="s">
        <v>2584</v>
      </c>
      <c r="B1775" s="3">
        <v>45507</v>
      </c>
      <c r="C1775" t="s">
        <v>468</v>
      </c>
      <c r="D1775" t="s">
        <v>745</v>
      </c>
      <c r="E1775" t="s">
        <v>135</v>
      </c>
      <c r="F1775">
        <v>2</v>
      </c>
      <c r="G1775" t="s">
        <v>33</v>
      </c>
      <c r="H1775" s="14">
        <v>0.17</v>
      </c>
      <c r="I1775" s="23">
        <v>56.52</v>
      </c>
      <c r="J1775" s="4">
        <v>112.7</v>
      </c>
    </row>
    <row r="1776" spans="1:10">
      <c r="A1776" t="s">
        <v>2585</v>
      </c>
      <c r="B1776" s="3">
        <v>45275</v>
      </c>
      <c r="C1776" t="s">
        <v>806</v>
      </c>
      <c r="D1776" t="s">
        <v>178</v>
      </c>
      <c r="E1776" t="s">
        <v>105</v>
      </c>
      <c r="F1776">
        <v>4</v>
      </c>
      <c r="G1776" t="s">
        <v>23</v>
      </c>
      <c r="H1776" s="14">
        <v>0.04</v>
      </c>
      <c r="I1776" s="23">
        <v>921.84</v>
      </c>
      <c r="J1776" s="4">
        <v>3687.2</v>
      </c>
    </row>
    <row r="1777" spans="1:10">
      <c r="A1777" t="s">
        <v>2586</v>
      </c>
      <c r="B1777" s="3">
        <v>45319</v>
      </c>
      <c r="C1777" t="s">
        <v>1232</v>
      </c>
      <c r="D1777" t="s">
        <v>400</v>
      </c>
      <c r="E1777" t="s">
        <v>117</v>
      </c>
      <c r="F1777">
        <v>3</v>
      </c>
      <c r="G1777" t="s">
        <v>23</v>
      </c>
      <c r="H1777" s="14">
        <v>0.28000000000000003</v>
      </c>
      <c r="I1777" s="23">
        <v>738.47</v>
      </c>
      <c r="J1777" s="4">
        <v>2214.5700000000002</v>
      </c>
    </row>
    <row r="1778" spans="1:10">
      <c r="A1778" t="s">
        <v>2587</v>
      </c>
      <c r="B1778" s="3">
        <v>45620</v>
      </c>
      <c r="C1778" t="s">
        <v>1232</v>
      </c>
      <c r="D1778" t="s">
        <v>183</v>
      </c>
      <c r="E1778" t="s">
        <v>90</v>
      </c>
      <c r="F1778">
        <v>4</v>
      </c>
      <c r="G1778" t="s">
        <v>50</v>
      </c>
      <c r="H1778" s="14">
        <v>0.05</v>
      </c>
      <c r="I1778" s="23">
        <v>477.83</v>
      </c>
      <c r="J1778" s="4">
        <v>1911.12</v>
      </c>
    </row>
    <row r="1779" spans="1:10">
      <c r="A1779" t="s">
        <v>2588</v>
      </c>
      <c r="B1779" s="3">
        <v>45831</v>
      </c>
      <c r="C1779" t="s">
        <v>338</v>
      </c>
      <c r="D1779" t="s">
        <v>449</v>
      </c>
      <c r="E1779" t="s">
        <v>208</v>
      </c>
      <c r="F1779">
        <v>3</v>
      </c>
      <c r="G1779" t="s">
        <v>50</v>
      </c>
      <c r="H1779" s="14">
        <v>0.28000000000000003</v>
      </c>
      <c r="I1779" s="23">
        <v>605.83000000000004</v>
      </c>
      <c r="J1779" s="4">
        <v>1816.65</v>
      </c>
    </row>
    <row r="1780" spans="1:10">
      <c r="A1780" t="s">
        <v>2589</v>
      </c>
      <c r="B1780" s="3">
        <v>45373</v>
      </c>
      <c r="C1780" t="s">
        <v>468</v>
      </c>
      <c r="D1780" t="s">
        <v>159</v>
      </c>
      <c r="E1780" t="s">
        <v>22</v>
      </c>
      <c r="F1780">
        <v>2</v>
      </c>
      <c r="G1780" t="s">
        <v>50</v>
      </c>
      <c r="H1780" s="14">
        <v>0.25</v>
      </c>
      <c r="I1780" s="23">
        <v>521.44000000000005</v>
      </c>
      <c r="J1780" s="4">
        <v>1042.3800000000001</v>
      </c>
    </row>
    <row r="1781" spans="1:10">
      <c r="A1781" t="s">
        <v>2590</v>
      </c>
      <c r="B1781" s="3">
        <v>45863</v>
      </c>
      <c r="C1781" t="s">
        <v>591</v>
      </c>
      <c r="D1781" t="s">
        <v>234</v>
      </c>
      <c r="E1781" t="s">
        <v>66</v>
      </c>
      <c r="F1781">
        <v>4</v>
      </c>
      <c r="G1781" t="s">
        <v>23</v>
      </c>
      <c r="H1781" s="14">
        <v>0.06</v>
      </c>
      <c r="I1781" s="23">
        <v>499.02</v>
      </c>
      <c r="J1781" s="4">
        <v>1995.84</v>
      </c>
    </row>
    <row r="1782" spans="1:10">
      <c r="A1782" t="s">
        <v>2591</v>
      </c>
      <c r="B1782" s="3">
        <v>45758</v>
      </c>
      <c r="C1782" t="s">
        <v>685</v>
      </c>
      <c r="D1782" t="s">
        <v>634</v>
      </c>
      <c r="E1782" t="s">
        <v>160</v>
      </c>
      <c r="F1782">
        <v>4</v>
      </c>
      <c r="G1782" t="s">
        <v>50</v>
      </c>
      <c r="H1782" s="14">
        <v>0.18</v>
      </c>
      <c r="I1782" s="23">
        <v>299.45999999999998</v>
      </c>
      <c r="J1782" s="4">
        <v>1197.1199999999999</v>
      </c>
    </row>
    <row r="1783" spans="1:10">
      <c r="A1783" t="s">
        <v>2592</v>
      </c>
      <c r="B1783" s="3">
        <v>45285</v>
      </c>
      <c r="C1783" t="s">
        <v>1582</v>
      </c>
      <c r="D1783" t="s">
        <v>104</v>
      </c>
      <c r="E1783" t="s">
        <v>90</v>
      </c>
      <c r="F1783">
        <v>1</v>
      </c>
      <c r="G1783" t="s">
        <v>23</v>
      </c>
      <c r="H1783" s="14">
        <v>0.15</v>
      </c>
      <c r="I1783" s="23">
        <v>609.29</v>
      </c>
      <c r="J1783" s="4">
        <v>609.14</v>
      </c>
    </row>
    <row r="1784" spans="1:10">
      <c r="A1784" t="s">
        <v>2593</v>
      </c>
      <c r="B1784" s="3">
        <v>45656</v>
      </c>
      <c r="C1784" t="s">
        <v>789</v>
      </c>
      <c r="D1784" t="s">
        <v>868</v>
      </c>
      <c r="E1784" t="s">
        <v>43</v>
      </c>
      <c r="F1784">
        <v>1</v>
      </c>
      <c r="G1784" t="s">
        <v>50</v>
      </c>
      <c r="H1784" s="14">
        <v>7.0000000000000007E-2</v>
      </c>
      <c r="I1784" s="23">
        <v>213.74</v>
      </c>
      <c r="J1784" s="4">
        <v>213.67</v>
      </c>
    </row>
    <row r="1785" spans="1:10">
      <c r="A1785" t="s">
        <v>2594</v>
      </c>
      <c r="B1785" s="3">
        <v>45718</v>
      </c>
      <c r="C1785" t="s">
        <v>685</v>
      </c>
      <c r="D1785" t="s">
        <v>564</v>
      </c>
      <c r="E1785" t="s">
        <v>117</v>
      </c>
      <c r="F1785">
        <v>4</v>
      </c>
      <c r="G1785" t="s">
        <v>23</v>
      </c>
      <c r="H1785" s="14">
        <v>0.26</v>
      </c>
      <c r="I1785" s="23">
        <v>613.16999999999996</v>
      </c>
      <c r="J1785" s="4">
        <v>2451.64</v>
      </c>
    </row>
    <row r="1786" spans="1:10">
      <c r="A1786" t="s">
        <v>2595</v>
      </c>
      <c r="B1786" s="3">
        <v>45293</v>
      </c>
      <c r="C1786" t="s">
        <v>1381</v>
      </c>
      <c r="D1786" t="s">
        <v>57</v>
      </c>
      <c r="E1786" t="s">
        <v>272</v>
      </c>
      <c r="F1786">
        <v>2</v>
      </c>
      <c r="G1786" t="s">
        <v>50</v>
      </c>
      <c r="H1786" s="14">
        <v>7.0000000000000007E-2</v>
      </c>
      <c r="I1786" s="23">
        <v>687.36</v>
      </c>
      <c r="J1786" s="4">
        <v>1374.58</v>
      </c>
    </row>
    <row r="1787" spans="1:10">
      <c r="A1787" t="s">
        <v>2596</v>
      </c>
      <c r="B1787" s="3">
        <v>45915</v>
      </c>
      <c r="C1787" t="s">
        <v>803</v>
      </c>
      <c r="D1787" t="s">
        <v>178</v>
      </c>
      <c r="E1787" t="s">
        <v>149</v>
      </c>
      <c r="F1787">
        <v>3</v>
      </c>
      <c r="G1787" t="s">
        <v>33</v>
      </c>
      <c r="H1787" s="14">
        <v>0.02</v>
      </c>
      <c r="I1787" s="23">
        <v>115.39</v>
      </c>
      <c r="J1787" s="4">
        <v>346.11</v>
      </c>
    </row>
    <row r="1788" spans="1:10">
      <c r="A1788" t="s">
        <v>2597</v>
      </c>
      <c r="B1788" s="3">
        <v>45359</v>
      </c>
      <c r="C1788" t="s">
        <v>1913</v>
      </c>
      <c r="D1788" t="s">
        <v>97</v>
      </c>
      <c r="E1788" t="s">
        <v>208</v>
      </c>
      <c r="F1788">
        <v>2</v>
      </c>
      <c r="G1788" t="s">
        <v>23</v>
      </c>
      <c r="H1788" s="14">
        <v>7.0000000000000007E-2</v>
      </c>
      <c r="I1788" s="23">
        <v>722.06</v>
      </c>
      <c r="J1788" s="4">
        <v>1443.98</v>
      </c>
    </row>
    <row r="1789" spans="1:10">
      <c r="A1789" t="s">
        <v>2598</v>
      </c>
      <c r="B1789" s="3">
        <v>45652</v>
      </c>
      <c r="C1789" t="s">
        <v>1290</v>
      </c>
      <c r="D1789" t="s">
        <v>645</v>
      </c>
      <c r="E1789" t="s">
        <v>122</v>
      </c>
      <c r="F1789">
        <v>1</v>
      </c>
      <c r="G1789" t="s">
        <v>33</v>
      </c>
      <c r="H1789" s="14">
        <v>0.06</v>
      </c>
      <c r="I1789" s="23">
        <v>384.57</v>
      </c>
      <c r="J1789" s="4">
        <v>384.51</v>
      </c>
    </row>
    <row r="1790" spans="1:10">
      <c r="A1790" t="s">
        <v>2599</v>
      </c>
      <c r="B1790" s="3">
        <v>45735</v>
      </c>
      <c r="C1790" t="s">
        <v>934</v>
      </c>
      <c r="D1790" t="s">
        <v>484</v>
      </c>
      <c r="E1790" t="s">
        <v>149</v>
      </c>
      <c r="F1790">
        <v>2</v>
      </c>
      <c r="G1790" t="s">
        <v>33</v>
      </c>
      <c r="H1790" s="14">
        <v>0.18</v>
      </c>
      <c r="I1790" s="23">
        <v>194.09</v>
      </c>
      <c r="J1790" s="4">
        <v>387.82</v>
      </c>
    </row>
    <row r="1791" spans="1:10">
      <c r="A1791" t="s">
        <v>2600</v>
      </c>
      <c r="B1791" s="3">
        <v>45579</v>
      </c>
      <c r="C1791" t="s">
        <v>1463</v>
      </c>
      <c r="D1791" t="s">
        <v>110</v>
      </c>
      <c r="E1791" t="s">
        <v>22</v>
      </c>
      <c r="F1791">
        <v>2</v>
      </c>
      <c r="G1791" t="s">
        <v>23</v>
      </c>
      <c r="H1791" s="14">
        <v>7.0000000000000007E-2</v>
      </c>
      <c r="I1791" s="23">
        <v>403.91</v>
      </c>
      <c r="J1791" s="4">
        <v>807.68</v>
      </c>
    </row>
    <row r="1792" spans="1:10">
      <c r="A1792" t="s">
        <v>2601</v>
      </c>
      <c r="B1792" s="3">
        <v>45721</v>
      </c>
      <c r="C1792" t="s">
        <v>578</v>
      </c>
      <c r="D1792" t="s">
        <v>377</v>
      </c>
      <c r="E1792" t="s">
        <v>98</v>
      </c>
      <c r="F1792">
        <v>1</v>
      </c>
      <c r="G1792" t="s">
        <v>33</v>
      </c>
      <c r="H1792" s="14">
        <v>0.3</v>
      </c>
      <c r="I1792" s="23">
        <v>878.69</v>
      </c>
      <c r="J1792" s="4">
        <v>878.39</v>
      </c>
    </row>
    <row r="1793" spans="1:10">
      <c r="A1793" t="s">
        <v>2602</v>
      </c>
      <c r="B1793" s="3">
        <v>45446</v>
      </c>
      <c r="C1793" t="s">
        <v>182</v>
      </c>
      <c r="D1793" t="s">
        <v>89</v>
      </c>
      <c r="E1793" t="s">
        <v>122</v>
      </c>
      <c r="F1793">
        <v>1</v>
      </c>
      <c r="G1793" t="s">
        <v>23</v>
      </c>
      <c r="H1793" s="14">
        <v>0.05</v>
      </c>
      <c r="I1793" s="23">
        <v>161.16999999999999</v>
      </c>
      <c r="J1793" s="4">
        <v>161.12</v>
      </c>
    </row>
    <row r="1794" spans="1:10">
      <c r="A1794" t="s">
        <v>2603</v>
      </c>
      <c r="B1794" s="3">
        <v>45387</v>
      </c>
      <c r="C1794" t="s">
        <v>447</v>
      </c>
      <c r="D1794" t="s">
        <v>575</v>
      </c>
      <c r="E1794" t="s">
        <v>98</v>
      </c>
      <c r="F1794">
        <v>2</v>
      </c>
      <c r="G1794" t="s">
        <v>50</v>
      </c>
      <c r="H1794" s="14">
        <v>0.22</v>
      </c>
      <c r="I1794" s="23">
        <v>720.15</v>
      </c>
      <c r="J1794" s="4">
        <v>1439.86</v>
      </c>
    </row>
    <row r="1795" spans="1:10">
      <c r="A1795" t="s">
        <v>2604</v>
      </c>
      <c r="B1795" s="3">
        <v>45222</v>
      </c>
      <c r="C1795" t="s">
        <v>977</v>
      </c>
      <c r="D1795" t="s">
        <v>246</v>
      </c>
      <c r="E1795" t="s">
        <v>43</v>
      </c>
      <c r="F1795">
        <v>1</v>
      </c>
      <c r="G1795" t="s">
        <v>50</v>
      </c>
      <c r="H1795" s="14">
        <v>0.02</v>
      </c>
      <c r="I1795" s="23">
        <v>361.8</v>
      </c>
      <c r="J1795" s="4">
        <v>361.78</v>
      </c>
    </row>
    <row r="1796" spans="1:10">
      <c r="A1796" t="s">
        <v>2605</v>
      </c>
      <c r="B1796" s="3">
        <v>45402</v>
      </c>
      <c r="C1796" t="s">
        <v>1545</v>
      </c>
      <c r="D1796" t="s">
        <v>1126</v>
      </c>
      <c r="E1796" t="s">
        <v>179</v>
      </c>
      <c r="F1796">
        <v>1</v>
      </c>
      <c r="G1796" t="s">
        <v>33</v>
      </c>
      <c r="H1796" s="14">
        <v>0.28999999999999998</v>
      </c>
      <c r="I1796" s="23">
        <v>779.84</v>
      </c>
      <c r="J1796" s="4">
        <v>779.55</v>
      </c>
    </row>
    <row r="1797" spans="1:10">
      <c r="A1797" t="s">
        <v>2606</v>
      </c>
      <c r="B1797" s="3">
        <v>45455</v>
      </c>
      <c r="C1797" t="s">
        <v>1747</v>
      </c>
      <c r="D1797" t="s">
        <v>1259</v>
      </c>
      <c r="E1797" t="s">
        <v>72</v>
      </c>
      <c r="F1797">
        <v>2</v>
      </c>
      <c r="G1797" t="s">
        <v>50</v>
      </c>
      <c r="H1797" s="14">
        <v>0.17</v>
      </c>
      <c r="I1797" s="23">
        <v>649.89</v>
      </c>
      <c r="J1797" s="4">
        <v>1299.44</v>
      </c>
    </row>
    <row r="1798" spans="1:10">
      <c r="A1798" t="s">
        <v>2607</v>
      </c>
      <c r="B1798" s="3">
        <v>45877</v>
      </c>
      <c r="C1798" t="s">
        <v>1193</v>
      </c>
      <c r="D1798" t="s">
        <v>207</v>
      </c>
      <c r="E1798" t="s">
        <v>179</v>
      </c>
      <c r="F1798">
        <v>1</v>
      </c>
      <c r="G1798" t="s">
        <v>23</v>
      </c>
      <c r="H1798" s="14">
        <v>0.17</v>
      </c>
      <c r="I1798" s="23">
        <v>952.73</v>
      </c>
      <c r="J1798" s="4">
        <v>952.56</v>
      </c>
    </row>
    <row r="1799" spans="1:10">
      <c r="A1799" t="s">
        <v>2608</v>
      </c>
      <c r="B1799" s="3">
        <v>45875</v>
      </c>
      <c r="C1799" t="s">
        <v>259</v>
      </c>
      <c r="D1799" t="s">
        <v>85</v>
      </c>
      <c r="E1799" t="s">
        <v>117</v>
      </c>
      <c r="F1799">
        <v>4</v>
      </c>
      <c r="G1799" t="s">
        <v>23</v>
      </c>
      <c r="H1799" s="14">
        <v>0.25</v>
      </c>
      <c r="I1799" s="23">
        <v>820.78</v>
      </c>
      <c r="J1799" s="4">
        <v>3282.12</v>
      </c>
    </row>
    <row r="1800" spans="1:10">
      <c r="A1800" t="s">
        <v>2609</v>
      </c>
      <c r="B1800" s="3">
        <v>45592</v>
      </c>
      <c r="C1800" t="s">
        <v>1455</v>
      </c>
      <c r="D1800" t="s">
        <v>340</v>
      </c>
      <c r="E1800" t="s">
        <v>22</v>
      </c>
      <c r="F1800">
        <v>4</v>
      </c>
      <c r="G1800" t="s">
        <v>23</v>
      </c>
      <c r="H1800" s="14">
        <v>0.05</v>
      </c>
      <c r="I1800" s="23">
        <v>247.55</v>
      </c>
      <c r="J1800" s="4">
        <v>990</v>
      </c>
    </row>
    <row r="1801" spans="1:10">
      <c r="A1801" t="s">
        <v>2610</v>
      </c>
      <c r="B1801" s="3">
        <v>45369</v>
      </c>
      <c r="C1801" t="s">
        <v>2175</v>
      </c>
      <c r="D1801" t="s">
        <v>85</v>
      </c>
      <c r="E1801" t="s">
        <v>43</v>
      </c>
      <c r="F1801">
        <v>3</v>
      </c>
      <c r="G1801" t="s">
        <v>50</v>
      </c>
      <c r="H1801" s="14">
        <v>0.2</v>
      </c>
      <c r="I1801" s="23">
        <v>561.44000000000005</v>
      </c>
      <c r="J1801" s="4">
        <v>1683.72</v>
      </c>
    </row>
    <row r="1802" spans="1:10">
      <c r="A1802" t="s">
        <v>2611</v>
      </c>
      <c r="B1802" s="3">
        <v>45249</v>
      </c>
      <c r="C1802" t="s">
        <v>1379</v>
      </c>
      <c r="D1802" t="s">
        <v>155</v>
      </c>
      <c r="E1802" t="s">
        <v>43</v>
      </c>
      <c r="F1802">
        <v>4</v>
      </c>
      <c r="G1802" t="s">
        <v>50</v>
      </c>
      <c r="H1802" s="14">
        <v>0.11</v>
      </c>
      <c r="I1802" s="23">
        <v>214.37</v>
      </c>
      <c r="J1802" s="4">
        <v>857.04</v>
      </c>
    </row>
    <row r="1803" spans="1:10">
      <c r="A1803" t="s">
        <v>2612</v>
      </c>
      <c r="B1803" s="3">
        <v>45741</v>
      </c>
      <c r="C1803" t="s">
        <v>825</v>
      </c>
      <c r="D1803" t="s">
        <v>377</v>
      </c>
      <c r="E1803" t="s">
        <v>117</v>
      </c>
      <c r="F1803">
        <v>3</v>
      </c>
      <c r="G1803" t="s">
        <v>33</v>
      </c>
      <c r="H1803" s="14">
        <v>0.23</v>
      </c>
      <c r="I1803" s="23">
        <v>123.74</v>
      </c>
      <c r="J1803" s="4">
        <v>370.53</v>
      </c>
    </row>
    <row r="1804" spans="1:10">
      <c r="A1804" t="s">
        <v>2613</v>
      </c>
      <c r="B1804" s="3">
        <v>45427</v>
      </c>
      <c r="C1804" t="s">
        <v>758</v>
      </c>
      <c r="D1804" t="s">
        <v>178</v>
      </c>
      <c r="E1804" t="s">
        <v>272</v>
      </c>
      <c r="F1804">
        <v>4</v>
      </c>
      <c r="G1804" t="s">
        <v>33</v>
      </c>
      <c r="H1804" s="14">
        <v>0.1</v>
      </c>
      <c r="I1804" s="23">
        <v>645.71</v>
      </c>
      <c r="J1804" s="4">
        <v>2582.44</v>
      </c>
    </row>
    <row r="1805" spans="1:10">
      <c r="A1805" t="s">
        <v>2614</v>
      </c>
      <c r="B1805" s="3">
        <v>45736</v>
      </c>
      <c r="C1805" t="s">
        <v>620</v>
      </c>
      <c r="D1805" t="s">
        <v>279</v>
      </c>
      <c r="E1805" t="s">
        <v>208</v>
      </c>
      <c r="F1805">
        <v>3</v>
      </c>
      <c r="G1805" t="s">
        <v>23</v>
      </c>
      <c r="H1805" s="14">
        <v>0.3</v>
      </c>
      <c r="I1805" s="23">
        <v>587.12</v>
      </c>
      <c r="J1805" s="4">
        <v>1760.46</v>
      </c>
    </row>
    <row r="1806" spans="1:10">
      <c r="A1806" t="s">
        <v>2615</v>
      </c>
      <c r="B1806" s="3">
        <v>45941</v>
      </c>
      <c r="C1806" t="s">
        <v>926</v>
      </c>
      <c r="D1806" t="s">
        <v>425</v>
      </c>
      <c r="E1806" t="s">
        <v>160</v>
      </c>
      <c r="F1806">
        <v>1</v>
      </c>
      <c r="G1806" t="s">
        <v>50</v>
      </c>
      <c r="H1806" s="14">
        <v>0.15</v>
      </c>
      <c r="I1806" s="23">
        <v>401.18</v>
      </c>
      <c r="J1806" s="4">
        <v>401.03</v>
      </c>
    </row>
    <row r="1807" spans="1:10">
      <c r="A1807" t="s">
        <v>2616</v>
      </c>
      <c r="B1807" s="3">
        <v>45486</v>
      </c>
      <c r="C1807" t="s">
        <v>1089</v>
      </c>
      <c r="D1807" t="s">
        <v>714</v>
      </c>
      <c r="E1807" t="s">
        <v>160</v>
      </c>
      <c r="F1807">
        <v>3</v>
      </c>
      <c r="G1807" t="s">
        <v>50</v>
      </c>
      <c r="H1807" s="14">
        <v>0.12</v>
      </c>
      <c r="I1807" s="23">
        <v>658.33</v>
      </c>
      <c r="J1807" s="4">
        <v>1974.63</v>
      </c>
    </row>
    <row r="1808" spans="1:10">
      <c r="A1808" t="s">
        <v>2617</v>
      </c>
      <c r="B1808" s="3">
        <v>45474</v>
      </c>
      <c r="C1808" t="s">
        <v>513</v>
      </c>
      <c r="D1808" t="s">
        <v>42</v>
      </c>
      <c r="E1808" t="s">
        <v>272</v>
      </c>
      <c r="F1808">
        <v>4</v>
      </c>
      <c r="G1808" t="s">
        <v>23</v>
      </c>
      <c r="H1808" s="14">
        <v>0.02</v>
      </c>
      <c r="I1808" s="23">
        <v>450.3</v>
      </c>
      <c r="J1808" s="4">
        <v>1801.12</v>
      </c>
    </row>
    <row r="1809" spans="1:10">
      <c r="A1809" t="s">
        <v>2618</v>
      </c>
      <c r="B1809" s="3">
        <v>45757</v>
      </c>
      <c r="C1809" t="s">
        <v>1024</v>
      </c>
      <c r="D1809" t="s">
        <v>242</v>
      </c>
      <c r="E1809" t="s">
        <v>168</v>
      </c>
      <c r="F1809">
        <v>4</v>
      </c>
      <c r="G1809" t="s">
        <v>23</v>
      </c>
      <c r="H1809" s="14">
        <v>0.05</v>
      </c>
      <c r="I1809" s="23">
        <v>33.630000000000003</v>
      </c>
      <c r="J1809" s="4">
        <v>134.32</v>
      </c>
    </row>
    <row r="1810" spans="1:10">
      <c r="A1810" t="s">
        <v>2619</v>
      </c>
      <c r="B1810" s="3">
        <v>45475</v>
      </c>
      <c r="C1810" t="s">
        <v>351</v>
      </c>
      <c r="D1810" t="s">
        <v>226</v>
      </c>
      <c r="E1810" t="s">
        <v>90</v>
      </c>
      <c r="F1810">
        <v>3</v>
      </c>
      <c r="G1810" t="s">
        <v>50</v>
      </c>
      <c r="H1810" s="14">
        <v>0.03</v>
      </c>
      <c r="I1810" s="23">
        <v>168.89</v>
      </c>
      <c r="J1810" s="4">
        <v>506.58</v>
      </c>
    </row>
    <row r="1811" spans="1:10">
      <c r="A1811" t="s">
        <v>2620</v>
      </c>
      <c r="B1811" s="3">
        <v>45546</v>
      </c>
      <c r="C1811" t="s">
        <v>294</v>
      </c>
      <c r="D1811" t="s">
        <v>148</v>
      </c>
      <c r="E1811" t="s">
        <v>272</v>
      </c>
      <c r="F1811">
        <v>1</v>
      </c>
      <c r="G1811" t="s">
        <v>33</v>
      </c>
      <c r="H1811" s="14">
        <v>0.06</v>
      </c>
      <c r="I1811" s="23">
        <v>141.85</v>
      </c>
      <c r="J1811" s="4">
        <v>141.79</v>
      </c>
    </row>
    <row r="1812" spans="1:10">
      <c r="A1812" t="s">
        <v>2621</v>
      </c>
      <c r="B1812" s="3">
        <v>45520</v>
      </c>
      <c r="C1812" t="s">
        <v>1536</v>
      </c>
      <c r="D1812" t="s">
        <v>487</v>
      </c>
      <c r="E1812" t="s">
        <v>66</v>
      </c>
      <c r="F1812">
        <v>1</v>
      </c>
      <c r="G1812" t="s">
        <v>23</v>
      </c>
      <c r="H1812" s="14">
        <v>0.21</v>
      </c>
      <c r="I1812" s="23">
        <v>617.4</v>
      </c>
      <c r="J1812" s="4">
        <v>617.19000000000005</v>
      </c>
    </row>
    <row r="1813" spans="1:10">
      <c r="A1813" t="s">
        <v>2622</v>
      </c>
      <c r="B1813" s="3">
        <v>45534</v>
      </c>
      <c r="C1813" t="s">
        <v>1256</v>
      </c>
      <c r="D1813" t="s">
        <v>207</v>
      </c>
      <c r="E1813" t="s">
        <v>105</v>
      </c>
      <c r="F1813">
        <v>3</v>
      </c>
      <c r="G1813" t="s">
        <v>50</v>
      </c>
      <c r="H1813" s="14">
        <v>0.15</v>
      </c>
      <c r="I1813" s="23">
        <v>841.47</v>
      </c>
      <c r="J1813" s="4">
        <v>2523.96</v>
      </c>
    </row>
    <row r="1814" spans="1:10">
      <c r="A1814" t="s">
        <v>2623</v>
      </c>
      <c r="B1814" s="3">
        <v>45334</v>
      </c>
      <c r="C1814" t="s">
        <v>1306</v>
      </c>
      <c r="D1814" t="s">
        <v>279</v>
      </c>
      <c r="E1814" t="s">
        <v>149</v>
      </c>
      <c r="F1814">
        <v>2</v>
      </c>
      <c r="G1814" t="s">
        <v>23</v>
      </c>
      <c r="H1814" s="14">
        <v>0.18</v>
      </c>
      <c r="I1814" s="23">
        <v>960.41</v>
      </c>
      <c r="J1814" s="4">
        <v>1920.46</v>
      </c>
    </row>
    <row r="1815" spans="1:10">
      <c r="A1815" t="s">
        <v>2624</v>
      </c>
      <c r="B1815" s="3">
        <v>45289</v>
      </c>
      <c r="C1815" t="s">
        <v>851</v>
      </c>
      <c r="D1815" t="s">
        <v>213</v>
      </c>
      <c r="E1815" t="s">
        <v>160</v>
      </c>
      <c r="F1815">
        <v>3</v>
      </c>
      <c r="G1815" t="s">
        <v>33</v>
      </c>
      <c r="H1815" s="14">
        <v>0.24</v>
      </c>
      <c r="I1815" s="23">
        <v>717.22</v>
      </c>
      <c r="J1815" s="4">
        <v>2150.94</v>
      </c>
    </row>
    <row r="1816" spans="1:10">
      <c r="A1816" t="s">
        <v>2625</v>
      </c>
      <c r="B1816" s="3">
        <v>45832</v>
      </c>
      <c r="C1816" t="s">
        <v>363</v>
      </c>
      <c r="D1816" t="s">
        <v>173</v>
      </c>
      <c r="E1816" t="s">
        <v>90</v>
      </c>
      <c r="F1816">
        <v>1</v>
      </c>
      <c r="G1816" t="s">
        <v>50</v>
      </c>
      <c r="H1816" s="14">
        <v>0.16</v>
      </c>
      <c r="I1816" s="23">
        <v>281.83</v>
      </c>
      <c r="J1816" s="4">
        <v>281.67</v>
      </c>
    </row>
    <row r="1817" spans="1:10">
      <c r="A1817" t="s">
        <v>2626</v>
      </c>
      <c r="B1817" s="3">
        <v>45400</v>
      </c>
      <c r="C1817" t="s">
        <v>1193</v>
      </c>
      <c r="D1817" t="s">
        <v>57</v>
      </c>
      <c r="E1817" t="s">
        <v>98</v>
      </c>
      <c r="F1817">
        <v>1</v>
      </c>
      <c r="G1817" t="s">
        <v>33</v>
      </c>
      <c r="H1817" s="14">
        <v>0.04</v>
      </c>
      <c r="I1817" s="23">
        <v>509.08</v>
      </c>
      <c r="J1817" s="4">
        <v>509.04</v>
      </c>
    </row>
    <row r="1818" spans="1:10">
      <c r="A1818" t="s">
        <v>2627</v>
      </c>
      <c r="B1818" s="3">
        <v>45930</v>
      </c>
      <c r="C1818" t="s">
        <v>1982</v>
      </c>
      <c r="D1818" t="s">
        <v>1259</v>
      </c>
      <c r="E1818" t="s">
        <v>198</v>
      </c>
      <c r="F1818">
        <v>4</v>
      </c>
      <c r="G1818" t="s">
        <v>23</v>
      </c>
      <c r="H1818" s="14">
        <v>0.3</v>
      </c>
      <c r="I1818" s="23">
        <v>827.09</v>
      </c>
      <c r="J1818" s="4">
        <v>3307.16</v>
      </c>
    </row>
    <row r="1819" spans="1:10">
      <c r="A1819" t="s">
        <v>2628</v>
      </c>
      <c r="B1819" s="3">
        <v>45935</v>
      </c>
      <c r="C1819" t="s">
        <v>934</v>
      </c>
      <c r="D1819" t="s">
        <v>255</v>
      </c>
      <c r="E1819" t="s">
        <v>72</v>
      </c>
      <c r="F1819">
        <v>2</v>
      </c>
      <c r="G1819" t="s">
        <v>23</v>
      </c>
      <c r="H1819" s="14">
        <v>0.23</v>
      </c>
      <c r="I1819" s="23">
        <v>823.36</v>
      </c>
      <c r="J1819" s="4">
        <v>1646.26</v>
      </c>
    </row>
    <row r="1820" spans="1:10">
      <c r="A1820" t="s">
        <v>2629</v>
      </c>
      <c r="B1820" s="3">
        <v>45814</v>
      </c>
      <c r="C1820" t="s">
        <v>2630</v>
      </c>
      <c r="D1820" t="s">
        <v>246</v>
      </c>
      <c r="E1820" t="s">
        <v>58</v>
      </c>
      <c r="F1820">
        <v>4</v>
      </c>
      <c r="G1820" t="s">
        <v>50</v>
      </c>
      <c r="H1820" s="14">
        <v>0.13</v>
      </c>
      <c r="I1820" s="23">
        <v>282.18</v>
      </c>
      <c r="J1820" s="4">
        <v>1128.2</v>
      </c>
    </row>
    <row r="1821" spans="1:10">
      <c r="A1821" t="s">
        <v>2631</v>
      </c>
      <c r="B1821" s="3">
        <v>45323</v>
      </c>
      <c r="C1821" t="s">
        <v>1463</v>
      </c>
      <c r="D1821" t="s">
        <v>279</v>
      </c>
      <c r="E1821" t="s">
        <v>105</v>
      </c>
      <c r="F1821">
        <v>1</v>
      </c>
      <c r="G1821" t="s">
        <v>50</v>
      </c>
      <c r="H1821" s="14">
        <v>0.09</v>
      </c>
      <c r="I1821" s="23">
        <v>486.39</v>
      </c>
      <c r="J1821" s="4">
        <v>486.3</v>
      </c>
    </row>
    <row r="1822" spans="1:10">
      <c r="A1822" t="s">
        <v>2632</v>
      </c>
      <c r="B1822" s="3">
        <v>45312</v>
      </c>
      <c r="C1822" t="s">
        <v>754</v>
      </c>
      <c r="D1822" t="s">
        <v>928</v>
      </c>
      <c r="E1822" t="s">
        <v>22</v>
      </c>
      <c r="F1822">
        <v>2</v>
      </c>
      <c r="G1822" t="s">
        <v>50</v>
      </c>
      <c r="H1822" s="14">
        <v>0.18</v>
      </c>
      <c r="I1822" s="23">
        <v>603.62</v>
      </c>
      <c r="J1822" s="4">
        <v>1206.8800000000001</v>
      </c>
    </row>
    <row r="1823" spans="1:10">
      <c r="A1823" t="s">
        <v>2633</v>
      </c>
      <c r="B1823" s="3">
        <v>45554</v>
      </c>
      <c r="C1823" t="s">
        <v>1256</v>
      </c>
      <c r="D1823" t="s">
        <v>786</v>
      </c>
      <c r="E1823" t="s">
        <v>43</v>
      </c>
      <c r="F1823">
        <v>3</v>
      </c>
      <c r="G1823" t="s">
        <v>33</v>
      </c>
      <c r="H1823" s="14">
        <v>0.1</v>
      </c>
      <c r="I1823" s="23">
        <v>204.17</v>
      </c>
      <c r="J1823" s="4">
        <v>612.21</v>
      </c>
    </row>
    <row r="1824" spans="1:10">
      <c r="A1824" t="s">
        <v>2634</v>
      </c>
      <c r="B1824" s="3">
        <v>45310</v>
      </c>
      <c r="C1824" t="s">
        <v>2630</v>
      </c>
      <c r="D1824" t="s">
        <v>484</v>
      </c>
      <c r="E1824" t="s">
        <v>122</v>
      </c>
      <c r="F1824">
        <v>1</v>
      </c>
      <c r="G1824" t="s">
        <v>50</v>
      </c>
      <c r="H1824" s="14">
        <v>0.01</v>
      </c>
      <c r="I1824" s="23">
        <v>43.58</v>
      </c>
      <c r="J1824" s="4">
        <v>43.57</v>
      </c>
    </row>
    <row r="1825" spans="1:10">
      <c r="A1825" t="s">
        <v>2635</v>
      </c>
      <c r="B1825" s="3">
        <v>45594</v>
      </c>
      <c r="C1825" t="s">
        <v>873</v>
      </c>
      <c r="D1825" t="s">
        <v>302</v>
      </c>
      <c r="E1825" t="s">
        <v>198</v>
      </c>
      <c r="F1825">
        <v>3</v>
      </c>
      <c r="G1825" t="s">
        <v>33</v>
      </c>
      <c r="H1825" s="14">
        <v>0.14000000000000001</v>
      </c>
      <c r="I1825" s="23">
        <v>469.33</v>
      </c>
      <c r="J1825" s="4">
        <v>1407.57</v>
      </c>
    </row>
    <row r="1826" spans="1:10">
      <c r="A1826" t="s">
        <v>2636</v>
      </c>
      <c r="B1826" s="3">
        <v>45840</v>
      </c>
      <c r="C1826" t="s">
        <v>771</v>
      </c>
      <c r="D1826" t="s">
        <v>484</v>
      </c>
      <c r="E1826" t="s">
        <v>43</v>
      </c>
      <c r="F1826">
        <v>4</v>
      </c>
      <c r="G1826" t="s">
        <v>23</v>
      </c>
      <c r="H1826" s="14">
        <v>0.12</v>
      </c>
      <c r="I1826" s="23">
        <v>836.23</v>
      </c>
      <c r="J1826" s="4">
        <v>3344.44</v>
      </c>
    </row>
    <row r="1827" spans="1:10">
      <c r="A1827" t="s">
        <v>2637</v>
      </c>
      <c r="B1827" s="3">
        <v>45549</v>
      </c>
      <c r="C1827" t="s">
        <v>523</v>
      </c>
      <c r="D1827" t="s">
        <v>178</v>
      </c>
      <c r="E1827" t="s">
        <v>135</v>
      </c>
      <c r="F1827">
        <v>2</v>
      </c>
      <c r="G1827" t="s">
        <v>33</v>
      </c>
      <c r="H1827" s="14">
        <v>0.2</v>
      </c>
      <c r="I1827" s="23">
        <v>661.53</v>
      </c>
      <c r="J1827" s="4">
        <v>1322.66</v>
      </c>
    </row>
    <row r="1828" spans="1:10">
      <c r="A1828" t="s">
        <v>2638</v>
      </c>
      <c r="B1828" s="3">
        <v>45903</v>
      </c>
      <c r="C1828" t="s">
        <v>782</v>
      </c>
      <c r="D1828" t="s">
        <v>71</v>
      </c>
      <c r="E1828" t="s">
        <v>117</v>
      </c>
      <c r="F1828">
        <v>3</v>
      </c>
      <c r="G1828" t="s">
        <v>33</v>
      </c>
      <c r="H1828" s="14">
        <v>0.25</v>
      </c>
      <c r="I1828" s="23">
        <v>753.47</v>
      </c>
      <c r="J1828" s="4">
        <v>2259.66</v>
      </c>
    </row>
    <row r="1829" spans="1:10">
      <c r="A1829" t="s">
        <v>2639</v>
      </c>
      <c r="B1829" s="3">
        <v>45673</v>
      </c>
      <c r="C1829" t="s">
        <v>1120</v>
      </c>
      <c r="D1829" t="s">
        <v>779</v>
      </c>
      <c r="E1829" t="s">
        <v>90</v>
      </c>
      <c r="F1829">
        <v>3</v>
      </c>
      <c r="G1829" t="s">
        <v>23</v>
      </c>
      <c r="H1829" s="14">
        <v>0</v>
      </c>
      <c r="I1829" s="23">
        <v>713.95</v>
      </c>
      <c r="J1829" s="4">
        <v>2141.85</v>
      </c>
    </row>
    <row r="1830" spans="1:10">
      <c r="A1830" t="s">
        <v>2640</v>
      </c>
      <c r="B1830" s="3">
        <v>45395</v>
      </c>
      <c r="C1830" t="s">
        <v>694</v>
      </c>
      <c r="D1830" t="s">
        <v>555</v>
      </c>
      <c r="E1830" t="s">
        <v>58</v>
      </c>
      <c r="F1830">
        <v>3</v>
      </c>
      <c r="G1830" t="s">
        <v>50</v>
      </c>
      <c r="H1830" s="14">
        <v>0.28000000000000003</v>
      </c>
      <c r="I1830" s="23">
        <v>596</v>
      </c>
      <c r="J1830" s="4">
        <v>1787.16</v>
      </c>
    </row>
    <row r="1831" spans="1:10">
      <c r="A1831" t="s">
        <v>2641</v>
      </c>
      <c r="B1831" s="3">
        <v>45379</v>
      </c>
      <c r="C1831" t="s">
        <v>639</v>
      </c>
      <c r="D1831" t="s">
        <v>810</v>
      </c>
      <c r="E1831" t="s">
        <v>127</v>
      </c>
      <c r="F1831">
        <v>2</v>
      </c>
      <c r="G1831" t="s">
        <v>33</v>
      </c>
      <c r="H1831" s="14">
        <v>0.03</v>
      </c>
      <c r="I1831" s="23">
        <v>169.46</v>
      </c>
      <c r="J1831" s="4">
        <v>338.86</v>
      </c>
    </row>
    <row r="1832" spans="1:10">
      <c r="A1832" t="s">
        <v>2642</v>
      </c>
      <c r="B1832" s="3">
        <v>45860</v>
      </c>
      <c r="C1832" t="s">
        <v>1085</v>
      </c>
      <c r="D1832" t="s">
        <v>134</v>
      </c>
      <c r="E1832" t="s">
        <v>98</v>
      </c>
      <c r="F1832">
        <v>4</v>
      </c>
      <c r="G1832" t="s">
        <v>33</v>
      </c>
      <c r="H1832" s="14">
        <v>0.2</v>
      </c>
      <c r="I1832" s="23">
        <v>611.91999999999996</v>
      </c>
      <c r="J1832" s="4">
        <v>2446.88</v>
      </c>
    </row>
    <row r="1833" spans="1:10">
      <c r="A1833" t="s">
        <v>2643</v>
      </c>
      <c r="B1833" s="3">
        <v>45704</v>
      </c>
      <c r="C1833" t="s">
        <v>2059</v>
      </c>
      <c r="D1833" t="s">
        <v>31</v>
      </c>
      <c r="E1833" t="s">
        <v>122</v>
      </c>
      <c r="F1833">
        <v>2</v>
      </c>
      <c r="G1833" t="s">
        <v>23</v>
      </c>
      <c r="H1833" s="14">
        <v>0.21</v>
      </c>
      <c r="I1833" s="23">
        <v>25.3</v>
      </c>
      <c r="J1833" s="4">
        <v>50.18</v>
      </c>
    </row>
    <row r="1834" spans="1:10">
      <c r="A1834" t="s">
        <v>2644</v>
      </c>
      <c r="B1834" s="3">
        <v>45327</v>
      </c>
      <c r="C1834" t="s">
        <v>778</v>
      </c>
      <c r="D1834" t="s">
        <v>575</v>
      </c>
      <c r="E1834" t="s">
        <v>168</v>
      </c>
      <c r="F1834">
        <v>4</v>
      </c>
      <c r="G1834" t="s">
        <v>33</v>
      </c>
      <c r="H1834" s="14">
        <v>0.02</v>
      </c>
      <c r="I1834" s="23">
        <v>166.93</v>
      </c>
      <c r="J1834" s="4">
        <v>667.64</v>
      </c>
    </row>
    <row r="1835" spans="1:10">
      <c r="A1835" t="s">
        <v>2645</v>
      </c>
      <c r="B1835" s="3">
        <v>45721</v>
      </c>
      <c r="C1835" t="s">
        <v>1727</v>
      </c>
      <c r="D1835" t="s">
        <v>148</v>
      </c>
      <c r="E1835" t="s">
        <v>272</v>
      </c>
      <c r="F1835">
        <v>4</v>
      </c>
      <c r="G1835" t="s">
        <v>23</v>
      </c>
      <c r="H1835" s="14">
        <v>0.12</v>
      </c>
      <c r="I1835" s="23">
        <v>861.55</v>
      </c>
      <c r="J1835" s="4">
        <v>3445.72</v>
      </c>
    </row>
    <row r="1836" spans="1:10">
      <c r="A1836" t="s">
        <v>2646</v>
      </c>
      <c r="B1836" s="3">
        <v>45842</v>
      </c>
      <c r="C1836" t="s">
        <v>940</v>
      </c>
      <c r="D1836" t="s">
        <v>159</v>
      </c>
      <c r="E1836" t="s">
        <v>58</v>
      </c>
      <c r="F1836">
        <v>3</v>
      </c>
      <c r="G1836" t="s">
        <v>50</v>
      </c>
      <c r="H1836" s="14">
        <v>0.01</v>
      </c>
      <c r="I1836" s="23">
        <v>56.17</v>
      </c>
      <c r="J1836" s="4">
        <v>168.48</v>
      </c>
    </row>
    <row r="1837" spans="1:10">
      <c r="A1837" t="s">
        <v>2647</v>
      </c>
      <c r="B1837" s="3">
        <v>45862</v>
      </c>
      <c r="C1837" t="s">
        <v>687</v>
      </c>
      <c r="D1837" t="s">
        <v>65</v>
      </c>
      <c r="E1837" t="s">
        <v>135</v>
      </c>
      <c r="F1837">
        <v>1</v>
      </c>
      <c r="G1837" t="s">
        <v>23</v>
      </c>
      <c r="H1837" s="14">
        <v>0.2</v>
      </c>
      <c r="I1837" s="23">
        <v>582.29</v>
      </c>
      <c r="J1837" s="4">
        <v>582.09</v>
      </c>
    </row>
    <row r="1838" spans="1:10">
      <c r="A1838" t="s">
        <v>2648</v>
      </c>
      <c r="B1838" s="3">
        <v>45681</v>
      </c>
      <c r="C1838" t="s">
        <v>1165</v>
      </c>
      <c r="D1838" t="s">
        <v>359</v>
      </c>
      <c r="E1838" t="s">
        <v>90</v>
      </c>
      <c r="F1838">
        <v>3</v>
      </c>
      <c r="G1838" t="s">
        <v>23</v>
      </c>
      <c r="H1838" s="14">
        <v>0.02</v>
      </c>
      <c r="I1838" s="23">
        <v>63.96</v>
      </c>
      <c r="J1838" s="4">
        <v>191.82</v>
      </c>
    </row>
    <row r="1839" spans="1:10">
      <c r="A1839" t="s">
        <v>2649</v>
      </c>
      <c r="B1839" s="3">
        <v>45392</v>
      </c>
      <c r="C1839" t="s">
        <v>96</v>
      </c>
      <c r="D1839" t="s">
        <v>810</v>
      </c>
      <c r="E1839" t="s">
        <v>208</v>
      </c>
      <c r="F1839">
        <v>1</v>
      </c>
      <c r="G1839" t="s">
        <v>50</v>
      </c>
      <c r="H1839" s="14">
        <v>0.26</v>
      </c>
      <c r="I1839" s="23">
        <v>829.83</v>
      </c>
      <c r="J1839" s="4">
        <v>829.57</v>
      </c>
    </row>
    <row r="1840" spans="1:10">
      <c r="A1840" t="s">
        <v>2650</v>
      </c>
      <c r="B1840" s="3">
        <v>45586</v>
      </c>
      <c r="C1840" t="s">
        <v>946</v>
      </c>
      <c r="D1840" t="s">
        <v>116</v>
      </c>
      <c r="E1840" t="s">
        <v>117</v>
      </c>
      <c r="F1840">
        <v>2</v>
      </c>
      <c r="G1840" t="s">
        <v>23</v>
      </c>
      <c r="H1840" s="14">
        <v>0.03</v>
      </c>
      <c r="I1840" s="23">
        <v>858.15</v>
      </c>
      <c r="J1840" s="4">
        <v>1716.24</v>
      </c>
    </row>
    <row r="1841" spans="1:10">
      <c r="A1841" t="s">
        <v>2651</v>
      </c>
      <c r="B1841" s="3">
        <v>45340</v>
      </c>
      <c r="C1841" t="s">
        <v>1908</v>
      </c>
      <c r="D1841" t="s">
        <v>575</v>
      </c>
      <c r="E1841" t="s">
        <v>149</v>
      </c>
      <c r="F1841">
        <v>3</v>
      </c>
      <c r="G1841" t="s">
        <v>50</v>
      </c>
      <c r="H1841" s="14">
        <v>0.23</v>
      </c>
      <c r="I1841" s="23">
        <v>717.32</v>
      </c>
      <c r="J1841" s="4">
        <v>2151.27</v>
      </c>
    </row>
    <row r="1842" spans="1:10">
      <c r="A1842" t="s">
        <v>2652</v>
      </c>
      <c r="B1842" s="3">
        <v>45853</v>
      </c>
      <c r="C1842" t="s">
        <v>624</v>
      </c>
      <c r="D1842" t="s">
        <v>359</v>
      </c>
      <c r="E1842" t="s">
        <v>208</v>
      </c>
      <c r="F1842">
        <v>1</v>
      </c>
      <c r="G1842" t="s">
        <v>33</v>
      </c>
      <c r="H1842" s="14">
        <v>0.22</v>
      </c>
      <c r="I1842" s="23">
        <v>163.19999999999999</v>
      </c>
      <c r="J1842" s="4">
        <v>162.97999999999999</v>
      </c>
    </row>
    <row r="1843" spans="1:10">
      <c r="A1843" t="s">
        <v>2653</v>
      </c>
      <c r="B1843" s="3">
        <v>45489</v>
      </c>
      <c r="C1843" t="s">
        <v>320</v>
      </c>
      <c r="D1843" t="s">
        <v>630</v>
      </c>
      <c r="E1843" t="s">
        <v>208</v>
      </c>
      <c r="F1843">
        <v>2</v>
      </c>
      <c r="G1843" t="s">
        <v>23</v>
      </c>
      <c r="H1843" s="14">
        <v>0.11</v>
      </c>
      <c r="I1843" s="23">
        <v>966.71</v>
      </c>
      <c r="J1843" s="4">
        <v>1933.2</v>
      </c>
    </row>
    <row r="1844" spans="1:10">
      <c r="A1844" t="s">
        <v>2654</v>
      </c>
      <c r="B1844" s="3">
        <v>45761</v>
      </c>
      <c r="C1844" t="s">
        <v>121</v>
      </c>
      <c r="D1844" t="s">
        <v>487</v>
      </c>
      <c r="E1844" t="s">
        <v>149</v>
      </c>
      <c r="F1844">
        <v>2</v>
      </c>
      <c r="G1844" t="s">
        <v>50</v>
      </c>
      <c r="H1844" s="14">
        <v>0.14000000000000001</v>
      </c>
      <c r="I1844" s="23">
        <v>873.94</v>
      </c>
      <c r="J1844" s="4">
        <v>1747.6</v>
      </c>
    </row>
    <row r="1845" spans="1:10">
      <c r="A1845" t="s">
        <v>2655</v>
      </c>
      <c r="B1845" s="3">
        <v>45379</v>
      </c>
      <c r="C1845" t="s">
        <v>1228</v>
      </c>
      <c r="D1845" t="s">
        <v>768</v>
      </c>
      <c r="E1845" t="s">
        <v>22</v>
      </c>
      <c r="F1845">
        <v>1</v>
      </c>
      <c r="G1845" t="s">
        <v>23</v>
      </c>
      <c r="H1845" s="14">
        <v>0.27</v>
      </c>
      <c r="I1845" s="23">
        <v>140.24</v>
      </c>
      <c r="J1845" s="4">
        <v>139.97</v>
      </c>
    </row>
    <row r="1846" spans="1:10">
      <c r="A1846" t="s">
        <v>2656</v>
      </c>
      <c r="B1846" s="3">
        <v>45716</v>
      </c>
      <c r="C1846" t="s">
        <v>513</v>
      </c>
      <c r="D1846" t="s">
        <v>159</v>
      </c>
      <c r="E1846" t="s">
        <v>58</v>
      </c>
      <c r="F1846">
        <v>2</v>
      </c>
      <c r="G1846" t="s">
        <v>23</v>
      </c>
      <c r="H1846" s="14">
        <v>0.28000000000000003</v>
      </c>
      <c r="I1846" s="23">
        <v>549.91999999999996</v>
      </c>
      <c r="J1846" s="4">
        <v>1099.28</v>
      </c>
    </row>
    <row r="1847" spans="1:10">
      <c r="A1847" t="s">
        <v>2657</v>
      </c>
      <c r="B1847" s="3">
        <v>45364</v>
      </c>
      <c r="C1847" t="s">
        <v>2658</v>
      </c>
      <c r="D1847" t="s">
        <v>377</v>
      </c>
      <c r="E1847" t="s">
        <v>58</v>
      </c>
      <c r="F1847">
        <v>4</v>
      </c>
      <c r="G1847" t="s">
        <v>33</v>
      </c>
      <c r="H1847" s="14">
        <v>0.19</v>
      </c>
      <c r="I1847" s="23">
        <v>715.88</v>
      </c>
      <c r="J1847" s="4">
        <v>2862.76</v>
      </c>
    </row>
    <row r="1848" spans="1:10">
      <c r="A1848" t="s">
        <v>2659</v>
      </c>
      <c r="B1848" s="3">
        <v>45752</v>
      </c>
      <c r="C1848" t="s">
        <v>674</v>
      </c>
      <c r="D1848" t="s">
        <v>868</v>
      </c>
      <c r="E1848" t="s">
        <v>43</v>
      </c>
      <c r="F1848">
        <v>3</v>
      </c>
      <c r="G1848" t="s">
        <v>23</v>
      </c>
      <c r="H1848" s="14">
        <v>0.27</v>
      </c>
      <c r="I1848" s="23">
        <v>591.9</v>
      </c>
      <c r="J1848" s="4">
        <v>1774.89</v>
      </c>
    </row>
    <row r="1849" spans="1:10">
      <c r="A1849" t="s">
        <v>2660</v>
      </c>
      <c r="B1849" s="3">
        <v>45883</v>
      </c>
      <c r="C1849" t="s">
        <v>1873</v>
      </c>
      <c r="D1849" t="s">
        <v>443</v>
      </c>
      <c r="E1849" t="s">
        <v>168</v>
      </c>
      <c r="F1849">
        <v>2</v>
      </c>
      <c r="G1849" t="s">
        <v>33</v>
      </c>
      <c r="H1849" s="14">
        <v>0.13</v>
      </c>
      <c r="I1849" s="23">
        <v>523.14</v>
      </c>
      <c r="J1849" s="4">
        <v>1046.02</v>
      </c>
    </row>
    <row r="1850" spans="1:10">
      <c r="A1850" t="s">
        <v>2661</v>
      </c>
      <c r="B1850" s="3">
        <v>45477</v>
      </c>
      <c r="C1850" t="s">
        <v>2263</v>
      </c>
      <c r="D1850" t="s">
        <v>167</v>
      </c>
      <c r="E1850" t="s">
        <v>98</v>
      </c>
      <c r="F1850">
        <v>2</v>
      </c>
      <c r="G1850" t="s">
        <v>50</v>
      </c>
      <c r="H1850" s="14">
        <v>0.17</v>
      </c>
      <c r="I1850" s="23">
        <v>478.62</v>
      </c>
      <c r="J1850" s="4">
        <v>956.9</v>
      </c>
    </row>
    <row r="1851" spans="1:10">
      <c r="A1851" t="s">
        <v>2662</v>
      </c>
      <c r="B1851" s="3">
        <v>45556</v>
      </c>
      <c r="C1851" t="s">
        <v>2153</v>
      </c>
      <c r="D1851" t="s">
        <v>542</v>
      </c>
      <c r="E1851" t="s">
        <v>105</v>
      </c>
      <c r="F1851">
        <v>4</v>
      </c>
      <c r="G1851" t="s">
        <v>33</v>
      </c>
      <c r="H1851" s="14">
        <v>0.17</v>
      </c>
      <c r="I1851" s="23">
        <v>740.5</v>
      </c>
      <c r="J1851" s="4">
        <v>2961.32</v>
      </c>
    </row>
    <row r="1852" spans="1:10">
      <c r="A1852" t="s">
        <v>2663</v>
      </c>
      <c r="B1852" s="3">
        <v>45465</v>
      </c>
      <c r="C1852" t="s">
        <v>2075</v>
      </c>
      <c r="D1852" t="s">
        <v>381</v>
      </c>
      <c r="E1852" t="s">
        <v>198</v>
      </c>
      <c r="F1852">
        <v>1</v>
      </c>
      <c r="G1852" t="s">
        <v>50</v>
      </c>
      <c r="H1852" s="14">
        <v>0.04</v>
      </c>
      <c r="I1852" s="23">
        <v>780.24</v>
      </c>
      <c r="J1852" s="4">
        <v>780.2</v>
      </c>
    </row>
    <row r="1853" spans="1:10">
      <c r="A1853" t="s">
        <v>2664</v>
      </c>
      <c r="B1853" s="3">
        <v>45552</v>
      </c>
      <c r="C1853" t="s">
        <v>707</v>
      </c>
      <c r="D1853" t="s">
        <v>79</v>
      </c>
      <c r="E1853" t="s">
        <v>117</v>
      </c>
      <c r="F1853">
        <v>4</v>
      </c>
      <c r="G1853" t="s">
        <v>50</v>
      </c>
      <c r="H1853" s="14">
        <v>0.04</v>
      </c>
      <c r="I1853" s="23">
        <v>579.24</v>
      </c>
      <c r="J1853" s="4">
        <v>2316.8000000000002</v>
      </c>
    </row>
    <row r="1854" spans="1:10">
      <c r="A1854" t="s">
        <v>2665</v>
      </c>
      <c r="B1854" s="3">
        <v>45635</v>
      </c>
      <c r="C1854" t="s">
        <v>674</v>
      </c>
      <c r="D1854" t="s">
        <v>389</v>
      </c>
      <c r="E1854" t="s">
        <v>198</v>
      </c>
      <c r="F1854">
        <v>3</v>
      </c>
      <c r="G1854" t="s">
        <v>33</v>
      </c>
      <c r="H1854" s="14">
        <v>0.04</v>
      </c>
      <c r="I1854" s="23">
        <v>268.95</v>
      </c>
      <c r="J1854" s="4">
        <v>806.73</v>
      </c>
    </row>
    <row r="1855" spans="1:10">
      <c r="A1855" t="s">
        <v>2666</v>
      </c>
      <c r="B1855" s="3">
        <v>45740</v>
      </c>
      <c r="C1855" t="s">
        <v>1691</v>
      </c>
      <c r="D1855" t="s">
        <v>183</v>
      </c>
      <c r="E1855" t="s">
        <v>72</v>
      </c>
      <c r="F1855">
        <v>1</v>
      </c>
      <c r="G1855" t="s">
        <v>23</v>
      </c>
      <c r="H1855" s="14">
        <v>0.28000000000000003</v>
      </c>
      <c r="I1855" s="23">
        <v>47.47</v>
      </c>
      <c r="J1855" s="4">
        <v>47.19</v>
      </c>
    </row>
    <row r="1856" spans="1:10">
      <c r="A1856" t="s">
        <v>2667</v>
      </c>
      <c r="B1856" s="3">
        <v>45796</v>
      </c>
      <c r="C1856" t="s">
        <v>461</v>
      </c>
      <c r="D1856" t="s">
        <v>89</v>
      </c>
      <c r="E1856" t="s">
        <v>32</v>
      </c>
      <c r="F1856">
        <v>3</v>
      </c>
      <c r="G1856" t="s">
        <v>23</v>
      </c>
      <c r="H1856" s="14">
        <v>7.0000000000000007E-2</v>
      </c>
      <c r="I1856" s="23">
        <v>858.81</v>
      </c>
      <c r="J1856" s="4">
        <v>2576.2199999999998</v>
      </c>
    </row>
    <row r="1857" spans="1:10">
      <c r="A1857" t="s">
        <v>2668</v>
      </c>
      <c r="B1857" s="3">
        <v>45710</v>
      </c>
      <c r="C1857" t="s">
        <v>1806</v>
      </c>
      <c r="D1857" t="s">
        <v>314</v>
      </c>
      <c r="E1857" t="s">
        <v>168</v>
      </c>
      <c r="F1857">
        <v>3</v>
      </c>
      <c r="G1857" t="s">
        <v>23</v>
      </c>
      <c r="H1857" s="14">
        <v>0.05</v>
      </c>
      <c r="I1857" s="23">
        <v>569.98</v>
      </c>
      <c r="J1857" s="4">
        <v>1709.79</v>
      </c>
    </row>
    <row r="1858" spans="1:10">
      <c r="A1858" t="s">
        <v>2669</v>
      </c>
      <c r="B1858" s="3">
        <v>45596</v>
      </c>
      <c r="C1858" t="s">
        <v>388</v>
      </c>
      <c r="D1858" t="s">
        <v>31</v>
      </c>
      <c r="E1858" t="s">
        <v>208</v>
      </c>
      <c r="F1858">
        <v>3</v>
      </c>
      <c r="G1858" t="s">
        <v>50</v>
      </c>
      <c r="H1858" s="14">
        <v>0.01</v>
      </c>
      <c r="I1858" s="23">
        <v>306.52</v>
      </c>
      <c r="J1858" s="4">
        <v>919.53</v>
      </c>
    </row>
    <row r="1859" spans="1:10">
      <c r="A1859" t="s">
        <v>2670</v>
      </c>
      <c r="B1859" s="3">
        <v>45354</v>
      </c>
      <c r="C1859" t="s">
        <v>2166</v>
      </c>
      <c r="D1859" t="s">
        <v>71</v>
      </c>
      <c r="E1859" t="s">
        <v>149</v>
      </c>
      <c r="F1859">
        <v>3</v>
      </c>
      <c r="G1859" t="s">
        <v>50</v>
      </c>
      <c r="H1859" s="14">
        <v>0.03</v>
      </c>
      <c r="I1859" s="23">
        <v>184.67</v>
      </c>
      <c r="J1859" s="4">
        <v>553.91999999999996</v>
      </c>
    </row>
    <row r="1860" spans="1:10">
      <c r="A1860" t="s">
        <v>2671</v>
      </c>
      <c r="B1860" s="3">
        <v>45428</v>
      </c>
      <c r="C1860" t="s">
        <v>1410</v>
      </c>
      <c r="D1860" t="s">
        <v>246</v>
      </c>
      <c r="E1860" t="s">
        <v>58</v>
      </c>
      <c r="F1860">
        <v>4</v>
      </c>
      <c r="G1860" t="s">
        <v>50</v>
      </c>
      <c r="H1860" s="14">
        <v>0</v>
      </c>
      <c r="I1860" s="23">
        <v>189.56</v>
      </c>
      <c r="J1860" s="4">
        <v>758.24</v>
      </c>
    </row>
    <row r="1861" spans="1:10">
      <c r="A1861" t="s">
        <v>2672</v>
      </c>
      <c r="B1861" s="3">
        <v>45511</v>
      </c>
      <c r="C1861" t="s">
        <v>968</v>
      </c>
      <c r="D1861" t="s">
        <v>213</v>
      </c>
      <c r="E1861" t="s">
        <v>58</v>
      </c>
      <c r="F1861">
        <v>1</v>
      </c>
      <c r="G1861" t="s">
        <v>33</v>
      </c>
      <c r="H1861" s="14">
        <v>0.04</v>
      </c>
      <c r="I1861" s="23">
        <v>805.24</v>
      </c>
      <c r="J1861" s="4">
        <v>805.2</v>
      </c>
    </row>
    <row r="1862" spans="1:10">
      <c r="A1862" t="s">
        <v>2673</v>
      </c>
      <c r="B1862" s="3">
        <v>45549</v>
      </c>
      <c r="C1862" t="s">
        <v>1220</v>
      </c>
      <c r="D1862" t="s">
        <v>420</v>
      </c>
      <c r="E1862" t="s">
        <v>32</v>
      </c>
      <c r="F1862">
        <v>3</v>
      </c>
      <c r="G1862" t="s">
        <v>23</v>
      </c>
      <c r="H1862" s="14">
        <v>0.24</v>
      </c>
      <c r="I1862" s="23">
        <v>683.74</v>
      </c>
      <c r="J1862" s="4">
        <v>2050.5</v>
      </c>
    </row>
    <row r="1863" spans="1:10">
      <c r="A1863" t="s">
        <v>2674</v>
      </c>
      <c r="B1863" s="3">
        <v>45573</v>
      </c>
      <c r="C1863" t="s">
        <v>934</v>
      </c>
      <c r="D1863" t="s">
        <v>71</v>
      </c>
      <c r="E1863" t="s">
        <v>160</v>
      </c>
      <c r="F1863">
        <v>3</v>
      </c>
      <c r="G1863" t="s">
        <v>50</v>
      </c>
      <c r="H1863" s="14">
        <v>0.28000000000000003</v>
      </c>
      <c r="I1863" s="23">
        <v>439.21</v>
      </c>
      <c r="J1863" s="4">
        <v>1316.79</v>
      </c>
    </row>
    <row r="1864" spans="1:10">
      <c r="A1864" t="s">
        <v>2675</v>
      </c>
      <c r="B1864" s="3">
        <v>45904</v>
      </c>
      <c r="C1864" t="s">
        <v>452</v>
      </c>
      <c r="D1864" t="s">
        <v>532</v>
      </c>
      <c r="E1864" t="s">
        <v>179</v>
      </c>
      <c r="F1864">
        <v>1</v>
      </c>
      <c r="G1864" t="s">
        <v>50</v>
      </c>
      <c r="H1864" s="14">
        <v>0.24</v>
      </c>
      <c r="I1864" s="23">
        <v>126.92</v>
      </c>
      <c r="J1864" s="4">
        <v>126.68</v>
      </c>
    </row>
    <row r="1865" spans="1:10">
      <c r="A1865" t="s">
        <v>2676</v>
      </c>
      <c r="B1865" s="3">
        <v>45489</v>
      </c>
      <c r="C1865" t="s">
        <v>1747</v>
      </c>
      <c r="D1865" t="s">
        <v>575</v>
      </c>
      <c r="E1865" t="s">
        <v>72</v>
      </c>
      <c r="F1865">
        <v>4</v>
      </c>
      <c r="G1865" t="s">
        <v>23</v>
      </c>
      <c r="H1865" s="14">
        <v>0.14000000000000001</v>
      </c>
      <c r="I1865" s="23">
        <v>834.7</v>
      </c>
      <c r="J1865" s="4">
        <v>3338.24</v>
      </c>
    </row>
    <row r="1866" spans="1:10">
      <c r="A1866" t="s">
        <v>2677</v>
      </c>
      <c r="B1866" s="3">
        <v>45909</v>
      </c>
      <c r="C1866" t="s">
        <v>1436</v>
      </c>
      <c r="D1866" t="s">
        <v>449</v>
      </c>
      <c r="E1866" t="s">
        <v>272</v>
      </c>
      <c r="F1866">
        <v>2</v>
      </c>
      <c r="G1866" t="s">
        <v>50</v>
      </c>
      <c r="H1866" s="14">
        <v>0.11</v>
      </c>
      <c r="I1866" s="23">
        <v>271.88</v>
      </c>
      <c r="J1866" s="4">
        <v>543.54</v>
      </c>
    </row>
    <row r="1867" spans="1:10">
      <c r="A1867" t="s">
        <v>2678</v>
      </c>
      <c r="B1867" s="3">
        <v>45720</v>
      </c>
      <c r="C1867" t="s">
        <v>1927</v>
      </c>
      <c r="D1867" t="s">
        <v>555</v>
      </c>
      <c r="E1867" t="s">
        <v>105</v>
      </c>
      <c r="F1867">
        <v>4</v>
      </c>
      <c r="G1867" t="s">
        <v>23</v>
      </c>
      <c r="H1867" s="14">
        <v>0.25</v>
      </c>
      <c r="I1867" s="23">
        <v>972.14</v>
      </c>
      <c r="J1867" s="4">
        <v>3887.56</v>
      </c>
    </row>
    <row r="1868" spans="1:10">
      <c r="A1868" t="s">
        <v>2679</v>
      </c>
      <c r="B1868" s="3">
        <v>45831</v>
      </c>
      <c r="C1868" t="s">
        <v>546</v>
      </c>
      <c r="D1868" t="s">
        <v>159</v>
      </c>
      <c r="E1868" t="s">
        <v>72</v>
      </c>
      <c r="F1868">
        <v>3</v>
      </c>
      <c r="G1868" t="s">
        <v>33</v>
      </c>
      <c r="H1868" s="14">
        <v>0.27</v>
      </c>
      <c r="I1868" s="23">
        <v>523.66</v>
      </c>
      <c r="J1868" s="4">
        <v>1570.17</v>
      </c>
    </row>
    <row r="1869" spans="1:10">
      <c r="A1869" t="s">
        <v>2680</v>
      </c>
      <c r="B1869" s="3">
        <v>45602</v>
      </c>
      <c r="C1869" t="s">
        <v>196</v>
      </c>
      <c r="D1869" t="s">
        <v>779</v>
      </c>
      <c r="E1869" t="s">
        <v>198</v>
      </c>
      <c r="F1869">
        <v>4</v>
      </c>
      <c r="G1869" t="s">
        <v>23</v>
      </c>
      <c r="H1869" s="14">
        <v>0.16</v>
      </c>
      <c r="I1869" s="23">
        <v>838.99</v>
      </c>
      <c r="J1869" s="4">
        <v>3355.32</v>
      </c>
    </row>
    <row r="1870" spans="1:10">
      <c r="A1870" t="s">
        <v>2681</v>
      </c>
      <c r="B1870" s="3">
        <v>45722</v>
      </c>
      <c r="C1870" t="s">
        <v>652</v>
      </c>
      <c r="D1870" t="s">
        <v>555</v>
      </c>
      <c r="E1870" t="s">
        <v>32</v>
      </c>
      <c r="F1870">
        <v>4</v>
      </c>
      <c r="G1870" t="s">
        <v>50</v>
      </c>
      <c r="H1870" s="14">
        <v>0.21</v>
      </c>
      <c r="I1870" s="23">
        <v>838.7</v>
      </c>
      <c r="J1870" s="4">
        <v>3353.96</v>
      </c>
    </row>
    <row r="1871" spans="1:10">
      <c r="A1871" t="s">
        <v>2682</v>
      </c>
      <c r="B1871" s="3">
        <v>45794</v>
      </c>
      <c r="C1871" t="s">
        <v>278</v>
      </c>
      <c r="D1871" t="s">
        <v>31</v>
      </c>
      <c r="E1871" t="s">
        <v>43</v>
      </c>
      <c r="F1871">
        <v>3</v>
      </c>
      <c r="G1871" t="s">
        <v>23</v>
      </c>
      <c r="H1871" s="14">
        <v>0.21</v>
      </c>
      <c r="I1871" s="23">
        <v>943.24</v>
      </c>
      <c r="J1871" s="4">
        <v>2829.09</v>
      </c>
    </row>
    <row r="1872" spans="1:10">
      <c r="A1872" t="s">
        <v>2683</v>
      </c>
      <c r="B1872" s="3">
        <v>45659</v>
      </c>
      <c r="C1872" t="s">
        <v>2153</v>
      </c>
      <c r="D1872" t="s">
        <v>768</v>
      </c>
      <c r="E1872" t="s">
        <v>32</v>
      </c>
      <c r="F1872">
        <v>2</v>
      </c>
      <c r="G1872" t="s">
        <v>23</v>
      </c>
      <c r="H1872" s="14">
        <v>0.26</v>
      </c>
      <c r="I1872" s="23">
        <v>310.33</v>
      </c>
      <c r="J1872" s="4">
        <v>620.14</v>
      </c>
    </row>
    <row r="1873" spans="1:10">
      <c r="A1873" t="s">
        <v>2684</v>
      </c>
      <c r="B1873" s="3">
        <v>45501</v>
      </c>
      <c r="C1873" t="s">
        <v>48</v>
      </c>
      <c r="D1873" t="s">
        <v>344</v>
      </c>
      <c r="E1873" t="s">
        <v>90</v>
      </c>
      <c r="F1873">
        <v>3</v>
      </c>
      <c r="G1873" t="s">
        <v>33</v>
      </c>
      <c r="H1873" s="14">
        <v>0.23</v>
      </c>
      <c r="I1873" s="23">
        <v>201.05</v>
      </c>
      <c r="J1873" s="4">
        <v>602.46</v>
      </c>
    </row>
    <row r="1874" spans="1:10">
      <c r="A1874" t="s">
        <v>2685</v>
      </c>
      <c r="B1874" s="3">
        <v>45408</v>
      </c>
      <c r="C1874" t="s">
        <v>2578</v>
      </c>
      <c r="D1874" t="s">
        <v>714</v>
      </c>
      <c r="E1874" t="s">
        <v>32</v>
      </c>
      <c r="F1874">
        <v>1</v>
      </c>
      <c r="G1874" t="s">
        <v>33</v>
      </c>
      <c r="H1874" s="14">
        <v>0.3</v>
      </c>
      <c r="I1874" s="23">
        <v>803.37</v>
      </c>
      <c r="J1874" s="4">
        <v>803.07</v>
      </c>
    </row>
    <row r="1875" spans="1:10">
      <c r="A1875" t="s">
        <v>2686</v>
      </c>
      <c r="B1875" s="3">
        <v>45886</v>
      </c>
      <c r="C1875" t="s">
        <v>1303</v>
      </c>
      <c r="D1875" t="s">
        <v>698</v>
      </c>
      <c r="E1875" t="s">
        <v>122</v>
      </c>
      <c r="F1875">
        <v>3</v>
      </c>
      <c r="G1875" t="s">
        <v>50</v>
      </c>
      <c r="H1875" s="14">
        <v>7.0000000000000007E-2</v>
      </c>
      <c r="I1875" s="23">
        <v>259.98</v>
      </c>
      <c r="J1875" s="4">
        <v>779.73</v>
      </c>
    </row>
    <row r="1876" spans="1:10">
      <c r="A1876" t="s">
        <v>2687</v>
      </c>
      <c r="B1876" s="3">
        <v>45426</v>
      </c>
      <c r="C1876" t="s">
        <v>1392</v>
      </c>
      <c r="D1876" t="s">
        <v>868</v>
      </c>
      <c r="E1876" t="s">
        <v>22</v>
      </c>
      <c r="F1876">
        <v>4</v>
      </c>
      <c r="G1876" t="s">
        <v>33</v>
      </c>
      <c r="H1876" s="14">
        <v>0.2</v>
      </c>
      <c r="I1876" s="23">
        <v>591.9</v>
      </c>
      <c r="J1876" s="4">
        <v>2366.8000000000002</v>
      </c>
    </row>
    <row r="1877" spans="1:10">
      <c r="A1877" t="s">
        <v>2688</v>
      </c>
      <c r="B1877" s="3">
        <v>45730</v>
      </c>
      <c r="C1877" t="s">
        <v>727</v>
      </c>
      <c r="D1877" t="s">
        <v>148</v>
      </c>
      <c r="E1877" t="s">
        <v>208</v>
      </c>
      <c r="F1877">
        <v>2</v>
      </c>
      <c r="G1877" t="s">
        <v>33</v>
      </c>
      <c r="H1877" s="14">
        <v>0.18</v>
      </c>
      <c r="I1877" s="23">
        <v>396.9</v>
      </c>
      <c r="J1877" s="4">
        <v>793.44</v>
      </c>
    </row>
    <row r="1878" spans="1:10">
      <c r="A1878" t="s">
        <v>2689</v>
      </c>
      <c r="B1878" s="3">
        <v>45731</v>
      </c>
      <c r="C1878" t="s">
        <v>217</v>
      </c>
      <c r="D1878" t="s">
        <v>187</v>
      </c>
      <c r="E1878" t="s">
        <v>198</v>
      </c>
      <c r="F1878">
        <v>1</v>
      </c>
      <c r="G1878" t="s">
        <v>23</v>
      </c>
      <c r="H1878" s="14">
        <v>0.19</v>
      </c>
      <c r="I1878" s="23">
        <v>176.84</v>
      </c>
      <c r="J1878" s="4">
        <v>176.65</v>
      </c>
    </row>
    <row r="1879" spans="1:10">
      <c r="A1879" t="s">
        <v>2690</v>
      </c>
      <c r="B1879" s="3">
        <v>45272</v>
      </c>
      <c r="C1879" t="s">
        <v>2160</v>
      </c>
      <c r="D1879" t="s">
        <v>246</v>
      </c>
      <c r="E1879" t="s">
        <v>90</v>
      </c>
      <c r="F1879">
        <v>2</v>
      </c>
      <c r="G1879" t="s">
        <v>33</v>
      </c>
      <c r="H1879" s="14">
        <v>0.11</v>
      </c>
      <c r="I1879" s="23">
        <v>614.21</v>
      </c>
      <c r="J1879" s="4">
        <v>1228.2</v>
      </c>
    </row>
    <row r="1880" spans="1:10">
      <c r="A1880" t="s">
        <v>2691</v>
      </c>
      <c r="B1880" s="3">
        <v>45584</v>
      </c>
      <c r="C1880" t="s">
        <v>589</v>
      </c>
      <c r="D1880" t="s">
        <v>414</v>
      </c>
      <c r="E1880" t="s">
        <v>66</v>
      </c>
      <c r="F1880">
        <v>3</v>
      </c>
      <c r="G1880" t="s">
        <v>50</v>
      </c>
      <c r="H1880" s="14">
        <v>0.18</v>
      </c>
      <c r="I1880" s="23">
        <v>604.66</v>
      </c>
      <c r="J1880" s="4">
        <v>1813.44</v>
      </c>
    </row>
    <row r="1881" spans="1:10">
      <c r="A1881" t="s">
        <v>2692</v>
      </c>
      <c r="B1881" s="3">
        <v>45534</v>
      </c>
      <c r="C1881" t="s">
        <v>483</v>
      </c>
      <c r="D1881" t="s">
        <v>868</v>
      </c>
      <c r="E1881" t="s">
        <v>208</v>
      </c>
      <c r="F1881">
        <v>3</v>
      </c>
      <c r="G1881" t="s">
        <v>33</v>
      </c>
      <c r="H1881" s="14">
        <v>0.12</v>
      </c>
      <c r="I1881" s="23">
        <v>24.29</v>
      </c>
      <c r="J1881" s="4">
        <v>72.510000000000005</v>
      </c>
    </row>
    <row r="1882" spans="1:10">
      <c r="A1882" t="s">
        <v>2693</v>
      </c>
      <c r="B1882" s="3">
        <v>45482</v>
      </c>
      <c r="C1882" t="s">
        <v>1609</v>
      </c>
      <c r="D1882" t="s">
        <v>625</v>
      </c>
      <c r="E1882" t="s">
        <v>272</v>
      </c>
      <c r="F1882">
        <v>1</v>
      </c>
      <c r="G1882" t="s">
        <v>33</v>
      </c>
      <c r="H1882" s="14">
        <v>0.24</v>
      </c>
      <c r="I1882" s="23">
        <v>503.95</v>
      </c>
      <c r="J1882" s="4">
        <v>503.71</v>
      </c>
    </row>
    <row r="1883" spans="1:10">
      <c r="A1883" t="s">
        <v>2694</v>
      </c>
      <c r="B1883" s="3">
        <v>45475</v>
      </c>
      <c r="C1883" t="s">
        <v>562</v>
      </c>
      <c r="D1883" t="s">
        <v>501</v>
      </c>
      <c r="E1883" t="s">
        <v>98</v>
      </c>
      <c r="F1883">
        <v>4</v>
      </c>
      <c r="G1883" t="s">
        <v>23</v>
      </c>
      <c r="H1883" s="14">
        <v>0.03</v>
      </c>
      <c r="I1883" s="23">
        <v>860.78</v>
      </c>
      <c r="J1883" s="4">
        <v>3443</v>
      </c>
    </row>
    <row r="1884" spans="1:10">
      <c r="A1884" t="s">
        <v>2695</v>
      </c>
      <c r="B1884" s="3">
        <v>45234</v>
      </c>
      <c r="C1884" t="s">
        <v>1095</v>
      </c>
      <c r="D1884" t="s">
        <v>449</v>
      </c>
      <c r="E1884" t="s">
        <v>22</v>
      </c>
      <c r="F1884">
        <v>3</v>
      </c>
      <c r="G1884" t="s">
        <v>50</v>
      </c>
      <c r="H1884" s="14">
        <v>0.03</v>
      </c>
      <c r="I1884" s="23">
        <v>41.97</v>
      </c>
      <c r="J1884" s="4">
        <v>125.82</v>
      </c>
    </row>
    <row r="1885" spans="1:10">
      <c r="A1885" t="s">
        <v>2696</v>
      </c>
      <c r="B1885" s="3">
        <v>45397</v>
      </c>
      <c r="C1885" t="s">
        <v>620</v>
      </c>
      <c r="D1885" t="s">
        <v>65</v>
      </c>
      <c r="E1885" t="s">
        <v>58</v>
      </c>
      <c r="F1885">
        <v>1</v>
      </c>
      <c r="G1885" t="s">
        <v>50</v>
      </c>
      <c r="H1885" s="14">
        <v>0.12</v>
      </c>
      <c r="I1885" s="23">
        <v>649.59</v>
      </c>
      <c r="J1885" s="4">
        <v>649.47</v>
      </c>
    </row>
    <row r="1886" spans="1:10">
      <c r="A1886" t="s">
        <v>2697</v>
      </c>
      <c r="B1886" s="3">
        <v>45502</v>
      </c>
      <c r="C1886" t="s">
        <v>1042</v>
      </c>
      <c r="D1886" t="s">
        <v>625</v>
      </c>
      <c r="E1886" t="s">
        <v>127</v>
      </c>
      <c r="F1886">
        <v>2</v>
      </c>
      <c r="G1886" t="s">
        <v>33</v>
      </c>
      <c r="H1886" s="14">
        <v>0.19</v>
      </c>
      <c r="I1886" s="23">
        <v>386.09</v>
      </c>
      <c r="J1886" s="4">
        <v>771.8</v>
      </c>
    </row>
    <row r="1887" spans="1:10">
      <c r="A1887" t="s">
        <v>2698</v>
      </c>
      <c r="B1887" s="3">
        <v>45644</v>
      </c>
      <c r="C1887" t="s">
        <v>694</v>
      </c>
      <c r="D1887" t="s">
        <v>501</v>
      </c>
      <c r="E1887" t="s">
        <v>208</v>
      </c>
      <c r="F1887">
        <v>1</v>
      </c>
      <c r="G1887" t="s">
        <v>33</v>
      </c>
      <c r="H1887" s="14">
        <v>0.06</v>
      </c>
      <c r="I1887" s="23">
        <v>891.62</v>
      </c>
      <c r="J1887" s="4">
        <v>891.56</v>
      </c>
    </row>
    <row r="1888" spans="1:10">
      <c r="A1888" t="s">
        <v>2699</v>
      </c>
      <c r="B1888" s="3">
        <v>45617</v>
      </c>
      <c r="C1888" t="s">
        <v>182</v>
      </c>
      <c r="D1888" t="s">
        <v>779</v>
      </c>
      <c r="E1888" t="s">
        <v>122</v>
      </c>
      <c r="F1888">
        <v>2</v>
      </c>
      <c r="G1888" t="s">
        <v>50</v>
      </c>
      <c r="H1888" s="14">
        <v>0.05</v>
      </c>
      <c r="I1888" s="23">
        <v>558.9</v>
      </c>
      <c r="J1888" s="4">
        <v>1117.7</v>
      </c>
    </row>
    <row r="1889" spans="1:10">
      <c r="A1889" t="s">
        <v>2700</v>
      </c>
      <c r="B1889" s="3">
        <v>45797</v>
      </c>
      <c r="C1889" t="s">
        <v>1149</v>
      </c>
      <c r="D1889" t="s">
        <v>389</v>
      </c>
      <c r="E1889" t="s">
        <v>22</v>
      </c>
      <c r="F1889">
        <v>2</v>
      </c>
      <c r="G1889" t="s">
        <v>50</v>
      </c>
      <c r="H1889" s="14">
        <v>0.26</v>
      </c>
      <c r="I1889" s="23">
        <v>99.04</v>
      </c>
      <c r="J1889" s="4">
        <v>197.56</v>
      </c>
    </row>
    <row r="1890" spans="1:10">
      <c r="A1890" t="s">
        <v>2701</v>
      </c>
      <c r="B1890" s="3">
        <v>45740</v>
      </c>
      <c r="C1890" t="s">
        <v>2232</v>
      </c>
      <c r="D1890" t="s">
        <v>414</v>
      </c>
      <c r="E1890" t="s">
        <v>43</v>
      </c>
      <c r="F1890">
        <v>4</v>
      </c>
      <c r="G1890" t="s">
        <v>23</v>
      </c>
      <c r="H1890" s="14">
        <v>0.06</v>
      </c>
      <c r="I1890" s="23">
        <v>625.13</v>
      </c>
      <c r="J1890" s="4">
        <v>2500.2800000000002</v>
      </c>
    </row>
    <row r="1891" spans="1:10">
      <c r="A1891" t="s">
        <v>2702</v>
      </c>
      <c r="B1891" s="3">
        <v>45824</v>
      </c>
      <c r="C1891" t="s">
        <v>1303</v>
      </c>
      <c r="D1891" t="s">
        <v>295</v>
      </c>
      <c r="E1891" t="s">
        <v>160</v>
      </c>
      <c r="F1891">
        <v>4</v>
      </c>
      <c r="G1891" t="s">
        <v>50</v>
      </c>
      <c r="H1891" s="14">
        <v>0.16</v>
      </c>
      <c r="I1891" s="23">
        <v>38.380000000000003</v>
      </c>
      <c r="J1891" s="4">
        <v>152.88</v>
      </c>
    </row>
    <row r="1892" spans="1:10">
      <c r="A1892" t="s">
        <v>2703</v>
      </c>
      <c r="B1892" s="3">
        <v>45404</v>
      </c>
      <c r="C1892" t="s">
        <v>233</v>
      </c>
      <c r="D1892" t="s">
        <v>242</v>
      </c>
      <c r="E1892" t="s">
        <v>168</v>
      </c>
      <c r="F1892">
        <v>4</v>
      </c>
      <c r="G1892" t="s">
        <v>50</v>
      </c>
      <c r="H1892" s="14">
        <v>0.22</v>
      </c>
      <c r="I1892" s="23">
        <v>731.72</v>
      </c>
      <c r="J1892" s="4">
        <v>2926</v>
      </c>
    </row>
    <row r="1893" spans="1:10">
      <c r="A1893" t="s">
        <v>2704</v>
      </c>
      <c r="B1893" s="3">
        <v>45916</v>
      </c>
      <c r="C1893" t="s">
        <v>1582</v>
      </c>
      <c r="D1893" t="s">
        <v>630</v>
      </c>
      <c r="E1893" t="s">
        <v>135</v>
      </c>
      <c r="F1893">
        <v>3</v>
      </c>
      <c r="G1893" t="s">
        <v>23</v>
      </c>
      <c r="H1893" s="14">
        <v>0.21</v>
      </c>
      <c r="I1893" s="23">
        <v>825.33</v>
      </c>
      <c r="J1893" s="4">
        <v>2475.36</v>
      </c>
    </row>
    <row r="1894" spans="1:10">
      <c r="A1894" t="s">
        <v>2705</v>
      </c>
      <c r="B1894" s="3">
        <v>45269</v>
      </c>
      <c r="C1894" t="s">
        <v>1306</v>
      </c>
      <c r="D1894" t="s">
        <v>79</v>
      </c>
      <c r="E1894" t="s">
        <v>98</v>
      </c>
      <c r="F1894">
        <v>2</v>
      </c>
      <c r="G1894" t="s">
        <v>33</v>
      </c>
      <c r="H1894" s="14">
        <v>0.01</v>
      </c>
      <c r="I1894" s="23">
        <v>47.3</v>
      </c>
      <c r="J1894" s="4">
        <v>94.58</v>
      </c>
    </row>
    <row r="1895" spans="1:10">
      <c r="A1895" t="s">
        <v>2706</v>
      </c>
      <c r="B1895" s="3">
        <v>45493</v>
      </c>
      <c r="C1895" t="s">
        <v>527</v>
      </c>
      <c r="D1895" t="s">
        <v>155</v>
      </c>
      <c r="E1895" t="s">
        <v>32</v>
      </c>
      <c r="F1895">
        <v>1</v>
      </c>
      <c r="G1895" t="s">
        <v>33</v>
      </c>
      <c r="H1895" s="14">
        <v>0.18</v>
      </c>
      <c r="I1895" s="23">
        <v>389.12</v>
      </c>
      <c r="J1895" s="4">
        <v>388.94</v>
      </c>
    </row>
    <row r="1896" spans="1:10">
      <c r="A1896" t="s">
        <v>2707</v>
      </c>
      <c r="B1896" s="3">
        <v>45558</v>
      </c>
      <c r="C1896" t="s">
        <v>898</v>
      </c>
      <c r="D1896" t="s">
        <v>542</v>
      </c>
      <c r="E1896" t="s">
        <v>160</v>
      </c>
      <c r="F1896">
        <v>3</v>
      </c>
      <c r="G1896" t="s">
        <v>23</v>
      </c>
      <c r="H1896" s="14">
        <v>0.05</v>
      </c>
      <c r="I1896" s="23">
        <v>543.83000000000004</v>
      </c>
      <c r="J1896" s="4">
        <v>1631.34</v>
      </c>
    </row>
    <row r="1897" spans="1:10">
      <c r="A1897" t="s">
        <v>2708</v>
      </c>
      <c r="B1897" s="3">
        <v>45423</v>
      </c>
      <c r="C1897" t="s">
        <v>1422</v>
      </c>
      <c r="D1897" t="s">
        <v>480</v>
      </c>
      <c r="E1897" t="s">
        <v>105</v>
      </c>
      <c r="F1897">
        <v>2</v>
      </c>
      <c r="G1897" t="s">
        <v>33</v>
      </c>
      <c r="H1897" s="14">
        <v>0.01</v>
      </c>
      <c r="I1897" s="23">
        <v>660.27</v>
      </c>
      <c r="J1897" s="4">
        <v>1320.52</v>
      </c>
    </row>
    <row r="1898" spans="1:10">
      <c r="A1898" t="s">
        <v>2709</v>
      </c>
      <c r="B1898" s="3">
        <v>45780</v>
      </c>
      <c r="C1898" t="s">
        <v>2710</v>
      </c>
      <c r="D1898" t="s">
        <v>197</v>
      </c>
      <c r="E1898" t="s">
        <v>43</v>
      </c>
      <c r="F1898">
        <v>4</v>
      </c>
      <c r="G1898" t="s">
        <v>23</v>
      </c>
      <c r="H1898" s="14">
        <v>0.03</v>
      </c>
      <c r="I1898" s="23">
        <v>729.31</v>
      </c>
      <c r="J1898" s="4">
        <v>2917.12</v>
      </c>
    </row>
    <row r="1899" spans="1:10">
      <c r="A1899" t="s">
        <v>2711</v>
      </c>
      <c r="B1899" s="3">
        <v>45345</v>
      </c>
      <c r="C1899" t="s">
        <v>1759</v>
      </c>
      <c r="D1899" t="s">
        <v>514</v>
      </c>
      <c r="E1899" t="s">
        <v>179</v>
      </c>
      <c r="F1899">
        <v>2</v>
      </c>
      <c r="G1899" t="s">
        <v>33</v>
      </c>
      <c r="H1899" s="14">
        <v>0.24</v>
      </c>
      <c r="I1899" s="23">
        <v>152.91</v>
      </c>
      <c r="J1899" s="4">
        <v>305.33999999999997</v>
      </c>
    </row>
    <row r="1900" spans="1:10">
      <c r="A1900" t="s">
        <v>2712</v>
      </c>
      <c r="B1900" s="3">
        <v>45344</v>
      </c>
      <c r="C1900" t="s">
        <v>1235</v>
      </c>
      <c r="D1900" t="s">
        <v>31</v>
      </c>
      <c r="E1900" t="s">
        <v>122</v>
      </c>
      <c r="F1900">
        <v>4</v>
      </c>
      <c r="G1900" t="s">
        <v>50</v>
      </c>
      <c r="H1900" s="14">
        <v>0.12</v>
      </c>
      <c r="I1900" s="23">
        <v>592.14</v>
      </c>
      <c r="J1900" s="4">
        <v>2368.08</v>
      </c>
    </row>
    <row r="1901" spans="1:10">
      <c r="A1901" t="s">
        <v>2713</v>
      </c>
      <c r="B1901" s="3">
        <v>45525</v>
      </c>
      <c r="C1901" t="s">
        <v>1215</v>
      </c>
      <c r="D1901" t="s">
        <v>267</v>
      </c>
      <c r="E1901" t="s">
        <v>208</v>
      </c>
      <c r="F1901">
        <v>1</v>
      </c>
      <c r="G1901" t="s">
        <v>33</v>
      </c>
      <c r="H1901" s="14">
        <v>0</v>
      </c>
      <c r="I1901" s="23">
        <v>984.37</v>
      </c>
      <c r="J1901" s="4">
        <v>984.37</v>
      </c>
    </row>
    <row r="1902" spans="1:10">
      <c r="A1902" t="s">
        <v>2714</v>
      </c>
      <c r="B1902" s="3">
        <v>45329</v>
      </c>
      <c r="C1902" t="s">
        <v>1514</v>
      </c>
      <c r="D1902" t="s">
        <v>389</v>
      </c>
      <c r="E1902" t="s">
        <v>208</v>
      </c>
      <c r="F1902">
        <v>2</v>
      </c>
      <c r="G1902" t="s">
        <v>23</v>
      </c>
      <c r="H1902" s="14">
        <v>0.12</v>
      </c>
      <c r="I1902" s="23">
        <v>237.59</v>
      </c>
      <c r="J1902" s="4">
        <v>474.94</v>
      </c>
    </row>
    <row r="1903" spans="1:10">
      <c r="A1903" t="s">
        <v>2715</v>
      </c>
      <c r="B1903" s="3">
        <v>45250</v>
      </c>
      <c r="C1903" t="s">
        <v>241</v>
      </c>
      <c r="D1903" t="s">
        <v>425</v>
      </c>
      <c r="E1903" t="s">
        <v>43</v>
      </c>
      <c r="F1903">
        <v>1</v>
      </c>
      <c r="G1903" t="s">
        <v>50</v>
      </c>
      <c r="H1903" s="14">
        <v>0.27</v>
      </c>
      <c r="I1903" s="23">
        <v>52.06</v>
      </c>
      <c r="J1903" s="4">
        <v>51.79</v>
      </c>
    </row>
    <row r="1904" spans="1:10">
      <c r="A1904" t="s">
        <v>2716</v>
      </c>
      <c r="B1904" s="3">
        <v>45691</v>
      </c>
      <c r="C1904" t="s">
        <v>961</v>
      </c>
      <c r="D1904" t="s">
        <v>414</v>
      </c>
      <c r="E1904" t="s">
        <v>105</v>
      </c>
      <c r="F1904">
        <v>2</v>
      </c>
      <c r="G1904" t="s">
        <v>23</v>
      </c>
      <c r="H1904" s="14">
        <v>0.12</v>
      </c>
      <c r="I1904" s="23">
        <v>594.63</v>
      </c>
      <c r="J1904" s="4">
        <v>1189.02</v>
      </c>
    </row>
    <row r="1905" spans="1:10">
      <c r="A1905" t="s">
        <v>2717</v>
      </c>
      <c r="B1905" s="3">
        <v>45644</v>
      </c>
      <c r="C1905" t="s">
        <v>1139</v>
      </c>
      <c r="D1905" t="s">
        <v>414</v>
      </c>
      <c r="E1905" t="s">
        <v>90</v>
      </c>
      <c r="F1905">
        <v>3</v>
      </c>
      <c r="G1905" t="s">
        <v>50</v>
      </c>
      <c r="H1905" s="14">
        <v>0.05</v>
      </c>
      <c r="I1905" s="23">
        <v>476.1</v>
      </c>
      <c r="J1905" s="4">
        <v>1428.15</v>
      </c>
    </row>
    <row r="1906" spans="1:10">
      <c r="A1906" t="s">
        <v>2718</v>
      </c>
      <c r="B1906" s="3">
        <v>45514</v>
      </c>
      <c r="C1906" t="s">
        <v>915</v>
      </c>
      <c r="D1906" t="s">
        <v>698</v>
      </c>
      <c r="E1906" t="s">
        <v>179</v>
      </c>
      <c r="F1906">
        <v>1</v>
      </c>
      <c r="G1906" t="s">
        <v>50</v>
      </c>
      <c r="H1906" s="14">
        <v>0.08</v>
      </c>
      <c r="I1906" s="23">
        <v>546.47</v>
      </c>
      <c r="J1906" s="4">
        <v>546.39</v>
      </c>
    </row>
    <row r="1907" spans="1:10">
      <c r="A1907" t="s">
        <v>2719</v>
      </c>
      <c r="B1907" s="3">
        <v>45760</v>
      </c>
      <c r="C1907" t="s">
        <v>365</v>
      </c>
      <c r="D1907" t="s">
        <v>213</v>
      </c>
      <c r="E1907" t="s">
        <v>208</v>
      </c>
      <c r="F1907">
        <v>1</v>
      </c>
      <c r="G1907" t="s">
        <v>50</v>
      </c>
      <c r="H1907" s="14">
        <v>0.19</v>
      </c>
      <c r="I1907" s="23">
        <v>979.49</v>
      </c>
      <c r="J1907" s="4">
        <v>979.3</v>
      </c>
    </row>
    <row r="1908" spans="1:10">
      <c r="A1908" t="s">
        <v>2720</v>
      </c>
      <c r="B1908" s="3">
        <v>45289</v>
      </c>
      <c r="C1908" t="s">
        <v>1661</v>
      </c>
      <c r="D1908" t="s">
        <v>377</v>
      </c>
      <c r="E1908" t="s">
        <v>198</v>
      </c>
      <c r="F1908">
        <v>3</v>
      </c>
      <c r="G1908" t="s">
        <v>50</v>
      </c>
      <c r="H1908" s="14">
        <v>0.3</v>
      </c>
      <c r="I1908" s="23">
        <v>988.53</v>
      </c>
      <c r="J1908" s="4">
        <v>2964.69</v>
      </c>
    </row>
    <row r="1909" spans="1:10">
      <c r="A1909" t="s">
        <v>2721</v>
      </c>
      <c r="B1909" s="3">
        <v>45704</v>
      </c>
      <c r="C1909" t="s">
        <v>322</v>
      </c>
      <c r="D1909" t="s">
        <v>49</v>
      </c>
      <c r="E1909" t="s">
        <v>22</v>
      </c>
      <c r="F1909">
        <v>4</v>
      </c>
      <c r="G1909" t="s">
        <v>23</v>
      </c>
      <c r="H1909" s="14">
        <v>0.26</v>
      </c>
      <c r="I1909" s="23">
        <v>849.29</v>
      </c>
      <c r="J1909" s="4">
        <v>3396.12</v>
      </c>
    </row>
    <row r="1910" spans="1:10">
      <c r="A1910" t="s">
        <v>2722</v>
      </c>
      <c r="B1910" s="3">
        <v>45318</v>
      </c>
      <c r="C1910" t="s">
        <v>497</v>
      </c>
      <c r="D1910" t="s">
        <v>1126</v>
      </c>
      <c r="E1910" t="s">
        <v>98</v>
      </c>
      <c r="F1910">
        <v>2</v>
      </c>
      <c r="G1910" t="s">
        <v>50</v>
      </c>
      <c r="H1910" s="14">
        <v>0.01</v>
      </c>
      <c r="I1910" s="23">
        <v>452.29</v>
      </c>
      <c r="J1910" s="4">
        <v>904.56</v>
      </c>
    </row>
    <row r="1911" spans="1:10">
      <c r="A1911" t="s">
        <v>2723</v>
      </c>
      <c r="B1911" s="3">
        <v>45495</v>
      </c>
      <c r="C1911" t="s">
        <v>1134</v>
      </c>
      <c r="D1911" t="s">
        <v>420</v>
      </c>
      <c r="E1911" t="s">
        <v>160</v>
      </c>
      <c r="F1911">
        <v>2</v>
      </c>
      <c r="G1911" t="s">
        <v>50</v>
      </c>
      <c r="H1911" s="14">
        <v>0.11</v>
      </c>
      <c r="I1911" s="23">
        <v>810.81</v>
      </c>
      <c r="J1911" s="4">
        <v>1621.4</v>
      </c>
    </row>
    <row r="1912" spans="1:10">
      <c r="A1912" t="s">
        <v>2724</v>
      </c>
      <c r="B1912" s="3">
        <v>45560</v>
      </c>
      <c r="C1912" t="s">
        <v>727</v>
      </c>
      <c r="D1912" t="s">
        <v>698</v>
      </c>
      <c r="E1912" t="s">
        <v>43</v>
      </c>
      <c r="F1912">
        <v>1</v>
      </c>
      <c r="G1912" t="s">
        <v>50</v>
      </c>
      <c r="H1912" s="14">
        <v>0.1</v>
      </c>
      <c r="I1912" s="23">
        <v>846.67</v>
      </c>
      <c r="J1912" s="4">
        <v>846.57</v>
      </c>
    </row>
    <row r="1913" spans="1:10">
      <c r="A1913" t="s">
        <v>2725</v>
      </c>
      <c r="B1913" s="3">
        <v>45367</v>
      </c>
      <c r="C1913" t="s">
        <v>827</v>
      </c>
      <c r="D1913" t="s">
        <v>97</v>
      </c>
      <c r="E1913" t="s">
        <v>179</v>
      </c>
      <c r="F1913">
        <v>4</v>
      </c>
      <c r="G1913" t="s">
        <v>50</v>
      </c>
      <c r="H1913" s="14">
        <v>0.24</v>
      </c>
      <c r="I1913" s="23">
        <v>73.55</v>
      </c>
      <c r="J1913" s="4">
        <v>293.24</v>
      </c>
    </row>
    <row r="1914" spans="1:10">
      <c r="A1914" t="s">
        <v>2726</v>
      </c>
      <c r="B1914" s="3">
        <v>45861</v>
      </c>
      <c r="C1914" t="s">
        <v>1212</v>
      </c>
      <c r="D1914" t="s">
        <v>603</v>
      </c>
      <c r="E1914" t="s">
        <v>179</v>
      </c>
      <c r="F1914">
        <v>1</v>
      </c>
      <c r="G1914" t="s">
        <v>50</v>
      </c>
      <c r="H1914" s="14">
        <v>0.04</v>
      </c>
      <c r="I1914" s="23">
        <v>882.03</v>
      </c>
      <c r="J1914" s="4">
        <v>881.99</v>
      </c>
    </row>
    <row r="1915" spans="1:10">
      <c r="A1915" t="s">
        <v>2727</v>
      </c>
      <c r="B1915" s="3">
        <v>45589</v>
      </c>
      <c r="C1915" t="s">
        <v>270</v>
      </c>
      <c r="D1915" t="s">
        <v>443</v>
      </c>
      <c r="E1915" t="s">
        <v>98</v>
      </c>
      <c r="F1915">
        <v>1</v>
      </c>
      <c r="G1915" t="s">
        <v>23</v>
      </c>
      <c r="H1915" s="14">
        <v>0.21</v>
      </c>
      <c r="I1915" s="23">
        <v>958.44</v>
      </c>
      <c r="J1915" s="4">
        <v>958.23</v>
      </c>
    </row>
    <row r="1916" spans="1:10">
      <c r="A1916" t="s">
        <v>2728</v>
      </c>
      <c r="B1916" s="3">
        <v>45560</v>
      </c>
      <c r="C1916" t="s">
        <v>270</v>
      </c>
      <c r="D1916" t="s">
        <v>85</v>
      </c>
      <c r="E1916" t="s">
        <v>198</v>
      </c>
      <c r="F1916">
        <v>1</v>
      </c>
      <c r="G1916" t="s">
        <v>33</v>
      </c>
      <c r="H1916" s="14">
        <v>0.01</v>
      </c>
      <c r="I1916" s="23">
        <v>716.29</v>
      </c>
      <c r="J1916" s="4">
        <v>716.28</v>
      </c>
    </row>
    <row r="1917" spans="1:10">
      <c r="A1917" t="s">
        <v>2729</v>
      </c>
      <c r="B1917" s="3">
        <v>45408</v>
      </c>
      <c r="C1917" t="s">
        <v>648</v>
      </c>
      <c r="D1917" t="s">
        <v>810</v>
      </c>
      <c r="E1917" t="s">
        <v>117</v>
      </c>
      <c r="F1917">
        <v>2</v>
      </c>
      <c r="G1917" t="s">
        <v>33</v>
      </c>
      <c r="H1917" s="14">
        <v>0.01</v>
      </c>
      <c r="I1917" s="23">
        <v>409.14</v>
      </c>
      <c r="J1917" s="4">
        <v>818.26</v>
      </c>
    </row>
    <row r="1918" spans="1:10">
      <c r="A1918" t="s">
        <v>2730</v>
      </c>
      <c r="B1918" s="3">
        <v>45714</v>
      </c>
      <c r="C1918" t="s">
        <v>259</v>
      </c>
      <c r="D1918" t="s">
        <v>85</v>
      </c>
      <c r="E1918" t="s">
        <v>127</v>
      </c>
      <c r="F1918">
        <v>4</v>
      </c>
      <c r="G1918" t="s">
        <v>33</v>
      </c>
      <c r="H1918" s="14">
        <v>0.1</v>
      </c>
      <c r="I1918" s="23">
        <v>261.73</v>
      </c>
      <c r="J1918" s="4">
        <v>1046.52</v>
      </c>
    </row>
    <row r="1919" spans="1:10">
      <c r="A1919" t="s">
        <v>2731</v>
      </c>
      <c r="B1919" s="3">
        <v>45661</v>
      </c>
      <c r="C1919" t="s">
        <v>819</v>
      </c>
      <c r="D1919" t="s">
        <v>173</v>
      </c>
      <c r="E1919" t="s">
        <v>90</v>
      </c>
      <c r="F1919">
        <v>2</v>
      </c>
      <c r="G1919" t="s">
        <v>50</v>
      </c>
      <c r="H1919" s="14">
        <v>0.2</v>
      </c>
      <c r="I1919" s="23">
        <v>687.35</v>
      </c>
      <c r="J1919" s="4">
        <v>1374.3</v>
      </c>
    </row>
    <row r="1920" spans="1:10">
      <c r="A1920" t="s">
        <v>2732</v>
      </c>
      <c r="B1920" s="3">
        <v>45921</v>
      </c>
      <c r="C1920" t="s">
        <v>2346</v>
      </c>
      <c r="D1920" t="s">
        <v>814</v>
      </c>
      <c r="E1920" t="s">
        <v>43</v>
      </c>
      <c r="F1920">
        <v>2</v>
      </c>
      <c r="G1920" t="s">
        <v>23</v>
      </c>
      <c r="H1920" s="14">
        <v>0.21</v>
      </c>
      <c r="I1920" s="23">
        <v>30.14</v>
      </c>
      <c r="J1920" s="4">
        <v>59.86</v>
      </c>
    </row>
    <row r="1921" spans="1:10">
      <c r="A1921" t="s">
        <v>2733</v>
      </c>
      <c r="B1921" s="3">
        <v>45651</v>
      </c>
      <c r="C1921" t="s">
        <v>694</v>
      </c>
      <c r="D1921" t="s">
        <v>116</v>
      </c>
      <c r="E1921" t="s">
        <v>43</v>
      </c>
      <c r="F1921">
        <v>3</v>
      </c>
      <c r="G1921" t="s">
        <v>33</v>
      </c>
      <c r="H1921" s="14">
        <v>0.12</v>
      </c>
      <c r="I1921" s="23">
        <v>570.12</v>
      </c>
      <c r="J1921" s="4">
        <v>1710</v>
      </c>
    </row>
    <row r="1922" spans="1:10">
      <c r="A1922" t="s">
        <v>2734</v>
      </c>
      <c r="B1922" s="3">
        <v>45883</v>
      </c>
      <c r="C1922" t="s">
        <v>1379</v>
      </c>
      <c r="D1922" t="s">
        <v>192</v>
      </c>
      <c r="E1922" t="s">
        <v>135</v>
      </c>
      <c r="F1922">
        <v>3</v>
      </c>
      <c r="G1922" t="s">
        <v>50</v>
      </c>
      <c r="H1922" s="14">
        <v>0.28999999999999998</v>
      </c>
      <c r="I1922" s="23">
        <v>401.87</v>
      </c>
      <c r="J1922" s="4">
        <v>1204.74</v>
      </c>
    </row>
    <row r="1923" spans="1:10">
      <c r="A1923" t="s">
        <v>2735</v>
      </c>
      <c r="B1923" s="3">
        <v>45624</v>
      </c>
      <c r="C1923" t="s">
        <v>500</v>
      </c>
      <c r="D1923" t="s">
        <v>221</v>
      </c>
      <c r="E1923" t="s">
        <v>208</v>
      </c>
      <c r="F1923">
        <v>4</v>
      </c>
      <c r="G1923" t="s">
        <v>23</v>
      </c>
      <c r="H1923" s="14">
        <v>0.3</v>
      </c>
      <c r="I1923" s="23">
        <v>619.35</v>
      </c>
      <c r="J1923" s="4">
        <v>2476.1999999999998</v>
      </c>
    </row>
    <row r="1924" spans="1:10">
      <c r="A1924" t="s">
        <v>2736</v>
      </c>
      <c r="B1924" s="3">
        <v>45276</v>
      </c>
      <c r="C1924" t="s">
        <v>1495</v>
      </c>
      <c r="D1924" t="s">
        <v>381</v>
      </c>
      <c r="E1924" t="s">
        <v>32</v>
      </c>
      <c r="F1924">
        <v>4</v>
      </c>
      <c r="G1924" t="s">
        <v>33</v>
      </c>
      <c r="H1924" s="14">
        <v>0.27</v>
      </c>
      <c r="I1924" s="23">
        <v>569.36</v>
      </c>
      <c r="J1924" s="4">
        <v>2276.36</v>
      </c>
    </row>
    <row r="1925" spans="1:10">
      <c r="A1925" t="s">
        <v>2737</v>
      </c>
      <c r="B1925" s="3">
        <v>45344</v>
      </c>
      <c r="C1925" t="s">
        <v>166</v>
      </c>
      <c r="D1925" t="s">
        <v>139</v>
      </c>
      <c r="E1925" t="s">
        <v>72</v>
      </c>
      <c r="F1925">
        <v>2</v>
      </c>
      <c r="G1925" t="s">
        <v>50</v>
      </c>
      <c r="H1925" s="14">
        <v>0.3</v>
      </c>
      <c r="I1925" s="23">
        <v>846.35</v>
      </c>
      <c r="J1925" s="4">
        <v>1692.1</v>
      </c>
    </row>
    <row r="1926" spans="1:10">
      <c r="A1926" t="s">
        <v>2738</v>
      </c>
      <c r="B1926" s="3">
        <v>45849</v>
      </c>
      <c r="C1926" t="s">
        <v>2710</v>
      </c>
      <c r="D1926" t="s">
        <v>271</v>
      </c>
      <c r="E1926" t="s">
        <v>198</v>
      </c>
      <c r="F1926">
        <v>1</v>
      </c>
      <c r="G1926" t="s">
        <v>33</v>
      </c>
      <c r="H1926" s="14">
        <v>0.28999999999999998</v>
      </c>
      <c r="I1926" s="23">
        <v>788.45</v>
      </c>
      <c r="J1926" s="4">
        <v>788.16</v>
      </c>
    </row>
    <row r="1927" spans="1:10">
      <c r="A1927" t="s">
        <v>2739</v>
      </c>
      <c r="B1927" s="3">
        <v>45880</v>
      </c>
      <c r="C1927" t="s">
        <v>940</v>
      </c>
      <c r="D1927" t="s">
        <v>487</v>
      </c>
      <c r="E1927" t="s">
        <v>208</v>
      </c>
      <c r="F1927">
        <v>2</v>
      </c>
      <c r="G1927" t="s">
        <v>50</v>
      </c>
      <c r="H1927" s="14">
        <v>7.0000000000000007E-2</v>
      </c>
      <c r="I1927" s="23">
        <v>338.81</v>
      </c>
      <c r="J1927" s="4">
        <v>677.48</v>
      </c>
    </row>
    <row r="1928" spans="1:10">
      <c r="A1928" t="s">
        <v>2740</v>
      </c>
      <c r="B1928" s="3">
        <v>45907</v>
      </c>
      <c r="C1928" t="s">
        <v>1223</v>
      </c>
      <c r="D1928" t="s">
        <v>480</v>
      </c>
      <c r="E1928" t="s">
        <v>58</v>
      </c>
      <c r="F1928">
        <v>4</v>
      </c>
      <c r="G1928" t="s">
        <v>50</v>
      </c>
      <c r="H1928" s="14">
        <v>0.06</v>
      </c>
      <c r="I1928" s="23">
        <v>94.48</v>
      </c>
      <c r="J1928" s="4">
        <v>377.68</v>
      </c>
    </row>
    <row r="1929" spans="1:10">
      <c r="A1929" t="s">
        <v>2741</v>
      </c>
      <c r="B1929" s="3">
        <v>45545</v>
      </c>
      <c r="C1929" t="s">
        <v>1062</v>
      </c>
      <c r="D1929" t="s">
        <v>314</v>
      </c>
      <c r="E1929" t="s">
        <v>149</v>
      </c>
      <c r="F1929">
        <v>3</v>
      </c>
      <c r="G1929" t="s">
        <v>33</v>
      </c>
      <c r="H1929" s="14">
        <v>0.16</v>
      </c>
      <c r="I1929" s="23">
        <v>941.85</v>
      </c>
      <c r="J1929" s="4">
        <v>2825.07</v>
      </c>
    </row>
    <row r="1930" spans="1:10">
      <c r="A1930" t="s">
        <v>2742</v>
      </c>
      <c r="B1930" s="3">
        <v>45257</v>
      </c>
      <c r="C1930" t="s">
        <v>954</v>
      </c>
      <c r="D1930" t="s">
        <v>344</v>
      </c>
      <c r="E1930" t="s">
        <v>58</v>
      </c>
      <c r="F1930">
        <v>2</v>
      </c>
      <c r="G1930" t="s">
        <v>33</v>
      </c>
      <c r="H1930" s="14">
        <v>0.14000000000000001</v>
      </c>
      <c r="I1930" s="23">
        <v>336.97</v>
      </c>
      <c r="J1930" s="4">
        <v>673.66</v>
      </c>
    </row>
    <row r="1931" spans="1:10">
      <c r="A1931" t="s">
        <v>2743</v>
      </c>
      <c r="B1931" s="3">
        <v>45466</v>
      </c>
      <c r="C1931" t="s">
        <v>1806</v>
      </c>
      <c r="D1931" t="s">
        <v>183</v>
      </c>
      <c r="E1931" t="s">
        <v>58</v>
      </c>
      <c r="F1931">
        <v>2</v>
      </c>
      <c r="G1931" t="s">
        <v>33</v>
      </c>
      <c r="H1931" s="14">
        <v>0.09</v>
      </c>
      <c r="I1931" s="23">
        <v>344.16</v>
      </c>
      <c r="J1931" s="4">
        <v>688.14</v>
      </c>
    </row>
    <row r="1932" spans="1:10">
      <c r="A1932" t="s">
        <v>2744</v>
      </c>
      <c r="B1932" s="3">
        <v>45847</v>
      </c>
      <c r="C1932" t="s">
        <v>1085</v>
      </c>
      <c r="D1932" t="s">
        <v>505</v>
      </c>
      <c r="E1932" t="s">
        <v>127</v>
      </c>
      <c r="F1932">
        <v>1</v>
      </c>
      <c r="G1932" t="s">
        <v>23</v>
      </c>
      <c r="H1932" s="14">
        <v>0.15</v>
      </c>
      <c r="I1932" s="23">
        <v>841.53</v>
      </c>
      <c r="J1932" s="4">
        <v>841.38</v>
      </c>
    </row>
    <row r="1933" spans="1:10">
      <c r="A1933" t="s">
        <v>2745</v>
      </c>
      <c r="B1933" s="3">
        <v>45825</v>
      </c>
      <c r="C1933" t="s">
        <v>643</v>
      </c>
      <c r="D1933" t="s">
        <v>359</v>
      </c>
      <c r="E1933" t="s">
        <v>32</v>
      </c>
      <c r="F1933">
        <v>3</v>
      </c>
      <c r="G1933" t="s">
        <v>50</v>
      </c>
      <c r="H1933" s="14">
        <v>0.28999999999999998</v>
      </c>
      <c r="I1933" s="23">
        <v>63.36</v>
      </c>
      <c r="J1933" s="4">
        <v>189.21</v>
      </c>
    </row>
    <row r="1934" spans="1:10">
      <c r="A1934" t="s">
        <v>2746</v>
      </c>
      <c r="B1934" s="3">
        <v>45839</v>
      </c>
      <c r="C1934" t="s">
        <v>500</v>
      </c>
      <c r="D1934" t="s">
        <v>267</v>
      </c>
      <c r="E1934" t="s">
        <v>43</v>
      </c>
      <c r="F1934">
        <v>2</v>
      </c>
      <c r="G1934" t="s">
        <v>23</v>
      </c>
      <c r="H1934" s="14">
        <v>0.1</v>
      </c>
      <c r="I1934" s="23">
        <v>552.49</v>
      </c>
      <c r="J1934" s="4">
        <v>1104.78</v>
      </c>
    </row>
    <row r="1935" spans="1:10">
      <c r="A1935" t="s">
        <v>2747</v>
      </c>
      <c r="B1935" s="3">
        <v>45720</v>
      </c>
      <c r="C1935" t="s">
        <v>2250</v>
      </c>
      <c r="D1935" t="s">
        <v>97</v>
      </c>
      <c r="E1935" t="s">
        <v>179</v>
      </c>
      <c r="F1935">
        <v>3</v>
      </c>
      <c r="G1935" t="s">
        <v>23</v>
      </c>
      <c r="H1935" s="14">
        <v>0.03</v>
      </c>
      <c r="I1935" s="23">
        <v>447.38</v>
      </c>
      <c r="J1935" s="4">
        <v>1342.05</v>
      </c>
    </row>
    <row r="1936" spans="1:10">
      <c r="A1936" t="s">
        <v>2748</v>
      </c>
      <c r="B1936" s="3">
        <v>45250</v>
      </c>
      <c r="C1936" t="s">
        <v>2037</v>
      </c>
      <c r="D1936" t="s">
        <v>575</v>
      </c>
      <c r="E1936" t="s">
        <v>135</v>
      </c>
      <c r="F1936">
        <v>1</v>
      </c>
      <c r="G1936" t="s">
        <v>50</v>
      </c>
      <c r="H1936" s="14">
        <v>0.21</v>
      </c>
      <c r="I1936" s="23">
        <v>727.7</v>
      </c>
      <c r="J1936" s="4">
        <v>727.49</v>
      </c>
    </row>
    <row r="1937" spans="1:10">
      <c r="A1937" t="s">
        <v>2749</v>
      </c>
      <c r="B1937" s="3">
        <v>45258</v>
      </c>
      <c r="C1937" t="s">
        <v>1790</v>
      </c>
      <c r="D1937" t="s">
        <v>501</v>
      </c>
      <c r="E1937" t="s">
        <v>66</v>
      </c>
      <c r="F1937">
        <v>4</v>
      </c>
      <c r="G1937" t="s">
        <v>23</v>
      </c>
      <c r="H1937" s="14">
        <v>0.08</v>
      </c>
      <c r="I1937" s="23">
        <v>581.34</v>
      </c>
      <c r="J1937" s="4">
        <v>2325.04</v>
      </c>
    </row>
    <row r="1938" spans="1:10">
      <c r="A1938" t="s">
        <v>2750</v>
      </c>
      <c r="B1938" s="3">
        <v>45793</v>
      </c>
      <c r="C1938" t="s">
        <v>701</v>
      </c>
      <c r="D1938" t="s">
        <v>532</v>
      </c>
      <c r="E1938" t="s">
        <v>105</v>
      </c>
      <c r="F1938">
        <v>1</v>
      </c>
      <c r="G1938" t="s">
        <v>33</v>
      </c>
      <c r="H1938" s="14">
        <v>0.19</v>
      </c>
      <c r="I1938" s="23">
        <v>338.83</v>
      </c>
      <c r="J1938" s="4">
        <v>338.64</v>
      </c>
    </row>
    <row r="1939" spans="1:10">
      <c r="A1939" t="s">
        <v>2751</v>
      </c>
      <c r="B1939" s="3">
        <v>45265</v>
      </c>
      <c r="C1939" t="s">
        <v>1404</v>
      </c>
      <c r="D1939" t="s">
        <v>42</v>
      </c>
      <c r="E1939" t="s">
        <v>149</v>
      </c>
      <c r="F1939">
        <v>4</v>
      </c>
      <c r="G1939" t="s">
        <v>23</v>
      </c>
      <c r="H1939" s="14">
        <v>0.25</v>
      </c>
      <c r="I1939" s="23">
        <v>568.80999999999995</v>
      </c>
      <c r="J1939" s="4">
        <v>2274.2399999999998</v>
      </c>
    </row>
    <row r="1940" spans="1:10">
      <c r="A1940" t="s">
        <v>2752</v>
      </c>
      <c r="B1940" s="3">
        <v>45607</v>
      </c>
      <c r="C1940" t="s">
        <v>1873</v>
      </c>
      <c r="D1940" t="s">
        <v>698</v>
      </c>
      <c r="E1940" t="s">
        <v>32</v>
      </c>
      <c r="F1940">
        <v>2</v>
      </c>
      <c r="G1940" t="s">
        <v>33</v>
      </c>
      <c r="H1940" s="14">
        <v>0.15</v>
      </c>
      <c r="I1940" s="23">
        <v>352.63</v>
      </c>
      <c r="J1940" s="4">
        <v>704.96</v>
      </c>
    </row>
    <row r="1941" spans="1:10">
      <c r="A1941" t="s">
        <v>2753</v>
      </c>
      <c r="B1941" s="3">
        <v>45382</v>
      </c>
      <c r="C1941" t="s">
        <v>1120</v>
      </c>
      <c r="D1941" t="s">
        <v>1259</v>
      </c>
      <c r="E1941" t="s">
        <v>149</v>
      </c>
      <c r="F1941">
        <v>2</v>
      </c>
      <c r="G1941" t="s">
        <v>33</v>
      </c>
      <c r="H1941" s="14">
        <v>0.15</v>
      </c>
      <c r="I1941" s="23">
        <v>629.86</v>
      </c>
      <c r="J1941" s="4">
        <v>1259.42</v>
      </c>
    </row>
    <row r="1942" spans="1:10">
      <c r="A1942" t="s">
        <v>2754</v>
      </c>
      <c r="B1942" s="3">
        <v>45793</v>
      </c>
      <c r="C1942" t="s">
        <v>56</v>
      </c>
      <c r="D1942" t="s">
        <v>187</v>
      </c>
      <c r="E1942" t="s">
        <v>22</v>
      </c>
      <c r="F1942">
        <v>3</v>
      </c>
      <c r="G1942" t="s">
        <v>23</v>
      </c>
      <c r="H1942" s="14">
        <v>7.0000000000000007E-2</v>
      </c>
      <c r="I1942" s="23">
        <v>212.08</v>
      </c>
      <c r="J1942" s="4">
        <v>636.03</v>
      </c>
    </row>
    <row r="1943" spans="1:10">
      <c r="A1943" t="s">
        <v>2755</v>
      </c>
      <c r="B1943" s="3">
        <v>45590</v>
      </c>
      <c r="C1943" t="s">
        <v>954</v>
      </c>
      <c r="D1943" t="s">
        <v>509</v>
      </c>
      <c r="E1943" t="s">
        <v>198</v>
      </c>
      <c r="F1943">
        <v>3</v>
      </c>
      <c r="G1943" t="s">
        <v>33</v>
      </c>
      <c r="H1943" s="14">
        <v>0.05</v>
      </c>
      <c r="I1943" s="23">
        <v>878.62</v>
      </c>
      <c r="J1943" s="4">
        <v>2635.71</v>
      </c>
    </row>
    <row r="1944" spans="1:10">
      <c r="A1944" t="s">
        <v>2756</v>
      </c>
      <c r="B1944" s="3">
        <v>45679</v>
      </c>
      <c r="C1944" t="s">
        <v>1165</v>
      </c>
      <c r="D1944" t="s">
        <v>429</v>
      </c>
      <c r="E1944" t="s">
        <v>168</v>
      </c>
      <c r="F1944">
        <v>4</v>
      </c>
      <c r="G1944" t="s">
        <v>33</v>
      </c>
      <c r="H1944" s="14">
        <v>0.23</v>
      </c>
      <c r="I1944" s="23">
        <v>87.83</v>
      </c>
      <c r="J1944" s="4">
        <v>350.4</v>
      </c>
    </row>
    <row r="1945" spans="1:10">
      <c r="A1945" t="s">
        <v>2757</v>
      </c>
      <c r="B1945" s="3">
        <v>45814</v>
      </c>
      <c r="C1945" t="s">
        <v>712</v>
      </c>
      <c r="D1945" t="s">
        <v>71</v>
      </c>
      <c r="E1945" t="s">
        <v>127</v>
      </c>
      <c r="F1945">
        <v>3</v>
      </c>
      <c r="G1945" t="s">
        <v>50</v>
      </c>
      <c r="H1945" s="14">
        <v>0.15</v>
      </c>
      <c r="I1945" s="23">
        <v>442.64</v>
      </c>
      <c r="J1945" s="4">
        <v>1327.47</v>
      </c>
    </row>
    <row r="1946" spans="1:10">
      <c r="A1946" t="s">
        <v>2758</v>
      </c>
      <c r="B1946" s="3">
        <v>45795</v>
      </c>
      <c r="C1946" t="s">
        <v>546</v>
      </c>
      <c r="D1946" t="s">
        <v>340</v>
      </c>
      <c r="E1946" t="s">
        <v>198</v>
      </c>
      <c r="F1946">
        <v>3</v>
      </c>
      <c r="G1946" t="s">
        <v>50</v>
      </c>
      <c r="H1946" s="14">
        <v>0.09</v>
      </c>
      <c r="I1946" s="23">
        <v>410.04</v>
      </c>
      <c r="J1946" s="4">
        <v>1229.8499999999999</v>
      </c>
    </row>
    <row r="1947" spans="1:10">
      <c r="A1947" t="s">
        <v>2759</v>
      </c>
      <c r="B1947" s="3">
        <v>45797</v>
      </c>
      <c r="C1947" t="s">
        <v>893</v>
      </c>
      <c r="D1947" t="s">
        <v>242</v>
      </c>
      <c r="E1947" t="s">
        <v>32</v>
      </c>
      <c r="F1947">
        <v>1</v>
      </c>
      <c r="G1947" t="s">
        <v>23</v>
      </c>
      <c r="H1947" s="14">
        <v>0.27</v>
      </c>
      <c r="I1947" s="23">
        <v>355.31</v>
      </c>
      <c r="J1947" s="4">
        <v>355.04</v>
      </c>
    </row>
    <row r="1948" spans="1:10">
      <c r="A1948" t="s">
        <v>2760</v>
      </c>
      <c r="B1948" s="3">
        <v>45607</v>
      </c>
      <c r="C1948" t="s">
        <v>1343</v>
      </c>
      <c r="D1948" t="s">
        <v>810</v>
      </c>
      <c r="E1948" t="s">
        <v>149</v>
      </c>
      <c r="F1948">
        <v>4</v>
      </c>
      <c r="G1948" t="s">
        <v>50</v>
      </c>
      <c r="H1948" s="14">
        <v>0.25</v>
      </c>
      <c r="I1948" s="23">
        <v>243.13</v>
      </c>
      <c r="J1948" s="4">
        <v>971.52</v>
      </c>
    </row>
    <row r="1949" spans="1:10">
      <c r="A1949" t="s">
        <v>2761</v>
      </c>
      <c r="B1949" s="3">
        <v>45614</v>
      </c>
      <c r="C1949" t="s">
        <v>1073</v>
      </c>
      <c r="D1949" t="s">
        <v>57</v>
      </c>
      <c r="E1949" t="s">
        <v>272</v>
      </c>
      <c r="F1949">
        <v>2</v>
      </c>
      <c r="G1949" t="s">
        <v>50</v>
      </c>
      <c r="H1949" s="14">
        <v>0.28000000000000003</v>
      </c>
      <c r="I1949" s="23">
        <v>410.63</v>
      </c>
      <c r="J1949" s="4">
        <v>820.7</v>
      </c>
    </row>
    <row r="1950" spans="1:10">
      <c r="A1950" t="s">
        <v>2762</v>
      </c>
      <c r="B1950" s="3">
        <v>45293</v>
      </c>
      <c r="C1950" t="s">
        <v>1290</v>
      </c>
      <c r="D1950" t="s">
        <v>242</v>
      </c>
      <c r="E1950" t="s">
        <v>168</v>
      </c>
      <c r="F1950">
        <v>4</v>
      </c>
      <c r="G1950" t="s">
        <v>33</v>
      </c>
      <c r="H1950" s="14">
        <v>0.16</v>
      </c>
      <c r="I1950" s="23">
        <v>101.25</v>
      </c>
      <c r="J1950" s="4">
        <v>404.36</v>
      </c>
    </row>
    <row r="1951" spans="1:10">
      <c r="A1951" t="s">
        <v>2763</v>
      </c>
      <c r="B1951" s="3">
        <v>45301</v>
      </c>
      <c r="C1951" t="s">
        <v>2263</v>
      </c>
      <c r="D1951" t="s">
        <v>645</v>
      </c>
      <c r="E1951" t="s">
        <v>32</v>
      </c>
      <c r="F1951">
        <v>4</v>
      </c>
      <c r="G1951" t="s">
        <v>33</v>
      </c>
      <c r="H1951" s="14">
        <v>0.03</v>
      </c>
      <c r="I1951" s="23">
        <v>716.39</v>
      </c>
      <c r="J1951" s="4">
        <v>2865.44</v>
      </c>
    </row>
    <row r="1952" spans="1:10">
      <c r="A1952" t="s">
        <v>2764</v>
      </c>
      <c r="B1952" s="3">
        <v>45311</v>
      </c>
      <c r="C1952" t="s">
        <v>145</v>
      </c>
      <c r="D1952" t="s">
        <v>575</v>
      </c>
      <c r="E1952" t="s">
        <v>105</v>
      </c>
      <c r="F1952">
        <v>1</v>
      </c>
      <c r="G1952" t="s">
        <v>33</v>
      </c>
      <c r="H1952" s="14">
        <v>0.24</v>
      </c>
      <c r="I1952" s="23">
        <v>721.74</v>
      </c>
      <c r="J1952" s="4">
        <v>721.5</v>
      </c>
    </row>
    <row r="1953" spans="1:10">
      <c r="A1953" t="s">
        <v>2765</v>
      </c>
      <c r="B1953" s="3">
        <v>45702</v>
      </c>
      <c r="C1953" t="s">
        <v>384</v>
      </c>
      <c r="D1953" t="s">
        <v>661</v>
      </c>
      <c r="E1953" t="s">
        <v>272</v>
      </c>
      <c r="F1953">
        <v>2</v>
      </c>
      <c r="G1953" t="s">
        <v>23</v>
      </c>
      <c r="H1953" s="14">
        <v>0.02</v>
      </c>
      <c r="I1953" s="23">
        <v>527.91</v>
      </c>
      <c r="J1953" s="4">
        <v>1055.78</v>
      </c>
    </row>
    <row r="1954" spans="1:10">
      <c r="A1954" t="s">
        <v>2766</v>
      </c>
      <c r="B1954" s="3">
        <v>45525</v>
      </c>
      <c r="C1954" t="s">
        <v>562</v>
      </c>
      <c r="D1954" t="s">
        <v>282</v>
      </c>
      <c r="E1954" t="s">
        <v>149</v>
      </c>
      <c r="F1954">
        <v>2</v>
      </c>
      <c r="G1954" t="s">
        <v>50</v>
      </c>
      <c r="H1954" s="14">
        <v>0.19</v>
      </c>
      <c r="I1954" s="23">
        <v>945.92</v>
      </c>
      <c r="J1954" s="4">
        <v>1891.46</v>
      </c>
    </row>
    <row r="1955" spans="1:10">
      <c r="A1955" t="s">
        <v>2767</v>
      </c>
      <c r="B1955" s="3">
        <v>45780</v>
      </c>
      <c r="C1955" t="s">
        <v>613</v>
      </c>
      <c r="D1955" t="s">
        <v>71</v>
      </c>
      <c r="E1955" t="s">
        <v>32</v>
      </c>
      <c r="F1955">
        <v>2</v>
      </c>
      <c r="G1955" t="s">
        <v>33</v>
      </c>
      <c r="H1955" s="14">
        <v>0.16</v>
      </c>
      <c r="I1955" s="23">
        <v>981.35</v>
      </c>
      <c r="J1955" s="4">
        <v>1962.38</v>
      </c>
    </row>
    <row r="1956" spans="1:10">
      <c r="A1956" t="s">
        <v>2768</v>
      </c>
      <c r="B1956" s="3">
        <v>45819</v>
      </c>
      <c r="C1956" t="s">
        <v>1118</v>
      </c>
      <c r="D1956" t="s">
        <v>57</v>
      </c>
      <c r="E1956" t="s">
        <v>22</v>
      </c>
      <c r="F1956">
        <v>1</v>
      </c>
      <c r="G1956" t="s">
        <v>23</v>
      </c>
      <c r="H1956" s="14">
        <v>0.14000000000000001</v>
      </c>
      <c r="I1956" s="23">
        <v>913.99</v>
      </c>
      <c r="J1956" s="4">
        <v>913.85</v>
      </c>
    </row>
    <row r="1957" spans="1:10">
      <c r="A1957" t="s">
        <v>2769</v>
      </c>
      <c r="B1957" s="3">
        <v>45863</v>
      </c>
      <c r="C1957" t="s">
        <v>1132</v>
      </c>
      <c r="D1957" t="s">
        <v>532</v>
      </c>
      <c r="E1957" t="s">
        <v>43</v>
      </c>
      <c r="F1957">
        <v>4</v>
      </c>
      <c r="G1957" t="s">
        <v>33</v>
      </c>
      <c r="H1957" s="14">
        <v>0.18</v>
      </c>
      <c r="I1957" s="23">
        <v>270.69</v>
      </c>
      <c r="J1957" s="4">
        <v>1082.04</v>
      </c>
    </row>
    <row r="1958" spans="1:10">
      <c r="A1958" t="s">
        <v>2770</v>
      </c>
      <c r="B1958" s="3">
        <v>45687</v>
      </c>
      <c r="C1958" t="s">
        <v>954</v>
      </c>
      <c r="D1958" t="s">
        <v>192</v>
      </c>
      <c r="E1958" t="s">
        <v>179</v>
      </c>
      <c r="F1958">
        <v>3</v>
      </c>
      <c r="G1958" t="s">
        <v>23</v>
      </c>
      <c r="H1958" s="14">
        <v>0.02</v>
      </c>
      <c r="I1958" s="23">
        <v>998.58</v>
      </c>
      <c r="J1958" s="4">
        <v>2995.68</v>
      </c>
    </row>
    <row r="1959" spans="1:10">
      <c r="A1959" t="s">
        <v>2771</v>
      </c>
      <c r="B1959" s="3">
        <v>45806</v>
      </c>
      <c r="C1959" t="s">
        <v>1385</v>
      </c>
      <c r="D1959" t="s">
        <v>786</v>
      </c>
      <c r="E1959" t="s">
        <v>127</v>
      </c>
      <c r="F1959">
        <v>3</v>
      </c>
      <c r="G1959" t="s">
        <v>23</v>
      </c>
      <c r="H1959" s="14">
        <v>0.18</v>
      </c>
      <c r="I1959" s="23">
        <v>765.12</v>
      </c>
      <c r="J1959" s="4">
        <v>2294.8200000000002</v>
      </c>
    </row>
    <row r="1960" spans="1:10">
      <c r="A1960" t="s">
        <v>2772</v>
      </c>
      <c r="B1960" s="3">
        <v>45216</v>
      </c>
      <c r="C1960" t="s">
        <v>245</v>
      </c>
      <c r="D1960" t="s">
        <v>779</v>
      </c>
      <c r="E1960" t="s">
        <v>135</v>
      </c>
      <c r="F1960">
        <v>3</v>
      </c>
      <c r="G1960" t="s">
        <v>50</v>
      </c>
      <c r="H1960" s="14">
        <v>0.17</v>
      </c>
      <c r="I1960" s="23">
        <v>449.99</v>
      </c>
      <c r="J1960" s="4">
        <v>1349.46</v>
      </c>
    </row>
    <row r="1961" spans="1:10">
      <c r="A1961" t="s">
        <v>2773</v>
      </c>
      <c r="B1961" s="3">
        <v>45639</v>
      </c>
      <c r="C1961" t="s">
        <v>2578</v>
      </c>
      <c r="D1961" t="s">
        <v>159</v>
      </c>
      <c r="E1961" t="s">
        <v>272</v>
      </c>
      <c r="F1961">
        <v>2</v>
      </c>
      <c r="G1961" t="s">
        <v>50</v>
      </c>
      <c r="H1961" s="14">
        <v>0.01</v>
      </c>
      <c r="I1961" s="23">
        <v>249.02</v>
      </c>
      <c r="J1961" s="4">
        <v>498.02</v>
      </c>
    </row>
    <row r="1962" spans="1:10">
      <c r="A1962" t="s">
        <v>2774</v>
      </c>
      <c r="B1962" s="3">
        <v>45454</v>
      </c>
      <c r="C1962" t="s">
        <v>2630</v>
      </c>
      <c r="D1962" t="s">
        <v>509</v>
      </c>
      <c r="E1962" t="s">
        <v>135</v>
      </c>
      <c r="F1962">
        <v>3</v>
      </c>
      <c r="G1962" t="s">
        <v>23</v>
      </c>
      <c r="H1962" s="14">
        <v>0.05</v>
      </c>
      <c r="I1962" s="23">
        <v>223.64</v>
      </c>
      <c r="J1962" s="4">
        <v>670.77</v>
      </c>
    </row>
    <row r="1963" spans="1:10">
      <c r="A1963" t="s">
        <v>2775</v>
      </c>
      <c r="B1963" s="3">
        <v>45934</v>
      </c>
      <c r="C1963" t="s">
        <v>2320</v>
      </c>
      <c r="D1963" t="s">
        <v>97</v>
      </c>
      <c r="E1963" t="s">
        <v>72</v>
      </c>
      <c r="F1963">
        <v>2</v>
      </c>
      <c r="G1963" t="s">
        <v>23</v>
      </c>
      <c r="H1963" s="14">
        <v>0.12</v>
      </c>
      <c r="I1963" s="23">
        <v>92.94</v>
      </c>
      <c r="J1963" s="4">
        <v>185.64</v>
      </c>
    </row>
    <row r="1964" spans="1:10">
      <c r="A1964" t="s">
        <v>2776</v>
      </c>
      <c r="B1964" s="3">
        <v>45401</v>
      </c>
      <c r="C1964" t="s">
        <v>1895</v>
      </c>
      <c r="D1964" t="s">
        <v>226</v>
      </c>
      <c r="E1964" t="s">
        <v>198</v>
      </c>
      <c r="F1964">
        <v>4</v>
      </c>
      <c r="G1964" t="s">
        <v>50</v>
      </c>
      <c r="H1964" s="14">
        <v>0.02</v>
      </c>
      <c r="I1964" s="23">
        <v>268.3</v>
      </c>
      <c r="J1964" s="4">
        <v>1073.1199999999999</v>
      </c>
    </row>
    <row r="1965" spans="1:10">
      <c r="A1965" t="s">
        <v>2777</v>
      </c>
      <c r="B1965" s="3">
        <v>45770</v>
      </c>
      <c r="C1965" t="s">
        <v>679</v>
      </c>
      <c r="D1965" t="s">
        <v>57</v>
      </c>
      <c r="E1965" t="s">
        <v>135</v>
      </c>
      <c r="F1965">
        <v>4</v>
      </c>
      <c r="G1965" t="s">
        <v>23</v>
      </c>
      <c r="H1965" s="14">
        <v>0.03</v>
      </c>
      <c r="I1965" s="23">
        <v>835.61</v>
      </c>
      <c r="J1965" s="4">
        <v>3342.32</v>
      </c>
    </row>
    <row r="1966" spans="1:10">
      <c r="A1966" t="s">
        <v>2778</v>
      </c>
      <c r="B1966" s="3">
        <v>45405</v>
      </c>
      <c r="C1966" t="s">
        <v>633</v>
      </c>
      <c r="D1966" t="s">
        <v>741</v>
      </c>
      <c r="E1966" t="s">
        <v>58</v>
      </c>
      <c r="F1966">
        <v>3</v>
      </c>
      <c r="G1966" t="s">
        <v>23</v>
      </c>
      <c r="H1966" s="14">
        <v>0.11</v>
      </c>
      <c r="I1966" s="23">
        <v>120.97</v>
      </c>
      <c r="J1966" s="4">
        <v>362.58</v>
      </c>
    </row>
    <row r="1967" spans="1:10">
      <c r="A1967" t="s">
        <v>2779</v>
      </c>
      <c r="B1967" s="3">
        <v>45424</v>
      </c>
      <c r="C1967" t="s">
        <v>1997</v>
      </c>
      <c r="D1967" t="s">
        <v>295</v>
      </c>
      <c r="E1967" t="s">
        <v>127</v>
      </c>
      <c r="F1967">
        <v>2</v>
      </c>
      <c r="G1967" t="s">
        <v>50</v>
      </c>
      <c r="H1967" s="14">
        <v>0.03</v>
      </c>
      <c r="I1967" s="23">
        <v>26.36</v>
      </c>
      <c r="J1967" s="4">
        <v>52.66</v>
      </c>
    </row>
    <row r="1968" spans="1:10">
      <c r="A1968" t="s">
        <v>2780</v>
      </c>
      <c r="B1968" s="3">
        <v>45881</v>
      </c>
      <c r="C1968" t="s">
        <v>620</v>
      </c>
      <c r="D1968" t="s">
        <v>192</v>
      </c>
      <c r="E1968" t="s">
        <v>179</v>
      </c>
      <c r="F1968">
        <v>1</v>
      </c>
      <c r="G1968" t="s">
        <v>33</v>
      </c>
      <c r="H1968" s="14">
        <v>0.11</v>
      </c>
      <c r="I1968" s="23">
        <v>918.87</v>
      </c>
      <c r="J1968" s="4">
        <v>918.76</v>
      </c>
    </row>
    <row r="1969" spans="1:14">
      <c r="A1969" t="s">
        <v>2781</v>
      </c>
      <c r="B1969" s="3">
        <v>45794</v>
      </c>
      <c r="C1969" t="s">
        <v>727</v>
      </c>
      <c r="D1969" t="s">
        <v>178</v>
      </c>
      <c r="E1969" t="s">
        <v>272</v>
      </c>
      <c r="F1969">
        <v>2</v>
      </c>
      <c r="G1969" t="s">
        <v>33</v>
      </c>
      <c r="H1969" s="14">
        <v>0.28999999999999998</v>
      </c>
      <c r="I1969" s="23">
        <v>924.73</v>
      </c>
      <c r="J1969" s="4">
        <v>1848.88</v>
      </c>
    </row>
    <row r="1970" spans="1:14">
      <c r="A1970" t="s">
        <v>2782</v>
      </c>
      <c r="B1970" s="3">
        <v>45665</v>
      </c>
      <c r="C1970" t="s">
        <v>2097</v>
      </c>
      <c r="D1970" t="s">
        <v>173</v>
      </c>
      <c r="E1970" t="s">
        <v>168</v>
      </c>
      <c r="F1970">
        <v>3</v>
      </c>
      <c r="G1970" t="s">
        <v>50</v>
      </c>
      <c r="H1970" s="14">
        <v>0.13</v>
      </c>
      <c r="I1970" s="23">
        <v>195.31</v>
      </c>
      <c r="J1970" s="4">
        <v>585.54</v>
      </c>
    </row>
    <row r="1971" spans="1:14">
      <c r="A1971" t="s">
        <v>2783</v>
      </c>
      <c r="B1971" s="3">
        <v>45793</v>
      </c>
      <c r="C1971" t="s">
        <v>285</v>
      </c>
      <c r="D1971" t="s">
        <v>340</v>
      </c>
      <c r="E1971" t="s">
        <v>43</v>
      </c>
      <c r="F1971">
        <v>1</v>
      </c>
      <c r="G1971" t="s">
        <v>23</v>
      </c>
      <c r="H1971" s="14">
        <v>0.14000000000000001</v>
      </c>
      <c r="I1971" s="23">
        <v>91.38</v>
      </c>
      <c r="J1971" s="4">
        <v>91.24</v>
      </c>
    </row>
    <row r="1972" spans="1:14">
      <c r="A1972" t="s">
        <v>2784</v>
      </c>
      <c r="B1972" s="3">
        <v>45563</v>
      </c>
      <c r="C1972" t="s">
        <v>328</v>
      </c>
      <c r="D1972" t="s">
        <v>400</v>
      </c>
      <c r="E1972" t="s">
        <v>272</v>
      </c>
      <c r="F1972">
        <v>2</v>
      </c>
      <c r="G1972" t="s">
        <v>23</v>
      </c>
      <c r="H1972" s="14">
        <v>0.1</v>
      </c>
      <c r="I1972" s="23">
        <v>494.35</v>
      </c>
      <c r="J1972" s="4">
        <v>988.5</v>
      </c>
    </row>
    <row r="1973" spans="1:14">
      <c r="A1973" t="s">
        <v>2785</v>
      </c>
      <c r="B1973" s="3">
        <v>45577</v>
      </c>
      <c r="C1973" t="s">
        <v>322</v>
      </c>
      <c r="D1973" t="s">
        <v>97</v>
      </c>
      <c r="E1973" t="s">
        <v>168</v>
      </c>
      <c r="F1973">
        <v>1</v>
      </c>
      <c r="G1973" t="s">
        <v>23</v>
      </c>
      <c r="H1973" s="14">
        <v>0.11</v>
      </c>
      <c r="I1973" s="23">
        <v>412.2</v>
      </c>
      <c r="J1973" s="4">
        <v>412.09</v>
      </c>
    </row>
    <row r="1974" spans="1:14">
      <c r="A1974" t="s">
        <v>2786</v>
      </c>
      <c r="B1974" s="3">
        <v>45466</v>
      </c>
      <c r="C1974" t="s">
        <v>570</v>
      </c>
      <c r="D1974" t="s">
        <v>221</v>
      </c>
      <c r="E1974" t="s">
        <v>117</v>
      </c>
      <c r="F1974">
        <v>1</v>
      </c>
      <c r="G1974" t="s">
        <v>33</v>
      </c>
      <c r="H1974" s="14">
        <v>0.13</v>
      </c>
      <c r="I1974" s="23">
        <v>650.47</v>
      </c>
      <c r="J1974" s="4">
        <v>650.34</v>
      </c>
    </row>
    <row r="1975" spans="1:14">
      <c r="A1975" t="s">
        <v>2787</v>
      </c>
      <c r="B1975" s="3">
        <v>45256</v>
      </c>
      <c r="C1975" t="s">
        <v>1803</v>
      </c>
      <c r="D1975" t="s">
        <v>480</v>
      </c>
      <c r="E1975" t="s">
        <v>208</v>
      </c>
      <c r="F1975">
        <v>1</v>
      </c>
      <c r="G1975" t="s">
        <v>33</v>
      </c>
      <c r="H1975" s="14">
        <v>0.05</v>
      </c>
      <c r="I1975" s="23">
        <v>68.209999999999994</v>
      </c>
      <c r="J1975" s="4">
        <v>68.16</v>
      </c>
    </row>
    <row r="1976" spans="1:14">
      <c r="A1976" t="s">
        <v>2788</v>
      </c>
      <c r="B1976" s="3">
        <v>45886</v>
      </c>
      <c r="C1976" t="s">
        <v>652</v>
      </c>
      <c r="D1976" t="s">
        <v>207</v>
      </c>
      <c r="E1976" t="s">
        <v>66</v>
      </c>
      <c r="F1976">
        <v>2</v>
      </c>
      <c r="G1976" t="s">
        <v>50</v>
      </c>
      <c r="H1976" s="14">
        <v>0.25</v>
      </c>
      <c r="I1976" s="23">
        <v>842.89</v>
      </c>
      <c r="J1976" s="4">
        <v>1685.28</v>
      </c>
    </row>
    <row r="1977" spans="1:14">
      <c r="A1977" t="s">
        <v>2789</v>
      </c>
      <c r="B1977" s="3">
        <v>45390</v>
      </c>
      <c r="C1977" t="s">
        <v>1085</v>
      </c>
      <c r="D1977" t="s">
        <v>183</v>
      </c>
      <c r="E1977" t="s">
        <v>72</v>
      </c>
      <c r="F1977">
        <v>2</v>
      </c>
      <c r="G1977" t="s">
        <v>50</v>
      </c>
      <c r="H1977" s="14">
        <v>0.24</v>
      </c>
      <c r="I1977" s="23">
        <v>227.95</v>
      </c>
      <c r="J1977" s="4">
        <v>455.42</v>
      </c>
    </row>
    <row r="1978" spans="1:14">
      <c r="A1978" t="s">
        <v>2790</v>
      </c>
      <c r="B1978" s="3">
        <v>45388</v>
      </c>
      <c r="C1978" t="s">
        <v>1383</v>
      </c>
      <c r="D1978" t="s">
        <v>532</v>
      </c>
      <c r="E1978" t="s">
        <v>208</v>
      </c>
      <c r="F1978">
        <v>3</v>
      </c>
      <c r="G1978" t="s">
        <v>33</v>
      </c>
      <c r="H1978" s="14">
        <v>0.24</v>
      </c>
      <c r="I1978" s="23">
        <v>685.97</v>
      </c>
      <c r="J1978" s="4">
        <v>2057.19</v>
      </c>
    </row>
    <row r="1979" spans="1:14">
      <c r="A1979" t="s">
        <v>2791</v>
      </c>
      <c r="B1979" s="3">
        <v>45793</v>
      </c>
      <c r="C1979" t="s">
        <v>1152</v>
      </c>
      <c r="D1979" t="s">
        <v>255</v>
      </c>
      <c r="E1979" t="s">
        <v>198</v>
      </c>
      <c r="F1979">
        <v>1</v>
      </c>
      <c r="G1979" t="s">
        <v>23</v>
      </c>
      <c r="H1979" s="14">
        <v>0.18</v>
      </c>
      <c r="I1979" s="23">
        <v>722.57</v>
      </c>
      <c r="J1979" s="4">
        <v>722.39</v>
      </c>
    </row>
    <row r="1980" spans="1:14">
      <c r="A1980" t="s">
        <v>2792</v>
      </c>
      <c r="B1980" s="3">
        <v>45615</v>
      </c>
      <c r="C1980" t="s">
        <v>1699</v>
      </c>
      <c r="D1980" t="s">
        <v>487</v>
      </c>
      <c r="E1980" t="s">
        <v>58</v>
      </c>
      <c r="F1980">
        <v>3</v>
      </c>
      <c r="G1980" t="s">
        <v>50</v>
      </c>
      <c r="H1980" s="14">
        <v>0.14000000000000001</v>
      </c>
      <c r="I1980" s="23">
        <v>585.54999999999995</v>
      </c>
      <c r="J1980" s="4">
        <v>1756.23</v>
      </c>
      <c r="M1980" s="32" t="s">
        <v>38</v>
      </c>
      <c r="N1980" s="32" t="s">
        <v>39</v>
      </c>
    </row>
    <row r="1981" spans="1:14">
      <c r="A1981" t="s">
        <v>2793</v>
      </c>
      <c r="B1981" s="3">
        <v>45666</v>
      </c>
      <c r="C1981" t="s">
        <v>1704</v>
      </c>
      <c r="D1981" t="s">
        <v>381</v>
      </c>
      <c r="E1981" t="s">
        <v>149</v>
      </c>
      <c r="F1981">
        <v>2</v>
      </c>
      <c r="G1981" t="s">
        <v>33</v>
      </c>
      <c r="H1981" s="14">
        <v>0.13</v>
      </c>
      <c r="I1981" s="23">
        <v>635.80999999999995</v>
      </c>
      <c r="J1981" s="4">
        <v>1271.3599999999999</v>
      </c>
    </row>
    <row r="1982" spans="1:14">
      <c r="A1982" t="s">
        <v>2794</v>
      </c>
      <c r="B1982" s="3">
        <v>45644</v>
      </c>
      <c r="C1982" t="s">
        <v>490</v>
      </c>
      <c r="D1982" t="s">
        <v>480</v>
      </c>
      <c r="E1982" t="s">
        <v>72</v>
      </c>
      <c r="F1982">
        <v>2</v>
      </c>
      <c r="G1982" t="s">
        <v>23</v>
      </c>
      <c r="H1982" s="14">
        <v>0.01</v>
      </c>
      <c r="I1982" s="23">
        <v>353.74</v>
      </c>
      <c r="J1982" s="4">
        <v>707.46</v>
      </c>
      <c r="M1982" s="18" t="s">
        <v>5</v>
      </c>
      <c r="N1982" t="s">
        <v>54</v>
      </c>
    </row>
    <row r="1983" spans="1:14">
      <c r="A1983" t="s">
        <v>2795</v>
      </c>
      <c r="B1983" s="3">
        <v>45648</v>
      </c>
      <c r="C1983" t="s">
        <v>476</v>
      </c>
      <c r="D1983" t="s">
        <v>126</v>
      </c>
      <c r="E1983" t="s">
        <v>66</v>
      </c>
      <c r="F1983">
        <v>1</v>
      </c>
      <c r="G1983" t="s">
        <v>23</v>
      </c>
      <c r="H1983" s="14">
        <v>0.15</v>
      </c>
      <c r="I1983" s="23">
        <v>377.52</v>
      </c>
      <c r="J1983" s="4">
        <v>377.37</v>
      </c>
      <c r="N1983" s="20" t="s">
        <v>62</v>
      </c>
    </row>
    <row r="1984" spans="1:14">
      <c r="A1984" t="s">
        <v>2796</v>
      </c>
      <c r="B1984" s="3">
        <v>45500</v>
      </c>
      <c r="C1984" t="s">
        <v>1075</v>
      </c>
      <c r="D1984" t="s">
        <v>741</v>
      </c>
      <c r="E1984" t="s">
        <v>198</v>
      </c>
      <c r="F1984">
        <v>3</v>
      </c>
      <c r="G1984" t="s">
        <v>23</v>
      </c>
      <c r="H1984" s="14">
        <v>0</v>
      </c>
      <c r="I1984" s="23">
        <v>901.49</v>
      </c>
      <c r="J1984" s="4">
        <v>2704.47</v>
      </c>
    </row>
    <row r="1985" spans="1:14">
      <c r="A1985" t="s">
        <v>2797</v>
      </c>
      <c r="B1985" s="3">
        <v>45806</v>
      </c>
      <c r="C1985" t="s">
        <v>191</v>
      </c>
      <c r="D1985" t="s">
        <v>271</v>
      </c>
      <c r="E1985" t="s">
        <v>58</v>
      </c>
      <c r="F1985">
        <v>1</v>
      </c>
      <c r="G1985" t="s">
        <v>23</v>
      </c>
      <c r="H1985" s="14">
        <v>0.1</v>
      </c>
      <c r="I1985" s="23">
        <v>563.01</v>
      </c>
      <c r="J1985" s="4">
        <v>562.91</v>
      </c>
      <c r="M1985" s="18" t="s">
        <v>14</v>
      </c>
      <c r="N1985" t="s">
        <v>76</v>
      </c>
    </row>
    <row r="1986" spans="1:14">
      <c r="A1986" t="s">
        <v>2798</v>
      </c>
      <c r="B1986" s="3">
        <v>45365</v>
      </c>
      <c r="C1986" t="s">
        <v>1526</v>
      </c>
      <c r="D1986" t="s">
        <v>79</v>
      </c>
      <c r="E1986" t="s">
        <v>179</v>
      </c>
      <c r="F1986">
        <v>4</v>
      </c>
      <c r="G1986" t="s">
        <v>23</v>
      </c>
      <c r="H1986" s="14">
        <v>0.11</v>
      </c>
      <c r="I1986" s="23">
        <v>167.25</v>
      </c>
      <c r="J1986" s="4">
        <v>668.56</v>
      </c>
      <c r="N1986" s="20" t="s">
        <v>82</v>
      </c>
    </row>
    <row r="1987" spans="1:14">
      <c r="A1987" t="s">
        <v>2799</v>
      </c>
      <c r="B1987" s="3">
        <v>45229</v>
      </c>
      <c r="C1987" t="s">
        <v>2800</v>
      </c>
      <c r="D1987" t="s">
        <v>148</v>
      </c>
      <c r="E1987" t="s">
        <v>160</v>
      </c>
      <c r="F1987">
        <v>3</v>
      </c>
      <c r="G1987" t="s">
        <v>50</v>
      </c>
      <c r="H1987" s="14">
        <v>0.08</v>
      </c>
      <c r="I1987" s="23">
        <v>345.43</v>
      </c>
      <c r="J1987" s="4">
        <v>1036.05</v>
      </c>
    </row>
    <row r="1988" spans="1:14">
      <c r="A1988" t="s">
        <v>2801</v>
      </c>
      <c r="B1988" s="3">
        <v>45349</v>
      </c>
      <c r="C1988" t="s">
        <v>2448</v>
      </c>
      <c r="D1988" t="s">
        <v>542</v>
      </c>
      <c r="E1988" t="s">
        <v>127</v>
      </c>
      <c r="F1988">
        <v>4</v>
      </c>
      <c r="G1988" t="s">
        <v>23</v>
      </c>
      <c r="H1988" s="14">
        <v>0.23</v>
      </c>
      <c r="I1988" s="23">
        <v>752.48</v>
      </c>
      <c r="J1988" s="4">
        <v>3009</v>
      </c>
      <c r="M1988" s="18" t="s">
        <v>93</v>
      </c>
      <c r="N1988" t="s">
        <v>94</v>
      </c>
    </row>
    <row r="1989" spans="1:14">
      <c r="A1989" t="s">
        <v>2802</v>
      </c>
      <c r="B1989" s="3">
        <v>45886</v>
      </c>
      <c r="C1989" t="s">
        <v>748</v>
      </c>
      <c r="D1989" t="s">
        <v>509</v>
      </c>
      <c r="E1989" t="s">
        <v>135</v>
      </c>
      <c r="F1989">
        <v>1</v>
      </c>
      <c r="G1989" t="s">
        <v>23</v>
      </c>
      <c r="H1989" s="14">
        <v>0.26</v>
      </c>
      <c r="I1989" s="23">
        <v>120.02</v>
      </c>
      <c r="J1989" s="4">
        <v>119.76</v>
      </c>
      <c r="N1989" s="20" t="s">
        <v>101</v>
      </c>
    </row>
    <row r="1990" spans="1:14">
      <c r="A1990" t="s">
        <v>2803</v>
      </c>
      <c r="B1990" s="3">
        <v>45359</v>
      </c>
      <c r="C1990" t="s">
        <v>648</v>
      </c>
      <c r="D1990" t="s">
        <v>745</v>
      </c>
      <c r="E1990" t="s">
        <v>43</v>
      </c>
      <c r="F1990">
        <v>3</v>
      </c>
      <c r="G1990" t="s">
        <v>23</v>
      </c>
      <c r="H1990" s="14">
        <v>0.28000000000000003</v>
      </c>
      <c r="I1990" s="23">
        <v>146.71</v>
      </c>
      <c r="J1990" s="4">
        <v>439.29</v>
      </c>
    </row>
    <row r="1991" spans="1:14">
      <c r="A1991" t="s">
        <v>2804</v>
      </c>
      <c r="B1991" s="3">
        <v>45730</v>
      </c>
      <c r="C1991" t="s">
        <v>752</v>
      </c>
      <c r="D1991" t="s">
        <v>779</v>
      </c>
      <c r="E1991" t="s">
        <v>90</v>
      </c>
      <c r="F1991">
        <v>2</v>
      </c>
      <c r="G1991" t="s">
        <v>23</v>
      </c>
      <c r="H1991" s="14">
        <v>0.24</v>
      </c>
      <c r="I1991" s="23">
        <v>358.87</v>
      </c>
      <c r="J1991" s="4">
        <v>717.26</v>
      </c>
      <c r="M1991" s="18" t="s">
        <v>13</v>
      </c>
      <c r="N1991" s="20" t="s">
        <v>113</v>
      </c>
    </row>
    <row r="1992" spans="1:14">
      <c r="A1992" t="s">
        <v>2805</v>
      </c>
      <c r="B1992" s="3">
        <v>45456</v>
      </c>
      <c r="C1992" t="s">
        <v>926</v>
      </c>
      <c r="D1992" t="s">
        <v>282</v>
      </c>
      <c r="E1992" t="s">
        <v>22</v>
      </c>
      <c r="F1992">
        <v>4</v>
      </c>
      <c r="G1992" t="s">
        <v>50</v>
      </c>
      <c r="H1992" s="14">
        <v>0.11</v>
      </c>
      <c r="I1992" s="23">
        <v>212.75</v>
      </c>
      <c r="J1992" s="4">
        <v>850.56</v>
      </c>
    </row>
    <row r="1993" spans="1:14">
      <c r="A1993" t="s">
        <v>2806</v>
      </c>
      <c r="B1993" s="3">
        <v>45450</v>
      </c>
      <c r="C1993" t="s">
        <v>388</v>
      </c>
      <c r="D1993" t="s">
        <v>344</v>
      </c>
      <c r="E1993" t="s">
        <v>272</v>
      </c>
      <c r="F1993">
        <v>1</v>
      </c>
      <c r="G1993" t="s">
        <v>33</v>
      </c>
      <c r="H1993" s="14">
        <v>0.17</v>
      </c>
      <c r="I1993" s="23">
        <v>183.47</v>
      </c>
      <c r="J1993" s="4">
        <v>183.3</v>
      </c>
    </row>
    <row r="1994" spans="1:14">
      <c r="A1994" t="s">
        <v>2807</v>
      </c>
      <c r="B1994" s="3">
        <v>45493</v>
      </c>
      <c r="C1994" t="s">
        <v>548</v>
      </c>
      <c r="D1994" t="s">
        <v>287</v>
      </c>
      <c r="E1994" t="s">
        <v>122</v>
      </c>
      <c r="F1994">
        <v>4</v>
      </c>
      <c r="G1994" t="s">
        <v>23</v>
      </c>
      <c r="H1994" s="14">
        <v>0.23</v>
      </c>
      <c r="I1994" s="23">
        <v>569.98</v>
      </c>
      <c r="J1994" s="4">
        <v>2279</v>
      </c>
    </row>
    <row r="1995" spans="1:14">
      <c r="A1995" t="s">
        <v>2808</v>
      </c>
      <c r="B1995" s="3">
        <v>45274</v>
      </c>
      <c r="C1995" t="s">
        <v>664</v>
      </c>
      <c r="D1995" t="s">
        <v>279</v>
      </c>
      <c r="E1995" t="s">
        <v>208</v>
      </c>
      <c r="F1995">
        <v>3</v>
      </c>
      <c r="G1995" t="s">
        <v>23</v>
      </c>
      <c r="H1995" s="14">
        <v>0.27</v>
      </c>
      <c r="I1995" s="23">
        <v>984.12</v>
      </c>
      <c r="J1995" s="4">
        <v>2951.55</v>
      </c>
    </row>
    <row r="1996" spans="1:14">
      <c r="A1996" t="s">
        <v>2809</v>
      </c>
      <c r="B1996" s="3">
        <v>45844</v>
      </c>
      <c r="C1996" t="s">
        <v>521</v>
      </c>
      <c r="D1996" t="s">
        <v>814</v>
      </c>
      <c r="E1996" t="s">
        <v>43</v>
      </c>
      <c r="F1996">
        <v>1</v>
      </c>
      <c r="G1996" t="s">
        <v>23</v>
      </c>
      <c r="H1996" s="14">
        <v>0</v>
      </c>
      <c r="I1996" s="23">
        <v>905.23</v>
      </c>
      <c r="J1996" s="4">
        <v>905.23</v>
      </c>
    </row>
    <row r="1997" spans="1:14">
      <c r="A1997" t="s">
        <v>2810</v>
      </c>
      <c r="B1997" s="3">
        <v>45264</v>
      </c>
      <c r="C1997" t="s">
        <v>177</v>
      </c>
      <c r="D1997" t="s">
        <v>85</v>
      </c>
      <c r="E1997" t="s">
        <v>135</v>
      </c>
      <c r="F1997">
        <v>3</v>
      </c>
      <c r="G1997" t="s">
        <v>23</v>
      </c>
      <c r="H1997" s="14">
        <v>0.19</v>
      </c>
      <c r="I1997" s="23">
        <v>112.77</v>
      </c>
      <c r="J1997" s="4">
        <v>337.74</v>
      </c>
    </row>
    <row r="1998" spans="1:14">
      <c r="A1998" t="s">
        <v>2811</v>
      </c>
      <c r="B1998" s="3">
        <v>45773</v>
      </c>
      <c r="C1998" t="s">
        <v>954</v>
      </c>
      <c r="D1998" t="s">
        <v>487</v>
      </c>
      <c r="E1998" t="s">
        <v>43</v>
      </c>
      <c r="F1998">
        <v>3</v>
      </c>
      <c r="G1998" t="s">
        <v>33</v>
      </c>
      <c r="H1998" s="14">
        <v>0.09</v>
      </c>
      <c r="I1998" s="23">
        <v>875.99</v>
      </c>
      <c r="J1998" s="4">
        <v>2627.7</v>
      </c>
    </row>
    <row r="1999" spans="1:14">
      <c r="A1999" t="s">
        <v>2812</v>
      </c>
      <c r="B1999" s="3">
        <v>45460</v>
      </c>
      <c r="C1999" t="s">
        <v>606</v>
      </c>
      <c r="D1999" t="s">
        <v>287</v>
      </c>
      <c r="E1999" t="s">
        <v>168</v>
      </c>
      <c r="F1999">
        <v>2</v>
      </c>
      <c r="G1999" t="s">
        <v>33</v>
      </c>
      <c r="H1999" s="14">
        <v>0.26</v>
      </c>
      <c r="I1999" s="23">
        <v>685.31</v>
      </c>
      <c r="J1999" s="4">
        <v>1370.1</v>
      </c>
    </row>
    <row r="2000" spans="1:14">
      <c r="A2000" t="s">
        <v>2813</v>
      </c>
      <c r="B2000" s="3">
        <v>45607</v>
      </c>
      <c r="C2000" t="s">
        <v>1526</v>
      </c>
      <c r="D2000" t="s">
        <v>698</v>
      </c>
      <c r="E2000" t="s">
        <v>272</v>
      </c>
      <c r="F2000">
        <v>3</v>
      </c>
      <c r="G2000" t="s">
        <v>23</v>
      </c>
      <c r="H2000" s="14">
        <v>0.05</v>
      </c>
      <c r="I2000" s="23">
        <v>945.37</v>
      </c>
      <c r="J2000" s="4">
        <v>2835.96</v>
      </c>
    </row>
    <row r="2001" spans="1:10">
      <c r="A2001" t="s">
        <v>2814</v>
      </c>
      <c r="B2001" s="3">
        <v>45267</v>
      </c>
      <c r="C2001" t="s">
        <v>740</v>
      </c>
      <c r="D2001" t="s">
        <v>49</v>
      </c>
      <c r="E2001" t="s">
        <v>135</v>
      </c>
      <c r="F2001">
        <v>3</v>
      </c>
      <c r="G2001" t="s">
        <v>33</v>
      </c>
      <c r="H2001" s="14">
        <v>0.17</v>
      </c>
      <c r="I2001" s="23">
        <v>68.45</v>
      </c>
      <c r="J2001" s="4">
        <v>204.84</v>
      </c>
    </row>
    <row r="2002" spans="1:10">
      <c r="H2002" s="35">
        <v>0.14808817636572399</v>
      </c>
      <c r="I2002" s="36">
        <v>513.98477215823698</v>
      </c>
      <c r="J2002" s="37">
        <v>2554136.7461408102</v>
      </c>
    </row>
  </sheetData>
  <conditionalFormatting sqref="H200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{8E14130E-5DC3-4B0A-9CCD-D55515070869}</x14:id>
        </ext>
      </extLst>
    </cfRule>
  </conditionalFormatting>
  <conditionalFormatting sqref="I1:I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{A9808F13-2F7E-4375-9E01-692B613E32C5}</x14:id>
        </ext>
      </extLst>
    </cfRule>
  </conditionalFormatting>
  <conditionalFormatting sqref="J200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{00579915-880E-49E9-BCD8-9540B832784A}</x14:id>
        </ext>
      </extLst>
    </cfRule>
  </conditionalFormatting>
  <conditionalFormatting sqref="J1:J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{814BEE24-7A30-4747-90F0-74A7C34382E6}</x14:id>
        </ext>
      </extLst>
    </cfRule>
  </conditionalFormatting>
  <conditionalFormatting sqref="J2:J20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{7E47F3BB-1388-454C-AD72-9EDD5A18DDE1}</x14:id>
        </ext>
      </extLst>
    </cfRule>
  </conditionalFormatting>
  <conditionalFormatting sqref="J1:J104857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{8D1BD538-2AFF-4554-A55C-2BE6730947B8}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4130E-5DC3-4B0A-9CCD-D55515070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H2002</xm:sqref>
        </x14:conditionalFormatting>
        <x14:conditionalFormatting xmlns:xm="http://schemas.microsoft.com/office/excel/2006/main">
          <x14:cfRule type="dataBar" id="{A9808F13-2F7E-4375-9E01-692B613E32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00579915-880E-49E9-BCD8-9540B83278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J2002</xm:sqref>
        </x14:conditionalFormatting>
        <x14:conditionalFormatting xmlns:xm="http://schemas.microsoft.com/office/excel/2006/main">
          <x14:cfRule type="dataBar" id="{814BEE24-7A30-4747-90F0-74A7C34382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7E47F3BB-1388-454C-AD72-9EDD5A18D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J2:J2001</xm:sqref>
        </x14:conditionalFormatting>
        <x14:conditionalFormatting xmlns:xm="http://schemas.microsoft.com/office/excel/2006/main">
          <x14:cfRule type="dataBar" id="{8D1BD538-2AFF-4554-A55C-2BE6730947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947CA30-0C75-432D-B034-E7916EBDD2F2}">
  <ds:schemaRefs/>
</ds:datastoreItem>
</file>

<file path=customXml/itemProps2.xml><?xml version="1.0" encoding="utf-8"?>
<ds:datastoreItem xmlns:ds="http://schemas.openxmlformats.org/officeDocument/2006/customXml" ds:itemID="{7EFD2DCA-204B-4626-932C-D96A1D11FFC8}">
  <ds:schemaRefs/>
</ds:datastoreItem>
</file>

<file path=customXml/itemProps3.xml><?xml version="1.0" encoding="utf-8"?>
<ds:datastoreItem xmlns:ds="http://schemas.openxmlformats.org/officeDocument/2006/customXml" ds:itemID="{EB9C1E0A-9161-42C8-989E-10D733A01DB0}">
  <ds:schemaRefs/>
</ds:datastoreItem>
</file>

<file path=customXml/itemProps4.xml><?xml version="1.0" encoding="utf-8"?>
<ds:datastoreItem xmlns:ds="http://schemas.openxmlformats.org/officeDocument/2006/customXml" ds:itemID="{4F765A9E-1D5D-4414-8ADC-98482428C686}">
  <ds:schemaRefs/>
</ds:datastoreItem>
</file>

<file path=customXml/itemProps5.xml><?xml version="1.0" encoding="utf-8"?>
<ds:datastoreItem xmlns:ds="http://schemas.openxmlformats.org/officeDocument/2006/customXml" ds:itemID="{3A6BAB38-B686-4EDA-BCB2-253AB1AF9D6E}">
  <ds:schemaRefs/>
</ds:datastoreItem>
</file>

<file path=customXml/itemProps6.xml><?xml version="1.0" encoding="utf-8"?>
<ds:datastoreItem xmlns:ds="http://schemas.openxmlformats.org/officeDocument/2006/customXml" ds:itemID="{051A7604-1B87-4E1B-88C0-578191966E62}">
  <ds:schemaRefs/>
</ds:datastoreItem>
</file>

<file path=customXml/itemProps7.xml><?xml version="1.0" encoding="utf-8"?>
<ds:datastoreItem xmlns:ds="http://schemas.openxmlformats.org/officeDocument/2006/customXml" ds:itemID="{F31CA2D0-2A54-40F6-9DD3-36E005E23AA9}">
  <ds:schemaRefs/>
</ds:datastoreItem>
</file>

<file path=customXml/itemProps8.xml><?xml version="1.0" encoding="utf-8"?>
<ds:datastoreItem xmlns:ds="http://schemas.openxmlformats.org/officeDocument/2006/customXml" ds:itemID="{566CDFBD-3571-416C-950D-3CE8F0CAA2B6}">
  <ds:schemaRefs/>
</ds:datastoreItem>
</file>

<file path=customXml/itemProps9.xml><?xml version="1.0" encoding="utf-8"?>
<ds:datastoreItem xmlns:ds="http://schemas.openxmlformats.org/officeDocument/2006/customXml" ds:itemID="{2C93D853-E2F6-4597-A252-D73A98EC8473}">
  <ds:schemaRefs/>
</ds:datastoreItem>
</file>

<file path=customXml/itemProps10.xml><?xml version="1.0" encoding="utf-8"?>
<ds:datastoreItem xmlns:ds="http://schemas.openxmlformats.org/officeDocument/2006/customXml" ds:itemID="{10271664-80CF-4192-80F3-B239B6B83951}">
  <ds:schemaRefs/>
</ds:datastoreItem>
</file>

<file path=customXml/itemProps11.xml><?xml version="1.0" encoding="utf-8"?>
<ds:datastoreItem xmlns:ds="http://schemas.openxmlformats.org/officeDocument/2006/customXml" ds:itemID="{BC027FBE-0274-49E6-BCA3-061D133038C7}">
  <ds:schemaRefs/>
</ds:datastoreItem>
</file>

<file path=customXml/itemProps12.xml><?xml version="1.0" encoding="utf-8"?>
<ds:datastoreItem xmlns:ds="http://schemas.openxmlformats.org/officeDocument/2006/customXml" ds:itemID="{71042ABE-26E9-44B8-B0E8-3EE775E3685B}">
  <ds:schemaRefs/>
</ds:datastoreItem>
</file>

<file path=customXml/itemProps13.xml><?xml version="1.0" encoding="utf-8"?>
<ds:datastoreItem xmlns:ds="http://schemas.openxmlformats.org/officeDocument/2006/customXml" ds:itemID="{7AF9E634-55C5-4BA0-AA84-42F56A80BA46}">
  <ds:schemaRefs/>
</ds:datastoreItem>
</file>

<file path=customXml/itemProps14.xml><?xml version="1.0" encoding="utf-8"?>
<ds:datastoreItem xmlns:ds="http://schemas.openxmlformats.org/officeDocument/2006/customXml" ds:itemID="{D5977F17-FE7F-42D9-B2CE-A45C6EA2B249}">
  <ds:schemaRefs/>
</ds:datastoreItem>
</file>

<file path=customXml/itemProps15.xml><?xml version="1.0" encoding="utf-8"?>
<ds:datastoreItem xmlns:ds="http://schemas.openxmlformats.org/officeDocument/2006/customXml" ds:itemID="{6424AD5F-2002-4AF2-8D8E-E2C8DFBDC7A6}">
  <ds:schemaRefs/>
</ds:datastoreItem>
</file>

<file path=customXml/itemProps16.xml><?xml version="1.0" encoding="utf-8"?>
<ds:datastoreItem xmlns:ds="http://schemas.openxmlformats.org/officeDocument/2006/customXml" ds:itemID="{2F5DB03E-7A45-423D-A82E-E5E150A55053}">
  <ds:schemaRefs/>
</ds:datastoreItem>
</file>

<file path=customXml/itemProps17.xml><?xml version="1.0" encoding="utf-8"?>
<ds:datastoreItem xmlns:ds="http://schemas.openxmlformats.org/officeDocument/2006/customXml" ds:itemID="{4D388EF5-F63B-4894-A25F-6CB04CF578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Sales_Fact</vt:lpstr>
      <vt:lpstr>Customer_Dim</vt:lpstr>
      <vt:lpstr>Product_Dim</vt:lpstr>
      <vt:lpstr>Store_Dim</vt:lpstr>
      <vt:lpstr>summary statistics</vt:lpstr>
      <vt:lpstr>Final Dashboard</vt:lpstr>
      <vt:lpstr>store vs region vs total amt</vt:lpstr>
      <vt:lpstr>category vs gender vs total</vt:lpstr>
      <vt:lpstr>product brand vs category vs to</vt:lpstr>
      <vt:lpstr>year vs category,gender vs tota</vt:lpstr>
      <vt:lpstr>category vs total vs dis</vt:lpstr>
      <vt:lpstr>forecast</vt:lpstr>
      <vt:lpstr>sales_dim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2025-10-14T06:00:00Z</dcterms:created>
  <dcterms:modified xsi:type="dcterms:W3CDTF">2026-10-10T18:50:53Z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24611D3F2C044C09935B2CDFAEDF2C2F_12</vt:lpwstr>
  </property>
  <property fmtid="{D5CDD505-2E9C-101B-9397-08002B2CF9AE}" pid="3" name="KSOProductBuildVer">
    <vt:lpwstr>2057-12.2.0.23206</vt:lpwstr>
  </property>
</Properties>
</file>